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C\Downloads\Solutions\ch-07\"/>
    </mc:Choice>
  </mc:AlternateContent>
  <xr:revisionPtr revIDLastSave="0" documentId="13_ncr:1_{1706AEAF-4436-4185-9ACD-82B9B0D09EF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Data" sheetId="2" r:id="rId2"/>
    <sheet name="Baseline_PhaseI" sheetId="3" r:id="rId3"/>
    <sheet name="My_Pract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4" l="1"/>
  <c r="R3" i="4"/>
  <c r="R6" i="4"/>
  <c r="R7" i="4"/>
  <c r="I3" i="4" l="1"/>
  <c r="J3" i="4"/>
  <c r="I154" i="4"/>
  <c r="I4" i="4"/>
  <c r="J4" i="4"/>
  <c r="J154" i="4"/>
  <c r="I5" i="4"/>
  <c r="J5" i="4"/>
  <c r="I155" i="4"/>
  <c r="I6" i="4"/>
  <c r="J6" i="4"/>
  <c r="J155" i="4"/>
  <c r="I7" i="4"/>
  <c r="J7" i="4"/>
  <c r="I156" i="4"/>
  <c r="I8" i="4"/>
  <c r="J8" i="4"/>
  <c r="J156" i="4"/>
  <c r="I9" i="4"/>
  <c r="J9" i="4"/>
  <c r="I157" i="4"/>
  <c r="I10" i="4"/>
  <c r="J10" i="4"/>
  <c r="J157" i="4"/>
  <c r="I11" i="4"/>
  <c r="J11" i="4"/>
  <c r="I158" i="4"/>
  <c r="I12" i="4"/>
  <c r="J12" i="4"/>
  <c r="J158" i="4"/>
  <c r="I13" i="4"/>
  <c r="J13" i="4"/>
  <c r="I159" i="4"/>
  <c r="I14" i="4"/>
  <c r="J14" i="4"/>
  <c r="J159" i="4"/>
  <c r="I15" i="4"/>
  <c r="J15" i="4"/>
  <c r="I160" i="4"/>
  <c r="I16" i="4"/>
  <c r="J16" i="4"/>
  <c r="J160" i="4"/>
  <c r="I17" i="4"/>
  <c r="J17" i="4"/>
  <c r="I161" i="4"/>
  <c r="I18" i="4"/>
  <c r="J18" i="4"/>
  <c r="J161" i="4"/>
  <c r="I19" i="4"/>
  <c r="J19" i="4"/>
  <c r="I162" i="4"/>
  <c r="I20" i="4"/>
  <c r="J20" i="4"/>
  <c r="J162" i="4"/>
  <c r="I21" i="4"/>
  <c r="J21" i="4"/>
  <c r="I163" i="4"/>
  <c r="I22" i="4"/>
  <c r="J22" i="4"/>
  <c r="J163" i="4"/>
  <c r="I23" i="4"/>
  <c r="J23" i="4"/>
  <c r="I164" i="4"/>
  <c r="I24" i="4"/>
  <c r="J24" i="4"/>
  <c r="J164" i="4"/>
  <c r="I25" i="4"/>
  <c r="J25" i="4"/>
  <c r="I165" i="4"/>
  <c r="I26" i="4"/>
  <c r="J26" i="4"/>
  <c r="J165" i="4"/>
  <c r="I27" i="4"/>
  <c r="J27" i="4"/>
  <c r="I166" i="4"/>
  <c r="I28" i="4"/>
  <c r="J28" i="4"/>
  <c r="J166" i="4"/>
  <c r="I29" i="4"/>
  <c r="J29" i="4"/>
  <c r="I167" i="4"/>
  <c r="I30" i="4"/>
  <c r="J30" i="4"/>
  <c r="J167" i="4"/>
  <c r="I31" i="4"/>
  <c r="J31" i="4"/>
  <c r="I168" i="4"/>
  <c r="I32" i="4"/>
  <c r="J32" i="4"/>
  <c r="J168" i="4"/>
  <c r="I33" i="4"/>
  <c r="J33" i="4"/>
  <c r="I169" i="4"/>
  <c r="I34" i="4"/>
  <c r="J34" i="4"/>
  <c r="J169" i="4"/>
  <c r="I35" i="4"/>
  <c r="J35" i="4"/>
  <c r="I170" i="4"/>
  <c r="I36" i="4"/>
  <c r="J36" i="4"/>
  <c r="J170" i="4"/>
  <c r="I37" i="4"/>
  <c r="J37" i="4"/>
  <c r="I171" i="4"/>
  <c r="I38" i="4"/>
  <c r="J38" i="4"/>
  <c r="J171" i="4"/>
  <c r="I39" i="4"/>
  <c r="J39" i="4"/>
  <c r="I172" i="4"/>
  <c r="I40" i="4"/>
  <c r="J40" i="4"/>
  <c r="J172" i="4"/>
  <c r="I41" i="4"/>
  <c r="J41" i="4"/>
  <c r="I173" i="4"/>
  <c r="I42" i="4"/>
  <c r="J42" i="4"/>
  <c r="J173" i="4"/>
  <c r="I43" i="4"/>
  <c r="J43" i="4"/>
  <c r="I174" i="4"/>
  <c r="I44" i="4"/>
  <c r="J44" i="4"/>
  <c r="J174" i="4"/>
  <c r="I45" i="4"/>
  <c r="J45" i="4"/>
  <c r="I175" i="4"/>
  <c r="I46" i="4"/>
  <c r="J46" i="4"/>
  <c r="J175" i="4"/>
  <c r="I47" i="4"/>
  <c r="J47" i="4"/>
  <c r="I176" i="4"/>
  <c r="I48" i="4"/>
  <c r="J48" i="4"/>
  <c r="J176" i="4"/>
  <c r="I49" i="4"/>
  <c r="J49" i="4"/>
  <c r="I177" i="4"/>
  <c r="I50" i="4"/>
  <c r="J50" i="4"/>
  <c r="J177" i="4"/>
  <c r="I51" i="4"/>
  <c r="J51" i="4"/>
  <c r="I178" i="4"/>
  <c r="I52" i="4"/>
  <c r="J52" i="4"/>
  <c r="J178" i="4"/>
  <c r="I53" i="4"/>
  <c r="J53" i="4"/>
  <c r="I179" i="4"/>
  <c r="I54" i="4"/>
  <c r="J54" i="4"/>
  <c r="J179" i="4"/>
  <c r="I55" i="4"/>
  <c r="J55" i="4"/>
  <c r="I180" i="4"/>
  <c r="I56" i="4"/>
  <c r="J56" i="4"/>
  <c r="J180" i="4"/>
  <c r="I57" i="4"/>
  <c r="J57" i="4"/>
  <c r="I181" i="4"/>
  <c r="I58" i="4"/>
  <c r="J58" i="4"/>
  <c r="J181" i="4"/>
  <c r="I59" i="4"/>
  <c r="J59" i="4"/>
  <c r="I182" i="4"/>
  <c r="I60" i="4"/>
  <c r="J60" i="4"/>
  <c r="J182" i="4"/>
  <c r="I61" i="4"/>
  <c r="J61" i="4"/>
  <c r="I183" i="4"/>
  <c r="I62" i="4"/>
  <c r="J62" i="4"/>
  <c r="J183" i="4"/>
  <c r="I63" i="4"/>
  <c r="J63" i="4"/>
  <c r="I184" i="4"/>
  <c r="I64" i="4"/>
  <c r="J64" i="4"/>
  <c r="J184" i="4"/>
  <c r="I65" i="4"/>
  <c r="J65" i="4"/>
  <c r="I185" i="4"/>
  <c r="I66" i="4"/>
  <c r="J66" i="4"/>
  <c r="J185" i="4"/>
  <c r="I67" i="4"/>
  <c r="J67" i="4"/>
  <c r="I186" i="4"/>
  <c r="I68" i="4"/>
  <c r="J68" i="4"/>
  <c r="J186" i="4"/>
  <c r="I69" i="4"/>
  <c r="J69" i="4"/>
  <c r="I187" i="4"/>
  <c r="I70" i="4"/>
  <c r="J70" i="4"/>
  <c r="I188" i="4"/>
  <c r="I71" i="4"/>
  <c r="J71" i="4"/>
  <c r="J188" i="4"/>
  <c r="I72" i="4"/>
  <c r="J72" i="4"/>
  <c r="I189" i="4"/>
  <c r="I73" i="4"/>
  <c r="J73" i="4"/>
  <c r="J189" i="4"/>
  <c r="I74" i="4"/>
  <c r="J74" i="4"/>
  <c r="I190" i="4"/>
  <c r="I75" i="4"/>
  <c r="J75" i="4"/>
  <c r="J191" i="4"/>
  <c r="I76" i="4"/>
  <c r="J76" i="4"/>
  <c r="I192" i="4"/>
  <c r="I77" i="4"/>
  <c r="J77" i="4"/>
  <c r="J192" i="4"/>
  <c r="I78" i="4"/>
  <c r="J78" i="4"/>
  <c r="I193" i="4"/>
  <c r="I79" i="4"/>
  <c r="J79" i="4"/>
  <c r="J193" i="4"/>
  <c r="I80" i="4"/>
  <c r="J80" i="4"/>
  <c r="J194" i="4"/>
  <c r="I81" i="4"/>
  <c r="J81" i="4"/>
  <c r="I195" i="4"/>
  <c r="I82" i="4"/>
  <c r="J82" i="4"/>
  <c r="J195" i="4"/>
  <c r="I83" i="4"/>
  <c r="J83" i="4"/>
  <c r="I196" i="4"/>
  <c r="I84" i="4"/>
  <c r="J84" i="4"/>
  <c r="J196" i="4"/>
  <c r="I85" i="4"/>
  <c r="J85" i="4"/>
  <c r="I197" i="4"/>
  <c r="I86" i="4"/>
  <c r="J86" i="4"/>
  <c r="I198" i="4"/>
  <c r="I87" i="4"/>
  <c r="J87" i="4"/>
  <c r="I199" i="4"/>
  <c r="I88" i="4"/>
  <c r="J88" i="4"/>
  <c r="I200" i="4"/>
  <c r="I89" i="4"/>
  <c r="J89" i="4"/>
  <c r="J200" i="4"/>
  <c r="I90" i="4"/>
  <c r="J90" i="4"/>
  <c r="J201" i="4"/>
  <c r="I91" i="4"/>
  <c r="J91" i="4"/>
  <c r="H2" i="4"/>
  <c r="I92" i="4"/>
  <c r="J92" i="4"/>
  <c r="J104" i="4"/>
  <c r="I93" i="4"/>
  <c r="J93" i="4"/>
  <c r="J187" i="4"/>
  <c r="I94" i="4"/>
  <c r="J94" i="4"/>
  <c r="J190" i="4"/>
  <c r="I95" i="4"/>
  <c r="J95" i="4"/>
  <c r="I191" i="4"/>
  <c r="I96" i="4"/>
  <c r="J96" i="4"/>
  <c r="I194" i="4"/>
  <c r="I97" i="4"/>
  <c r="J97" i="4"/>
  <c r="J197" i="4"/>
  <c r="I98" i="4"/>
  <c r="J98" i="4"/>
  <c r="J198" i="4"/>
  <c r="I99" i="4"/>
  <c r="J99" i="4"/>
  <c r="J199" i="4"/>
  <c r="I100" i="4"/>
  <c r="J100" i="4"/>
  <c r="I201" i="4"/>
  <c r="I101" i="4"/>
  <c r="J101" i="4"/>
  <c r="J2" i="4"/>
  <c r="I102" i="4"/>
  <c r="J102" i="4"/>
  <c r="I2" i="4"/>
  <c r="I103" i="4"/>
  <c r="J103" i="4"/>
  <c r="I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5" i="4"/>
  <c r="K170" i="4"/>
  <c r="K116" i="4"/>
  <c r="K148" i="4"/>
  <c r="K171" i="4"/>
  <c r="K133" i="4"/>
  <c r="K123" i="4"/>
  <c r="K172" i="4"/>
  <c r="K149" i="4"/>
  <c r="K103" i="4"/>
  <c r="K173" i="4"/>
  <c r="K134" i="4"/>
  <c r="K150" i="4"/>
  <c r="K174" i="4"/>
  <c r="K112" i="4"/>
  <c r="K124" i="4"/>
  <c r="K175" i="4"/>
  <c r="K151" i="4"/>
  <c r="K135" i="4"/>
  <c r="K176" i="4"/>
  <c r="K117" i="4"/>
  <c r="K152" i="4"/>
  <c r="K177" i="4"/>
  <c r="K109" i="4"/>
  <c r="K136" i="4"/>
  <c r="K178" i="4"/>
  <c r="K153" i="4"/>
  <c r="K125" i="4"/>
  <c r="K179" i="4"/>
  <c r="K107" i="4"/>
  <c r="K154" i="4"/>
  <c r="K180" i="4"/>
  <c r="K137" i="4"/>
  <c r="K118" i="4"/>
  <c r="K181" i="4"/>
  <c r="K155" i="4"/>
  <c r="K126" i="4"/>
  <c r="K182" i="4"/>
  <c r="K138" i="4"/>
  <c r="K156" i="4"/>
  <c r="K183" i="4"/>
  <c r="K113" i="4"/>
  <c r="K104" i="4"/>
  <c r="K184" i="4"/>
  <c r="K157" i="4"/>
  <c r="K139" i="4"/>
  <c r="K185" i="4"/>
  <c r="K127" i="4"/>
  <c r="K158" i="4"/>
  <c r="K186" i="4"/>
  <c r="K119" i="4"/>
  <c r="K187" i="4"/>
  <c r="K140" i="4"/>
  <c r="K159" i="4"/>
  <c r="K188" i="4"/>
  <c r="K110" i="4"/>
  <c r="K128" i="4"/>
  <c r="K189" i="4"/>
  <c r="K160" i="4"/>
  <c r="K190" i="4"/>
  <c r="K141" i="4"/>
  <c r="K114" i="4"/>
  <c r="K161" i="4"/>
  <c r="K192" i="4"/>
  <c r="K120" i="4"/>
  <c r="K142" i="4"/>
  <c r="K193" i="4"/>
  <c r="K162" i="4"/>
  <c r="K129" i="4"/>
  <c r="K106" i="4"/>
  <c r="K163" i="4"/>
  <c r="K143" i="4"/>
  <c r="K108" i="4"/>
  <c r="K164" i="4"/>
  <c r="K198" i="4"/>
  <c r="K130" i="4"/>
  <c r="K199" i="4"/>
  <c r="K144" i="4"/>
  <c r="K165" i="4"/>
  <c r="K121" i="4"/>
  <c r="K2" i="4"/>
  <c r="K115" i="4"/>
  <c r="K166" i="4"/>
  <c r="K145" i="4"/>
  <c r="K131" i="4"/>
  <c r="K167" i="4"/>
  <c r="K191" i="4"/>
  <c r="K111" i="4"/>
  <c r="K194" i="4"/>
  <c r="K195" i="4"/>
  <c r="K196" i="4"/>
  <c r="K146" i="4"/>
  <c r="K197" i="4"/>
  <c r="K168" i="4"/>
  <c r="K122" i="4"/>
  <c r="K200" i="4"/>
  <c r="K132" i="4"/>
  <c r="K201" i="4"/>
  <c r="K169" i="4"/>
  <c r="K147" i="4"/>
  <c r="H3" i="4" l="1"/>
  <c r="O2" i="4"/>
  <c r="L2" i="4"/>
  <c r="N2" i="4"/>
  <c r="N3" i="4" s="1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N132" i="4" s="1"/>
  <c r="N133" i="4" s="1"/>
  <c r="N134" i="4" s="1"/>
  <c r="N135" i="4" s="1"/>
  <c r="N136" i="4" s="1"/>
  <c r="N137" i="4" s="1"/>
  <c r="N138" i="4" s="1"/>
  <c r="N139" i="4" s="1"/>
  <c r="N140" i="4" s="1"/>
  <c r="N141" i="4" s="1"/>
  <c r="N142" i="4" s="1"/>
  <c r="N143" i="4" s="1"/>
  <c r="N144" i="4" s="1"/>
  <c r="N145" i="4" s="1"/>
  <c r="N146" i="4" s="1"/>
  <c r="N147" i="4" s="1"/>
  <c r="N148" i="4" s="1"/>
  <c r="N149" i="4" s="1"/>
  <c r="N150" i="4" s="1"/>
  <c r="N151" i="4" s="1"/>
  <c r="N152" i="4" s="1"/>
  <c r="N153" i="4" s="1"/>
  <c r="N154" i="4" s="1"/>
  <c r="N155" i="4" s="1"/>
  <c r="N156" i="4" s="1"/>
  <c r="N157" i="4" s="1"/>
  <c r="N158" i="4" s="1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N191" i="4" s="1"/>
  <c r="N192" i="4" s="1"/>
  <c r="N193" i="4" s="1"/>
  <c r="N194" i="4" s="1"/>
  <c r="N195" i="4" s="1"/>
  <c r="N196" i="4" s="1"/>
  <c r="N197" i="4" s="1"/>
  <c r="N198" i="4" s="1"/>
  <c r="N199" i="4" s="1"/>
  <c r="N200" i="4" s="1"/>
  <c r="N201" i="4" s="1"/>
  <c r="H4" i="4" l="1"/>
  <c r="O3" i="4"/>
  <c r="L3" i="4"/>
  <c r="P2" i="4"/>
  <c r="O4" i="4" l="1"/>
  <c r="H5" i="4"/>
  <c r="L4" i="4"/>
  <c r="P3" i="4"/>
  <c r="O5" i="4" l="1"/>
  <c r="H6" i="4"/>
  <c r="L5" i="4"/>
  <c r="P4" i="4"/>
  <c r="O6" i="4" l="1"/>
  <c r="H7" i="4"/>
  <c r="L6" i="4"/>
  <c r="P5" i="4"/>
  <c r="O7" i="4" l="1"/>
  <c r="H8" i="4"/>
  <c r="L7" i="4"/>
  <c r="P6" i="4"/>
  <c r="O8" i="4" l="1"/>
  <c r="H9" i="4"/>
  <c r="L8" i="4"/>
  <c r="P7" i="4"/>
  <c r="O9" i="4" l="1"/>
  <c r="H10" i="4"/>
  <c r="L9" i="4"/>
  <c r="P8" i="4"/>
  <c r="O10" i="4" l="1"/>
  <c r="H11" i="4"/>
  <c r="L10" i="4"/>
  <c r="P9" i="4"/>
  <c r="O11" i="4" l="1"/>
  <c r="H12" i="4"/>
  <c r="P10" i="4"/>
  <c r="L11" i="4"/>
  <c r="O12" i="4" l="1"/>
  <c r="H13" i="4"/>
  <c r="P11" i="4"/>
  <c r="L12" i="4"/>
  <c r="O13" i="4" l="1"/>
  <c r="H14" i="4"/>
  <c r="P12" i="4"/>
  <c r="L13" i="4"/>
  <c r="O14" i="4" l="1"/>
  <c r="H15" i="4"/>
  <c r="P13" i="4"/>
  <c r="L14" i="4"/>
  <c r="O15" i="4" l="1"/>
  <c r="H16" i="4"/>
  <c r="P14" i="4"/>
  <c r="L15" i="4"/>
  <c r="O16" i="4" l="1"/>
  <c r="H17" i="4"/>
  <c r="P15" i="4"/>
  <c r="L16" i="4"/>
  <c r="O17" i="4" l="1"/>
  <c r="H18" i="4"/>
  <c r="P16" i="4"/>
  <c r="L17" i="4"/>
  <c r="O18" i="4" l="1"/>
  <c r="H19" i="4"/>
  <c r="P17" i="4"/>
  <c r="L18" i="4"/>
  <c r="O19" i="4" l="1"/>
  <c r="H20" i="4"/>
  <c r="P18" i="4"/>
  <c r="L19" i="4"/>
  <c r="O20" i="4" l="1"/>
  <c r="H21" i="4"/>
  <c r="P19" i="4"/>
  <c r="L20" i="4"/>
  <c r="O21" i="4" l="1"/>
  <c r="H22" i="4"/>
  <c r="P20" i="4"/>
  <c r="L21" i="4"/>
  <c r="O22" i="4" l="1"/>
  <c r="H23" i="4"/>
  <c r="P21" i="4"/>
  <c r="L22" i="4"/>
  <c r="O23" i="4" l="1"/>
  <c r="H24" i="4"/>
  <c r="P22" i="4"/>
  <c r="L23" i="4"/>
  <c r="O24" i="4" l="1"/>
  <c r="H25" i="4"/>
  <c r="P23" i="4"/>
  <c r="L24" i="4"/>
  <c r="O25" i="4" l="1"/>
  <c r="H26" i="4"/>
  <c r="P24" i="4"/>
  <c r="L25" i="4"/>
  <c r="O26" i="4" l="1"/>
  <c r="H27" i="4"/>
  <c r="P25" i="4"/>
  <c r="L26" i="4"/>
  <c r="O27" i="4" l="1"/>
  <c r="H28" i="4"/>
  <c r="P26" i="4"/>
  <c r="L27" i="4"/>
  <c r="O28" i="4" l="1"/>
  <c r="H29" i="4"/>
  <c r="P27" i="4"/>
  <c r="L28" i="4"/>
  <c r="O29" i="4" l="1"/>
  <c r="H30" i="4"/>
  <c r="P28" i="4"/>
  <c r="L29" i="4"/>
  <c r="O30" i="4" l="1"/>
  <c r="H31" i="4"/>
  <c r="P29" i="4"/>
  <c r="L30" i="4"/>
  <c r="O31" i="4" l="1"/>
  <c r="H32" i="4"/>
  <c r="P30" i="4"/>
  <c r="L31" i="4"/>
  <c r="O32" i="4" l="1"/>
  <c r="H33" i="4"/>
  <c r="P31" i="4"/>
  <c r="L32" i="4"/>
  <c r="O33" i="4" l="1"/>
  <c r="H34" i="4"/>
  <c r="P32" i="4"/>
  <c r="L33" i="4"/>
  <c r="O34" i="4" l="1"/>
  <c r="H35" i="4"/>
  <c r="P33" i="4"/>
  <c r="L34" i="4"/>
  <c r="O35" i="4" l="1"/>
  <c r="H36" i="4"/>
  <c r="P34" i="4"/>
  <c r="L35" i="4"/>
  <c r="O36" i="4" l="1"/>
  <c r="H37" i="4"/>
  <c r="P35" i="4"/>
  <c r="L36" i="4"/>
  <c r="O37" i="4" l="1"/>
  <c r="H38" i="4"/>
  <c r="P36" i="4"/>
  <c r="L37" i="4"/>
  <c r="O38" i="4" l="1"/>
  <c r="H39" i="4"/>
  <c r="P37" i="4"/>
  <c r="L38" i="4"/>
  <c r="O39" i="4" l="1"/>
  <c r="H40" i="4"/>
  <c r="P38" i="4"/>
  <c r="L39" i="4"/>
  <c r="O40" i="4" l="1"/>
  <c r="H41" i="4"/>
  <c r="P39" i="4"/>
  <c r="L40" i="4"/>
  <c r="O41" i="4" l="1"/>
  <c r="H42" i="4"/>
  <c r="P40" i="4"/>
  <c r="L41" i="4"/>
  <c r="O42" i="4" l="1"/>
  <c r="H43" i="4"/>
  <c r="P41" i="4"/>
  <c r="L42" i="4"/>
  <c r="O43" i="4" l="1"/>
  <c r="H44" i="4"/>
  <c r="P42" i="4"/>
  <c r="L43" i="4"/>
  <c r="O44" i="4" l="1"/>
  <c r="H45" i="4"/>
  <c r="P43" i="4"/>
  <c r="L44" i="4"/>
  <c r="O45" i="4" l="1"/>
  <c r="H46" i="4"/>
  <c r="P44" i="4"/>
  <c r="L45" i="4"/>
  <c r="O46" i="4" l="1"/>
  <c r="H47" i="4"/>
  <c r="P45" i="4"/>
  <c r="L46" i="4"/>
  <c r="O47" i="4" l="1"/>
  <c r="H48" i="4"/>
  <c r="P46" i="4"/>
  <c r="L47" i="4"/>
  <c r="O48" i="4" l="1"/>
  <c r="H49" i="4"/>
  <c r="P47" i="4"/>
  <c r="L48" i="4"/>
  <c r="O49" i="4" l="1"/>
  <c r="H50" i="4"/>
  <c r="P48" i="4"/>
  <c r="L49" i="4"/>
  <c r="O50" i="4" l="1"/>
  <c r="H51" i="4"/>
  <c r="P49" i="4"/>
  <c r="L50" i="4"/>
  <c r="O51" i="4" l="1"/>
  <c r="H52" i="4"/>
  <c r="P50" i="4"/>
  <c r="L51" i="4"/>
  <c r="O52" i="4" l="1"/>
  <c r="H53" i="4"/>
  <c r="P51" i="4"/>
  <c r="L52" i="4"/>
  <c r="O53" i="4" l="1"/>
  <c r="H54" i="4"/>
  <c r="P52" i="4"/>
  <c r="L53" i="4"/>
  <c r="O54" i="4" l="1"/>
  <c r="H55" i="4"/>
  <c r="P53" i="4"/>
  <c r="L54" i="4"/>
  <c r="O55" i="4" l="1"/>
  <c r="H56" i="4"/>
  <c r="P54" i="4"/>
  <c r="L55" i="4"/>
  <c r="O56" i="4" l="1"/>
  <c r="H57" i="4"/>
  <c r="P55" i="4"/>
  <c r="L56" i="4"/>
  <c r="O57" i="4" l="1"/>
  <c r="H58" i="4"/>
  <c r="P56" i="4"/>
  <c r="L57" i="4"/>
  <c r="O58" i="4" l="1"/>
  <c r="H59" i="4"/>
  <c r="P57" i="4"/>
  <c r="L58" i="4"/>
  <c r="O59" i="4" l="1"/>
  <c r="H60" i="4"/>
  <c r="P58" i="4"/>
  <c r="L59" i="4"/>
  <c r="O60" i="4" l="1"/>
  <c r="H61" i="4"/>
  <c r="P59" i="4"/>
  <c r="L60" i="4"/>
  <c r="O61" i="4" l="1"/>
  <c r="H62" i="4"/>
  <c r="P60" i="4"/>
  <c r="L61" i="4"/>
  <c r="O62" i="4" l="1"/>
  <c r="H63" i="4"/>
  <c r="P61" i="4"/>
  <c r="L62" i="4"/>
  <c r="O63" i="4" l="1"/>
  <c r="H64" i="4"/>
  <c r="P62" i="4"/>
  <c r="L63" i="4"/>
  <c r="O64" i="4" l="1"/>
  <c r="H65" i="4"/>
  <c r="P63" i="4"/>
  <c r="L64" i="4"/>
  <c r="O65" i="4" l="1"/>
  <c r="H66" i="4"/>
  <c r="P64" i="4"/>
  <c r="L65" i="4"/>
  <c r="O66" i="4" l="1"/>
  <c r="H67" i="4"/>
  <c r="P65" i="4"/>
  <c r="L66" i="4"/>
  <c r="O67" i="4" l="1"/>
  <c r="H68" i="4"/>
  <c r="P66" i="4"/>
  <c r="L67" i="4"/>
  <c r="O68" i="4" l="1"/>
  <c r="H69" i="4"/>
  <c r="P67" i="4"/>
  <c r="L68" i="4"/>
  <c r="O69" i="4" l="1"/>
  <c r="H70" i="4"/>
  <c r="P68" i="4"/>
  <c r="L69" i="4"/>
  <c r="O70" i="4" l="1"/>
  <c r="H71" i="4"/>
  <c r="P69" i="4"/>
  <c r="L70" i="4"/>
  <c r="O71" i="4" l="1"/>
  <c r="H72" i="4"/>
  <c r="P70" i="4"/>
  <c r="L71" i="4"/>
  <c r="O72" i="4" l="1"/>
  <c r="H73" i="4"/>
  <c r="P71" i="4"/>
  <c r="L72" i="4"/>
  <c r="O73" i="4" l="1"/>
  <c r="H74" i="4"/>
  <c r="P72" i="4"/>
  <c r="L73" i="4"/>
  <c r="O74" i="4" l="1"/>
  <c r="H75" i="4"/>
  <c r="P73" i="4"/>
  <c r="L74" i="4"/>
  <c r="O75" i="4" l="1"/>
  <c r="H76" i="4"/>
  <c r="P74" i="4"/>
  <c r="L75" i="4"/>
  <c r="O76" i="4" l="1"/>
  <c r="H77" i="4"/>
  <c r="P75" i="4"/>
  <c r="L76" i="4"/>
  <c r="O77" i="4" l="1"/>
  <c r="H78" i="4"/>
  <c r="P76" i="4"/>
  <c r="L77" i="4"/>
  <c r="O78" i="4" l="1"/>
  <c r="H79" i="4"/>
  <c r="P77" i="4"/>
  <c r="L78" i="4"/>
  <c r="O79" i="4" l="1"/>
  <c r="H80" i="4"/>
  <c r="P78" i="4"/>
  <c r="L79" i="4"/>
  <c r="O80" i="4" l="1"/>
  <c r="H81" i="4"/>
  <c r="P79" i="4"/>
  <c r="L80" i="4"/>
  <c r="O81" i="4" l="1"/>
  <c r="H82" i="4"/>
  <c r="P80" i="4"/>
  <c r="L81" i="4"/>
  <c r="O82" i="4" l="1"/>
  <c r="H83" i="4"/>
  <c r="P81" i="4"/>
  <c r="L82" i="4"/>
  <c r="O83" i="4" l="1"/>
  <c r="H84" i="4"/>
  <c r="P82" i="4"/>
  <c r="L83" i="4"/>
  <c r="O84" i="4" l="1"/>
  <c r="H85" i="4"/>
  <c r="P83" i="4"/>
  <c r="L84" i="4"/>
  <c r="O85" i="4" l="1"/>
  <c r="H86" i="4"/>
  <c r="P84" i="4"/>
  <c r="L85" i="4"/>
  <c r="O86" i="4" l="1"/>
  <c r="H87" i="4"/>
  <c r="P85" i="4"/>
  <c r="L86" i="4"/>
  <c r="O87" i="4" l="1"/>
  <c r="H88" i="4"/>
  <c r="P86" i="4"/>
  <c r="L87" i="4"/>
  <c r="O88" i="4" l="1"/>
  <c r="H89" i="4"/>
  <c r="P87" i="4"/>
  <c r="L88" i="4"/>
  <c r="O89" i="4" l="1"/>
  <c r="H90" i="4"/>
  <c r="P88" i="4"/>
  <c r="L89" i="4"/>
  <c r="O90" i="4" l="1"/>
  <c r="H91" i="4"/>
  <c r="P89" i="4"/>
  <c r="L90" i="4"/>
  <c r="O91" i="4" l="1"/>
  <c r="H92" i="4"/>
  <c r="P90" i="4"/>
  <c r="L91" i="4"/>
  <c r="O92" i="4" l="1"/>
  <c r="H93" i="4"/>
  <c r="P91" i="4"/>
  <c r="L92" i="4"/>
  <c r="O93" i="4" l="1"/>
  <c r="H94" i="4"/>
  <c r="P92" i="4"/>
  <c r="L93" i="4"/>
  <c r="O94" i="4" l="1"/>
  <c r="H95" i="4"/>
  <c r="P93" i="4"/>
  <c r="L94" i="4"/>
  <c r="O95" i="4" l="1"/>
  <c r="H96" i="4"/>
  <c r="P94" i="4"/>
  <c r="L95" i="4"/>
  <c r="O96" i="4" l="1"/>
  <c r="H97" i="4"/>
  <c r="P95" i="4"/>
  <c r="L96" i="4"/>
  <c r="O97" i="4" l="1"/>
  <c r="H98" i="4"/>
  <c r="P96" i="4"/>
  <c r="L97" i="4"/>
  <c r="O98" i="4" l="1"/>
  <c r="H99" i="4"/>
  <c r="P97" i="4"/>
  <c r="L98" i="4"/>
  <c r="O99" i="4" l="1"/>
  <c r="H100" i="4"/>
  <c r="P98" i="4"/>
  <c r="L99" i="4"/>
  <c r="O100" i="4" l="1"/>
  <c r="H101" i="4"/>
  <c r="P99" i="4"/>
  <c r="L100" i="4"/>
  <c r="O101" i="4" l="1"/>
  <c r="H102" i="4"/>
  <c r="P100" i="4"/>
  <c r="L101" i="4"/>
  <c r="O102" i="4" l="1"/>
  <c r="H103" i="4"/>
  <c r="P101" i="4"/>
  <c r="L102" i="4"/>
  <c r="O103" i="4" l="1"/>
  <c r="H104" i="4"/>
  <c r="P102" i="4"/>
  <c r="L103" i="4"/>
  <c r="O104" i="4" l="1"/>
  <c r="H105" i="4"/>
  <c r="P103" i="4"/>
  <c r="L104" i="4"/>
  <c r="O105" i="4" l="1"/>
  <c r="H106" i="4"/>
  <c r="P104" i="4"/>
  <c r="L105" i="4"/>
  <c r="O106" i="4" l="1"/>
  <c r="H107" i="4"/>
  <c r="P105" i="4"/>
  <c r="L106" i="4"/>
  <c r="O107" i="4" l="1"/>
  <c r="H108" i="4"/>
  <c r="P106" i="4"/>
  <c r="L107" i="4"/>
  <c r="O108" i="4" l="1"/>
  <c r="H109" i="4"/>
  <c r="P107" i="4"/>
  <c r="L108" i="4"/>
  <c r="O109" i="4" l="1"/>
  <c r="H110" i="4"/>
  <c r="P108" i="4"/>
  <c r="L109" i="4"/>
  <c r="O110" i="4" l="1"/>
  <c r="H111" i="4"/>
  <c r="P109" i="4"/>
  <c r="L110" i="4"/>
  <c r="O111" i="4" l="1"/>
  <c r="H112" i="4"/>
  <c r="P110" i="4"/>
  <c r="L111" i="4"/>
  <c r="O112" i="4" l="1"/>
  <c r="H113" i="4"/>
  <c r="P111" i="4"/>
  <c r="L112" i="4"/>
  <c r="O113" i="4" l="1"/>
  <c r="H114" i="4"/>
  <c r="P112" i="4"/>
  <c r="L113" i="4"/>
  <c r="O114" i="4" l="1"/>
  <c r="H115" i="4"/>
  <c r="P113" i="4"/>
  <c r="L114" i="4"/>
  <c r="O115" i="4" l="1"/>
  <c r="H116" i="4"/>
  <c r="P114" i="4"/>
  <c r="L115" i="4"/>
  <c r="O116" i="4" l="1"/>
  <c r="H117" i="4"/>
  <c r="P115" i="4"/>
  <c r="L116" i="4"/>
  <c r="O117" i="4" l="1"/>
  <c r="H118" i="4"/>
  <c r="P116" i="4"/>
  <c r="L117" i="4"/>
  <c r="O118" i="4" l="1"/>
  <c r="H119" i="4"/>
  <c r="P117" i="4"/>
  <c r="L118" i="4"/>
  <c r="O119" i="4" l="1"/>
  <c r="H120" i="4"/>
  <c r="P118" i="4"/>
  <c r="L119" i="4"/>
  <c r="O120" i="4" l="1"/>
  <c r="H121" i="4"/>
  <c r="P119" i="4"/>
  <c r="L120" i="4"/>
  <c r="O121" i="4" l="1"/>
  <c r="H122" i="4"/>
  <c r="P120" i="4"/>
  <c r="L121" i="4"/>
  <c r="O122" i="4" l="1"/>
  <c r="H123" i="4"/>
  <c r="P121" i="4"/>
  <c r="L122" i="4"/>
  <c r="O123" i="4" l="1"/>
  <c r="H124" i="4"/>
  <c r="P122" i="4"/>
  <c r="L123" i="4"/>
  <c r="O124" i="4" l="1"/>
  <c r="H125" i="4"/>
  <c r="P123" i="4"/>
  <c r="L124" i="4"/>
  <c r="O125" i="4" l="1"/>
  <c r="H126" i="4"/>
  <c r="P124" i="4"/>
  <c r="L125" i="4"/>
  <c r="O126" i="4" l="1"/>
  <c r="H127" i="4"/>
  <c r="P125" i="4"/>
  <c r="L126" i="4"/>
  <c r="O127" i="4" l="1"/>
  <c r="H128" i="4"/>
  <c r="P126" i="4"/>
  <c r="L127" i="4"/>
  <c r="O128" i="4" l="1"/>
  <c r="H129" i="4"/>
  <c r="P127" i="4"/>
  <c r="L128" i="4"/>
  <c r="O129" i="4" l="1"/>
  <c r="H130" i="4"/>
  <c r="P128" i="4"/>
  <c r="L129" i="4"/>
  <c r="O130" i="4" l="1"/>
  <c r="H131" i="4"/>
  <c r="P129" i="4"/>
  <c r="L130" i="4"/>
  <c r="O131" i="4" l="1"/>
  <c r="H132" i="4"/>
  <c r="P130" i="4"/>
  <c r="L131" i="4"/>
  <c r="O132" i="4" l="1"/>
  <c r="H133" i="4"/>
  <c r="P131" i="4"/>
  <c r="L132" i="4"/>
  <c r="O133" i="4" l="1"/>
  <c r="H134" i="4"/>
  <c r="P132" i="4"/>
  <c r="L133" i="4"/>
  <c r="O134" i="4" l="1"/>
  <c r="H135" i="4"/>
  <c r="P133" i="4"/>
  <c r="L134" i="4"/>
  <c r="O135" i="4" l="1"/>
  <c r="H136" i="4"/>
  <c r="P134" i="4"/>
  <c r="L135" i="4"/>
  <c r="O136" i="4" l="1"/>
  <c r="H137" i="4"/>
  <c r="P135" i="4"/>
  <c r="L136" i="4"/>
  <c r="O137" i="4" l="1"/>
  <c r="H138" i="4"/>
  <c r="P136" i="4"/>
  <c r="L137" i="4"/>
  <c r="O138" i="4" l="1"/>
  <c r="H139" i="4"/>
  <c r="P137" i="4"/>
  <c r="L138" i="4"/>
  <c r="O139" i="4" l="1"/>
  <c r="H140" i="4"/>
  <c r="P138" i="4"/>
  <c r="L139" i="4"/>
  <c r="O140" i="4" l="1"/>
  <c r="H141" i="4"/>
  <c r="P139" i="4"/>
  <c r="L140" i="4"/>
  <c r="O141" i="4" l="1"/>
  <c r="H142" i="4"/>
  <c r="P140" i="4"/>
  <c r="L141" i="4"/>
  <c r="O142" i="4" l="1"/>
  <c r="H143" i="4"/>
  <c r="P141" i="4"/>
  <c r="L142" i="4"/>
  <c r="O143" i="4" l="1"/>
  <c r="H144" i="4"/>
  <c r="P142" i="4"/>
  <c r="L143" i="4"/>
  <c r="O144" i="4" l="1"/>
  <c r="H145" i="4"/>
  <c r="P143" i="4"/>
  <c r="L144" i="4"/>
  <c r="O145" i="4" l="1"/>
  <c r="H146" i="4"/>
  <c r="P144" i="4"/>
  <c r="L145" i="4"/>
  <c r="O146" i="4" l="1"/>
  <c r="H147" i="4"/>
  <c r="P145" i="4"/>
  <c r="L146" i="4"/>
  <c r="O147" i="4" l="1"/>
  <c r="H148" i="4"/>
  <c r="P146" i="4"/>
  <c r="L147" i="4"/>
  <c r="O148" i="4" l="1"/>
  <c r="H149" i="4"/>
  <c r="P147" i="4"/>
  <c r="L148" i="4"/>
  <c r="O149" i="4" l="1"/>
  <c r="H150" i="4"/>
  <c r="P148" i="4"/>
  <c r="L149" i="4"/>
  <c r="O150" i="4" l="1"/>
  <c r="H151" i="4"/>
  <c r="P149" i="4"/>
  <c r="L150" i="4"/>
  <c r="O151" i="4" l="1"/>
  <c r="H152" i="4"/>
  <c r="P150" i="4"/>
  <c r="L151" i="4"/>
  <c r="O152" i="4" l="1"/>
  <c r="H153" i="4"/>
  <c r="P151" i="4"/>
  <c r="L152" i="4"/>
  <c r="O153" i="4" l="1"/>
  <c r="H154" i="4"/>
  <c r="P152" i="4"/>
  <c r="L153" i="4"/>
  <c r="O154" i="4" l="1"/>
  <c r="H155" i="4"/>
  <c r="P153" i="4"/>
  <c r="L154" i="4"/>
  <c r="O155" i="4" l="1"/>
  <c r="H156" i="4"/>
  <c r="P154" i="4"/>
  <c r="L155" i="4"/>
  <c r="O156" i="4" l="1"/>
  <c r="H157" i="4"/>
  <c r="P155" i="4"/>
  <c r="L156" i="4"/>
  <c r="O157" i="4" l="1"/>
  <c r="H158" i="4"/>
  <c r="P156" i="4"/>
  <c r="L157" i="4"/>
  <c r="O158" i="4" l="1"/>
  <c r="H159" i="4"/>
  <c r="P157" i="4"/>
  <c r="L158" i="4"/>
  <c r="O159" i="4" l="1"/>
  <c r="H160" i="4"/>
  <c r="P158" i="4"/>
  <c r="L159" i="4"/>
  <c r="O160" i="4" l="1"/>
  <c r="H161" i="4"/>
  <c r="P159" i="4"/>
  <c r="L160" i="4"/>
  <c r="O161" i="4" l="1"/>
  <c r="H162" i="4"/>
  <c r="P160" i="4"/>
  <c r="L161" i="4"/>
  <c r="O162" i="4" l="1"/>
  <c r="H163" i="4"/>
  <c r="P161" i="4"/>
  <c r="L162" i="4"/>
  <c r="O163" i="4" l="1"/>
  <c r="H164" i="4"/>
  <c r="P162" i="4"/>
  <c r="L163" i="4"/>
  <c r="O164" i="4" l="1"/>
  <c r="H165" i="4"/>
  <c r="P163" i="4"/>
  <c r="L164" i="4"/>
  <c r="O165" i="4" l="1"/>
  <c r="H166" i="4"/>
  <c r="P164" i="4"/>
  <c r="L165" i="4"/>
  <c r="O166" i="4" l="1"/>
  <c r="H167" i="4"/>
  <c r="P165" i="4"/>
  <c r="L166" i="4"/>
  <c r="O167" i="4" l="1"/>
  <c r="H168" i="4"/>
  <c r="P166" i="4"/>
  <c r="L167" i="4"/>
  <c r="O168" i="4" l="1"/>
  <c r="H169" i="4"/>
  <c r="P167" i="4"/>
  <c r="L168" i="4"/>
  <c r="O169" i="4" l="1"/>
  <c r="H170" i="4"/>
  <c r="P168" i="4"/>
  <c r="L169" i="4"/>
  <c r="O170" i="4" l="1"/>
  <c r="H171" i="4"/>
  <c r="P169" i="4"/>
  <c r="L170" i="4"/>
  <c r="O171" i="4" l="1"/>
  <c r="H172" i="4"/>
  <c r="P170" i="4"/>
  <c r="L171" i="4"/>
  <c r="O172" i="4" l="1"/>
  <c r="H173" i="4"/>
  <c r="P171" i="4"/>
  <c r="L172" i="4"/>
  <c r="O173" i="4" l="1"/>
  <c r="H174" i="4"/>
  <c r="P172" i="4"/>
  <c r="L173" i="4"/>
  <c r="O174" i="4" l="1"/>
  <c r="H175" i="4"/>
  <c r="P173" i="4"/>
  <c r="L174" i="4"/>
  <c r="O175" i="4" l="1"/>
  <c r="H176" i="4"/>
  <c r="P174" i="4"/>
  <c r="L175" i="4"/>
  <c r="O176" i="4" l="1"/>
  <c r="H177" i="4"/>
  <c r="P175" i="4"/>
  <c r="L176" i="4"/>
  <c r="O177" i="4" l="1"/>
  <c r="H178" i="4"/>
  <c r="P176" i="4"/>
  <c r="L177" i="4"/>
  <c r="O178" i="4" l="1"/>
  <c r="H179" i="4"/>
  <c r="P177" i="4"/>
  <c r="L178" i="4"/>
  <c r="O179" i="4" l="1"/>
  <c r="H180" i="4"/>
  <c r="P178" i="4"/>
  <c r="L179" i="4"/>
  <c r="O180" i="4" l="1"/>
  <c r="H181" i="4"/>
  <c r="P179" i="4"/>
  <c r="L180" i="4"/>
  <c r="O181" i="4" l="1"/>
  <c r="H182" i="4"/>
  <c r="P180" i="4"/>
  <c r="L181" i="4"/>
  <c r="O182" i="4" l="1"/>
  <c r="H183" i="4"/>
  <c r="P181" i="4"/>
  <c r="L182" i="4"/>
  <c r="O183" i="4" l="1"/>
  <c r="H184" i="4"/>
  <c r="P182" i="4"/>
  <c r="L183" i="4"/>
  <c r="O184" i="4" l="1"/>
  <c r="H185" i="4"/>
  <c r="P183" i="4"/>
  <c r="L184" i="4"/>
  <c r="O185" i="4" l="1"/>
  <c r="H186" i="4"/>
  <c r="P184" i="4"/>
  <c r="L185" i="4"/>
  <c r="O186" i="4" l="1"/>
  <c r="H187" i="4"/>
  <c r="P185" i="4"/>
  <c r="L186" i="4"/>
  <c r="O187" i="4" l="1"/>
  <c r="H188" i="4"/>
  <c r="P186" i="4"/>
  <c r="L187" i="4"/>
  <c r="O188" i="4" l="1"/>
  <c r="H189" i="4"/>
  <c r="P187" i="4"/>
  <c r="L188" i="4"/>
  <c r="O189" i="4" l="1"/>
  <c r="H190" i="4"/>
  <c r="P188" i="4"/>
  <c r="L189" i="4"/>
  <c r="O190" i="4" l="1"/>
  <c r="H191" i="4"/>
  <c r="P189" i="4"/>
  <c r="L190" i="4"/>
  <c r="O191" i="4" l="1"/>
  <c r="H192" i="4"/>
  <c r="P190" i="4"/>
  <c r="L191" i="4"/>
  <c r="O192" i="4" l="1"/>
  <c r="H193" i="4"/>
  <c r="P191" i="4"/>
  <c r="L192" i="4"/>
  <c r="O193" i="4" l="1"/>
  <c r="H194" i="4"/>
  <c r="P192" i="4"/>
  <c r="L193" i="4"/>
  <c r="O194" i="4" l="1"/>
  <c r="H195" i="4"/>
  <c r="P193" i="4"/>
  <c r="L194" i="4"/>
  <c r="O195" i="4" l="1"/>
  <c r="H196" i="4"/>
  <c r="P194" i="4"/>
  <c r="L195" i="4"/>
  <c r="O196" i="4" l="1"/>
  <c r="H197" i="4"/>
  <c r="P195" i="4"/>
  <c r="L196" i="4"/>
  <c r="O197" i="4" l="1"/>
  <c r="H198" i="4"/>
  <c r="P196" i="4"/>
  <c r="L197" i="4"/>
  <c r="O198" i="4" l="1"/>
  <c r="H199" i="4"/>
  <c r="P197" i="4"/>
  <c r="L198" i="4"/>
  <c r="O199" i="4" l="1"/>
  <c r="H200" i="4"/>
  <c r="P198" i="4"/>
  <c r="L199" i="4"/>
  <c r="O200" i="4" l="1"/>
  <c r="H201" i="4"/>
  <c r="O201" i="4" s="1"/>
  <c r="P199" i="4"/>
  <c r="L200" i="4"/>
  <c r="P200" i="4" l="1"/>
  <c r="L201" i="4"/>
  <c r="P201" i="4" s="1"/>
</calcChain>
</file>

<file path=xl/sharedStrings.xml><?xml version="1.0" encoding="utf-8"?>
<sst xmlns="http://schemas.openxmlformats.org/spreadsheetml/2006/main" count="990" uniqueCount="68">
  <si>
    <t>Item</t>
  </si>
  <si>
    <t>فایل: داده آموزشی فصل ۷ — EWMA و CUSUM</t>
  </si>
  <si>
    <t>Phase I (سطر ۲ تا ۱۰۱): Baseline پایدار (میانگین P80=75µm، FeO=1.5%)</t>
  </si>
  <si>
    <t>Phase II (سطر ۱۰۲ تا ۲۰۱): سایش لاینر به‌صورت Drift تدریجی + افت مشعل به‌صورت Shift از ساعت ۱۰۰</t>
  </si>
  <si>
    <t>P80_Micron: با drift تدریجی + خودهمبستگی AR (تمرین بخش ۷-۱۳)</t>
  </si>
  <si>
    <t>Blaine/SpecificPower/ReturnLoad: شواهد مهندسی هم‌جهت با سایش (بخش ۷-۱۴)</t>
  </si>
  <si>
    <t>FeedHardness_Index/FeedRate: متغیرهای مزاحم بدون تغییر سیستماتیک (بخش ۷-۲۲)</t>
  </si>
  <si>
    <t>FeO/CCS: شیفت بعد از ساعت ۱۰۰ — CUSUM یک‌طرفه مثبت (بخش ۷-۱۲)</t>
  </si>
  <si>
    <t>BurnerZoneTemp/O2/CO: شواهد احتراق هم‌زمان (بخش ۷-۱۵)</t>
  </si>
  <si>
    <t>Lag: اثر دمای مشعل با ۶ ساعت تأخیر در FeO لحاظ شده (بخش ۷-۱۶) — تمرین Cross-correlation</t>
  </si>
  <si>
    <t>EWMA: λ=0.2، Z0=μ0، حدود پایدار μ0±3σ√(λ/(2-λ))</t>
  </si>
  <si>
    <t>CUSUM: استانداردشده، K=0.25 (هدف شیفت 0.5σ)، H=5</t>
  </si>
  <si>
    <t>Alarm columns: ALARM وقتی CUSUM&gt;H</t>
  </si>
  <si>
    <t>کاربرد: Excel (فرمول ستونی)، Minitab (Stat&gt;Control Charts&gt;EWMA/CUSUM)، Python، Power BI</t>
  </si>
  <si>
    <t>Timestamp</t>
  </si>
  <si>
    <t>Phase</t>
  </si>
  <si>
    <t>P80_Micron</t>
  </si>
  <si>
    <t>Blaine_cm2g</t>
  </si>
  <si>
    <t>SpecificPower_kWht</t>
  </si>
  <si>
    <t>ReturnLoad_th</t>
  </si>
  <si>
    <t>FeedRate_th</t>
  </si>
  <si>
    <t>FeedHardness_Index</t>
  </si>
  <si>
    <t>FeO_Percent</t>
  </si>
  <si>
    <t>CCS_kg</t>
  </si>
  <si>
    <t>BurnerZoneTemp_C</t>
  </si>
  <si>
    <t>O2_Percent</t>
  </si>
  <si>
    <t>CO_ppm</t>
  </si>
  <si>
    <t>FuelFlow_Nm3h</t>
  </si>
  <si>
    <t>AirFlow_Nm3h</t>
  </si>
  <si>
    <t>EWMA_P80_lam0.2</t>
  </si>
  <si>
    <t>CUSUM_P80_plus</t>
  </si>
  <si>
    <t>CUSUM_P80_minus</t>
  </si>
  <si>
    <t>EWMA_FeO_lam0.2</t>
  </si>
  <si>
    <t>CUSUM_FeO_plus</t>
  </si>
  <si>
    <t>CUSUM_FeO_minus</t>
  </si>
  <si>
    <t>Alarm_P80</t>
  </si>
  <si>
    <t>Alarm_FeO</t>
  </si>
  <si>
    <t>Phase I (Baseline)</t>
  </si>
  <si>
    <t>ALARM</t>
  </si>
  <si>
    <t>Phase II</t>
  </si>
  <si>
    <t>عنوان پارامتر</t>
  </si>
  <si>
    <t>فرمول دقیق اکسل</t>
  </si>
  <si>
    <t>مقدار حاصل</t>
  </si>
  <si>
    <t>مفهوم مهندسی</t>
  </si>
  <si>
    <t>میانگین هدف دانه بندی آسیاب در شرایط سالم</t>
  </si>
  <si>
    <t>~2.0</t>
  </si>
  <si>
    <t>نوسان طبیعی ذاتی فرایند خردایش</t>
  </si>
  <si>
    <t>ضریب حافظه نمایی (وزن مشاهده اخیر)</t>
  </si>
  <si>
    <t>ضریب پهنای حد کنترل (حدود 3σ 3σ )</t>
  </si>
  <si>
    <t>درصد هدف FeO گندله در احتراق کامل</t>
  </si>
  <si>
    <t>~0.08</t>
  </si>
  <si>
    <t>نوسان مجاز آزمایشگاهی و فرایندی FeO</t>
  </si>
  <si>
    <t>مقدار مرجع (Reference Value) به ازای شیفت کوچک</t>
  </si>
  <si>
    <t>حد تصمیم (Decision Interval) برای صدور آلارم</t>
  </si>
  <si>
    <t>P80_Mean ( μ0  )</t>
  </si>
  <si>
    <t>P80_StdDev ( σ0)</t>
  </si>
  <si>
    <t>Lambda ( λ  )</t>
  </si>
  <si>
    <t>EWMA_L ( L )</t>
  </si>
  <si>
    <t>FeO_Mean ( μ 0 ​ )</t>
  </si>
  <si>
    <t>FeO_StdDev ( σ 0 ​ )</t>
  </si>
  <si>
    <t>CUSUM_K (  k )</t>
  </si>
  <si>
    <t>CUSUM_H (  h )</t>
  </si>
  <si>
    <t>EWMA_P80</t>
  </si>
  <si>
    <t>LCL_P80</t>
  </si>
  <si>
    <t>UCL_P80</t>
  </si>
  <si>
    <t>Z_FeO</t>
  </si>
  <si>
    <r>
      <t xml:space="preserve">وضعیت لاینر آسیاب - </t>
    </r>
    <r>
      <rPr>
        <sz val="10"/>
        <color theme="1"/>
        <rFont val="Arial Unicode MS"/>
      </rPr>
      <t>Alarm_Liner</t>
    </r>
  </si>
  <si>
    <r>
      <t xml:space="preserve">وضعیت احتراق مشعل - </t>
    </r>
    <r>
      <rPr>
        <sz val="10"/>
        <color theme="1"/>
        <rFont val="Arial Unicode MS"/>
      </rPr>
      <t>Alarm_Burner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</si>
</sst>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My_Practice!$C$1</c:f>
              <c:strCache>
                <c:ptCount val="1"/>
                <c:pt idx="0">
                  <c:v>P80_Micron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My_Practice!$A$2:$A$201</c:f>
              <c:numCache>
                <c:formatCode>yyyy\-mm\-dd\ hh:mm:ss</c:formatCode>
                <c:ptCount val="200"/>
                <c:pt idx="0">
                  <c:v>46296</c:v>
                </c:pt>
                <c:pt idx="1">
                  <c:v>46296.041666666657</c:v>
                </c:pt>
                <c:pt idx="2">
                  <c:v>46296.083333333343</c:v>
                </c:pt>
                <c:pt idx="3">
                  <c:v>46296.125</c:v>
                </c:pt>
                <c:pt idx="4">
                  <c:v>46296.166666666657</c:v>
                </c:pt>
                <c:pt idx="5">
                  <c:v>46296.208333333343</c:v>
                </c:pt>
                <c:pt idx="6">
                  <c:v>46296.25</c:v>
                </c:pt>
                <c:pt idx="7">
                  <c:v>46296.291666666657</c:v>
                </c:pt>
                <c:pt idx="8">
                  <c:v>46296.333333333343</c:v>
                </c:pt>
                <c:pt idx="9">
                  <c:v>46296.375</c:v>
                </c:pt>
                <c:pt idx="10">
                  <c:v>46296.416666666657</c:v>
                </c:pt>
                <c:pt idx="11">
                  <c:v>46296.458333333343</c:v>
                </c:pt>
                <c:pt idx="12">
                  <c:v>46296.5</c:v>
                </c:pt>
                <c:pt idx="13">
                  <c:v>46296.541666666657</c:v>
                </c:pt>
                <c:pt idx="14">
                  <c:v>46296.583333333343</c:v>
                </c:pt>
                <c:pt idx="15">
                  <c:v>46296.625</c:v>
                </c:pt>
                <c:pt idx="16">
                  <c:v>46296.666666666657</c:v>
                </c:pt>
                <c:pt idx="17">
                  <c:v>46296.708333333343</c:v>
                </c:pt>
                <c:pt idx="18">
                  <c:v>46296.75</c:v>
                </c:pt>
                <c:pt idx="19">
                  <c:v>46296.791666666657</c:v>
                </c:pt>
                <c:pt idx="20">
                  <c:v>46296.833333333343</c:v>
                </c:pt>
                <c:pt idx="21">
                  <c:v>46296.875</c:v>
                </c:pt>
                <c:pt idx="22">
                  <c:v>46296.916666666657</c:v>
                </c:pt>
                <c:pt idx="23">
                  <c:v>46296.958333333343</c:v>
                </c:pt>
                <c:pt idx="24">
                  <c:v>46297</c:v>
                </c:pt>
                <c:pt idx="25">
                  <c:v>46297.041666666657</c:v>
                </c:pt>
                <c:pt idx="26">
                  <c:v>46297.083333333343</c:v>
                </c:pt>
                <c:pt idx="27">
                  <c:v>46297.125</c:v>
                </c:pt>
                <c:pt idx="28">
                  <c:v>46297.166666666657</c:v>
                </c:pt>
                <c:pt idx="29">
                  <c:v>46297.208333333343</c:v>
                </c:pt>
                <c:pt idx="30">
                  <c:v>46297.25</c:v>
                </c:pt>
                <c:pt idx="31">
                  <c:v>46297.291666666657</c:v>
                </c:pt>
                <c:pt idx="32">
                  <c:v>46297.333333333343</c:v>
                </c:pt>
                <c:pt idx="33">
                  <c:v>46297.375</c:v>
                </c:pt>
                <c:pt idx="34">
                  <c:v>46297.416666666657</c:v>
                </c:pt>
                <c:pt idx="35">
                  <c:v>46297.458333333343</c:v>
                </c:pt>
                <c:pt idx="36">
                  <c:v>46297.5</c:v>
                </c:pt>
                <c:pt idx="37">
                  <c:v>46297.541666666657</c:v>
                </c:pt>
                <c:pt idx="38">
                  <c:v>46297.583333333343</c:v>
                </c:pt>
                <c:pt idx="39">
                  <c:v>46297.625</c:v>
                </c:pt>
                <c:pt idx="40">
                  <c:v>46297.666666666657</c:v>
                </c:pt>
                <c:pt idx="41">
                  <c:v>46297.708333333343</c:v>
                </c:pt>
                <c:pt idx="42">
                  <c:v>46297.75</c:v>
                </c:pt>
                <c:pt idx="43">
                  <c:v>46297.791666666657</c:v>
                </c:pt>
                <c:pt idx="44">
                  <c:v>46297.833333333343</c:v>
                </c:pt>
                <c:pt idx="45">
                  <c:v>46297.875</c:v>
                </c:pt>
                <c:pt idx="46">
                  <c:v>46297.916666666657</c:v>
                </c:pt>
                <c:pt idx="47">
                  <c:v>46297.958333333343</c:v>
                </c:pt>
                <c:pt idx="48">
                  <c:v>46298</c:v>
                </c:pt>
                <c:pt idx="49">
                  <c:v>46298.041666666657</c:v>
                </c:pt>
                <c:pt idx="50">
                  <c:v>46298.083333333343</c:v>
                </c:pt>
                <c:pt idx="51">
                  <c:v>46298.125</c:v>
                </c:pt>
                <c:pt idx="52">
                  <c:v>46298.166666666657</c:v>
                </c:pt>
                <c:pt idx="53">
                  <c:v>46298.208333333343</c:v>
                </c:pt>
                <c:pt idx="54">
                  <c:v>46298.25</c:v>
                </c:pt>
                <c:pt idx="55">
                  <c:v>46298.291666666657</c:v>
                </c:pt>
                <c:pt idx="56">
                  <c:v>46298.333333333343</c:v>
                </c:pt>
                <c:pt idx="57">
                  <c:v>46298.375</c:v>
                </c:pt>
                <c:pt idx="58">
                  <c:v>46298.416666666657</c:v>
                </c:pt>
                <c:pt idx="59">
                  <c:v>46298.458333333343</c:v>
                </c:pt>
                <c:pt idx="60">
                  <c:v>46298.5</c:v>
                </c:pt>
                <c:pt idx="61">
                  <c:v>46298.541666666657</c:v>
                </c:pt>
                <c:pt idx="62">
                  <c:v>46298.583333333343</c:v>
                </c:pt>
                <c:pt idx="63">
                  <c:v>46298.625</c:v>
                </c:pt>
                <c:pt idx="64">
                  <c:v>46298.666666666657</c:v>
                </c:pt>
                <c:pt idx="65">
                  <c:v>46298.708333333343</c:v>
                </c:pt>
                <c:pt idx="66">
                  <c:v>46298.75</c:v>
                </c:pt>
                <c:pt idx="67">
                  <c:v>46298.791666666657</c:v>
                </c:pt>
                <c:pt idx="68">
                  <c:v>46298.833333333343</c:v>
                </c:pt>
                <c:pt idx="69">
                  <c:v>46298.875</c:v>
                </c:pt>
                <c:pt idx="70">
                  <c:v>46298.916666666657</c:v>
                </c:pt>
                <c:pt idx="71">
                  <c:v>46298.958333333343</c:v>
                </c:pt>
                <c:pt idx="72">
                  <c:v>46299</c:v>
                </c:pt>
                <c:pt idx="73">
                  <c:v>46299.041666666657</c:v>
                </c:pt>
                <c:pt idx="74">
                  <c:v>46299.083333333343</c:v>
                </c:pt>
                <c:pt idx="75">
                  <c:v>46299.125</c:v>
                </c:pt>
                <c:pt idx="76">
                  <c:v>46299.166666666657</c:v>
                </c:pt>
                <c:pt idx="77">
                  <c:v>46299.208333333343</c:v>
                </c:pt>
                <c:pt idx="78">
                  <c:v>46299.25</c:v>
                </c:pt>
                <c:pt idx="79">
                  <c:v>46299.291666666657</c:v>
                </c:pt>
                <c:pt idx="80">
                  <c:v>46299.333333333343</c:v>
                </c:pt>
                <c:pt idx="81">
                  <c:v>46299.375</c:v>
                </c:pt>
                <c:pt idx="82">
                  <c:v>46299.416666666657</c:v>
                </c:pt>
                <c:pt idx="83">
                  <c:v>46299.458333333343</c:v>
                </c:pt>
                <c:pt idx="84">
                  <c:v>46299.5</c:v>
                </c:pt>
                <c:pt idx="85">
                  <c:v>46299.541666666657</c:v>
                </c:pt>
                <c:pt idx="86">
                  <c:v>46299.583333333343</c:v>
                </c:pt>
                <c:pt idx="87">
                  <c:v>46299.625</c:v>
                </c:pt>
                <c:pt idx="88">
                  <c:v>46299.666666666657</c:v>
                </c:pt>
                <c:pt idx="89">
                  <c:v>46299.708333333343</c:v>
                </c:pt>
                <c:pt idx="90">
                  <c:v>46299.75</c:v>
                </c:pt>
                <c:pt idx="91">
                  <c:v>46299.791666666657</c:v>
                </c:pt>
                <c:pt idx="92">
                  <c:v>46299.833333333343</c:v>
                </c:pt>
                <c:pt idx="93">
                  <c:v>46299.875</c:v>
                </c:pt>
                <c:pt idx="94">
                  <c:v>46299.916666666657</c:v>
                </c:pt>
                <c:pt idx="95">
                  <c:v>46299.958333333343</c:v>
                </c:pt>
                <c:pt idx="96">
                  <c:v>46300</c:v>
                </c:pt>
                <c:pt idx="97">
                  <c:v>46300.041666666657</c:v>
                </c:pt>
                <c:pt idx="98">
                  <c:v>46300.083333333343</c:v>
                </c:pt>
                <c:pt idx="99">
                  <c:v>46300.125</c:v>
                </c:pt>
                <c:pt idx="100">
                  <c:v>46300.166666666657</c:v>
                </c:pt>
                <c:pt idx="101">
                  <c:v>46300.208333333343</c:v>
                </c:pt>
                <c:pt idx="102">
                  <c:v>46300.25</c:v>
                </c:pt>
                <c:pt idx="103">
                  <c:v>46300.291666666657</c:v>
                </c:pt>
                <c:pt idx="104">
                  <c:v>46300.333333333343</c:v>
                </c:pt>
                <c:pt idx="105">
                  <c:v>46300.375</c:v>
                </c:pt>
                <c:pt idx="106">
                  <c:v>46300.416666666657</c:v>
                </c:pt>
                <c:pt idx="107">
                  <c:v>46300.458333333343</c:v>
                </c:pt>
                <c:pt idx="108">
                  <c:v>46300.5</c:v>
                </c:pt>
                <c:pt idx="109">
                  <c:v>46300.541666666657</c:v>
                </c:pt>
                <c:pt idx="110">
                  <c:v>46300.583333333343</c:v>
                </c:pt>
                <c:pt idx="111">
                  <c:v>46300.625</c:v>
                </c:pt>
                <c:pt idx="112">
                  <c:v>46300.666666666657</c:v>
                </c:pt>
                <c:pt idx="113">
                  <c:v>46300.708333333343</c:v>
                </c:pt>
                <c:pt idx="114">
                  <c:v>46300.75</c:v>
                </c:pt>
                <c:pt idx="115">
                  <c:v>46300.791666666657</c:v>
                </c:pt>
                <c:pt idx="116">
                  <c:v>46300.833333333343</c:v>
                </c:pt>
                <c:pt idx="117">
                  <c:v>46300.875</c:v>
                </c:pt>
                <c:pt idx="118">
                  <c:v>46300.916666666657</c:v>
                </c:pt>
                <c:pt idx="119">
                  <c:v>46300.958333333343</c:v>
                </c:pt>
                <c:pt idx="120">
                  <c:v>46301</c:v>
                </c:pt>
                <c:pt idx="121">
                  <c:v>46301.041666666657</c:v>
                </c:pt>
                <c:pt idx="122">
                  <c:v>46301.083333333343</c:v>
                </c:pt>
                <c:pt idx="123">
                  <c:v>46301.125</c:v>
                </c:pt>
                <c:pt idx="124">
                  <c:v>46301.166666666657</c:v>
                </c:pt>
                <c:pt idx="125">
                  <c:v>46301.208333333343</c:v>
                </c:pt>
                <c:pt idx="126">
                  <c:v>46301.25</c:v>
                </c:pt>
                <c:pt idx="127">
                  <c:v>46301.291666666657</c:v>
                </c:pt>
                <c:pt idx="128">
                  <c:v>46301.333333333343</c:v>
                </c:pt>
                <c:pt idx="129">
                  <c:v>46301.375</c:v>
                </c:pt>
                <c:pt idx="130">
                  <c:v>46301.416666666657</c:v>
                </c:pt>
                <c:pt idx="131">
                  <c:v>46301.458333333343</c:v>
                </c:pt>
                <c:pt idx="132">
                  <c:v>46301.5</c:v>
                </c:pt>
                <c:pt idx="133">
                  <c:v>46301.541666666657</c:v>
                </c:pt>
                <c:pt idx="134">
                  <c:v>46301.583333333343</c:v>
                </c:pt>
                <c:pt idx="135">
                  <c:v>46301.625</c:v>
                </c:pt>
                <c:pt idx="136">
                  <c:v>46301.666666666657</c:v>
                </c:pt>
                <c:pt idx="137">
                  <c:v>46301.708333333343</c:v>
                </c:pt>
                <c:pt idx="138">
                  <c:v>46301.75</c:v>
                </c:pt>
                <c:pt idx="139">
                  <c:v>46301.791666666657</c:v>
                </c:pt>
                <c:pt idx="140">
                  <c:v>46301.833333333343</c:v>
                </c:pt>
                <c:pt idx="141">
                  <c:v>46301.875</c:v>
                </c:pt>
                <c:pt idx="142">
                  <c:v>46301.916666666657</c:v>
                </c:pt>
                <c:pt idx="143">
                  <c:v>46301.958333333343</c:v>
                </c:pt>
                <c:pt idx="144">
                  <c:v>46302</c:v>
                </c:pt>
                <c:pt idx="145">
                  <c:v>46302.041666666657</c:v>
                </c:pt>
                <c:pt idx="146">
                  <c:v>46302.083333333343</c:v>
                </c:pt>
                <c:pt idx="147">
                  <c:v>46302.125</c:v>
                </c:pt>
                <c:pt idx="148">
                  <c:v>46302.166666666657</c:v>
                </c:pt>
                <c:pt idx="149">
                  <c:v>46302.208333333343</c:v>
                </c:pt>
                <c:pt idx="150">
                  <c:v>46302.25</c:v>
                </c:pt>
                <c:pt idx="151">
                  <c:v>46302.291666666657</c:v>
                </c:pt>
                <c:pt idx="152">
                  <c:v>46302.333333333343</c:v>
                </c:pt>
                <c:pt idx="153">
                  <c:v>46302.375</c:v>
                </c:pt>
                <c:pt idx="154">
                  <c:v>46302.416666666657</c:v>
                </c:pt>
                <c:pt idx="155">
                  <c:v>46302.458333333343</c:v>
                </c:pt>
                <c:pt idx="156">
                  <c:v>46302.5</c:v>
                </c:pt>
                <c:pt idx="157">
                  <c:v>46302.541666666657</c:v>
                </c:pt>
                <c:pt idx="158">
                  <c:v>46302.583333333343</c:v>
                </c:pt>
                <c:pt idx="159">
                  <c:v>46302.625</c:v>
                </c:pt>
                <c:pt idx="160">
                  <c:v>46302.666666666657</c:v>
                </c:pt>
                <c:pt idx="161">
                  <c:v>46302.708333333343</c:v>
                </c:pt>
                <c:pt idx="162">
                  <c:v>46302.75</c:v>
                </c:pt>
                <c:pt idx="163">
                  <c:v>46302.791666666657</c:v>
                </c:pt>
                <c:pt idx="164">
                  <c:v>46302.833333333343</c:v>
                </c:pt>
                <c:pt idx="165">
                  <c:v>46302.875</c:v>
                </c:pt>
                <c:pt idx="166">
                  <c:v>46302.916666666657</c:v>
                </c:pt>
                <c:pt idx="167">
                  <c:v>46302.958333333343</c:v>
                </c:pt>
                <c:pt idx="168">
                  <c:v>46303</c:v>
                </c:pt>
                <c:pt idx="169">
                  <c:v>46303.041666666657</c:v>
                </c:pt>
                <c:pt idx="170">
                  <c:v>46303.083333333343</c:v>
                </c:pt>
                <c:pt idx="171">
                  <c:v>46303.125</c:v>
                </c:pt>
                <c:pt idx="172">
                  <c:v>46303.166666666657</c:v>
                </c:pt>
                <c:pt idx="173">
                  <c:v>46303.208333333343</c:v>
                </c:pt>
                <c:pt idx="174">
                  <c:v>46303.25</c:v>
                </c:pt>
                <c:pt idx="175">
                  <c:v>46303.291666666657</c:v>
                </c:pt>
                <c:pt idx="176">
                  <c:v>46303.333333333343</c:v>
                </c:pt>
                <c:pt idx="177">
                  <c:v>46303.375</c:v>
                </c:pt>
                <c:pt idx="178">
                  <c:v>46303.416666666657</c:v>
                </c:pt>
                <c:pt idx="179">
                  <c:v>46303.458333333343</c:v>
                </c:pt>
                <c:pt idx="180">
                  <c:v>46303.5</c:v>
                </c:pt>
                <c:pt idx="181">
                  <c:v>46303.541666666657</c:v>
                </c:pt>
                <c:pt idx="182">
                  <c:v>46303.583333333343</c:v>
                </c:pt>
                <c:pt idx="183">
                  <c:v>46303.625</c:v>
                </c:pt>
                <c:pt idx="184">
                  <c:v>46303.666666666657</c:v>
                </c:pt>
                <c:pt idx="185">
                  <c:v>46303.708333333343</c:v>
                </c:pt>
                <c:pt idx="186">
                  <c:v>46303.75</c:v>
                </c:pt>
                <c:pt idx="187">
                  <c:v>46303.791666666657</c:v>
                </c:pt>
                <c:pt idx="188">
                  <c:v>46303.833333333343</c:v>
                </c:pt>
                <c:pt idx="189">
                  <c:v>46303.875</c:v>
                </c:pt>
                <c:pt idx="190">
                  <c:v>46303.916666666657</c:v>
                </c:pt>
                <c:pt idx="191">
                  <c:v>46303.958333333343</c:v>
                </c:pt>
                <c:pt idx="192">
                  <c:v>46304</c:v>
                </c:pt>
                <c:pt idx="193">
                  <c:v>46304.041666666657</c:v>
                </c:pt>
                <c:pt idx="194">
                  <c:v>46304.083333333343</c:v>
                </c:pt>
                <c:pt idx="195">
                  <c:v>46304.125</c:v>
                </c:pt>
                <c:pt idx="196">
                  <c:v>46304.166666666657</c:v>
                </c:pt>
                <c:pt idx="197">
                  <c:v>46304.208333333343</c:v>
                </c:pt>
                <c:pt idx="198">
                  <c:v>46304.25</c:v>
                </c:pt>
                <c:pt idx="199">
                  <c:v>46304.291666666657</c:v>
                </c:pt>
              </c:numCache>
            </c:numRef>
          </c:cat>
          <c:val>
            <c:numRef>
              <c:f>My_Practice!$C$2:$C$201</c:f>
              <c:numCache>
                <c:formatCode>General</c:formatCode>
                <c:ptCount val="200"/>
                <c:pt idx="0">
                  <c:v>75.989999999999995</c:v>
                </c:pt>
                <c:pt idx="1">
                  <c:v>75.06</c:v>
                </c:pt>
                <c:pt idx="2">
                  <c:v>75.7</c:v>
                </c:pt>
                <c:pt idx="3">
                  <c:v>76.489999999999995</c:v>
                </c:pt>
                <c:pt idx="4">
                  <c:v>75.47</c:v>
                </c:pt>
                <c:pt idx="5">
                  <c:v>75.88</c:v>
                </c:pt>
                <c:pt idx="6">
                  <c:v>77.58</c:v>
                </c:pt>
                <c:pt idx="7">
                  <c:v>76.459999999999994</c:v>
                </c:pt>
                <c:pt idx="8">
                  <c:v>75.790000000000006</c:v>
                </c:pt>
                <c:pt idx="9">
                  <c:v>76.33</c:v>
                </c:pt>
                <c:pt idx="10">
                  <c:v>74.739999999999995</c:v>
                </c:pt>
                <c:pt idx="11">
                  <c:v>74.849999999999994</c:v>
                </c:pt>
                <c:pt idx="12">
                  <c:v>75.900000000000006</c:v>
                </c:pt>
                <c:pt idx="13">
                  <c:v>73.209999999999994</c:v>
                </c:pt>
                <c:pt idx="14">
                  <c:v>72.010000000000005</c:v>
                </c:pt>
                <c:pt idx="15">
                  <c:v>73.36</c:v>
                </c:pt>
                <c:pt idx="16">
                  <c:v>73.319999999999993</c:v>
                </c:pt>
                <c:pt idx="17">
                  <c:v>74.63</c:v>
                </c:pt>
                <c:pt idx="18">
                  <c:v>74.150000000000006</c:v>
                </c:pt>
                <c:pt idx="19">
                  <c:v>73.459999999999994</c:v>
                </c:pt>
                <c:pt idx="20">
                  <c:v>74.81</c:v>
                </c:pt>
                <c:pt idx="21">
                  <c:v>75.209999999999994</c:v>
                </c:pt>
                <c:pt idx="22">
                  <c:v>75.760000000000005</c:v>
                </c:pt>
                <c:pt idx="23">
                  <c:v>74.02</c:v>
                </c:pt>
                <c:pt idx="24">
                  <c:v>73.95</c:v>
                </c:pt>
                <c:pt idx="25">
                  <c:v>73.760000000000005</c:v>
                </c:pt>
                <c:pt idx="26">
                  <c:v>73.540000000000006</c:v>
                </c:pt>
                <c:pt idx="27">
                  <c:v>74.819999999999993</c:v>
                </c:pt>
                <c:pt idx="28">
                  <c:v>74.33</c:v>
                </c:pt>
                <c:pt idx="29">
                  <c:v>74.930000000000007</c:v>
                </c:pt>
                <c:pt idx="30">
                  <c:v>74.25</c:v>
                </c:pt>
                <c:pt idx="31">
                  <c:v>76.540000000000006</c:v>
                </c:pt>
                <c:pt idx="32">
                  <c:v>75.319999999999993</c:v>
                </c:pt>
                <c:pt idx="33">
                  <c:v>74.209999999999994</c:v>
                </c:pt>
                <c:pt idx="34">
                  <c:v>75.22</c:v>
                </c:pt>
                <c:pt idx="35">
                  <c:v>74.14</c:v>
                </c:pt>
                <c:pt idx="36">
                  <c:v>74.53</c:v>
                </c:pt>
                <c:pt idx="37">
                  <c:v>72.91</c:v>
                </c:pt>
                <c:pt idx="38">
                  <c:v>73.069999999999993</c:v>
                </c:pt>
                <c:pt idx="39">
                  <c:v>73.900000000000006</c:v>
                </c:pt>
                <c:pt idx="40">
                  <c:v>74.25</c:v>
                </c:pt>
                <c:pt idx="41">
                  <c:v>75.62</c:v>
                </c:pt>
                <c:pt idx="42">
                  <c:v>75.930000000000007</c:v>
                </c:pt>
                <c:pt idx="43">
                  <c:v>74.59</c:v>
                </c:pt>
                <c:pt idx="44">
                  <c:v>73.790000000000006</c:v>
                </c:pt>
                <c:pt idx="45">
                  <c:v>73.44</c:v>
                </c:pt>
                <c:pt idx="46">
                  <c:v>73.86</c:v>
                </c:pt>
                <c:pt idx="47">
                  <c:v>75.47</c:v>
                </c:pt>
                <c:pt idx="48">
                  <c:v>75.45</c:v>
                </c:pt>
                <c:pt idx="49">
                  <c:v>73.27</c:v>
                </c:pt>
                <c:pt idx="50">
                  <c:v>73.989999999999995</c:v>
                </c:pt>
                <c:pt idx="51">
                  <c:v>73.64</c:v>
                </c:pt>
                <c:pt idx="52">
                  <c:v>73.23</c:v>
                </c:pt>
                <c:pt idx="53">
                  <c:v>74.540000000000006</c:v>
                </c:pt>
                <c:pt idx="54">
                  <c:v>75.319999999999993</c:v>
                </c:pt>
                <c:pt idx="55">
                  <c:v>76.349999999999994</c:v>
                </c:pt>
                <c:pt idx="56">
                  <c:v>75.73</c:v>
                </c:pt>
                <c:pt idx="57">
                  <c:v>74.83</c:v>
                </c:pt>
                <c:pt idx="58">
                  <c:v>75.33</c:v>
                </c:pt>
                <c:pt idx="59">
                  <c:v>76.31</c:v>
                </c:pt>
                <c:pt idx="60">
                  <c:v>75.52</c:v>
                </c:pt>
                <c:pt idx="61">
                  <c:v>75.16</c:v>
                </c:pt>
                <c:pt idx="62">
                  <c:v>74.459999999999994</c:v>
                </c:pt>
                <c:pt idx="63">
                  <c:v>73.87</c:v>
                </c:pt>
                <c:pt idx="64">
                  <c:v>74.489999999999995</c:v>
                </c:pt>
                <c:pt idx="65">
                  <c:v>76.37</c:v>
                </c:pt>
                <c:pt idx="66">
                  <c:v>76.14</c:v>
                </c:pt>
                <c:pt idx="67">
                  <c:v>76.150000000000006</c:v>
                </c:pt>
                <c:pt idx="68">
                  <c:v>75.97</c:v>
                </c:pt>
                <c:pt idx="69">
                  <c:v>75.3</c:v>
                </c:pt>
                <c:pt idx="70">
                  <c:v>75.38</c:v>
                </c:pt>
                <c:pt idx="71">
                  <c:v>77.13</c:v>
                </c:pt>
                <c:pt idx="72">
                  <c:v>77.319999999999993</c:v>
                </c:pt>
                <c:pt idx="73">
                  <c:v>77.290000000000006</c:v>
                </c:pt>
                <c:pt idx="74">
                  <c:v>73.209999999999994</c:v>
                </c:pt>
                <c:pt idx="75">
                  <c:v>74.91</c:v>
                </c:pt>
                <c:pt idx="76">
                  <c:v>75.39</c:v>
                </c:pt>
                <c:pt idx="77">
                  <c:v>74.83</c:v>
                </c:pt>
                <c:pt idx="78">
                  <c:v>75.72</c:v>
                </c:pt>
                <c:pt idx="79">
                  <c:v>72.94</c:v>
                </c:pt>
                <c:pt idx="80">
                  <c:v>74.010000000000005</c:v>
                </c:pt>
                <c:pt idx="81">
                  <c:v>74.48</c:v>
                </c:pt>
                <c:pt idx="82">
                  <c:v>76.900000000000006</c:v>
                </c:pt>
                <c:pt idx="83">
                  <c:v>76.58</c:v>
                </c:pt>
                <c:pt idx="84">
                  <c:v>74.760000000000005</c:v>
                </c:pt>
                <c:pt idx="85">
                  <c:v>74.14</c:v>
                </c:pt>
                <c:pt idx="86">
                  <c:v>75.78</c:v>
                </c:pt>
                <c:pt idx="87">
                  <c:v>75.53</c:v>
                </c:pt>
                <c:pt idx="88">
                  <c:v>74.790000000000006</c:v>
                </c:pt>
                <c:pt idx="89">
                  <c:v>75.36</c:v>
                </c:pt>
                <c:pt idx="90">
                  <c:v>74.33</c:v>
                </c:pt>
                <c:pt idx="91">
                  <c:v>75.489999999999995</c:v>
                </c:pt>
                <c:pt idx="92">
                  <c:v>74.3</c:v>
                </c:pt>
                <c:pt idx="93">
                  <c:v>74.069999999999993</c:v>
                </c:pt>
                <c:pt idx="94">
                  <c:v>74.86</c:v>
                </c:pt>
                <c:pt idx="95">
                  <c:v>72.98</c:v>
                </c:pt>
                <c:pt idx="96">
                  <c:v>74.56</c:v>
                </c:pt>
                <c:pt idx="97">
                  <c:v>74.849999999999994</c:v>
                </c:pt>
                <c:pt idx="98">
                  <c:v>74.78</c:v>
                </c:pt>
                <c:pt idx="99">
                  <c:v>75.069999999999993</c:v>
                </c:pt>
                <c:pt idx="100">
                  <c:v>73.930000000000007</c:v>
                </c:pt>
                <c:pt idx="101">
                  <c:v>74.34</c:v>
                </c:pt>
                <c:pt idx="102">
                  <c:v>74.86</c:v>
                </c:pt>
                <c:pt idx="103">
                  <c:v>74.099999999999994</c:v>
                </c:pt>
                <c:pt idx="104">
                  <c:v>74.150000000000006</c:v>
                </c:pt>
                <c:pt idx="105">
                  <c:v>74.47</c:v>
                </c:pt>
                <c:pt idx="106">
                  <c:v>76.13</c:v>
                </c:pt>
                <c:pt idx="107">
                  <c:v>77.41</c:v>
                </c:pt>
                <c:pt idx="108">
                  <c:v>77.36</c:v>
                </c:pt>
                <c:pt idx="109">
                  <c:v>75.760000000000005</c:v>
                </c:pt>
                <c:pt idx="110">
                  <c:v>73.260000000000005</c:v>
                </c:pt>
                <c:pt idx="111">
                  <c:v>74.510000000000005</c:v>
                </c:pt>
                <c:pt idx="112">
                  <c:v>75.33</c:v>
                </c:pt>
                <c:pt idx="113">
                  <c:v>77.97</c:v>
                </c:pt>
                <c:pt idx="114">
                  <c:v>76.650000000000006</c:v>
                </c:pt>
                <c:pt idx="115">
                  <c:v>76.459999999999994</c:v>
                </c:pt>
                <c:pt idx="116">
                  <c:v>76.3</c:v>
                </c:pt>
                <c:pt idx="117">
                  <c:v>75.09</c:v>
                </c:pt>
                <c:pt idx="118">
                  <c:v>75.38</c:v>
                </c:pt>
                <c:pt idx="119">
                  <c:v>76.2</c:v>
                </c:pt>
                <c:pt idx="120">
                  <c:v>76.400000000000006</c:v>
                </c:pt>
                <c:pt idx="121">
                  <c:v>75.52</c:v>
                </c:pt>
                <c:pt idx="122">
                  <c:v>78.540000000000006</c:v>
                </c:pt>
                <c:pt idx="123">
                  <c:v>76.39</c:v>
                </c:pt>
                <c:pt idx="124">
                  <c:v>76.680000000000007</c:v>
                </c:pt>
                <c:pt idx="125">
                  <c:v>78.930000000000007</c:v>
                </c:pt>
                <c:pt idx="126">
                  <c:v>77.099999999999994</c:v>
                </c:pt>
                <c:pt idx="127">
                  <c:v>76.47</c:v>
                </c:pt>
                <c:pt idx="128">
                  <c:v>76.84</c:v>
                </c:pt>
                <c:pt idx="129">
                  <c:v>77.239999999999995</c:v>
                </c:pt>
                <c:pt idx="130">
                  <c:v>74.959999999999994</c:v>
                </c:pt>
                <c:pt idx="131">
                  <c:v>75.98</c:v>
                </c:pt>
                <c:pt idx="132">
                  <c:v>74.849999999999994</c:v>
                </c:pt>
                <c:pt idx="133">
                  <c:v>76.37</c:v>
                </c:pt>
                <c:pt idx="134">
                  <c:v>75.239999999999995</c:v>
                </c:pt>
                <c:pt idx="135">
                  <c:v>77.11</c:v>
                </c:pt>
                <c:pt idx="136">
                  <c:v>76.13</c:v>
                </c:pt>
                <c:pt idx="137">
                  <c:v>76.66</c:v>
                </c:pt>
                <c:pt idx="138">
                  <c:v>77.97</c:v>
                </c:pt>
                <c:pt idx="139">
                  <c:v>75.790000000000006</c:v>
                </c:pt>
                <c:pt idx="140">
                  <c:v>76.569999999999993</c:v>
                </c:pt>
                <c:pt idx="141">
                  <c:v>77.62</c:v>
                </c:pt>
                <c:pt idx="142">
                  <c:v>75.319999999999993</c:v>
                </c:pt>
                <c:pt idx="143">
                  <c:v>76.209999999999994</c:v>
                </c:pt>
                <c:pt idx="144">
                  <c:v>76.75</c:v>
                </c:pt>
                <c:pt idx="145">
                  <c:v>78.900000000000006</c:v>
                </c:pt>
                <c:pt idx="146">
                  <c:v>77.290000000000006</c:v>
                </c:pt>
                <c:pt idx="147">
                  <c:v>75.45</c:v>
                </c:pt>
                <c:pt idx="148">
                  <c:v>76.53</c:v>
                </c:pt>
                <c:pt idx="149">
                  <c:v>77.73</c:v>
                </c:pt>
                <c:pt idx="150">
                  <c:v>78.91</c:v>
                </c:pt>
                <c:pt idx="151">
                  <c:v>77.83</c:v>
                </c:pt>
                <c:pt idx="152">
                  <c:v>76.180000000000007</c:v>
                </c:pt>
                <c:pt idx="153">
                  <c:v>78</c:v>
                </c:pt>
                <c:pt idx="154">
                  <c:v>78.34</c:v>
                </c:pt>
                <c:pt idx="155">
                  <c:v>77.010000000000005</c:v>
                </c:pt>
                <c:pt idx="156">
                  <c:v>79.319999999999993</c:v>
                </c:pt>
                <c:pt idx="157">
                  <c:v>77.78</c:v>
                </c:pt>
                <c:pt idx="158">
                  <c:v>76.78</c:v>
                </c:pt>
                <c:pt idx="159">
                  <c:v>78.069999999999993</c:v>
                </c:pt>
                <c:pt idx="160">
                  <c:v>77.64</c:v>
                </c:pt>
                <c:pt idx="161">
                  <c:v>78.040000000000006</c:v>
                </c:pt>
                <c:pt idx="162">
                  <c:v>79.17</c:v>
                </c:pt>
                <c:pt idx="163">
                  <c:v>77.52</c:v>
                </c:pt>
                <c:pt idx="164">
                  <c:v>78.84</c:v>
                </c:pt>
                <c:pt idx="165">
                  <c:v>78.510000000000005</c:v>
                </c:pt>
                <c:pt idx="166">
                  <c:v>78.97</c:v>
                </c:pt>
                <c:pt idx="167">
                  <c:v>79.91</c:v>
                </c:pt>
                <c:pt idx="168">
                  <c:v>79.349999999999994</c:v>
                </c:pt>
                <c:pt idx="169">
                  <c:v>78.709999999999994</c:v>
                </c:pt>
                <c:pt idx="170">
                  <c:v>77.72</c:v>
                </c:pt>
                <c:pt idx="171">
                  <c:v>77.39</c:v>
                </c:pt>
                <c:pt idx="172">
                  <c:v>77.16</c:v>
                </c:pt>
                <c:pt idx="173">
                  <c:v>78</c:v>
                </c:pt>
                <c:pt idx="174">
                  <c:v>78.56</c:v>
                </c:pt>
                <c:pt idx="175">
                  <c:v>80.72</c:v>
                </c:pt>
                <c:pt idx="176">
                  <c:v>79.33</c:v>
                </c:pt>
                <c:pt idx="177">
                  <c:v>81.17</c:v>
                </c:pt>
                <c:pt idx="178">
                  <c:v>80.430000000000007</c:v>
                </c:pt>
                <c:pt idx="179">
                  <c:v>82.37</c:v>
                </c:pt>
                <c:pt idx="180">
                  <c:v>82.31</c:v>
                </c:pt>
                <c:pt idx="181">
                  <c:v>80.28</c:v>
                </c:pt>
                <c:pt idx="182">
                  <c:v>79</c:v>
                </c:pt>
                <c:pt idx="183">
                  <c:v>79.489999999999995</c:v>
                </c:pt>
                <c:pt idx="184">
                  <c:v>79.790000000000006</c:v>
                </c:pt>
                <c:pt idx="185">
                  <c:v>80.760000000000005</c:v>
                </c:pt>
                <c:pt idx="186">
                  <c:v>80.23</c:v>
                </c:pt>
                <c:pt idx="187">
                  <c:v>79.13</c:v>
                </c:pt>
                <c:pt idx="188">
                  <c:v>78.41</c:v>
                </c:pt>
                <c:pt idx="189">
                  <c:v>77.13</c:v>
                </c:pt>
                <c:pt idx="190">
                  <c:v>77.790000000000006</c:v>
                </c:pt>
                <c:pt idx="191">
                  <c:v>79.989999999999995</c:v>
                </c:pt>
                <c:pt idx="192">
                  <c:v>79.8</c:v>
                </c:pt>
                <c:pt idx="193">
                  <c:v>78.61</c:v>
                </c:pt>
                <c:pt idx="194">
                  <c:v>79.31</c:v>
                </c:pt>
                <c:pt idx="195">
                  <c:v>80.3</c:v>
                </c:pt>
                <c:pt idx="196">
                  <c:v>78.180000000000007</c:v>
                </c:pt>
                <c:pt idx="197">
                  <c:v>78.790000000000006</c:v>
                </c:pt>
                <c:pt idx="198">
                  <c:v>79.47</c:v>
                </c:pt>
                <c:pt idx="199">
                  <c:v>79.28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1-4D6C-93AF-EBB60C1C14BA}"/>
            </c:ext>
          </c:extLst>
        </c:ser>
        <c:ser>
          <c:idx val="1"/>
          <c:order val="1"/>
          <c:tx>
            <c:strRef>
              <c:f>My_Practice!$H$1</c:f>
              <c:strCache>
                <c:ptCount val="1"/>
                <c:pt idx="0">
                  <c:v>EWMA_P80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My_Practice!$A$2:$A$201</c:f>
              <c:numCache>
                <c:formatCode>yyyy\-mm\-dd\ hh:mm:ss</c:formatCode>
                <c:ptCount val="200"/>
                <c:pt idx="0">
                  <c:v>46296</c:v>
                </c:pt>
                <c:pt idx="1">
                  <c:v>46296.041666666657</c:v>
                </c:pt>
                <c:pt idx="2">
                  <c:v>46296.083333333343</c:v>
                </c:pt>
                <c:pt idx="3">
                  <c:v>46296.125</c:v>
                </c:pt>
                <c:pt idx="4">
                  <c:v>46296.166666666657</c:v>
                </c:pt>
                <c:pt idx="5">
                  <c:v>46296.208333333343</c:v>
                </c:pt>
                <c:pt idx="6">
                  <c:v>46296.25</c:v>
                </c:pt>
                <c:pt idx="7">
                  <c:v>46296.291666666657</c:v>
                </c:pt>
                <c:pt idx="8">
                  <c:v>46296.333333333343</c:v>
                </c:pt>
                <c:pt idx="9">
                  <c:v>46296.375</c:v>
                </c:pt>
                <c:pt idx="10">
                  <c:v>46296.416666666657</c:v>
                </c:pt>
                <c:pt idx="11">
                  <c:v>46296.458333333343</c:v>
                </c:pt>
                <c:pt idx="12">
                  <c:v>46296.5</c:v>
                </c:pt>
                <c:pt idx="13">
                  <c:v>46296.541666666657</c:v>
                </c:pt>
                <c:pt idx="14">
                  <c:v>46296.583333333343</c:v>
                </c:pt>
                <c:pt idx="15">
                  <c:v>46296.625</c:v>
                </c:pt>
                <c:pt idx="16">
                  <c:v>46296.666666666657</c:v>
                </c:pt>
                <c:pt idx="17">
                  <c:v>46296.708333333343</c:v>
                </c:pt>
                <c:pt idx="18">
                  <c:v>46296.75</c:v>
                </c:pt>
                <c:pt idx="19">
                  <c:v>46296.791666666657</c:v>
                </c:pt>
                <c:pt idx="20">
                  <c:v>46296.833333333343</c:v>
                </c:pt>
                <c:pt idx="21">
                  <c:v>46296.875</c:v>
                </c:pt>
                <c:pt idx="22">
                  <c:v>46296.916666666657</c:v>
                </c:pt>
                <c:pt idx="23">
                  <c:v>46296.958333333343</c:v>
                </c:pt>
                <c:pt idx="24">
                  <c:v>46297</c:v>
                </c:pt>
                <c:pt idx="25">
                  <c:v>46297.041666666657</c:v>
                </c:pt>
                <c:pt idx="26">
                  <c:v>46297.083333333343</c:v>
                </c:pt>
                <c:pt idx="27">
                  <c:v>46297.125</c:v>
                </c:pt>
                <c:pt idx="28">
                  <c:v>46297.166666666657</c:v>
                </c:pt>
                <c:pt idx="29">
                  <c:v>46297.208333333343</c:v>
                </c:pt>
                <c:pt idx="30">
                  <c:v>46297.25</c:v>
                </c:pt>
                <c:pt idx="31">
                  <c:v>46297.291666666657</c:v>
                </c:pt>
                <c:pt idx="32">
                  <c:v>46297.333333333343</c:v>
                </c:pt>
                <c:pt idx="33">
                  <c:v>46297.375</c:v>
                </c:pt>
                <c:pt idx="34">
                  <c:v>46297.416666666657</c:v>
                </c:pt>
                <c:pt idx="35">
                  <c:v>46297.458333333343</c:v>
                </c:pt>
                <c:pt idx="36">
                  <c:v>46297.5</c:v>
                </c:pt>
                <c:pt idx="37">
                  <c:v>46297.541666666657</c:v>
                </c:pt>
                <c:pt idx="38">
                  <c:v>46297.583333333343</c:v>
                </c:pt>
                <c:pt idx="39">
                  <c:v>46297.625</c:v>
                </c:pt>
                <c:pt idx="40">
                  <c:v>46297.666666666657</c:v>
                </c:pt>
                <c:pt idx="41">
                  <c:v>46297.708333333343</c:v>
                </c:pt>
                <c:pt idx="42">
                  <c:v>46297.75</c:v>
                </c:pt>
                <c:pt idx="43">
                  <c:v>46297.791666666657</c:v>
                </c:pt>
                <c:pt idx="44">
                  <c:v>46297.833333333343</c:v>
                </c:pt>
                <c:pt idx="45">
                  <c:v>46297.875</c:v>
                </c:pt>
                <c:pt idx="46">
                  <c:v>46297.916666666657</c:v>
                </c:pt>
                <c:pt idx="47">
                  <c:v>46297.958333333343</c:v>
                </c:pt>
                <c:pt idx="48">
                  <c:v>46298</c:v>
                </c:pt>
                <c:pt idx="49">
                  <c:v>46298.041666666657</c:v>
                </c:pt>
                <c:pt idx="50">
                  <c:v>46298.083333333343</c:v>
                </c:pt>
                <c:pt idx="51">
                  <c:v>46298.125</c:v>
                </c:pt>
                <c:pt idx="52">
                  <c:v>46298.166666666657</c:v>
                </c:pt>
                <c:pt idx="53">
                  <c:v>46298.208333333343</c:v>
                </c:pt>
                <c:pt idx="54">
                  <c:v>46298.25</c:v>
                </c:pt>
                <c:pt idx="55">
                  <c:v>46298.291666666657</c:v>
                </c:pt>
                <c:pt idx="56">
                  <c:v>46298.333333333343</c:v>
                </c:pt>
                <c:pt idx="57">
                  <c:v>46298.375</c:v>
                </c:pt>
                <c:pt idx="58">
                  <c:v>46298.416666666657</c:v>
                </c:pt>
                <c:pt idx="59">
                  <c:v>46298.458333333343</c:v>
                </c:pt>
                <c:pt idx="60">
                  <c:v>46298.5</c:v>
                </c:pt>
                <c:pt idx="61">
                  <c:v>46298.541666666657</c:v>
                </c:pt>
                <c:pt idx="62">
                  <c:v>46298.583333333343</c:v>
                </c:pt>
                <c:pt idx="63">
                  <c:v>46298.625</c:v>
                </c:pt>
                <c:pt idx="64">
                  <c:v>46298.666666666657</c:v>
                </c:pt>
                <c:pt idx="65">
                  <c:v>46298.708333333343</c:v>
                </c:pt>
                <c:pt idx="66">
                  <c:v>46298.75</c:v>
                </c:pt>
                <c:pt idx="67">
                  <c:v>46298.791666666657</c:v>
                </c:pt>
                <c:pt idx="68">
                  <c:v>46298.833333333343</c:v>
                </c:pt>
                <c:pt idx="69">
                  <c:v>46298.875</c:v>
                </c:pt>
                <c:pt idx="70">
                  <c:v>46298.916666666657</c:v>
                </c:pt>
                <c:pt idx="71">
                  <c:v>46298.958333333343</c:v>
                </c:pt>
                <c:pt idx="72">
                  <c:v>46299</c:v>
                </c:pt>
                <c:pt idx="73">
                  <c:v>46299.041666666657</c:v>
                </c:pt>
                <c:pt idx="74">
                  <c:v>46299.083333333343</c:v>
                </c:pt>
                <c:pt idx="75">
                  <c:v>46299.125</c:v>
                </c:pt>
                <c:pt idx="76">
                  <c:v>46299.166666666657</c:v>
                </c:pt>
                <c:pt idx="77">
                  <c:v>46299.208333333343</c:v>
                </c:pt>
                <c:pt idx="78">
                  <c:v>46299.25</c:v>
                </c:pt>
                <c:pt idx="79">
                  <c:v>46299.291666666657</c:v>
                </c:pt>
                <c:pt idx="80">
                  <c:v>46299.333333333343</c:v>
                </c:pt>
                <c:pt idx="81">
                  <c:v>46299.375</c:v>
                </c:pt>
                <c:pt idx="82">
                  <c:v>46299.416666666657</c:v>
                </c:pt>
                <c:pt idx="83">
                  <c:v>46299.458333333343</c:v>
                </c:pt>
                <c:pt idx="84">
                  <c:v>46299.5</c:v>
                </c:pt>
                <c:pt idx="85">
                  <c:v>46299.541666666657</c:v>
                </c:pt>
                <c:pt idx="86">
                  <c:v>46299.583333333343</c:v>
                </c:pt>
                <c:pt idx="87">
                  <c:v>46299.625</c:v>
                </c:pt>
                <c:pt idx="88">
                  <c:v>46299.666666666657</c:v>
                </c:pt>
                <c:pt idx="89">
                  <c:v>46299.708333333343</c:v>
                </c:pt>
                <c:pt idx="90">
                  <c:v>46299.75</c:v>
                </c:pt>
                <c:pt idx="91">
                  <c:v>46299.791666666657</c:v>
                </c:pt>
                <c:pt idx="92">
                  <c:v>46299.833333333343</c:v>
                </c:pt>
                <c:pt idx="93">
                  <c:v>46299.875</c:v>
                </c:pt>
                <c:pt idx="94">
                  <c:v>46299.916666666657</c:v>
                </c:pt>
                <c:pt idx="95">
                  <c:v>46299.958333333343</c:v>
                </c:pt>
                <c:pt idx="96">
                  <c:v>46300</c:v>
                </c:pt>
                <c:pt idx="97">
                  <c:v>46300.041666666657</c:v>
                </c:pt>
                <c:pt idx="98">
                  <c:v>46300.083333333343</c:v>
                </c:pt>
                <c:pt idx="99">
                  <c:v>46300.125</c:v>
                </c:pt>
                <c:pt idx="100">
                  <c:v>46300.166666666657</c:v>
                </c:pt>
                <c:pt idx="101">
                  <c:v>46300.208333333343</c:v>
                </c:pt>
                <c:pt idx="102">
                  <c:v>46300.25</c:v>
                </c:pt>
                <c:pt idx="103">
                  <c:v>46300.291666666657</c:v>
                </c:pt>
                <c:pt idx="104">
                  <c:v>46300.333333333343</c:v>
                </c:pt>
                <c:pt idx="105">
                  <c:v>46300.375</c:v>
                </c:pt>
                <c:pt idx="106">
                  <c:v>46300.416666666657</c:v>
                </c:pt>
                <c:pt idx="107">
                  <c:v>46300.458333333343</c:v>
                </c:pt>
                <c:pt idx="108">
                  <c:v>46300.5</c:v>
                </c:pt>
                <c:pt idx="109">
                  <c:v>46300.541666666657</c:v>
                </c:pt>
                <c:pt idx="110">
                  <c:v>46300.583333333343</c:v>
                </c:pt>
                <c:pt idx="111">
                  <c:v>46300.625</c:v>
                </c:pt>
                <c:pt idx="112">
                  <c:v>46300.666666666657</c:v>
                </c:pt>
                <c:pt idx="113">
                  <c:v>46300.708333333343</c:v>
                </c:pt>
                <c:pt idx="114">
                  <c:v>46300.75</c:v>
                </c:pt>
                <c:pt idx="115">
                  <c:v>46300.791666666657</c:v>
                </c:pt>
                <c:pt idx="116">
                  <c:v>46300.833333333343</c:v>
                </c:pt>
                <c:pt idx="117">
                  <c:v>46300.875</c:v>
                </c:pt>
                <c:pt idx="118">
                  <c:v>46300.916666666657</c:v>
                </c:pt>
                <c:pt idx="119">
                  <c:v>46300.958333333343</c:v>
                </c:pt>
                <c:pt idx="120">
                  <c:v>46301</c:v>
                </c:pt>
                <c:pt idx="121">
                  <c:v>46301.041666666657</c:v>
                </c:pt>
                <c:pt idx="122">
                  <c:v>46301.083333333343</c:v>
                </c:pt>
                <c:pt idx="123">
                  <c:v>46301.125</c:v>
                </c:pt>
                <c:pt idx="124">
                  <c:v>46301.166666666657</c:v>
                </c:pt>
                <c:pt idx="125">
                  <c:v>46301.208333333343</c:v>
                </c:pt>
                <c:pt idx="126">
                  <c:v>46301.25</c:v>
                </c:pt>
                <c:pt idx="127">
                  <c:v>46301.291666666657</c:v>
                </c:pt>
                <c:pt idx="128">
                  <c:v>46301.333333333343</c:v>
                </c:pt>
                <c:pt idx="129">
                  <c:v>46301.375</c:v>
                </c:pt>
                <c:pt idx="130">
                  <c:v>46301.416666666657</c:v>
                </c:pt>
                <c:pt idx="131">
                  <c:v>46301.458333333343</c:v>
                </c:pt>
                <c:pt idx="132">
                  <c:v>46301.5</c:v>
                </c:pt>
                <c:pt idx="133">
                  <c:v>46301.541666666657</c:v>
                </c:pt>
                <c:pt idx="134">
                  <c:v>46301.583333333343</c:v>
                </c:pt>
                <c:pt idx="135">
                  <c:v>46301.625</c:v>
                </c:pt>
                <c:pt idx="136">
                  <c:v>46301.666666666657</c:v>
                </c:pt>
                <c:pt idx="137">
                  <c:v>46301.708333333343</c:v>
                </c:pt>
                <c:pt idx="138">
                  <c:v>46301.75</c:v>
                </c:pt>
                <c:pt idx="139">
                  <c:v>46301.791666666657</c:v>
                </c:pt>
                <c:pt idx="140">
                  <c:v>46301.833333333343</c:v>
                </c:pt>
                <c:pt idx="141">
                  <c:v>46301.875</c:v>
                </c:pt>
                <c:pt idx="142">
                  <c:v>46301.916666666657</c:v>
                </c:pt>
                <c:pt idx="143">
                  <c:v>46301.958333333343</c:v>
                </c:pt>
                <c:pt idx="144">
                  <c:v>46302</c:v>
                </c:pt>
                <c:pt idx="145">
                  <c:v>46302.041666666657</c:v>
                </c:pt>
                <c:pt idx="146">
                  <c:v>46302.083333333343</c:v>
                </c:pt>
                <c:pt idx="147">
                  <c:v>46302.125</c:v>
                </c:pt>
                <c:pt idx="148">
                  <c:v>46302.166666666657</c:v>
                </c:pt>
                <c:pt idx="149">
                  <c:v>46302.208333333343</c:v>
                </c:pt>
                <c:pt idx="150">
                  <c:v>46302.25</c:v>
                </c:pt>
                <c:pt idx="151">
                  <c:v>46302.291666666657</c:v>
                </c:pt>
                <c:pt idx="152">
                  <c:v>46302.333333333343</c:v>
                </c:pt>
                <c:pt idx="153">
                  <c:v>46302.375</c:v>
                </c:pt>
                <c:pt idx="154">
                  <c:v>46302.416666666657</c:v>
                </c:pt>
                <c:pt idx="155">
                  <c:v>46302.458333333343</c:v>
                </c:pt>
                <c:pt idx="156">
                  <c:v>46302.5</c:v>
                </c:pt>
                <c:pt idx="157">
                  <c:v>46302.541666666657</c:v>
                </c:pt>
                <c:pt idx="158">
                  <c:v>46302.583333333343</c:v>
                </c:pt>
                <c:pt idx="159">
                  <c:v>46302.625</c:v>
                </c:pt>
                <c:pt idx="160">
                  <c:v>46302.666666666657</c:v>
                </c:pt>
                <c:pt idx="161">
                  <c:v>46302.708333333343</c:v>
                </c:pt>
                <c:pt idx="162">
                  <c:v>46302.75</c:v>
                </c:pt>
                <c:pt idx="163">
                  <c:v>46302.791666666657</c:v>
                </c:pt>
                <c:pt idx="164">
                  <c:v>46302.833333333343</c:v>
                </c:pt>
                <c:pt idx="165">
                  <c:v>46302.875</c:v>
                </c:pt>
                <c:pt idx="166">
                  <c:v>46302.916666666657</c:v>
                </c:pt>
                <c:pt idx="167">
                  <c:v>46302.958333333343</c:v>
                </c:pt>
                <c:pt idx="168">
                  <c:v>46303</c:v>
                </c:pt>
                <c:pt idx="169">
                  <c:v>46303.041666666657</c:v>
                </c:pt>
                <c:pt idx="170">
                  <c:v>46303.083333333343</c:v>
                </c:pt>
                <c:pt idx="171">
                  <c:v>46303.125</c:v>
                </c:pt>
                <c:pt idx="172">
                  <c:v>46303.166666666657</c:v>
                </c:pt>
                <c:pt idx="173">
                  <c:v>46303.208333333343</c:v>
                </c:pt>
                <c:pt idx="174">
                  <c:v>46303.25</c:v>
                </c:pt>
                <c:pt idx="175">
                  <c:v>46303.291666666657</c:v>
                </c:pt>
                <c:pt idx="176">
                  <c:v>46303.333333333343</c:v>
                </c:pt>
                <c:pt idx="177">
                  <c:v>46303.375</c:v>
                </c:pt>
                <c:pt idx="178">
                  <c:v>46303.416666666657</c:v>
                </c:pt>
                <c:pt idx="179">
                  <c:v>46303.458333333343</c:v>
                </c:pt>
                <c:pt idx="180">
                  <c:v>46303.5</c:v>
                </c:pt>
                <c:pt idx="181">
                  <c:v>46303.541666666657</c:v>
                </c:pt>
                <c:pt idx="182">
                  <c:v>46303.583333333343</c:v>
                </c:pt>
                <c:pt idx="183">
                  <c:v>46303.625</c:v>
                </c:pt>
                <c:pt idx="184">
                  <c:v>46303.666666666657</c:v>
                </c:pt>
                <c:pt idx="185">
                  <c:v>46303.708333333343</c:v>
                </c:pt>
                <c:pt idx="186">
                  <c:v>46303.75</c:v>
                </c:pt>
                <c:pt idx="187">
                  <c:v>46303.791666666657</c:v>
                </c:pt>
                <c:pt idx="188">
                  <c:v>46303.833333333343</c:v>
                </c:pt>
                <c:pt idx="189">
                  <c:v>46303.875</c:v>
                </c:pt>
                <c:pt idx="190">
                  <c:v>46303.916666666657</c:v>
                </c:pt>
                <c:pt idx="191">
                  <c:v>46303.958333333343</c:v>
                </c:pt>
                <c:pt idx="192">
                  <c:v>46304</c:v>
                </c:pt>
                <c:pt idx="193">
                  <c:v>46304.041666666657</c:v>
                </c:pt>
                <c:pt idx="194">
                  <c:v>46304.083333333343</c:v>
                </c:pt>
                <c:pt idx="195">
                  <c:v>46304.125</c:v>
                </c:pt>
                <c:pt idx="196">
                  <c:v>46304.166666666657</c:v>
                </c:pt>
                <c:pt idx="197">
                  <c:v>46304.208333333343</c:v>
                </c:pt>
                <c:pt idx="198">
                  <c:v>46304.25</c:v>
                </c:pt>
                <c:pt idx="199">
                  <c:v>46304.291666666657</c:v>
                </c:pt>
              </c:numCache>
            </c:numRef>
          </c:cat>
          <c:val>
            <c:numRef>
              <c:f>My_Practice!$H$2:$H$201</c:f>
              <c:numCache>
                <c:formatCode>General</c:formatCode>
                <c:ptCount val="200"/>
                <c:pt idx="0">
                  <c:v>75.115679999999969</c:v>
                </c:pt>
                <c:pt idx="1">
                  <c:v>75.104543999999976</c:v>
                </c:pt>
                <c:pt idx="2">
                  <c:v>75.22363519999999</c:v>
                </c:pt>
                <c:pt idx="3">
                  <c:v>75.476908159999994</c:v>
                </c:pt>
                <c:pt idx="4">
                  <c:v>75.475526527999989</c:v>
                </c:pt>
                <c:pt idx="5">
                  <c:v>75.55642122239999</c:v>
                </c:pt>
                <c:pt idx="6">
                  <c:v>75.961136977919992</c:v>
                </c:pt>
                <c:pt idx="7">
                  <c:v>76.060909582335995</c:v>
                </c:pt>
                <c:pt idx="8">
                  <c:v>76.006727665868794</c:v>
                </c:pt>
                <c:pt idx="9">
                  <c:v>76.071382132695035</c:v>
                </c:pt>
                <c:pt idx="10">
                  <c:v>75.805105706156041</c:v>
                </c:pt>
                <c:pt idx="11">
                  <c:v>75.614084564924838</c:v>
                </c:pt>
                <c:pt idx="12">
                  <c:v>75.671267651939871</c:v>
                </c:pt>
                <c:pt idx="13">
                  <c:v>75.179014121551901</c:v>
                </c:pt>
                <c:pt idx="14">
                  <c:v>74.545211297241522</c:v>
                </c:pt>
                <c:pt idx="15">
                  <c:v>74.30816903779322</c:v>
                </c:pt>
                <c:pt idx="16">
                  <c:v>74.110535230234575</c:v>
                </c:pt>
                <c:pt idx="17">
                  <c:v>74.214428184187668</c:v>
                </c:pt>
                <c:pt idx="18">
                  <c:v>74.201542547350144</c:v>
                </c:pt>
                <c:pt idx="19">
                  <c:v>74.053234037880117</c:v>
                </c:pt>
                <c:pt idx="20">
                  <c:v>74.204587230304099</c:v>
                </c:pt>
                <c:pt idx="21">
                  <c:v>74.405669784243287</c:v>
                </c:pt>
                <c:pt idx="22">
                  <c:v>74.67653582739463</c:v>
                </c:pt>
                <c:pt idx="23">
                  <c:v>74.545228661915701</c:v>
                </c:pt>
                <c:pt idx="24">
                  <c:v>74.426182929532573</c:v>
                </c:pt>
                <c:pt idx="25">
                  <c:v>74.292946343626056</c:v>
                </c:pt>
                <c:pt idx="26">
                  <c:v>74.142357074900843</c:v>
                </c:pt>
                <c:pt idx="27">
                  <c:v>74.277885659920685</c:v>
                </c:pt>
                <c:pt idx="28">
                  <c:v>74.28830852793655</c:v>
                </c:pt>
                <c:pt idx="29">
                  <c:v>74.41664682234925</c:v>
                </c:pt>
                <c:pt idx="30">
                  <c:v>74.3833174578794</c:v>
                </c:pt>
                <c:pt idx="31">
                  <c:v>74.814653966303524</c:v>
                </c:pt>
                <c:pt idx="32">
                  <c:v>74.915723173042821</c:v>
                </c:pt>
                <c:pt idx="33">
                  <c:v>74.774578538434255</c:v>
                </c:pt>
                <c:pt idx="34">
                  <c:v>74.863662830747401</c:v>
                </c:pt>
                <c:pt idx="35">
                  <c:v>74.71893026459793</c:v>
                </c:pt>
                <c:pt idx="36">
                  <c:v>74.681144211678344</c:v>
                </c:pt>
                <c:pt idx="37">
                  <c:v>74.326915369342686</c:v>
                </c:pt>
                <c:pt idx="38">
                  <c:v>74.075532295474147</c:v>
                </c:pt>
                <c:pt idx="39">
                  <c:v>74.040425836379313</c:v>
                </c:pt>
                <c:pt idx="40">
                  <c:v>74.082340669103445</c:v>
                </c:pt>
                <c:pt idx="41">
                  <c:v>74.389872535282763</c:v>
                </c:pt>
                <c:pt idx="42">
                  <c:v>74.69789802822622</c:v>
                </c:pt>
                <c:pt idx="43">
                  <c:v>74.676318422580977</c:v>
                </c:pt>
                <c:pt idx="44">
                  <c:v>74.499054738064785</c:v>
                </c:pt>
                <c:pt idx="45">
                  <c:v>74.287243790451825</c:v>
                </c:pt>
                <c:pt idx="46">
                  <c:v>74.20179503236146</c:v>
                </c:pt>
                <c:pt idx="47">
                  <c:v>74.455436025889171</c:v>
                </c:pt>
                <c:pt idx="48">
                  <c:v>74.654348820711334</c:v>
                </c:pt>
                <c:pt idx="49">
                  <c:v>74.377479056569072</c:v>
                </c:pt>
                <c:pt idx="50">
                  <c:v>74.299983245255262</c:v>
                </c:pt>
                <c:pt idx="51">
                  <c:v>74.167986596204216</c:v>
                </c:pt>
                <c:pt idx="52">
                  <c:v>73.980389276963379</c:v>
                </c:pt>
                <c:pt idx="53">
                  <c:v>74.092311421570713</c:v>
                </c:pt>
                <c:pt idx="54">
                  <c:v>74.337849137256569</c:v>
                </c:pt>
                <c:pt idx="55">
                  <c:v>74.74027930980526</c:v>
                </c:pt>
                <c:pt idx="56">
                  <c:v>74.938223447844209</c:v>
                </c:pt>
                <c:pt idx="57">
                  <c:v>74.916578758275364</c:v>
                </c:pt>
                <c:pt idx="58">
                  <c:v>74.999263006620296</c:v>
                </c:pt>
                <c:pt idx="59">
                  <c:v>75.261410405296232</c:v>
                </c:pt>
                <c:pt idx="60">
                  <c:v>75.313128324236985</c:v>
                </c:pt>
                <c:pt idx="61">
                  <c:v>75.282502659389593</c:v>
                </c:pt>
                <c:pt idx="62">
                  <c:v>75.118002127511673</c:v>
                </c:pt>
                <c:pt idx="63">
                  <c:v>74.868401702009351</c:v>
                </c:pt>
                <c:pt idx="64">
                  <c:v>74.792721361607477</c:v>
                </c:pt>
                <c:pt idx="65">
                  <c:v>75.108177089285988</c:v>
                </c:pt>
                <c:pt idx="66">
                  <c:v>75.314541671428799</c:v>
                </c:pt>
                <c:pt idx="67">
                  <c:v>75.481633337143037</c:v>
                </c:pt>
                <c:pt idx="68">
                  <c:v>75.579306669714427</c:v>
                </c:pt>
                <c:pt idx="69">
                  <c:v>75.523445335771541</c:v>
                </c:pt>
                <c:pt idx="70">
                  <c:v>75.494756268617238</c:v>
                </c:pt>
                <c:pt idx="71">
                  <c:v>75.821805014893798</c:v>
                </c:pt>
                <c:pt idx="72">
                  <c:v>76.121444011915031</c:v>
                </c:pt>
                <c:pt idx="73">
                  <c:v>76.355155209532029</c:v>
                </c:pt>
                <c:pt idx="74">
                  <c:v>75.726124167625628</c:v>
                </c:pt>
                <c:pt idx="75">
                  <c:v>75.562899334100507</c:v>
                </c:pt>
                <c:pt idx="76">
                  <c:v>75.528319467280411</c:v>
                </c:pt>
                <c:pt idx="77">
                  <c:v>75.388655573824337</c:v>
                </c:pt>
                <c:pt idx="78">
                  <c:v>75.45492445905947</c:v>
                </c:pt>
                <c:pt idx="79">
                  <c:v>74.951939567247578</c:v>
                </c:pt>
                <c:pt idx="80">
                  <c:v>74.763551653798075</c:v>
                </c:pt>
                <c:pt idx="81">
                  <c:v>74.706841323038461</c:v>
                </c:pt>
                <c:pt idx="82">
                  <c:v>75.145473058430781</c:v>
                </c:pt>
                <c:pt idx="83">
                  <c:v>75.432378446744622</c:v>
                </c:pt>
                <c:pt idx="84">
                  <c:v>75.297902757395704</c:v>
                </c:pt>
                <c:pt idx="85">
                  <c:v>75.066322205916563</c:v>
                </c:pt>
                <c:pt idx="86">
                  <c:v>75.209057764733259</c:v>
                </c:pt>
                <c:pt idx="87">
                  <c:v>75.273246211786613</c:v>
                </c:pt>
                <c:pt idx="88">
                  <c:v>75.176596969429298</c:v>
                </c:pt>
                <c:pt idx="89">
                  <c:v>75.213277575543444</c:v>
                </c:pt>
                <c:pt idx="90">
                  <c:v>75.036622060434752</c:v>
                </c:pt>
                <c:pt idx="91">
                  <c:v>75.127297648347806</c:v>
                </c:pt>
                <c:pt idx="92">
                  <c:v>74.961838118678244</c:v>
                </c:pt>
                <c:pt idx="93">
                  <c:v>74.783470494942605</c:v>
                </c:pt>
                <c:pt idx="94">
                  <c:v>74.798776395954093</c:v>
                </c:pt>
                <c:pt idx="95">
                  <c:v>74.435021116763281</c:v>
                </c:pt>
                <c:pt idx="96">
                  <c:v>74.460016893410625</c:v>
                </c:pt>
                <c:pt idx="97">
                  <c:v>74.538013514728505</c:v>
                </c:pt>
                <c:pt idx="98">
                  <c:v>74.586410811782812</c:v>
                </c:pt>
                <c:pt idx="99">
                  <c:v>74.683128649426251</c:v>
                </c:pt>
                <c:pt idx="100">
                  <c:v>74.532502919541002</c:v>
                </c:pt>
                <c:pt idx="101">
                  <c:v>74.494002335632814</c:v>
                </c:pt>
                <c:pt idx="102">
                  <c:v>74.56720186850626</c:v>
                </c:pt>
                <c:pt idx="103">
                  <c:v>74.473761494805018</c:v>
                </c:pt>
                <c:pt idx="104">
                  <c:v>74.409009195844021</c:v>
                </c:pt>
                <c:pt idx="105">
                  <c:v>74.421207356675225</c:v>
                </c:pt>
                <c:pt idx="106">
                  <c:v>74.762965885340179</c:v>
                </c:pt>
                <c:pt idx="107">
                  <c:v>75.292372708272154</c:v>
                </c:pt>
                <c:pt idx="108">
                  <c:v>75.705898166617729</c:v>
                </c:pt>
                <c:pt idx="109">
                  <c:v>75.716718533294184</c:v>
                </c:pt>
                <c:pt idx="110">
                  <c:v>75.225374826635345</c:v>
                </c:pt>
                <c:pt idx="111">
                  <c:v>75.082299861308286</c:v>
                </c:pt>
                <c:pt idx="112">
                  <c:v>75.131839889046631</c:v>
                </c:pt>
                <c:pt idx="113">
                  <c:v>75.69947191123731</c:v>
                </c:pt>
                <c:pt idx="114">
                  <c:v>75.889577528989847</c:v>
                </c:pt>
                <c:pt idx="115">
                  <c:v>76.003662023191879</c:v>
                </c:pt>
                <c:pt idx="116">
                  <c:v>76.062929618553511</c:v>
                </c:pt>
                <c:pt idx="117">
                  <c:v>75.868343694842821</c:v>
                </c:pt>
                <c:pt idx="118">
                  <c:v>75.770674955874256</c:v>
                </c:pt>
                <c:pt idx="119">
                  <c:v>75.856539964699408</c:v>
                </c:pt>
                <c:pt idx="120">
                  <c:v>75.965231971759522</c:v>
                </c:pt>
                <c:pt idx="121">
                  <c:v>75.876185577407625</c:v>
                </c:pt>
                <c:pt idx="122">
                  <c:v>76.408948461926101</c:v>
                </c:pt>
                <c:pt idx="123">
                  <c:v>76.40515876954089</c:v>
                </c:pt>
                <c:pt idx="124">
                  <c:v>76.460127015632722</c:v>
                </c:pt>
                <c:pt idx="125">
                  <c:v>76.954101612506179</c:v>
                </c:pt>
                <c:pt idx="126">
                  <c:v>76.983281290004939</c:v>
                </c:pt>
                <c:pt idx="127">
                  <c:v>76.880625032003948</c:v>
                </c:pt>
                <c:pt idx="128">
                  <c:v>76.872500025603159</c:v>
                </c:pt>
                <c:pt idx="129">
                  <c:v>76.946000020482529</c:v>
                </c:pt>
                <c:pt idx="130">
                  <c:v>76.548800016386025</c:v>
                </c:pt>
                <c:pt idx="131">
                  <c:v>76.435040013108818</c:v>
                </c:pt>
                <c:pt idx="132">
                  <c:v>76.118032010487056</c:v>
                </c:pt>
                <c:pt idx="133">
                  <c:v>76.16842560838964</c:v>
                </c:pt>
                <c:pt idx="134">
                  <c:v>75.98274048671172</c:v>
                </c:pt>
                <c:pt idx="135">
                  <c:v>76.208192389369373</c:v>
                </c:pt>
                <c:pt idx="136">
                  <c:v>76.192553911495509</c:v>
                </c:pt>
                <c:pt idx="137">
                  <c:v>76.286043129196401</c:v>
                </c:pt>
                <c:pt idx="138">
                  <c:v>76.622834503357126</c:v>
                </c:pt>
                <c:pt idx="139">
                  <c:v>76.456267602685699</c:v>
                </c:pt>
                <c:pt idx="140">
                  <c:v>76.479014082148552</c:v>
                </c:pt>
                <c:pt idx="141">
                  <c:v>76.707211265718854</c:v>
                </c:pt>
                <c:pt idx="142">
                  <c:v>76.429769012575093</c:v>
                </c:pt>
                <c:pt idx="143">
                  <c:v>76.385815210060073</c:v>
                </c:pt>
                <c:pt idx="144">
                  <c:v>76.458652168048062</c:v>
                </c:pt>
                <c:pt idx="145">
                  <c:v>76.946921734438462</c:v>
                </c:pt>
                <c:pt idx="146">
                  <c:v>77.015537387550779</c:v>
                </c:pt>
                <c:pt idx="147">
                  <c:v>76.702429910040621</c:v>
                </c:pt>
                <c:pt idx="148">
                  <c:v>76.6679439280325</c:v>
                </c:pt>
                <c:pt idx="149">
                  <c:v>76.880355142426012</c:v>
                </c:pt>
                <c:pt idx="150">
                  <c:v>77.286284113940809</c:v>
                </c:pt>
                <c:pt idx="151">
                  <c:v>77.395027291152644</c:v>
                </c:pt>
                <c:pt idx="152">
                  <c:v>77.152021832922117</c:v>
                </c:pt>
                <c:pt idx="153">
                  <c:v>77.321617466337699</c:v>
                </c:pt>
                <c:pt idx="154">
                  <c:v>77.525293973070163</c:v>
                </c:pt>
                <c:pt idx="155">
                  <c:v>77.422235178456134</c:v>
                </c:pt>
                <c:pt idx="156">
                  <c:v>77.801788142764906</c:v>
                </c:pt>
                <c:pt idx="157">
                  <c:v>77.797430514211925</c:v>
                </c:pt>
                <c:pt idx="158">
                  <c:v>77.593944411369534</c:v>
                </c:pt>
                <c:pt idx="159">
                  <c:v>77.689155529095629</c:v>
                </c:pt>
                <c:pt idx="160">
                  <c:v>77.679324423276512</c:v>
                </c:pt>
                <c:pt idx="161">
                  <c:v>77.751459538621219</c:v>
                </c:pt>
                <c:pt idx="162">
                  <c:v>78.035167630896979</c:v>
                </c:pt>
                <c:pt idx="163">
                  <c:v>77.932134104717591</c:v>
                </c:pt>
                <c:pt idx="164">
                  <c:v>78.113707283774076</c:v>
                </c:pt>
                <c:pt idx="165">
                  <c:v>78.192965827019265</c:v>
                </c:pt>
                <c:pt idx="166">
                  <c:v>78.348372661615414</c:v>
                </c:pt>
                <c:pt idx="167">
                  <c:v>78.660698129292342</c:v>
                </c:pt>
                <c:pt idx="168">
                  <c:v>78.798558503433881</c:v>
                </c:pt>
                <c:pt idx="169">
                  <c:v>78.780846802747106</c:v>
                </c:pt>
                <c:pt idx="170">
                  <c:v>78.568677442197682</c:v>
                </c:pt>
                <c:pt idx="171">
                  <c:v>78.332941953758151</c:v>
                </c:pt>
                <c:pt idx="172">
                  <c:v>78.098353563006526</c:v>
                </c:pt>
                <c:pt idx="173">
                  <c:v>78.078682850405215</c:v>
                </c:pt>
                <c:pt idx="174">
                  <c:v>78.174946280324178</c:v>
                </c:pt>
                <c:pt idx="175">
                  <c:v>78.683957024259342</c:v>
                </c:pt>
                <c:pt idx="176">
                  <c:v>78.813165619407471</c:v>
                </c:pt>
                <c:pt idx="177">
                  <c:v>79.28453249552598</c:v>
                </c:pt>
                <c:pt idx="178">
                  <c:v>79.513625996420785</c:v>
                </c:pt>
                <c:pt idx="179">
                  <c:v>80.084900797136626</c:v>
                </c:pt>
                <c:pt idx="180">
                  <c:v>80.52992063770931</c:v>
                </c:pt>
                <c:pt idx="181">
                  <c:v>80.479936510167448</c:v>
                </c:pt>
                <c:pt idx="182">
                  <c:v>80.183949208133953</c:v>
                </c:pt>
                <c:pt idx="183">
                  <c:v>80.045159366507164</c:v>
                </c:pt>
                <c:pt idx="184">
                  <c:v>79.994127493205738</c:v>
                </c:pt>
                <c:pt idx="185">
                  <c:v>80.1473019945646</c:v>
                </c:pt>
                <c:pt idx="186">
                  <c:v>80.163841595651689</c:v>
                </c:pt>
                <c:pt idx="187">
                  <c:v>79.957073276521356</c:v>
                </c:pt>
                <c:pt idx="188">
                  <c:v>79.64765862121709</c:v>
                </c:pt>
                <c:pt idx="189">
                  <c:v>79.144126896973674</c:v>
                </c:pt>
                <c:pt idx="190">
                  <c:v>78.873301517578952</c:v>
                </c:pt>
                <c:pt idx="191">
                  <c:v>79.096641214063169</c:v>
                </c:pt>
                <c:pt idx="192">
                  <c:v>79.237312971250532</c:v>
                </c:pt>
                <c:pt idx="193">
                  <c:v>79.111850377000422</c:v>
                </c:pt>
                <c:pt idx="194">
                  <c:v>79.151480301600344</c:v>
                </c:pt>
                <c:pt idx="195">
                  <c:v>79.38118424128028</c:v>
                </c:pt>
                <c:pt idx="196">
                  <c:v>79.14094739302422</c:v>
                </c:pt>
                <c:pt idx="197">
                  <c:v>79.070757914419374</c:v>
                </c:pt>
                <c:pt idx="198">
                  <c:v>79.150606331535499</c:v>
                </c:pt>
                <c:pt idx="199">
                  <c:v>79.176485065228405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1-4D6C-93AF-EBB60C1C14BA}"/>
            </c:ext>
          </c:extLst>
        </c:ser>
        <c:ser>
          <c:idx val="2"/>
          <c:order val="2"/>
          <c:tx>
            <c:strRef>
              <c:f>My_Practice!$I$1</c:f>
              <c:strCache>
                <c:ptCount val="1"/>
                <c:pt idx="0">
                  <c:v>UCL_P80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My_Practice!$A$2:$A$201</c:f>
              <c:numCache>
                <c:formatCode>yyyy\-mm\-dd\ hh:mm:ss</c:formatCode>
                <c:ptCount val="200"/>
                <c:pt idx="0">
                  <c:v>46296</c:v>
                </c:pt>
                <c:pt idx="1">
                  <c:v>46296.041666666657</c:v>
                </c:pt>
                <c:pt idx="2">
                  <c:v>46296.083333333343</c:v>
                </c:pt>
                <c:pt idx="3">
                  <c:v>46296.125</c:v>
                </c:pt>
                <c:pt idx="4">
                  <c:v>46296.166666666657</c:v>
                </c:pt>
                <c:pt idx="5">
                  <c:v>46296.208333333343</c:v>
                </c:pt>
                <c:pt idx="6">
                  <c:v>46296.25</c:v>
                </c:pt>
                <c:pt idx="7">
                  <c:v>46296.291666666657</c:v>
                </c:pt>
                <c:pt idx="8">
                  <c:v>46296.333333333343</c:v>
                </c:pt>
                <c:pt idx="9">
                  <c:v>46296.375</c:v>
                </c:pt>
                <c:pt idx="10">
                  <c:v>46296.416666666657</c:v>
                </c:pt>
                <c:pt idx="11">
                  <c:v>46296.458333333343</c:v>
                </c:pt>
                <c:pt idx="12">
                  <c:v>46296.5</c:v>
                </c:pt>
                <c:pt idx="13">
                  <c:v>46296.541666666657</c:v>
                </c:pt>
                <c:pt idx="14">
                  <c:v>46296.583333333343</c:v>
                </c:pt>
                <c:pt idx="15">
                  <c:v>46296.625</c:v>
                </c:pt>
                <c:pt idx="16">
                  <c:v>46296.666666666657</c:v>
                </c:pt>
                <c:pt idx="17">
                  <c:v>46296.708333333343</c:v>
                </c:pt>
                <c:pt idx="18">
                  <c:v>46296.75</c:v>
                </c:pt>
                <c:pt idx="19">
                  <c:v>46296.791666666657</c:v>
                </c:pt>
                <c:pt idx="20">
                  <c:v>46296.833333333343</c:v>
                </c:pt>
                <c:pt idx="21">
                  <c:v>46296.875</c:v>
                </c:pt>
                <c:pt idx="22">
                  <c:v>46296.916666666657</c:v>
                </c:pt>
                <c:pt idx="23">
                  <c:v>46296.958333333343</c:v>
                </c:pt>
                <c:pt idx="24">
                  <c:v>46297</c:v>
                </c:pt>
                <c:pt idx="25">
                  <c:v>46297.041666666657</c:v>
                </c:pt>
                <c:pt idx="26">
                  <c:v>46297.083333333343</c:v>
                </c:pt>
                <c:pt idx="27">
                  <c:v>46297.125</c:v>
                </c:pt>
                <c:pt idx="28">
                  <c:v>46297.166666666657</c:v>
                </c:pt>
                <c:pt idx="29">
                  <c:v>46297.208333333343</c:v>
                </c:pt>
                <c:pt idx="30">
                  <c:v>46297.25</c:v>
                </c:pt>
                <c:pt idx="31">
                  <c:v>46297.291666666657</c:v>
                </c:pt>
                <c:pt idx="32">
                  <c:v>46297.333333333343</c:v>
                </c:pt>
                <c:pt idx="33">
                  <c:v>46297.375</c:v>
                </c:pt>
                <c:pt idx="34">
                  <c:v>46297.416666666657</c:v>
                </c:pt>
                <c:pt idx="35">
                  <c:v>46297.458333333343</c:v>
                </c:pt>
                <c:pt idx="36">
                  <c:v>46297.5</c:v>
                </c:pt>
                <c:pt idx="37">
                  <c:v>46297.541666666657</c:v>
                </c:pt>
                <c:pt idx="38">
                  <c:v>46297.583333333343</c:v>
                </c:pt>
                <c:pt idx="39">
                  <c:v>46297.625</c:v>
                </c:pt>
                <c:pt idx="40">
                  <c:v>46297.666666666657</c:v>
                </c:pt>
                <c:pt idx="41">
                  <c:v>46297.708333333343</c:v>
                </c:pt>
                <c:pt idx="42">
                  <c:v>46297.75</c:v>
                </c:pt>
                <c:pt idx="43">
                  <c:v>46297.791666666657</c:v>
                </c:pt>
                <c:pt idx="44">
                  <c:v>46297.833333333343</c:v>
                </c:pt>
                <c:pt idx="45">
                  <c:v>46297.875</c:v>
                </c:pt>
                <c:pt idx="46">
                  <c:v>46297.916666666657</c:v>
                </c:pt>
                <c:pt idx="47">
                  <c:v>46297.958333333343</c:v>
                </c:pt>
                <c:pt idx="48">
                  <c:v>46298</c:v>
                </c:pt>
                <c:pt idx="49">
                  <c:v>46298.041666666657</c:v>
                </c:pt>
                <c:pt idx="50">
                  <c:v>46298.083333333343</c:v>
                </c:pt>
                <c:pt idx="51">
                  <c:v>46298.125</c:v>
                </c:pt>
                <c:pt idx="52">
                  <c:v>46298.166666666657</c:v>
                </c:pt>
                <c:pt idx="53">
                  <c:v>46298.208333333343</c:v>
                </c:pt>
                <c:pt idx="54">
                  <c:v>46298.25</c:v>
                </c:pt>
                <c:pt idx="55">
                  <c:v>46298.291666666657</c:v>
                </c:pt>
                <c:pt idx="56">
                  <c:v>46298.333333333343</c:v>
                </c:pt>
                <c:pt idx="57">
                  <c:v>46298.375</c:v>
                </c:pt>
                <c:pt idx="58">
                  <c:v>46298.416666666657</c:v>
                </c:pt>
                <c:pt idx="59">
                  <c:v>46298.458333333343</c:v>
                </c:pt>
                <c:pt idx="60">
                  <c:v>46298.5</c:v>
                </c:pt>
                <c:pt idx="61">
                  <c:v>46298.541666666657</c:v>
                </c:pt>
                <c:pt idx="62">
                  <c:v>46298.583333333343</c:v>
                </c:pt>
                <c:pt idx="63">
                  <c:v>46298.625</c:v>
                </c:pt>
                <c:pt idx="64">
                  <c:v>46298.666666666657</c:v>
                </c:pt>
                <c:pt idx="65">
                  <c:v>46298.708333333343</c:v>
                </c:pt>
                <c:pt idx="66">
                  <c:v>46298.75</c:v>
                </c:pt>
                <c:pt idx="67">
                  <c:v>46298.791666666657</c:v>
                </c:pt>
                <c:pt idx="68">
                  <c:v>46298.833333333343</c:v>
                </c:pt>
                <c:pt idx="69">
                  <c:v>46298.875</c:v>
                </c:pt>
                <c:pt idx="70">
                  <c:v>46298.916666666657</c:v>
                </c:pt>
                <c:pt idx="71">
                  <c:v>46298.958333333343</c:v>
                </c:pt>
                <c:pt idx="72">
                  <c:v>46299</c:v>
                </c:pt>
                <c:pt idx="73">
                  <c:v>46299.041666666657</c:v>
                </c:pt>
                <c:pt idx="74">
                  <c:v>46299.083333333343</c:v>
                </c:pt>
                <c:pt idx="75">
                  <c:v>46299.125</c:v>
                </c:pt>
                <c:pt idx="76">
                  <c:v>46299.166666666657</c:v>
                </c:pt>
                <c:pt idx="77">
                  <c:v>46299.208333333343</c:v>
                </c:pt>
                <c:pt idx="78">
                  <c:v>46299.25</c:v>
                </c:pt>
                <c:pt idx="79">
                  <c:v>46299.291666666657</c:v>
                </c:pt>
                <c:pt idx="80">
                  <c:v>46299.333333333343</c:v>
                </c:pt>
                <c:pt idx="81">
                  <c:v>46299.375</c:v>
                </c:pt>
                <c:pt idx="82">
                  <c:v>46299.416666666657</c:v>
                </c:pt>
                <c:pt idx="83">
                  <c:v>46299.458333333343</c:v>
                </c:pt>
                <c:pt idx="84">
                  <c:v>46299.5</c:v>
                </c:pt>
                <c:pt idx="85">
                  <c:v>46299.541666666657</c:v>
                </c:pt>
                <c:pt idx="86">
                  <c:v>46299.583333333343</c:v>
                </c:pt>
                <c:pt idx="87">
                  <c:v>46299.625</c:v>
                </c:pt>
                <c:pt idx="88">
                  <c:v>46299.666666666657</c:v>
                </c:pt>
                <c:pt idx="89">
                  <c:v>46299.708333333343</c:v>
                </c:pt>
                <c:pt idx="90">
                  <c:v>46299.75</c:v>
                </c:pt>
                <c:pt idx="91">
                  <c:v>46299.791666666657</c:v>
                </c:pt>
                <c:pt idx="92">
                  <c:v>46299.833333333343</c:v>
                </c:pt>
                <c:pt idx="93">
                  <c:v>46299.875</c:v>
                </c:pt>
                <c:pt idx="94">
                  <c:v>46299.916666666657</c:v>
                </c:pt>
                <c:pt idx="95">
                  <c:v>46299.958333333343</c:v>
                </c:pt>
                <c:pt idx="96">
                  <c:v>46300</c:v>
                </c:pt>
                <c:pt idx="97">
                  <c:v>46300.041666666657</c:v>
                </c:pt>
                <c:pt idx="98">
                  <c:v>46300.083333333343</c:v>
                </c:pt>
                <c:pt idx="99">
                  <c:v>46300.125</c:v>
                </c:pt>
                <c:pt idx="100">
                  <c:v>46300.166666666657</c:v>
                </c:pt>
                <c:pt idx="101">
                  <c:v>46300.208333333343</c:v>
                </c:pt>
                <c:pt idx="102">
                  <c:v>46300.25</c:v>
                </c:pt>
                <c:pt idx="103">
                  <c:v>46300.291666666657</c:v>
                </c:pt>
                <c:pt idx="104">
                  <c:v>46300.333333333343</c:v>
                </c:pt>
                <c:pt idx="105">
                  <c:v>46300.375</c:v>
                </c:pt>
                <c:pt idx="106">
                  <c:v>46300.416666666657</c:v>
                </c:pt>
                <c:pt idx="107">
                  <c:v>46300.458333333343</c:v>
                </c:pt>
                <c:pt idx="108">
                  <c:v>46300.5</c:v>
                </c:pt>
                <c:pt idx="109">
                  <c:v>46300.541666666657</c:v>
                </c:pt>
                <c:pt idx="110">
                  <c:v>46300.583333333343</c:v>
                </c:pt>
                <c:pt idx="111">
                  <c:v>46300.625</c:v>
                </c:pt>
                <c:pt idx="112">
                  <c:v>46300.666666666657</c:v>
                </c:pt>
                <c:pt idx="113">
                  <c:v>46300.708333333343</c:v>
                </c:pt>
                <c:pt idx="114">
                  <c:v>46300.75</c:v>
                </c:pt>
                <c:pt idx="115">
                  <c:v>46300.791666666657</c:v>
                </c:pt>
                <c:pt idx="116">
                  <c:v>46300.833333333343</c:v>
                </c:pt>
                <c:pt idx="117">
                  <c:v>46300.875</c:v>
                </c:pt>
                <c:pt idx="118">
                  <c:v>46300.916666666657</c:v>
                </c:pt>
                <c:pt idx="119">
                  <c:v>46300.958333333343</c:v>
                </c:pt>
                <c:pt idx="120">
                  <c:v>46301</c:v>
                </c:pt>
                <c:pt idx="121">
                  <c:v>46301.041666666657</c:v>
                </c:pt>
                <c:pt idx="122">
                  <c:v>46301.083333333343</c:v>
                </c:pt>
                <c:pt idx="123">
                  <c:v>46301.125</c:v>
                </c:pt>
                <c:pt idx="124">
                  <c:v>46301.166666666657</c:v>
                </c:pt>
                <c:pt idx="125">
                  <c:v>46301.208333333343</c:v>
                </c:pt>
                <c:pt idx="126">
                  <c:v>46301.25</c:v>
                </c:pt>
                <c:pt idx="127">
                  <c:v>46301.291666666657</c:v>
                </c:pt>
                <c:pt idx="128">
                  <c:v>46301.333333333343</c:v>
                </c:pt>
                <c:pt idx="129">
                  <c:v>46301.375</c:v>
                </c:pt>
                <c:pt idx="130">
                  <c:v>46301.416666666657</c:v>
                </c:pt>
                <c:pt idx="131">
                  <c:v>46301.458333333343</c:v>
                </c:pt>
                <c:pt idx="132">
                  <c:v>46301.5</c:v>
                </c:pt>
                <c:pt idx="133">
                  <c:v>46301.541666666657</c:v>
                </c:pt>
                <c:pt idx="134">
                  <c:v>46301.583333333343</c:v>
                </c:pt>
                <c:pt idx="135">
                  <c:v>46301.625</c:v>
                </c:pt>
                <c:pt idx="136">
                  <c:v>46301.666666666657</c:v>
                </c:pt>
                <c:pt idx="137">
                  <c:v>46301.708333333343</c:v>
                </c:pt>
                <c:pt idx="138">
                  <c:v>46301.75</c:v>
                </c:pt>
                <c:pt idx="139">
                  <c:v>46301.791666666657</c:v>
                </c:pt>
                <c:pt idx="140">
                  <c:v>46301.833333333343</c:v>
                </c:pt>
                <c:pt idx="141">
                  <c:v>46301.875</c:v>
                </c:pt>
                <c:pt idx="142">
                  <c:v>46301.916666666657</c:v>
                </c:pt>
                <c:pt idx="143">
                  <c:v>46301.958333333343</c:v>
                </c:pt>
                <c:pt idx="144">
                  <c:v>46302</c:v>
                </c:pt>
                <c:pt idx="145">
                  <c:v>46302.041666666657</c:v>
                </c:pt>
                <c:pt idx="146">
                  <c:v>46302.083333333343</c:v>
                </c:pt>
                <c:pt idx="147">
                  <c:v>46302.125</c:v>
                </c:pt>
                <c:pt idx="148">
                  <c:v>46302.166666666657</c:v>
                </c:pt>
                <c:pt idx="149">
                  <c:v>46302.208333333343</c:v>
                </c:pt>
                <c:pt idx="150">
                  <c:v>46302.25</c:v>
                </c:pt>
                <c:pt idx="151">
                  <c:v>46302.291666666657</c:v>
                </c:pt>
                <c:pt idx="152">
                  <c:v>46302.333333333343</c:v>
                </c:pt>
                <c:pt idx="153">
                  <c:v>46302.375</c:v>
                </c:pt>
                <c:pt idx="154">
                  <c:v>46302.416666666657</c:v>
                </c:pt>
                <c:pt idx="155">
                  <c:v>46302.458333333343</c:v>
                </c:pt>
                <c:pt idx="156">
                  <c:v>46302.5</c:v>
                </c:pt>
                <c:pt idx="157">
                  <c:v>46302.541666666657</c:v>
                </c:pt>
                <c:pt idx="158">
                  <c:v>46302.583333333343</c:v>
                </c:pt>
                <c:pt idx="159">
                  <c:v>46302.625</c:v>
                </c:pt>
                <c:pt idx="160">
                  <c:v>46302.666666666657</c:v>
                </c:pt>
                <c:pt idx="161">
                  <c:v>46302.708333333343</c:v>
                </c:pt>
                <c:pt idx="162">
                  <c:v>46302.75</c:v>
                </c:pt>
                <c:pt idx="163">
                  <c:v>46302.791666666657</c:v>
                </c:pt>
                <c:pt idx="164">
                  <c:v>46302.833333333343</c:v>
                </c:pt>
                <c:pt idx="165">
                  <c:v>46302.875</c:v>
                </c:pt>
                <c:pt idx="166">
                  <c:v>46302.916666666657</c:v>
                </c:pt>
                <c:pt idx="167">
                  <c:v>46302.958333333343</c:v>
                </c:pt>
                <c:pt idx="168">
                  <c:v>46303</c:v>
                </c:pt>
                <c:pt idx="169">
                  <c:v>46303.041666666657</c:v>
                </c:pt>
                <c:pt idx="170">
                  <c:v>46303.083333333343</c:v>
                </c:pt>
                <c:pt idx="171">
                  <c:v>46303.125</c:v>
                </c:pt>
                <c:pt idx="172">
                  <c:v>46303.166666666657</c:v>
                </c:pt>
                <c:pt idx="173">
                  <c:v>46303.208333333343</c:v>
                </c:pt>
                <c:pt idx="174">
                  <c:v>46303.25</c:v>
                </c:pt>
                <c:pt idx="175">
                  <c:v>46303.291666666657</c:v>
                </c:pt>
                <c:pt idx="176">
                  <c:v>46303.333333333343</c:v>
                </c:pt>
                <c:pt idx="177">
                  <c:v>46303.375</c:v>
                </c:pt>
                <c:pt idx="178">
                  <c:v>46303.416666666657</c:v>
                </c:pt>
                <c:pt idx="179">
                  <c:v>46303.458333333343</c:v>
                </c:pt>
                <c:pt idx="180">
                  <c:v>46303.5</c:v>
                </c:pt>
                <c:pt idx="181">
                  <c:v>46303.541666666657</c:v>
                </c:pt>
                <c:pt idx="182">
                  <c:v>46303.583333333343</c:v>
                </c:pt>
                <c:pt idx="183">
                  <c:v>46303.625</c:v>
                </c:pt>
                <c:pt idx="184">
                  <c:v>46303.666666666657</c:v>
                </c:pt>
                <c:pt idx="185">
                  <c:v>46303.708333333343</c:v>
                </c:pt>
                <c:pt idx="186">
                  <c:v>46303.75</c:v>
                </c:pt>
                <c:pt idx="187">
                  <c:v>46303.791666666657</c:v>
                </c:pt>
                <c:pt idx="188">
                  <c:v>46303.833333333343</c:v>
                </c:pt>
                <c:pt idx="189">
                  <c:v>46303.875</c:v>
                </c:pt>
                <c:pt idx="190">
                  <c:v>46303.916666666657</c:v>
                </c:pt>
                <c:pt idx="191">
                  <c:v>46303.958333333343</c:v>
                </c:pt>
                <c:pt idx="192">
                  <c:v>46304</c:v>
                </c:pt>
                <c:pt idx="193">
                  <c:v>46304.041666666657</c:v>
                </c:pt>
                <c:pt idx="194">
                  <c:v>46304.083333333343</c:v>
                </c:pt>
                <c:pt idx="195">
                  <c:v>46304.125</c:v>
                </c:pt>
                <c:pt idx="196">
                  <c:v>46304.166666666657</c:v>
                </c:pt>
                <c:pt idx="197">
                  <c:v>46304.208333333343</c:v>
                </c:pt>
                <c:pt idx="198">
                  <c:v>46304.25</c:v>
                </c:pt>
                <c:pt idx="199">
                  <c:v>46304.291666666657</c:v>
                </c:pt>
              </c:numCache>
            </c:numRef>
          </c:cat>
          <c:val>
            <c:numRef>
              <c:f>My_Practice!$I$2:$I$201</c:f>
              <c:numCache>
                <c:formatCode>General</c:formatCode>
                <c:ptCount val="200"/>
                <c:pt idx="0">
                  <c:v>75.572147362648082</c:v>
                </c:pt>
                <c:pt idx="1">
                  <c:v>75.761582425837432</c:v>
                </c:pt>
                <c:pt idx="2">
                  <c:v>75.863526435457189</c:v>
                </c:pt>
                <c:pt idx="3">
                  <c:v>75.923470389827401</c:v>
                </c:pt>
                <c:pt idx="4">
                  <c:v>75.960061944366501</c:v>
                </c:pt>
                <c:pt idx="5">
                  <c:v>75.982833541311066</c:v>
                </c:pt>
                <c:pt idx="6">
                  <c:v>75.997160011255744</c:v>
                </c:pt>
                <c:pt idx="7">
                  <c:v>76.006231840662366</c:v>
                </c:pt>
                <c:pt idx="8">
                  <c:v>76.011999073189884</c:v>
                </c:pt>
                <c:pt idx="9">
                  <c:v>76.015674497114048</c:v>
                </c:pt>
                <c:pt idx="10">
                  <c:v>76.018020443830991</c:v>
                </c:pt>
                <c:pt idx="11">
                  <c:v>76.019519276524179</c:v>
                </c:pt>
                <c:pt idx="12">
                  <c:v>76.020477479967667</c:v>
                </c:pt>
                <c:pt idx="13">
                  <c:v>76.021090301478267</c:v>
                </c:pt>
                <c:pt idx="14">
                  <c:v>76.021482331958822</c:v>
                </c:pt>
                <c:pt idx="15">
                  <c:v>76.021733159749303</c:v>
                </c:pt>
                <c:pt idx="16">
                  <c:v>76.021893660180865</c:v>
                </c:pt>
                <c:pt idx="17">
                  <c:v>76.021996368439034</c:v>
                </c:pt>
                <c:pt idx="18">
                  <c:v>76.022062096803111</c:v>
                </c:pt>
                <c:pt idx="19">
                  <c:v>76.022104160940785</c:v>
                </c:pt>
                <c:pt idx="20">
                  <c:v>76.022131081163522</c:v>
                </c:pt>
                <c:pt idx="21">
                  <c:v>76.022148309768028</c:v>
                </c:pt>
                <c:pt idx="22">
                  <c:v>76.02215933593645</c:v>
                </c:pt>
                <c:pt idx="23">
                  <c:v>76.022166392627526</c:v>
                </c:pt>
                <c:pt idx="24">
                  <c:v>76.022170908886594</c:v>
                </c:pt>
                <c:pt idx="25">
                  <c:v>76.022173799282882</c:v>
                </c:pt>
                <c:pt idx="26">
                  <c:v>76.022175649132606</c:v>
                </c:pt>
                <c:pt idx="27">
                  <c:v>76.022176833034834</c:v>
                </c:pt>
                <c:pt idx="28">
                  <c:v>76.022177590731602</c:v>
                </c:pt>
                <c:pt idx="29">
                  <c:v>76.02217807565728</c:v>
                </c:pt>
                <c:pt idx="30">
                  <c:v>76.022178386009585</c:v>
                </c:pt>
                <c:pt idx="31">
                  <c:v>76.022178584635029</c:v>
                </c:pt>
                <c:pt idx="32">
                  <c:v>76.022178711755288</c:v>
                </c:pt>
                <c:pt idx="33">
                  <c:v>76.022178793112246</c:v>
                </c:pt>
                <c:pt idx="34">
                  <c:v>76.022178845180704</c:v>
                </c:pt>
                <c:pt idx="35">
                  <c:v>76.022178878504505</c:v>
                </c:pt>
                <c:pt idx="36">
                  <c:v>76.022178899831744</c:v>
                </c:pt>
                <c:pt idx="37">
                  <c:v>76.022178913481184</c:v>
                </c:pt>
                <c:pt idx="38">
                  <c:v>76.02217892221681</c:v>
                </c:pt>
                <c:pt idx="39">
                  <c:v>76.022178927807616</c:v>
                </c:pt>
                <c:pt idx="40">
                  <c:v>76.022178931385739</c:v>
                </c:pt>
                <c:pt idx="41">
                  <c:v>76.022178933675733</c:v>
                </c:pt>
                <c:pt idx="42">
                  <c:v>76.022178935141326</c:v>
                </c:pt>
                <c:pt idx="43">
                  <c:v>76.022178936079314</c:v>
                </c:pt>
                <c:pt idx="44">
                  <c:v>76.022178936679623</c:v>
                </c:pt>
                <c:pt idx="45">
                  <c:v>76.022178937063813</c:v>
                </c:pt>
                <c:pt idx="46">
                  <c:v>76.022178937309704</c:v>
                </c:pt>
                <c:pt idx="47">
                  <c:v>76.022178937467075</c:v>
                </c:pt>
                <c:pt idx="48">
                  <c:v>76.022178937567787</c:v>
                </c:pt>
                <c:pt idx="49">
                  <c:v>76.022178937632248</c:v>
                </c:pt>
                <c:pt idx="50">
                  <c:v>76.022178937673488</c:v>
                </c:pt>
                <c:pt idx="51">
                  <c:v>76.022178937699891</c:v>
                </c:pt>
                <c:pt idx="52">
                  <c:v>76.022178937716788</c:v>
                </c:pt>
                <c:pt idx="53">
                  <c:v>76.022178937727602</c:v>
                </c:pt>
                <c:pt idx="54">
                  <c:v>76.022178937734523</c:v>
                </c:pt>
                <c:pt idx="55">
                  <c:v>76.022178937738957</c:v>
                </c:pt>
                <c:pt idx="56">
                  <c:v>76.022178937741799</c:v>
                </c:pt>
                <c:pt idx="57">
                  <c:v>76.022178937743604</c:v>
                </c:pt>
                <c:pt idx="58">
                  <c:v>76.022178937744769</c:v>
                </c:pt>
                <c:pt idx="59">
                  <c:v>76.022178937745508</c:v>
                </c:pt>
                <c:pt idx="60">
                  <c:v>76.022178937745991</c:v>
                </c:pt>
                <c:pt idx="61">
                  <c:v>76.02217893774629</c:v>
                </c:pt>
                <c:pt idx="62">
                  <c:v>76.022178937746489</c:v>
                </c:pt>
                <c:pt idx="63">
                  <c:v>76.022178937746617</c:v>
                </c:pt>
                <c:pt idx="64">
                  <c:v>76.022178937746688</c:v>
                </c:pt>
                <c:pt idx="65">
                  <c:v>76.022178937746745</c:v>
                </c:pt>
                <c:pt idx="66">
                  <c:v>76.022178937746773</c:v>
                </c:pt>
                <c:pt idx="67">
                  <c:v>76.022178937746801</c:v>
                </c:pt>
                <c:pt idx="68">
                  <c:v>76.022178937746816</c:v>
                </c:pt>
                <c:pt idx="69">
                  <c:v>76.022178937746816</c:v>
                </c:pt>
                <c:pt idx="70">
                  <c:v>76.022178937746816</c:v>
                </c:pt>
                <c:pt idx="71">
                  <c:v>76.02217893774683</c:v>
                </c:pt>
                <c:pt idx="72">
                  <c:v>76.02217893774683</c:v>
                </c:pt>
                <c:pt idx="73">
                  <c:v>76.02217893774683</c:v>
                </c:pt>
                <c:pt idx="74">
                  <c:v>76.02217893774683</c:v>
                </c:pt>
                <c:pt idx="75">
                  <c:v>76.02217893774683</c:v>
                </c:pt>
                <c:pt idx="76">
                  <c:v>76.02217893774683</c:v>
                </c:pt>
                <c:pt idx="77">
                  <c:v>76.02217893774683</c:v>
                </c:pt>
                <c:pt idx="78">
                  <c:v>76.02217893774683</c:v>
                </c:pt>
                <c:pt idx="79">
                  <c:v>76.02217893774683</c:v>
                </c:pt>
                <c:pt idx="80">
                  <c:v>76.02217893774683</c:v>
                </c:pt>
                <c:pt idx="81">
                  <c:v>76.02217893774683</c:v>
                </c:pt>
                <c:pt idx="82">
                  <c:v>76.02217893774683</c:v>
                </c:pt>
                <c:pt idx="83">
                  <c:v>76.02217893774683</c:v>
                </c:pt>
                <c:pt idx="84">
                  <c:v>76.02217893774683</c:v>
                </c:pt>
                <c:pt idx="85">
                  <c:v>76.02217893774683</c:v>
                </c:pt>
                <c:pt idx="86">
                  <c:v>76.02217893774683</c:v>
                </c:pt>
                <c:pt idx="87">
                  <c:v>76.02217893774683</c:v>
                </c:pt>
                <c:pt idx="88">
                  <c:v>76.02217893774683</c:v>
                </c:pt>
                <c:pt idx="89">
                  <c:v>76.02217893774683</c:v>
                </c:pt>
                <c:pt idx="90">
                  <c:v>76.02217893774683</c:v>
                </c:pt>
                <c:pt idx="91">
                  <c:v>76.02217893774683</c:v>
                </c:pt>
                <c:pt idx="92">
                  <c:v>76.02217893774683</c:v>
                </c:pt>
                <c:pt idx="93">
                  <c:v>76.02217893774683</c:v>
                </c:pt>
                <c:pt idx="94">
                  <c:v>76.02217893774683</c:v>
                </c:pt>
                <c:pt idx="95">
                  <c:v>76.02217893774683</c:v>
                </c:pt>
                <c:pt idx="96">
                  <c:v>76.02217893774683</c:v>
                </c:pt>
                <c:pt idx="97">
                  <c:v>76.02217893774683</c:v>
                </c:pt>
                <c:pt idx="98">
                  <c:v>76.02217893774683</c:v>
                </c:pt>
                <c:pt idx="99">
                  <c:v>76.02217893774683</c:v>
                </c:pt>
                <c:pt idx="100">
                  <c:v>76.02217893774683</c:v>
                </c:pt>
                <c:pt idx="101">
                  <c:v>76.02217893774683</c:v>
                </c:pt>
                <c:pt idx="102">
                  <c:v>76.02217893774683</c:v>
                </c:pt>
                <c:pt idx="103">
                  <c:v>76.02217893774683</c:v>
                </c:pt>
                <c:pt idx="104">
                  <c:v>76.02217893774683</c:v>
                </c:pt>
                <c:pt idx="105">
                  <c:v>76.02217893774683</c:v>
                </c:pt>
                <c:pt idx="106">
                  <c:v>76.02217893774683</c:v>
                </c:pt>
                <c:pt idx="107">
                  <c:v>76.02217893774683</c:v>
                </c:pt>
                <c:pt idx="108">
                  <c:v>76.02217893774683</c:v>
                </c:pt>
                <c:pt idx="109">
                  <c:v>76.02217893774683</c:v>
                </c:pt>
                <c:pt idx="110">
                  <c:v>76.02217893774683</c:v>
                </c:pt>
                <c:pt idx="111">
                  <c:v>76.02217893774683</c:v>
                </c:pt>
                <c:pt idx="112">
                  <c:v>76.02217893774683</c:v>
                </c:pt>
                <c:pt idx="113">
                  <c:v>76.02217893774683</c:v>
                </c:pt>
                <c:pt idx="114">
                  <c:v>76.02217893774683</c:v>
                </c:pt>
                <c:pt idx="115">
                  <c:v>76.02217893774683</c:v>
                </c:pt>
                <c:pt idx="116">
                  <c:v>76.02217893774683</c:v>
                </c:pt>
                <c:pt idx="117">
                  <c:v>76.02217893774683</c:v>
                </c:pt>
                <c:pt idx="118">
                  <c:v>76.02217893774683</c:v>
                </c:pt>
                <c:pt idx="119">
                  <c:v>76.02217893774683</c:v>
                </c:pt>
                <c:pt idx="120">
                  <c:v>76.02217893774683</c:v>
                </c:pt>
                <c:pt idx="121">
                  <c:v>76.02217893774683</c:v>
                </c:pt>
                <c:pt idx="122">
                  <c:v>76.02217893774683</c:v>
                </c:pt>
                <c:pt idx="123">
                  <c:v>76.02217893774683</c:v>
                </c:pt>
                <c:pt idx="124">
                  <c:v>76.02217893774683</c:v>
                </c:pt>
                <c:pt idx="125">
                  <c:v>76.02217893774683</c:v>
                </c:pt>
                <c:pt idx="126">
                  <c:v>76.02217893774683</c:v>
                </c:pt>
                <c:pt idx="127">
                  <c:v>76.02217893774683</c:v>
                </c:pt>
                <c:pt idx="128">
                  <c:v>76.02217893774683</c:v>
                </c:pt>
                <c:pt idx="129">
                  <c:v>76.02217893774683</c:v>
                </c:pt>
                <c:pt idx="130">
                  <c:v>76.02217893774683</c:v>
                </c:pt>
                <c:pt idx="131">
                  <c:v>76.02217893774683</c:v>
                </c:pt>
                <c:pt idx="132">
                  <c:v>76.02217893774683</c:v>
                </c:pt>
                <c:pt idx="133">
                  <c:v>76.02217893774683</c:v>
                </c:pt>
                <c:pt idx="134">
                  <c:v>76.02217893774683</c:v>
                </c:pt>
                <c:pt idx="135">
                  <c:v>76.02217893774683</c:v>
                </c:pt>
                <c:pt idx="136">
                  <c:v>76.02217893774683</c:v>
                </c:pt>
                <c:pt idx="137">
                  <c:v>76.02217893774683</c:v>
                </c:pt>
                <c:pt idx="138">
                  <c:v>76.02217893774683</c:v>
                </c:pt>
                <c:pt idx="139">
                  <c:v>76.02217893774683</c:v>
                </c:pt>
                <c:pt idx="140">
                  <c:v>76.02217893774683</c:v>
                </c:pt>
                <c:pt idx="141">
                  <c:v>76.02217893774683</c:v>
                </c:pt>
                <c:pt idx="142">
                  <c:v>76.02217893774683</c:v>
                </c:pt>
                <c:pt idx="143">
                  <c:v>76.02217893774683</c:v>
                </c:pt>
                <c:pt idx="144">
                  <c:v>76.02217893774683</c:v>
                </c:pt>
                <c:pt idx="145">
                  <c:v>76.02217893774683</c:v>
                </c:pt>
                <c:pt idx="146">
                  <c:v>76.02217893774683</c:v>
                </c:pt>
                <c:pt idx="147">
                  <c:v>76.02217893774683</c:v>
                </c:pt>
                <c:pt idx="148">
                  <c:v>76.02217893774683</c:v>
                </c:pt>
                <c:pt idx="149">
                  <c:v>76.02217893774683</c:v>
                </c:pt>
                <c:pt idx="150">
                  <c:v>76.02217893774683</c:v>
                </c:pt>
                <c:pt idx="151">
                  <c:v>76.02217893774683</c:v>
                </c:pt>
                <c:pt idx="152">
                  <c:v>76.02217893774683</c:v>
                </c:pt>
                <c:pt idx="153">
                  <c:v>76.02217893774683</c:v>
                </c:pt>
                <c:pt idx="154">
                  <c:v>76.02217893774683</c:v>
                </c:pt>
                <c:pt idx="155">
                  <c:v>76.02217893774683</c:v>
                </c:pt>
                <c:pt idx="156">
                  <c:v>76.02217893774683</c:v>
                </c:pt>
                <c:pt idx="157">
                  <c:v>76.02217893774683</c:v>
                </c:pt>
                <c:pt idx="158">
                  <c:v>76.02217893774683</c:v>
                </c:pt>
                <c:pt idx="159">
                  <c:v>76.02217893774683</c:v>
                </c:pt>
                <c:pt idx="160">
                  <c:v>76.02217893774683</c:v>
                </c:pt>
                <c:pt idx="161">
                  <c:v>76.02217893774683</c:v>
                </c:pt>
                <c:pt idx="162">
                  <c:v>76.02217893774683</c:v>
                </c:pt>
                <c:pt idx="163">
                  <c:v>76.02217893774683</c:v>
                </c:pt>
                <c:pt idx="164">
                  <c:v>76.02217893774683</c:v>
                </c:pt>
                <c:pt idx="165">
                  <c:v>76.02217893774683</c:v>
                </c:pt>
                <c:pt idx="166">
                  <c:v>76.02217893774683</c:v>
                </c:pt>
                <c:pt idx="167">
                  <c:v>76.02217893774683</c:v>
                </c:pt>
                <c:pt idx="168">
                  <c:v>76.02217893774683</c:v>
                </c:pt>
                <c:pt idx="169">
                  <c:v>76.02217893774683</c:v>
                </c:pt>
                <c:pt idx="170">
                  <c:v>76.02217893774683</c:v>
                </c:pt>
                <c:pt idx="171">
                  <c:v>76.02217893774683</c:v>
                </c:pt>
                <c:pt idx="172">
                  <c:v>76.02217893774683</c:v>
                </c:pt>
                <c:pt idx="173">
                  <c:v>76.02217893774683</c:v>
                </c:pt>
                <c:pt idx="174">
                  <c:v>76.02217893774683</c:v>
                </c:pt>
                <c:pt idx="175">
                  <c:v>76.02217893774683</c:v>
                </c:pt>
                <c:pt idx="176">
                  <c:v>76.02217893774683</c:v>
                </c:pt>
                <c:pt idx="177">
                  <c:v>76.02217893774683</c:v>
                </c:pt>
                <c:pt idx="178">
                  <c:v>76.02217893774683</c:v>
                </c:pt>
                <c:pt idx="179">
                  <c:v>76.02217893774683</c:v>
                </c:pt>
                <c:pt idx="180">
                  <c:v>76.02217893774683</c:v>
                </c:pt>
                <c:pt idx="181">
                  <c:v>76.02217893774683</c:v>
                </c:pt>
                <c:pt idx="182">
                  <c:v>76.02217893774683</c:v>
                </c:pt>
                <c:pt idx="183">
                  <c:v>76.02217893774683</c:v>
                </c:pt>
                <c:pt idx="184">
                  <c:v>76.02217893774683</c:v>
                </c:pt>
                <c:pt idx="185">
                  <c:v>76.02217893774683</c:v>
                </c:pt>
                <c:pt idx="186">
                  <c:v>76.02217893774683</c:v>
                </c:pt>
                <c:pt idx="187">
                  <c:v>76.02217893774683</c:v>
                </c:pt>
                <c:pt idx="188">
                  <c:v>76.02217893774683</c:v>
                </c:pt>
                <c:pt idx="189">
                  <c:v>76.02217893774683</c:v>
                </c:pt>
                <c:pt idx="190">
                  <c:v>76.02217893774683</c:v>
                </c:pt>
                <c:pt idx="191">
                  <c:v>76.02217893774683</c:v>
                </c:pt>
                <c:pt idx="192">
                  <c:v>76.02217893774683</c:v>
                </c:pt>
                <c:pt idx="193">
                  <c:v>76.02217893774683</c:v>
                </c:pt>
                <c:pt idx="194">
                  <c:v>76.02217893774683</c:v>
                </c:pt>
                <c:pt idx="195">
                  <c:v>76.02217893774683</c:v>
                </c:pt>
                <c:pt idx="196">
                  <c:v>76.02217893774683</c:v>
                </c:pt>
                <c:pt idx="197">
                  <c:v>76.02217893774683</c:v>
                </c:pt>
                <c:pt idx="198">
                  <c:v>76.02217893774683</c:v>
                </c:pt>
                <c:pt idx="199">
                  <c:v>76.02217893774683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1-4D6C-93AF-EBB60C1C14BA}"/>
            </c:ext>
          </c:extLst>
        </c:ser>
        <c:ser>
          <c:idx val="3"/>
          <c:order val="3"/>
          <c:tx>
            <c:strRef>
              <c:f>My_Practice!$J$1</c:f>
              <c:strCache>
                <c:ptCount val="1"/>
                <c:pt idx="0">
                  <c:v>LCL_P80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My_Practice!$A$2:$A$201</c:f>
              <c:numCache>
                <c:formatCode>yyyy\-mm\-dd\ hh:mm:ss</c:formatCode>
                <c:ptCount val="200"/>
                <c:pt idx="0">
                  <c:v>46296</c:v>
                </c:pt>
                <c:pt idx="1">
                  <c:v>46296.041666666657</c:v>
                </c:pt>
                <c:pt idx="2">
                  <c:v>46296.083333333343</c:v>
                </c:pt>
                <c:pt idx="3">
                  <c:v>46296.125</c:v>
                </c:pt>
                <c:pt idx="4">
                  <c:v>46296.166666666657</c:v>
                </c:pt>
                <c:pt idx="5">
                  <c:v>46296.208333333343</c:v>
                </c:pt>
                <c:pt idx="6">
                  <c:v>46296.25</c:v>
                </c:pt>
                <c:pt idx="7">
                  <c:v>46296.291666666657</c:v>
                </c:pt>
                <c:pt idx="8">
                  <c:v>46296.333333333343</c:v>
                </c:pt>
                <c:pt idx="9">
                  <c:v>46296.375</c:v>
                </c:pt>
                <c:pt idx="10">
                  <c:v>46296.416666666657</c:v>
                </c:pt>
                <c:pt idx="11">
                  <c:v>46296.458333333343</c:v>
                </c:pt>
                <c:pt idx="12">
                  <c:v>46296.5</c:v>
                </c:pt>
                <c:pt idx="13">
                  <c:v>46296.541666666657</c:v>
                </c:pt>
                <c:pt idx="14">
                  <c:v>46296.583333333343</c:v>
                </c:pt>
                <c:pt idx="15">
                  <c:v>46296.625</c:v>
                </c:pt>
                <c:pt idx="16">
                  <c:v>46296.666666666657</c:v>
                </c:pt>
                <c:pt idx="17">
                  <c:v>46296.708333333343</c:v>
                </c:pt>
                <c:pt idx="18">
                  <c:v>46296.75</c:v>
                </c:pt>
                <c:pt idx="19">
                  <c:v>46296.791666666657</c:v>
                </c:pt>
                <c:pt idx="20">
                  <c:v>46296.833333333343</c:v>
                </c:pt>
                <c:pt idx="21">
                  <c:v>46296.875</c:v>
                </c:pt>
                <c:pt idx="22">
                  <c:v>46296.916666666657</c:v>
                </c:pt>
                <c:pt idx="23">
                  <c:v>46296.958333333343</c:v>
                </c:pt>
                <c:pt idx="24">
                  <c:v>46297</c:v>
                </c:pt>
                <c:pt idx="25">
                  <c:v>46297.041666666657</c:v>
                </c:pt>
                <c:pt idx="26">
                  <c:v>46297.083333333343</c:v>
                </c:pt>
                <c:pt idx="27">
                  <c:v>46297.125</c:v>
                </c:pt>
                <c:pt idx="28">
                  <c:v>46297.166666666657</c:v>
                </c:pt>
                <c:pt idx="29">
                  <c:v>46297.208333333343</c:v>
                </c:pt>
                <c:pt idx="30">
                  <c:v>46297.25</c:v>
                </c:pt>
                <c:pt idx="31">
                  <c:v>46297.291666666657</c:v>
                </c:pt>
                <c:pt idx="32">
                  <c:v>46297.333333333343</c:v>
                </c:pt>
                <c:pt idx="33">
                  <c:v>46297.375</c:v>
                </c:pt>
                <c:pt idx="34">
                  <c:v>46297.416666666657</c:v>
                </c:pt>
                <c:pt idx="35">
                  <c:v>46297.458333333343</c:v>
                </c:pt>
                <c:pt idx="36">
                  <c:v>46297.5</c:v>
                </c:pt>
                <c:pt idx="37">
                  <c:v>46297.541666666657</c:v>
                </c:pt>
                <c:pt idx="38">
                  <c:v>46297.583333333343</c:v>
                </c:pt>
                <c:pt idx="39">
                  <c:v>46297.625</c:v>
                </c:pt>
                <c:pt idx="40">
                  <c:v>46297.666666666657</c:v>
                </c:pt>
                <c:pt idx="41">
                  <c:v>46297.708333333343</c:v>
                </c:pt>
                <c:pt idx="42">
                  <c:v>46297.75</c:v>
                </c:pt>
                <c:pt idx="43">
                  <c:v>46297.791666666657</c:v>
                </c:pt>
                <c:pt idx="44">
                  <c:v>46297.833333333343</c:v>
                </c:pt>
                <c:pt idx="45">
                  <c:v>46297.875</c:v>
                </c:pt>
                <c:pt idx="46">
                  <c:v>46297.916666666657</c:v>
                </c:pt>
                <c:pt idx="47">
                  <c:v>46297.958333333343</c:v>
                </c:pt>
                <c:pt idx="48">
                  <c:v>46298</c:v>
                </c:pt>
                <c:pt idx="49">
                  <c:v>46298.041666666657</c:v>
                </c:pt>
                <c:pt idx="50">
                  <c:v>46298.083333333343</c:v>
                </c:pt>
                <c:pt idx="51">
                  <c:v>46298.125</c:v>
                </c:pt>
                <c:pt idx="52">
                  <c:v>46298.166666666657</c:v>
                </c:pt>
                <c:pt idx="53">
                  <c:v>46298.208333333343</c:v>
                </c:pt>
                <c:pt idx="54">
                  <c:v>46298.25</c:v>
                </c:pt>
                <c:pt idx="55">
                  <c:v>46298.291666666657</c:v>
                </c:pt>
                <c:pt idx="56">
                  <c:v>46298.333333333343</c:v>
                </c:pt>
                <c:pt idx="57">
                  <c:v>46298.375</c:v>
                </c:pt>
                <c:pt idx="58">
                  <c:v>46298.416666666657</c:v>
                </c:pt>
                <c:pt idx="59">
                  <c:v>46298.458333333343</c:v>
                </c:pt>
                <c:pt idx="60">
                  <c:v>46298.5</c:v>
                </c:pt>
                <c:pt idx="61">
                  <c:v>46298.541666666657</c:v>
                </c:pt>
                <c:pt idx="62">
                  <c:v>46298.583333333343</c:v>
                </c:pt>
                <c:pt idx="63">
                  <c:v>46298.625</c:v>
                </c:pt>
                <c:pt idx="64">
                  <c:v>46298.666666666657</c:v>
                </c:pt>
                <c:pt idx="65">
                  <c:v>46298.708333333343</c:v>
                </c:pt>
                <c:pt idx="66">
                  <c:v>46298.75</c:v>
                </c:pt>
                <c:pt idx="67">
                  <c:v>46298.791666666657</c:v>
                </c:pt>
                <c:pt idx="68">
                  <c:v>46298.833333333343</c:v>
                </c:pt>
                <c:pt idx="69">
                  <c:v>46298.875</c:v>
                </c:pt>
                <c:pt idx="70">
                  <c:v>46298.916666666657</c:v>
                </c:pt>
                <c:pt idx="71">
                  <c:v>46298.958333333343</c:v>
                </c:pt>
                <c:pt idx="72">
                  <c:v>46299</c:v>
                </c:pt>
                <c:pt idx="73">
                  <c:v>46299.041666666657</c:v>
                </c:pt>
                <c:pt idx="74">
                  <c:v>46299.083333333343</c:v>
                </c:pt>
                <c:pt idx="75">
                  <c:v>46299.125</c:v>
                </c:pt>
                <c:pt idx="76">
                  <c:v>46299.166666666657</c:v>
                </c:pt>
                <c:pt idx="77">
                  <c:v>46299.208333333343</c:v>
                </c:pt>
                <c:pt idx="78">
                  <c:v>46299.25</c:v>
                </c:pt>
                <c:pt idx="79">
                  <c:v>46299.291666666657</c:v>
                </c:pt>
                <c:pt idx="80">
                  <c:v>46299.333333333343</c:v>
                </c:pt>
                <c:pt idx="81">
                  <c:v>46299.375</c:v>
                </c:pt>
                <c:pt idx="82">
                  <c:v>46299.416666666657</c:v>
                </c:pt>
                <c:pt idx="83">
                  <c:v>46299.458333333343</c:v>
                </c:pt>
                <c:pt idx="84">
                  <c:v>46299.5</c:v>
                </c:pt>
                <c:pt idx="85">
                  <c:v>46299.541666666657</c:v>
                </c:pt>
                <c:pt idx="86">
                  <c:v>46299.583333333343</c:v>
                </c:pt>
                <c:pt idx="87">
                  <c:v>46299.625</c:v>
                </c:pt>
                <c:pt idx="88">
                  <c:v>46299.666666666657</c:v>
                </c:pt>
                <c:pt idx="89">
                  <c:v>46299.708333333343</c:v>
                </c:pt>
                <c:pt idx="90">
                  <c:v>46299.75</c:v>
                </c:pt>
                <c:pt idx="91">
                  <c:v>46299.791666666657</c:v>
                </c:pt>
                <c:pt idx="92">
                  <c:v>46299.833333333343</c:v>
                </c:pt>
                <c:pt idx="93">
                  <c:v>46299.875</c:v>
                </c:pt>
                <c:pt idx="94">
                  <c:v>46299.916666666657</c:v>
                </c:pt>
                <c:pt idx="95">
                  <c:v>46299.958333333343</c:v>
                </c:pt>
                <c:pt idx="96">
                  <c:v>46300</c:v>
                </c:pt>
                <c:pt idx="97">
                  <c:v>46300.041666666657</c:v>
                </c:pt>
                <c:pt idx="98">
                  <c:v>46300.083333333343</c:v>
                </c:pt>
                <c:pt idx="99">
                  <c:v>46300.125</c:v>
                </c:pt>
                <c:pt idx="100">
                  <c:v>46300.166666666657</c:v>
                </c:pt>
                <c:pt idx="101">
                  <c:v>46300.208333333343</c:v>
                </c:pt>
                <c:pt idx="102">
                  <c:v>46300.25</c:v>
                </c:pt>
                <c:pt idx="103">
                  <c:v>46300.291666666657</c:v>
                </c:pt>
                <c:pt idx="104">
                  <c:v>46300.333333333343</c:v>
                </c:pt>
                <c:pt idx="105">
                  <c:v>46300.375</c:v>
                </c:pt>
                <c:pt idx="106">
                  <c:v>46300.416666666657</c:v>
                </c:pt>
                <c:pt idx="107">
                  <c:v>46300.458333333343</c:v>
                </c:pt>
                <c:pt idx="108">
                  <c:v>46300.5</c:v>
                </c:pt>
                <c:pt idx="109">
                  <c:v>46300.541666666657</c:v>
                </c:pt>
                <c:pt idx="110">
                  <c:v>46300.583333333343</c:v>
                </c:pt>
                <c:pt idx="111">
                  <c:v>46300.625</c:v>
                </c:pt>
                <c:pt idx="112">
                  <c:v>46300.666666666657</c:v>
                </c:pt>
                <c:pt idx="113">
                  <c:v>46300.708333333343</c:v>
                </c:pt>
                <c:pt idx="114">
                  <c:v>46300.75</c:v>
                </c:pt>
                <c:pt idx="115">
                  <c:v>46300.791666666657</c:v>
                </c:pt>
                <c:pt idx="116">
                  <c:v>46300.833333333343</c:v>
                </c:pt>
                <c:pt idx="117">
                  <c:v>46300.875</c:v>
                </c:pt>
                <c:pt idx="118">
                  <c:v>46300.916666666657</c:v>
                </c:pt>
                <c:pt idx="119">
                  <c:v>46300.958333333343</c:v>
                </c:pt>
                <c:pt idx="120">
                  <c:v>46301</c:v>
                </c:pt>
                <c:pt idx="121">
                  <c:v>46301.041666666657</c:v>
                </c:pt>
                <c:pt idx="122">
                  <c:v>46301.083333333343</c:v>
                </c:pt>
                <c:pt idx="123">
                  <c:v>46301.125</c:v>
                </c:pt>
                <c:pt idx="124">
                  <c:v>46301.166666666657</c:v>
                </c:pt>
                <c:pt idx="125">
                  <c:v>46301.208333333343</c:v>
                </c:pt>
                <c:pt idx="126">
                  <c:v>46301.25</c:v>
                </c:pt>
                <c:pt idx="127">
                  <c:v>46301.291666666657</c:v>
                </c:pt>
                <c:pt idx="128">
                  <c:v>46301.333333333343</c:v>
                </c:pt>
                <c:pt idx="129">
                  <c:v>46301.375</c:v>
                </c:pt>
                <c:pt idx="130">
                  <c:v>46301.416666666657</c:v>
                </c:pt>
                <c:pt idx="131">
                  <c:v>46301.458333333343</c:v>
                </c:pt>
                <c:pt idx="132">
                  <c:v>46301.5</c:v>
                </c:pt>
                <c:pt idx="133">
                  <c:v>46301.541666666657</c:v>
                </c:pt>
                <c:pt idx="134">
                  <c:v>46301.583333333343</c:v>
                </c:pt>
                <c:pt idx="135">
                  <c:v>46301.625</c:v>
                </c:pt>
                <c:pt idx="136">
                  <c:v>46301.666666666657</c:v>
                </c:pt>
                <c:pt idx="137">
                  <c:v>46301.708333333343</c:v>
                </c:pt>
                <c:pt idx="138">
                  <c:v>46301.75</c:v>
                </c:pt>
                <c:pt idx="139">
                  <c:v>46301.791666666657</c:v>
                </c:pt>
                <c:pt idx="140">
                  <c:v>46301.833333333343</c:v>
                </c:pt>
                <c:pt idx="141">
                  <c:v>46301.875</c:v>
                </c:pt>
                <c:pt idx="142">
                  <c:v>46301.916666666657</c:v>
                </c:pt>
                <c:pt idx="143">
                  <c:v>46301.958333333343</c:v>
                </c:pt>
                <c:pt idx="144">
                  <c:v>46302</c:v>
                </c:pt>
                <c:pt idx="145">
                  <c:v>46302.041666666657</c:v>
                </c:pt>
                <c:pt idx="146">
                  <c:v>46302.083333333343</c:v>
                </c:pt>
                <c:pt idx="147">
                  <c:v>46302.125</c:v>
                </c:pt>
                <c:pt idx="148">
                  <c:v>46302.166666666657</c:v>
                </c:pt>
                <c:pt idx="149">
                  <c:v>46302.208333333343</c:v>
                </c:pt>
                <c:pt idx="150">
                  <c:v>46302.25</c:v>
                </c:pt>
                <c:pt idx="151">
                  <c:v>46302.291666666657</c:v>
                </c:pt>
                <c:pt idx="152">
                  <c:v>46302.333333333343</c:v>
                </c:pt>
                <c:pt idx="153">
                  <c:v>46302.375</c:v>
                </c:pt>
                <c:pt idx="154">
                  <c:v>46302.416666666657</c:v>
                </c:pt>
                <c:pt idx="155">
                  <c:v>46302.458333333343</c:v>
                </c:pt>
                <c:pt idx="156">
                  <c:v>46302.5</c:v>
                </c:pt>
                <c:pt idx="157">
                  <c:v>46302.541666666657</c:v>
                </c:pt>
                <c:pt idx="158">
                  <c:v>46302.583333333343</c:v>
                </c:pt>
                <c:pt idx="159">
                  <c:v>46302.625</c:v>
                </c:pt>
                <c:pt idx="160">
                  <c:v>46302.666666666657</c:v>
                </c:pt>
                <c:pt idx="161">
                  <c:v>46302.708333333343</c:v>
                </c:pt>
                <c:pt idx="162">
                  <c:v>46302.75</c:v>
                </c:pt>
                <c:pt idx="163">
                  <c:v>46302.791666666657</c:v>
                </c:pt>
                <c:pt idx="164">
                  <c:v>46302.833333333343</c:v>
                </c:pt>
                <c:pt idx="165">
                  <c:v>46302.875</c:v>
                </c:pt>
                <c:pt idx="166">
                  <c:v>46302.916666666657</c:v>
                </c:pt>
                <c:pt idx="167">
                  <c:v>46302.958333333343</c:v>
                </c:pt>
                <c:pt idx="168">
                  <c:v>46303</c:v>
                </c:pt>
                <c:pt idx="169">
                  <c:v>46303.041666666657</c:v>
                </c:pt>
                <c:pt idx="170">
                  <c:v>46303.083333333343</c:v>
                </c:pt>
                <c:pt idx="171">
                  <c:v>46303.125</c:v>
                </c:pt>
                <c:pt idx="172">
                  <c:v>46303.166666666657</c:v>
                </c:pt>
                <c:pt idx="173">
                  <c:v>46303.208333333343</c:v>
                </c:pt>
                <c:pt idx="174">
                  <c:v>46303.25</c:v>
                </c:pt>
                <c:pt idx="175">
                  <c:v>46303.291666666657</c:v>
                </c:pt>
                <c:pt idx="176">
                  <c:v>46303.333333333343</c:v>
                </c:pt>
                <c:pt idx="177">
                  <c:v>46303.375</c:v>
                </c:pt>
                <c:pt idx="178">
                  <c:v>46303.416666666657</c:v>
                </c:pt>
                <c:pt idx="179">
                  <c:v>46303.458333333343</c:v>
                </c:pt>
                <c:pt idx="180">
                  <c:v>46303.5</c:v>
                </c:pt>
                <c:pt idx="181">
                  <c:v>46303.541666666657</c:v>
                </c:pt>
                <c:pt idx="182">
                  <c:v>46303.583333333343</c:v>
                </c:pt>
                <c:pt idx="183">
                  <c:v>46303.625</c:v>
                </c:pt>
                <c:pt idx="184">
                  <c:v>46303.666666666657</c:v>
                </c:pt>
                <c:pt idx="185">
                  <c:v>46303.708333333343</c:v>
                </c:pt>
                <c:pt idx="186">
                  <c:v>46303.75</c:v>
                </c:pt>
                <c:pt idx="187">
                  <c:v>46303.791666666657</c:v>
                </c:pt>
                <c:pt idx="188">
                  <c:v>46303.833333333343</c:v>
                </c:pt>
                <c:pt idx="189">
                  <c:v>46303.875</c:v>
                </c:pt>
                <c:pt idx="190">
                  <c:v>46303.916666666657</c:v>
                </c:pt>
                <c:pt idx="191">
                  <c:v>46303.958333333343</c:v>
                </c:pt>
                <c:pt idx="192">
                  <c:v>46304</c:v>
                </c:pt>
                <c:pt idx="193">
                  <c:v>46304.041666666657</c:v>
                </c:pt>
                <c:pt idx="194">
                  <c:v>46304.083333333343</c:v>
                </c:pt>
                <c:pt idx="195">
                  <c:v>46304.125</c:v>
                </c:pt>
                <c:pt idx="196">
                  <c:v>46304.166666666657</c:v>
                </c:pt>
                <c:pt idx="197">
                  <c:v>46304.208333333343</c:v>
                </c:pt>
                <c:pt idx="198">
                  <c:v>46304.25</c:v>
                </c:pt>
                <c:pt idx="199">
                  <c:v>46304.291666666657</c:v>
                </c:pt>
              </c:numCache>
            </c:numRef>
          </c:cat>
          <c:val>
            <c:numRef>
              <c:f>My_Practice!$J$2:$J$201</c:f>
              <c:numCache>
                <c:formatCode>General</c:formatCode>
                <c:ptCount val="200"/>
                <c:pt idx="0">
                  <c:v>74.222052637351851</c:v>
                </c:pt>
                <c:pt idx="1">
                  <c:v>74.032617574162501</c:v>
                </c:pt>
                <c:pt idx="2">
                  <c:v>73.930673564542744</c:v>
                </c:pt>
                <c:pt idx="3">
                  <c:v>73.870729610172532</c:v>
                </c:pt>
                <c:pt idx="4">
                  <c:v>73.834138055633431</c:v>
                </c:pt>
                <c:pt idx="5">
                  <c:v>73.811366458688866</c:v>
                </c:pt>
                <c:pt idx="6">
                  <c:v>73.797039988744189</c:v>
                </c:pt>
                <c:pt idx="7">
                  <c:v>73.787968159337566</c:v>
                </c:pt>
                <c:pt idx="8">
                  <c:v>73.782200926810049</c:v>
                </c:pt>
                <c:pt idx="9">
                  <c:v>73.778525502885884</c:v>
                </c:pt>
                <c:pt idx="10">
                  <c:v>73.776179556168941</c:v>
                </c:pt>
                <c:pt idx="11">
                  <c:v>73.774680723475754</c:v>
                </c:pt>
                <c:pt idx="12">
                  <c:v>73.773722520032265</c:v>
                </c:pt>
                <c:pt idx="13">
                  <c:v>73.773109698521665</c:v>
                </c:pt>
                <c:pt idx="14">
                  <c:v>73.772717668041111</c:v>
                </c:pt>
                <c:pt idx="15">
                  <c:v>73.77246684025063</c:v>
                </c:pt>
                <c:pt idx="16">
                  <c:v>73.772306339819067</c:v>
                </c:pt>
                <c:pt idx="17">
                  <c:v>73.772203631560899</c:v>
                </c:pt>
                <c:pt idx="18">
                  <c:v>73.772137903196821</c:v>
                </c:pt>
                <c:pt idx="19">
                  <c:v>73.772095839059148</c:v>
                </c:pt>
                <c:pt idx="20">
                  <c:v>73.77206891883641</c:v>
                </c:pt>
                <c:pt idx="21">
                  <c:v>73.772051690231905</c:v>
                </c:pt>
                <c:pt idx="22">
                  <c:v>73.772040664063482</c:v>
                </c:pt>
                <c:pt idx="23">
                  <c:v>73.772033607372407</c:v>
                </c:pt>
                <c:pt idx="24">
                  <c:v>73.772029091113339</c:v>
                </c:pt>
                <c:pt idx="25">
                  <c:v>73.77202620071705</c:v>
                </c:pt>
                <c:pt idx="26">
                  <c:v>73.772024350867326</c:v>
                </c:pt>
                <c:pt idx="27">
                  <c:v>73.772023166965099</c:v>
                </c:pt>
                <c:pt idx="28">
                  <c:v>73.772022409268331</c:v>
                </c:pt>
                <c:pt idx="29">
                  <c:v>73.772021924342653</c:v>
                </c:pt>
                <c:pt idx="30">
                  <c:v>73.772021613990347</c:v>
                </c:pt>
                <c:pt idx="31">
                  <c:v>73.772021415364904</c:v>
                </c:pt>
                <c:pt idx="32">
                  <c:v>73.772021288244645</c:v>
                </c:pt>
                <c:pt idx="33">
                  <c:v>73.772021206887686</c:v>
                </c:pt>
                <c:pt idx="34">
                  <c:v>73.772021154819228</c:v>
                </c:pt>
                <c:pt idx="35">
                  <c:v>73.772021121495428</c:v>
                </c:pt>
                <c:pt idx="36">
                  <c:v>73.772021100168189</c:v>
                </c:pt>
                <c:pt idx="37">
                  <c:v>73.772021086518748</c:v>
                </c:pt>
                <c:pt idx="38">
                  <c:v>73.772021077783123</c:v>
                </c:pt>
                <c:pt idx="39">
                  <c:v>73.772021072192317</c:v>
                </c:pt>
                <c:pt idx="40">
                  <c:v>73.772021068614194</c:v>
                </c:pt>
                <c:pt idx="41">
                  <c:v>73.7720210663242</c:v>
                </c:pt>
                <c:pt idx="42">
                  <c:v>73.772021064858606</c:v>
                </c:pt>
                <c:pt idx="43">
                  <c:v>73.772021063920619</c:v>
                </c:pt>
                <c:pt idx="44">
                  <c:v>73.77202106332031</c:v>
                </c:pt>
                <c:pt idx="45">
                  <c:v>73.772021062936119</c:v>
                </c:pt>
                <c:pt idx="46">
                  <c:v>73.772021062690229</c:v>
                </c:pt>
                <c:pt idx="47">
                  <c:v>73.772021062532858</c:v>
                </c:pt>
                <c:pt idx="48">
                  <c:v>73.772021062432145</c:v>
                </c:pt>
                <c:pt idx="49">
                  <c:v>73.772021062367685</c:v>
                </c:pt>
                <c:pt idx="50">
                  <c:v>73.772021062326445</c:v>
                </c:pt>
                <c:pt idx="51">
                  <c:v>73.772021062300041</c:v>
                </c:pt>
                <c:pt idx="52">
                  <c:v>73.772021062283144</c:v>
                </c:pt>
                <c:pt idx="53">
                  <c:v>73.77202106227233</c:v>
                </c:pt>
                <c:pt idx="54">
                  <c:v>73.772021062265409</c:v>
                </c:pt>
                <c:pt idx="55">
                  <c:v>73.772021062260976</c:v>
                </c:pt>
                <c:pt idx="56">
                  <c:v>73.772021062258133</c:v>
                </c:pt>
                <c:pt idx="57">
                  <c:v>73.772021062256329</c:v>
                </c:pt>
                <c:pt idx="58">
                  <c:v>73.772021062255163</c:v>
                </c:pt>
                <c:pt idx="59">
                  <c:v>73.772021062254424</c:v>
                </c:pt>
                <c:pt idx="60">
                  <c:v>73.772021062253941</c:v>
                </c:pt>
                <c:pt idx="61">
                  <c:v>73.772021062253643</c:v>
                </c:pt>
                <c:pt idx="62">
                  <c:v>73.772021062253444</c:v>
                </c:pt>
                <c:pt idx="63">
                  <c:v>73.772021062253316</c:v>
                </c:pt>
                <c:pt idx="64">
                  <c:v>73.772021062253245</c:v>
                </c:pt>
                <c:pt idx="65">
                  <c:v>73.772021062253188</c:v>
                </c:pt>
                <c:pt idx="66">
                  <c:v>73.77202106225316</c:v>
                </c:pt>
                <c:pt idx="67">
                  <c:v>73.772021062253131</c:v>
                </c:pt>
                <c:pt idx="68">
                  <c:v>73.772021062253117</c:v>
                </c:pt>
                <c:pt idx="69">
                  <c:v>73.772021062253117</c:v>
                </c:pt>
                <c:pt idx="70">
                  <c:v>73.772021062253117</c:v>
                </c:pt>
                <c:pt idx="71">
                  <c:v>73.772021062253103</c:v>
                </c:pt>
                <c:pt idx="72">
                  <c:v>73.772021062253103</c:v>
                </c:pt>
                <c:pt idx="73">
                  <c:v>73.772021062253103</c:v>
                </c:pt>
                <c:pt idx="74">
                  <c:v>73.772021062253103</c:v>
                </c:pt>
                <c:pt idx="75">
                  <c:v>73.772021062253103</c:v>
                </c:pt>
                <c:pt idx="76">
                  <c:v>73.772021062253103</c:v>
                </c:pt>
                <c:pt idx="77">
                  <c:v>73.772021062253103</c:v>
                </c:pt>
                <c:pt idx="78">
                  <c:v>73.772021062253103</c:v>
                </c:pt>
                <c:pt idx="79">
                  <c:v>73.772021062253103</c:v>
                </c:pt>
                <c:pt idx="80">
                  <c:v>73.772021062253103</c:v>
                </c:pt>
                <c:pt idx="81">
                  <c:v>73.772021062253103</c:v>
                </c:pt>
                <c:pt idx="82">
                  <c:v>73.772021062253103</c:v>
                </c:pt>
                <c:pt idx="83">
                  <c:v>73.772021062253103</c:v>
                </c:pt>
                <c:pt idx="84">
                  <c:v>73.772021062253103</c:v>
                </c:pt>
                <c:pt idx="85">
                  <c:v>73.772021062253103</c:v>
                </c:pt>
                <c:pt idx="86">
                  <c:v>73.772021062253103</c:v>
                </c:pt>
                <c:pt idx="87">
                  <c:v>73.772021062253103</c:v>
                </c:pt>
                <c:pt idx="88">
                  <c:v>73.772021062253103</c:v>
                </c:pt>
                <c:pt idx="89">
                  <c:v>73.772021062253103</c:v>
                </c:pt>
                <c:pt idx="90">
                  <c:v>73.772021062253103</c:v>
                </c:pt>
                <c:pt idx="91">
                  <c:v>73.772021062253103</c:v>
                </c:pt>
                <c:pt idx="92">
                  <c:v>73.772021062253103</c:v>
                </c:pt>
                <c:pt idx="93">
                  <c:v>73.772021062253103</c:v>
                </c:pt>
                <c:pt idx="94">
                  <c:v>73.772021062253103</c:v>
                </c:pt>
                <c:pt idx="95">
                  <c:v>73.772021062253103</c:v>
                </c:pt>
                <c:pt idx="96">
                  <c:v>73.772021062253103</c:v>
                </c:pt>
                <c:pt idx="97">
                  <c:v>73.772021062253103</c:v>
                </c:pt>
                <c:pt idx="98">
                  <c:v>73.772021062253103</c:v>
                </c:pt>
                <c:pt idx="99">
                  <c:v>73.772021062253103</c:v>
                </c:pt>
                <c:pt idx="100">
                  <c:v>73.772021062253103</c:v>
                </c:pt>
                <c:pt idx="101">
                  <c:v>73.772021062253103</c:v>
                </c:pt>
                <c:pt idx="102">
                  <c:v>73.772021062253103</c:v>
                </c:pt>
                <c:pt idx="103">
                  <c:v>73.772021062253103</c:v>
                </c:pt>
                <c:pt idx="104">
                  <c:v>73.772021062253103</c:v>
                </c:pt>
                <c:pt idx="105">
                  <c:v>73.772021062253103</c:v>
                </c:pt>
                <c:pt idx="106">
                  <c:v>73.772021062253103</c:v>
                </c:pt>
                <c:pt idx="107">
                  <c:v>73.772021062253103</c:v>
                </c:pt>
                <c:pt idx="108">
                  <c:v>73.772021062253103</c:v>
                </c:pt>
                <c:pt idx="109">
                  <c:v>73.772021062253103</c:v>
                </c:pt>
                <c:pt idx="110">
                  <c:v>73.772021062253103</c:v>
                </c:pt>
                <c:pt idx="111">
                  <c:v>73.772021062253103</c:v>
                </c:pt>
                <c:pt idx="112">
                  <c:v>73.772021062253103</c:v>
                </c:pt>
                <c:pt idx="113">
                  <c:v>73.772021062253103</c:v>
                </c:pt>
                <c:pt idx="114">
                  <c:v>73.772021062253103</c:v>
                </c:pt>
                <c:pt idx="115">
                  <c:v>73.772021062253103</c:v>
                </c:pt>
                <c:pt idx="116">
                  <c:v>73.772021062253103</c:v>
                </c:pt>
                <c:pt idx="117">
                  <c:v>73.772021062253103</c:v>
                </c:pt>
                <c:pt idx="118">
                  <c:v>73.772021062253103</c:v>
                </c:pt>
                <c:pt idx="119">
                  <c:v>73.772021062253103</c:v>
                </c:pt>
                <c:pt idx="120">
                  <c:v>73.772021062253103</c:v>
                </c:pt>
                <c:pt idx="121">
                  <c:v>73.772021062253103</c:v>
                </c:pt>
                <c:pt idx="122">
                  <c:v>73.772021062253103</c:v>
                </c:pt>
                <c:pt idx="123">
                  <c:v>73.772021062253103</c:v>
                </c:pt>
                <c:pt idx="124">
                  <c:v>73.772021062253103</c:v>
                </c:pt>
                <c:pt idx="125">
                  <c:v>73.772021062253103</c:v>
                </c:pt>
                <c:pt idx="126">
                  <c:v>73.772021062253103</c:v>
                </c:pt>
                <c:pt idx="127">
                  <c:v>73.772021062253103</c:v>
                </c:pt>
                <c:pt idx="128">
                  <c:v>73.772021062253103</c:v>
                </c:pt>
                <c:pt idx="129">
                  <c:v>73.772021062253103</c:v>
                </c:pt>
                <c:pt idx="130">
                  <c:v>73.772021062253103</c:v>
                </c:pt>
                <c:pt idx="131">
                  <c:v>73.772021062253103</c:v>
                </c:pt>
                <c:pt idx="132">
                  <c:v>73.772021062253103</c:v>
                </c:pt>
                <c:pt idx="133">
                  <c:v>73.772021062253103</c:v>
                </c:pt>
                <c:pt idx="134">
                  <c:v>73.772021062253103</c:v>
                </c:pt>
                <c:pt idx="135">
                  <c:v>73.772021062253103</c:v>
                </c:pt>
                <c:pt idx="136">
                  <c:v>73.772021062253103</c:v>
                </c:pt>
                <c:pt idx="137">
                  <c:v>73.772021062253103</c:v>
                </c:pt>
                <c:pt idx="138">
                  <c:v>73.772021062253103</c:v>
                </c:pt>
                <c:pt idx="139">
                  <c:v>73.772021062253103</c:v>
                </c:pt>
                <c:pt idx="140">
                  <c:v>73.772021062253103</c:v>
                </c:pt>
                <c:pt idx="141">
                  <c:v>73.772021062253103</c:v>
                </c:pt>
                <c:pt idx="142">
                  <c:v>73.772021062253103</c:v>
                </c:pt>
                <c:pt idx="143">
                  <c:v>73.772021062253103</c:v>
                </c:pt>
                <c:pt idx="144">
                  <c:v>73.772021062253103</c:v>
                </c:pt>
                <c:pt idx="145">
                  <c:v>73.772021062253103</c:v>
                </c:pt>
                <c:pt idx="146">
                  <c:v>73.772021062253103</c:v>
                </c:pt>
                <c:pt idx="147">
                  <c:v>73.772021062253103</c:v>
                </c:pt>
                <c:pt idx="148">
                  <c:v>73.772021062253103</c:v>
                </c:pt>
                <c:pt idx="149">
                  <c:v>73.772021062253103</c:v>
                </c:pt>
                <c:pt idx="150">
                  <c:v>73.772021062253103</c:v>
                </c:pt>
                <c:pt idx="151">
                  <c:v>73.772021062253103</c:v>
                </c:pt>
                <c:pt idx="152">
                  <c:v>73.772021062253103</c:v>
                </c:pt>
                <c:pt idx="153">
                  <c:v>73.772021062253103</c:v>
                </c:pt>
                <c:pt idx="154">
                  <c:v>73.772021062253103</c:v>
                </c:pt>
                <c:pt idx="155">
                  <c:v>73.772021062253103</c:v>
                </c:pt>
                <c:pt idx="156">
                  <c:v>73.772021062253103</c:v>
                </c:pt>
                <c:pt idx="157">
                  <c:v>73.772021062253103</c:v>
                </c:pt>
                <c:pt idx="158">
                  <c:v>73.772021062253103</c:v>
                </c:pt>
                <c:pt idx="159">
                  <c:v>73.772021062253103</c:v>
                </c:pt>
                <c:pt idx="160">
                  <c:v>73.772021062253103</c:v>
                </c:pt>
                <c:pt idx="161">
                  <c:v>73.772021062253103</c:v>
                </c:pt>
                <c:pt idx="162">
                  <c:v>73.772021062253103</c:v>
                </c:pt>
                <c:pt idx="163">
                  <c:v>73.772021062253103</c:v>
                </c:pt>
                <c:pt idx="164">
                  <c:v>73.772021062253103</c:v>
                </c:pt>
                <c:pt idx="165">
                  <c:v>73.772021062253103</c:v>
                </c:pt>
                <c:pt idx="166">
                  <c:v>73.772021062253103</c:v>
                </c:pt>
                <c:pt idx="167">
                  <c:v>73.772021062253103</c:v>
                </c:pt>
                <c:pt idx="168">
                  <c:v>73.772021062253103</c:v>
                </c:pt>
                <c:pt idx="169">
                  <c:v>73.772021062253103</c:v>
                </c:pt>
                <c:pt idx="170">
                  <c:v>73.772021062253103</c:v>
                </c:pt>
                <c:pt idx="171">
                  <c:v>73.772021062253103</c:v>
                </c:pt>
                <c:pt idx="172">
                  <c:v>73.772021062253103</c:v>
                </c:pt>
                <c:pt idx="173">
                  <c:v>73.772021062253103</c:v>
                </c:pt>
                <c:pt idx="174">
                  <c:v>73.772021062253103</c:v>
                </c:pt>
                <c:pt idx="175">
                  <c:v>73.772021062253103</c:v>
                </c:pt>
                <c:pt idx="176">
                  <c:v>73.772021062253103</c:v>
                </c:pt>
                <c:pt idx="177">
                  <c:v>73.772021062253103</c:v>
                </c:pt>
                <c:pt idx="178">
                  <c:v>73.772021062253103</c:v>
                </c:pt>
                <c:pt idx="179">
                  <c:v>73.772021062253103</c:v>
                </c:pt>
                <c:pt idx="180">
                  <c:v>73.772021062253103</c:v>
                </c:pt>
                <c:pt idx="181">
                  <c:v>73.772021062253103</c:v>
                </c:pt>
                <c:pt idx="182">
                  <c:v>73.772021062253103</c:v>
                </c:pt>
                <c:pt idx="183">
                  <c:v>73.772021062253103</c:v>
                </c:pt>
                <c:pt idx="184">
                  <c:v>73.772021062253103</c:v>
                </c:pt>
                <c:pt idx="185">
                  <c:v>73.772021062253103</c:v>
                </c:pt>
                <c:pt idx="186">
                  <c:v>73.772021062253103</c:v>
                </c:pt>
                <c:pt idx="187">
                  <c:v>73.772021062253103</c:v>
                </c:pt>
                <c:pt idx="188">
                  <c:v>73.772021062253103</c:v>
                </c:pt>
                <c:pt idx="189">
                  <c:v>73.772021062253103</c:v>
                </c:pt>
                <c:pt idx="190">
                  <c:v>73.772021062253103</c:v>
                </c:pt>
                <c:pt idx="191">
                  <c:v>73.772021062253103</c:v>
                </c:pt>
                <c:pt idx="192">
                  <c:v>73.772021062253103</c:v>
                </c:pt>
                <c:pt idx="193">
                  <c:v>73.772021062253103</c:v>
                </c:pt>
                <c:pt idx="194">
                  <c:v>73.772021062253103</c:v>
                </c:pt>
                <c:pt idx="195">
                  <c:v>73.772021062253103</c:v>
                </c:pt>
                <c:pt idx="196">
                  <c:v>73.772021062253103</c:v>
                </c:pt>
                <c:pt idx="197">
                  <c:v>73.772021062253103</c:v>
                </c:pt>
                <c:pt idx="198">
                  <c:v>73.772021062253103</c:v>
                </c:pt>
                <c:pt idx="199">
                  <c:v>73.772021062253103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51-4D6C-93AF-EBB60C1C1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529648"/>
        <c:axId val="559999824"/>
      </c:lineChart>
      <c:catAx>
        <c:axId val="543529648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99824"/>
        <c:crosses val="autoZero"/>
        <c:auto val="0"/>
        <c:lblAlgn val="ctr"/>
        <c:lblOffset val="100"/>
        <c:noMultiLvlLbl val="0"/>
      </c:catAx>
      <c:valAx>
        <c:axId val="55999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52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My_Practice!$L$1</c:f>
              <c:strCache>
                <c:ptCount val="1"/>
                <c:pt idx="0">
                  <c:v>CUSUM_FeO_plus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My_Practice!$A$2:$A$201</c:f>
              <c:numCache>
                <c:formatCode>yyyy\-mm\-dd\ hh:mm:ss</c:formatCode>
                <c:ptCount val="200"/>
                <c:pt idx="0">
                  <c:v>46296</c:v>
                </c:pt>
                <c:pt idx="1">
                  <c:v>46296.041666666657</c:v>
                </c:pt>
                <c:pt idx="2">
                  <c:v>46296.083333333343</c:v>
                </c:pt>
                <c:pt idx="3">
                  <c:v>46296.125</c:v>
                </c:pt>
                <c:pt idx="4">
                  <c:v>46296.166666666657</c:v>
                </c:pt>
                <c:pt idx="5">
                  <c:v>46296.208333333343</c:v>
                </c:pt>
                <c:pt idx="6">
                  <c:v>46296.25</c:v>
                </c:pt>
                <c:pt idx="7">
                  <c:v>46296.291666666657</c:v>
                </c:pt>
                <c:pt idx="8">
                  <c:v>46296.333333333343</c:v>
                </c:pt>
                <c:pt idx="9">
                  <c:v>46296.375</c:v>
                </c:pt>
                <c:pt idx="10">
                  <c:v>46296.416666666657</c:v>
                </c:pt>
                <c:pt idx="11">
                  <c:v>46296.458333333343</c:v>
                </c:pt>
                <c:pt idx="12">
                  <c:v>46296.5</c:v>
                </c:pt>
                <c:pt idx="13">
                  <c:v>46296.541666666657</c:v>
                </c:pt>
                <c:pt idx="14">
                  <c:v>46296.583333333343</c:v>
                </c:pt>
                <c:pt idx="15">
                  <c:v>46296.625</c:v>
                </c:pt>
                <c:pt idx="16">
                  <c:v>46296.666666666657</c:v>
                </c:pt>
                <c:pt idx="17">
                  <c:v>46296.708333333343</c:v>
                </c:pt>
                <c:pt idx="18">
                  <c:v>46296.75</c:v>
                </c:pt>
                <c:pt idx="19">
                  <c:v>46296.791666666657</c:v>
                </c:pt>
                <c:pt idx="20">
                  <c:v>46296.833333333343</c:v>
                </c:pt>
                <c:pt idx="21">
                  <c:v>46296.875</c:v>
                </c:pt>
                <c:pt idx="22">
                  <c:v>46296.916666666657</c:v>
                </c:pt>
                <c:pt idx="23">
                  <c:v>46296.958333333343</c:v>
                </c:pt>
                <c:pt idx="24">
                  <c:v>46297</c:v>
                </c:pt>
                <c:pt idx="25">
                  <c:v>46297.041666666657</c:v>
                </c:pt>
                <c:pt idx="26">
                  <c:v>46297.083333333343</c:v>
                </c:pt>
                <c:pt idx="27">
                  <c:v>46297.125</c:v>
                </c:pt>
                <c:pt idx="28">
                  <c:v>46297.166666666657</c:v>
                </c:pt>
                <c:pt idx="29">
                  <c:v>46297.208333333343</c:v>
                </c:pt>
                <c:pt idx="30">
                  <c:v>46297.25</c:v>
                </c:pt>
                <c:pt idx="31">
                  <c:v>46297.291666666657</c:v>
                </c:pt>
                <c:pt idx="32">
                  <c:v>46297.333333333343</c:v>
                </c:pt>
                <c:pt idx="33">
                  <c:v>46297.375</c:v>
                </c:pt>
                <c:pt idx="34">
                  <c:v>46297.416666666657</c:v>
                </c:pt>
                <c:pt idx="35">
                  <c:v>46297.458333333343</c:v>
                </c:pt>
                <c:pt idx="36">
                  <c:v>46297.5</c:v>
                </c:pt>
                <c:pt idx="37">
                  <c:v>46297.541666666657</c:v>
                </c:pt>
                <c:pt idx="38">
                  <c:v>46297.583333333343</c:v>
                </c:pt>
                <c:pt idx="39">
                  <c:v>46297.625</c:v>
                </c:pt>
                <c:pt idx="40">
                  <c:v>46297.666666666657</c:v>
                </c:pt>
                <c:pt idx="41">
                  <c:v>46297.708333333343</c:v>
                </c:pt>
                <c:pt idx="42">
                  <c:v>46297.75</c:v>
                </c:pt>
                <c:pt idx="43">
                  <c:v>46297.791666666657</c:v>
                </c:pt>
                <c:pt idx="44">
                  <c:v>46297.833333333343</c:v>
                </c:pt>
                <c:pt idx="45">
                  <c:v>46297.875</c:v>
                </c:pt>
                <c:pt idx="46">
                  <c:v>46297.916666666657</c:v>
                </c:pt>
                <c:pt idx="47">
                  <c:v>46297.958333333343</c:v>
                </c:pt>
                <c:pt idx="48">
                  <c:v>46298</c:v>
                </c:pt>
                <c:pt idx="49">
                  <c:v>46298.041666666657</c:v>
                </c:pt>
                <c:pt idx="50">
                  <c:v>46298.083333333343</c:v>
                </c:pt>
                <c:pt idx="51">
                  <c:v>46298.125</c:v>
                </c:pt>
                <c:pt idx="52">
                  <c:v>46298.166666666657</c:v>
                </c:pt>
                <c:pt idx="53">
                  <c:v>46298.208333333343</c:v>
                </c:pt>
                <c:pt idx="54">
                  <c:v>46298.25</c:v>
                </c:pt>
                <c:pt idx="55">
                  <c:v>46298.291666666657</c:v>
                </c:pt>
                <c:pt idx="56">
                  <c:v>46298.333333333343</c:v>
                </c:pt>
                <c:pt idx="57">
                  <c:v>46298.375</c:v>
                </c:pt>
                <c:pt idx="58">
                  <c:v>46298.416666666657</c:v>
                </c:pt>
                <c:pt idx="59">
                  <c:v>46298.458333333343</c:v>
                </c:pt>
                <c:pt idx="60">
                  <c:v>46298.5</c:v>
                </c:pt>
                <c:pt idx="61">
                  <c:v>46298.541666666657</c:v>
                </c:pt>
                <c:pt idx="62">
                  <c:v>46298.583333333343</c:v>
                </c:pt>
                <c:pt idx="63">
                  <c:v>46298.625</c:v>
                </c:pt>
                <c:pt idx="64">
                  <c:v>46298.666666666657</c:v>
                </c:pt>
                <c:pt idx="65">
                  <c:v>46298.708333333343</c:v>
                </c:pt>
                <c:pt idx="66">
                  <c:v>46298.75</c:v>
                </c:pt>
                <c:pt idx="67">
                  <c:v>46298.791666666657</c:v>
                </c:pt>
                <c:pt idx="68">
                  <c:v>46298.833333333343</c:v>
                </c:pt>
                <c:pt idx="69">
                  <c:v>46298.875</c:v>
                </c:pt>
                <c:pt idx="70">
                  <c:v>46298.916666666657</c:v>
                </c:pt>
                <c:pt idx="71">
                  <c:v>46298.958333333343</c:v>
                </c:pt>
                <c:pt idx="72">
                  <c:v>46299</c:v>
                </c:pt>
                <c:pt idx="73">
                  <c:v>46299.041666666657</c:v>
                </c:pt>
                <c:pt idx="74">
                  <c:v>46299.083333333343</c:v>
                </c:pt>
                <c:pt idx="75">
                  <c:v>46299.125</c:v>
                </c:pt>
                <c:pt idx="76">
                  <c:v>46299.166666666657</c:v>
                </c:pt>
                <c:pt idx="77">
                  <c:v>46299.208333333343</c:v>
                </c:pt>
                <c:pt idx="78">
                  <c:v>46299.25</c:v>
                </c:pt>
                <c:pt idx="79">
                  <c:v>46299.291666666657</c:v>
                </c:pt>
                <c:pt idx="80">
                  <c:v>46299.333333333343</c:v>
                </c:pt>
                <c:pt idx="81">
                  <c:v>46299.375</c:v>
                </c:pt>
                <c:pt idx="82">
                  <c:v>46299.416666666657</c:v>
                </c:pt>
                <c:pt idx="83">
                  <c:v>46299.458333333343</c:v>
                </c:pt>
                <c:pt idx="84">
                  <c:v>46299.5</c:v>
                </c:pt>
                <c:pt idx="85">
                  <c:v>46299.541666666657</c:v>
                </c:pt>
                <c:pt idx="86">
                  <c:v>46299.583333333343</c:v>
                </c:pt>
                <c:pt idx="87">
                  <c:v>46299.625</c:v>
                </c:pt>
                <c:pt idx="88">
                  <c:v>46299.666666666657</c:v>
                </c:pt>
                <c:pt idx="89">
                  <c:v>46299.708333333343</c:v>
                </c:pt>
                <c:pt idx="90">
                  <c:v>46299.75</c:v>
                </c:pt>
                <c:pt idx="91">
                  <c:v>46299.791666666657</c:v>
                </c:pt>
                <c:pt idx="92">
                  <c:v>46299.833333333343</c:v>
                </c:pt>
                <c:pt idx="93">
                  <c:v>46299.875</c:v>
                </c:pt>
                <c:pt idx="94">
                  <c:v>46299.916666666657</c:v>
                </c:pt>
                <c:pt idx="95">
                  <c:v>46299.958333333343</c:v>
                </c:pt>
                <c:pt idx="96">
                  <c:v>46300</c:v>
                </c:pt>
                <c:pt idx="97">
                  <c:v>46300.041666666657</c:v>
                </c:pt>
                <c:pt idx="98">
                  <c:v>46300.083333333343</c:v>
                </c:pt>
                <c:pt idx="99">
                  <c:v>46300.125</c:v>
                </c:pt>
                <c:pt idx="100">
                  <c:v>46300.166666666657</c:v>
                </c:pt>
                <c:pt idx="101">
                  <c:v>46300.208333333343</c:v>
                </c:pt>
                <c:pt idx="102">
                  <c:v>46300.25</c:v>
                </c:pt>
                <c:pt idx="103">
                  <c:v>46300.291666666657</c:v>
                </c:pt>
                <c:pt idx="104">
                  <c:v>46300.333333333343</c:v>
                </c:pt>
                <c:pt idx="105">
                  <c:v>46300.375</c:v>
                </c:pt>
                <c:pt idx="106">
                  <c:v>46300.416666666657</c:v>
                </c:pt>
                <c:pt idx="107">
                  <c:v>46300.458333333343</c:v>
                </c:pt>
                <c:pt idx="108">
                  <c:v>46300.5</c:v>
                </c:pt>
                <c:pt idx="109">
                  <c:v>46300.541666666657</c:v>
                </c:pt>
                <c:pt idx="110">
                  <c:v>46300.583333333343</c:v>
                </c:pt>
                <c:pt idx="111">
                  <c:v>46300.625</c:v>
                </c:pt>
                <c:pt idx="112">
                  <c:v>46300.666666666657</c:v>
                </c:pt>
                <c:pt idx="113">
                  <c:v>46300.708333333343</c:v>
                </c:pt>
                <c:pt idx="114">
                  <c:v>46300.75</c:v>
                </c:pt>
                <c:pt idx="115">
                  <c:v>46300.791666666657</c:v>
                </c:pt>
                <c:pt idx="116">
                  <c:v>46300.833333333343</c:v>
                </c:pt>
                <c:pt idx="117">
                  <c:v>46300.875</c:v>
                </c:pt>
                <c:pt idx="118">
                  <c:v>46300.916666666657</c:v>
                </c:pt>
                <c:pt idx="119">
                  <c:v>46300.958333333343</c:v>
                </c:pt>
                <c:pt idx="120">
                  <c:v>46301</c:v>
                </c:pt>
                <c:pt idx="121">
                  <c:v>46301.041666666657</c:v>
                </c:pt>
                <c:pt idx="122">
                  <c:v>46301.083333333343</c:v>
                </c:pt>
                <c:pt idx="123">
                  <c:v>46301.125</c:v>
                </c:pt>
                <c:pt idx="124">
                  <c:v>46301.166666666657</c:v>
                </c:pt>
                <c:pt idx="125">
                  <c:v>46301.208333333343</c:v>
                </c:pt>
                <c:pt idx="126">
                  <c:v>46301.25</c:v>
                </c:pt>
                <c:pt idx="127">
                  <c:v>46301.291666666657</c:v>
                </c:pt>
                <c:pt idx="128">
                  <c:v>46301.333333333343</c:v>
                </c:pt>
                <c:pt idx="129">
                  <c:v>46301.375</c:v>
                </c:pt>
                <c:pt idx="130">
                  <c:v>46301.416666666657</c:v>
                </c:pt>
                <c:pt idx="131">
                  <c:v>46301.458333333343</c:v>
                </c:pt>
                <c:pt idx="132">
                  <c:v>46301.5</c:v>
                </c:pt>
                <c:pt idx="133">
                  <c:v>46301.541666666657</c:v>
                </c:pt>
                <c:pt idx="134">
                  <c:v>46301.583333333343</c:v>
                </c:pt>
                <c:pt idx="135">
                  <c:v>46301.625</c:v>
                </c:pt>
                <c:pt idx="136">
                  <c:v>46301.666666666657</c:v>
                </c:pt>
                <c:pt idx="137">
                  <c:v>46301.708333333343</c:v>
                </c:pt>
                <c:pt idx="138">
                  <c:v>46301.75</c:v>
                </c:pt>
                <c:pt idx="139">
                  <c:v>46301.791666666657</c:v>
                </c:pt>
                <c:pt idx="140">
                  <c:v>46301.833333333343</c:v>
                </c:pt>
                <c:pt idx="141">
                  <c:v>46301.875</c:v>
                </c:pt>
                <c:pt idx="142">
                  <c:v>46301.916666666657</c:v>
                </c:pt>
                <c:pt idx="143">
                  <c:v>46301.958333333343</c:v>
                </c:pt>
                <c:pt idx="144">
                  <c:v>46302</c:v>
                </c:pt>
                <c:pt idx="145">
                  <c:v>46302.041666666657</c:v>
                </c:pt>
                <c:pt idx="146">
                  <c:v>46302.083333333343</c:v>
                </c:pt>
                <c:pt idx="147">
                  <c:v>46302.125</c:v>
                </c:pt>
                <c:pt idx="148">
                  <c:v>46302.166666666657</c:v>
                </c:pt>
                <c:pt idx="149">
                  <c:v>46302.208333333343</c:v>
                </c:pt>
                <c:pt idx="150">
                  <c:v>46302.25</c:v>
                </c:pt>
                <c:pt idx="151">
                  <c:v>46302.291666666657</c:v>
                </c:pt>
                <c:pt idx="152">
                  <c:v>46302.333333333343</c:v>
                </c:pt>
                <c:pt idx="153">
                  <c:v>46302.375</c:v>
                </c:pt>
                <c:pt idx="154">
                  <c:v>46302.416666666657</c:v>
                </c:pt>
                <c:pt idx="155">
                  <c:v>46302.458333333343</c:v>
                </c:pt>
                <c:pt idx="156">
                  <c:v>46302.5</c:v>
                </c:pt>
                <c:pt idx="157">
                  <c:v>46302.541666666657</c:v>
                </c:pt>
                <c:pt idx="158">
                  <c:v>46302.583333333343</c:v>
                </c:pt>
                <c:pt idx="159">
                  <c:v>46302.625</c:v>
                </c:pt>
                <c:pt idx="160">
                  <c:v>46302.666666666657</c:v>
                </c:pt>
                <c:pt idx="161">
                  <c:v>46302.708333333343</c:v>
                </c:pt>
                <c:pt idx="162">
                  <c:v>46302.75</c:v>
                </c:pt>
                <c:pt idx="163">
                  <c:v>46302.791666666657</c:v>
                </c:pt>
                <c:pt idx="164">
                  <c:v>46302.833333333343</c:v>
                </c:pt>
                <c:pt idx="165">
                  <c:v>46302.875</c:v>
                </c:pt>
                <c:pt idx="166">
                  <c:v>46302.916666666657</c:v>
                </c:pt>
                <c:pt idx="167">
                  <c:v>46302.958333333343</c:v>
                </c:pt>
                <c:pt idx="168">
                  <c:v>46303</c:v>
                </c:pt>
                <c:pt idx="169">
                  <c:v>46303.041666666657</c:v>
                </c:pt>
                <c:pt idx="170">
                  <c:v>46303.083333333343</c:v>
                </c:pt>
                <c:pt idx="171">
                  <c:v>46303.125</c:v>
                </c:pt>
                <c:pt idx="172">
                  <c:v>46303.166666666657</c:v>
                </c:pt>
                <c:pt idx="173">
                  <c:v>46303.208333333343</c:v>
                </c:pt>
                <c:pt idx="174">
                  <c:v>46303.25</c:v>
                </c:pt>
                <c:pt idx="175">
                  <c:v>46303.291666666657</c:v>
                </c:pt>
                <c:pt idx="176">
                  <c:v>46303.333333333343</c:v>
                </c:pt>
                <c:pt idx="177">
                  <c:v>46303.375</c:v>
                </c:pt>
                <c:pt idx="178">
                  <c:v>46303.416666666657</c:v>
                </c:pt>
                <c:pt idx="179">
                  <c:v>46303.458333333343</c:v>
                </c:pt>
                <c:pt idx="180">
                  <c:v>46303.5</c:v>
                </c:pt>
                <c:pt idx="181">
                  <c:v>46303.541666666657</c:v>
                </c:pt>
                <c:pt idx="182">
                  <c:v>46303.583333333343</c:v>
                </c:pt>
                <c:pt idx="183">
                  <c:v>46303.625</c:v>
                </c:pt>
                <c:pt idx="184">
                  <c:v>46303.666666666657</c:v>
                </c:pt>
                <c:pt idx="185">
                  <c:v>46303.708333333343</c:v>
                </c:pt>
                <c:pt idx="186">
                  <c:v>46303.75</c:v>
                </c:pt>
                <c:pt idx="187">
                  <c:v>46303.791666666657</c:v>
                </c:pt>
                <c:pt idx="188">
                  <c:v>46303.833333333343</c:v>
                </c:pt>
                <c:pt idx="189">
                  <c:v>46303.875</c:v>
                </c:pt>
                <c:pt idx="190">
                  <c:v>46303.916666666657</c:v>
                </c:pt>
                <c:pt idx="191">
                  <c:v>46303.958333333343</c:v>
                </c:pt>
                <c:pt idx="192">
                  <c:v>46304</c:v>
                </c:pt>
                <c:pt idx="193">
                  <c:v>46304.041666666657</c:v>
                </c:pt>
                <c:pt idx="194">
                  <c:v>46304.083333333343</c:v>
                </c:pt>
                <c:pt idx="195">
                  <c:v>46304.125</c:v>
                </c:pt>
                <c:pt idx="196">
                  <c:v>46304.166666666657</c:v>
                </c:pt>
                <c:pt idx="197">
                  <c:v>46304.208333333343</c:v>
                </c:pt>
                <c:pt idx="198">
                  <c:v>46304.25</c:v>
                </c:pt>
                <c:pt idx="199">
                  <c:v>46304.291666666657</c:v>
                </c:pt>
              </c:numCache>
            </c:numRef>
          </c:cat>
          <c:val>
            <c:numRef>
              <c:f>My_Practice!$L$2:$L$201</c:f>
              <c:numCache>
                <c:formatCode>General</c:formatCode>
                <c:ptCount val="200"/>
                <c:pt idx="0">
                  <c:v>0</c:v>
                </c:pt>
                <c:pt idx="1">
                  <c:v>0.36113690341564997</c:v>
                </c:pt>
                <c:pt idx="2">
                  <c:v>1.5791781761790125</c:v>
                </c:pt>
                <c:pt idx="3">
                  <c:v>2.4325792917731346</c:v>
                </c:pt>
                <c:pt idx="4">
                  <c:v>1.7089117276102961</c:v>
                </c:pt>
                <c:pt idx="5">
                  <c:v>2.8063750878202898E-2</c:v>
                </c:pt>
                <c:pt idx="6">
                  <c:v>0</c:v>
                </c:pt>
                <c:pt idx="7">
                  <c:v>0.32467288769872593</c:v>
                </c:pt>
                <c:pt idx="8">
                  <c:v>1.1233779797174621</c:v>
                </c:pt>
                <c:pt idx="9">
                  <c:v>4.0187639754593292</c:v>
                </c:pt>
                <c:pt idx="10">
                  <c:v>4.7171930242565256</c:v>
                </c:pt>
                <c:pt idx="11">
                  <c:v>4.549601699776777</c:v>
                </c:pt>
                <c:pt idx="12">
                  <c:v>3.7712381120385521</c:v>
                </c:pt>
                <c:pt idx="13">
                  <c:v>4.8981193455096044</c:v>
                </c:pt>
                <c:pt idx="14">
                  <c:v>3.9921317027621459</c:v>
                </c:pt>
                <c:pt idx="15">
                  <c:v>3.9248164215039374</c:v>
                </c:pt>
                <c:pt idx="16">
                  <c:v>3.8848491520334232</c:v>
                </c:pt>
                <c:pt idx="17">
                  <c:v>3.6807938118367507</c:v>
                </c:pt>
                <c:pt idx="18">
                  <c:v>3.2214903616216102</c:v>
                </c:pt>
                <c:pt idx="19">
                  <c:v>4.4212996265265101</c:v>
                </c:pt>
                <c:pt idx="20">
                  <c:v>5.2017727106867842</c:v>
                </c:pt>
                <c:pt idx="21">
                  <c:v>4.077000973637781</c:v>
                </c:pt>
                <c:pt idx="22">
                  <c:v>4.1737737631057312</c:v>
                </c:pt>
                <c:pt idx="23">
                  <c:v>2.7481738963921041</c:v>
                </c:pt>
                <c:pt idx="24">
                  <c:v>3.0819627880200602</c:v>
                </c:pt>
                <c:pt idx="25">
                  <c:v>3.8077398486049479</c:v>
                </c:pt>
                <c:pt idx="26">
                  <c:v>3.8042365948513579</c:v>
                </c:pt>
                <c:pt idx="27">
                  <c:v>3.3631651524946795</c:v>
                </c:pt>
                <c:pt idx="28">
                  <c:v>2.1381173722241344</c:v>
                </c:pt>
                <c:pt idx="29">
                  <c:v>1.578537878787454</c:v>
                </c:pt>
                <c:pt idx="30">
                  <c:v>0</c:v>
                </c:pt>
                <c:pt idx="31">
                  <c:v>0</c:v>
                </c:pt>
                <c:pt idx="32">
                  <c:v>1.0904172177541283</c:v>
                </c:pt>
                <c:pt idx="33">
                  <c:v>0</c:v>
                </c:pt>
                <c:pt idx="34">
                  <c:v>0.96279316274489424</c:v>
                </c:pt>
                <c:pt idx="35">
                  <c:v>0.78608583433591384</c:v>
                </c:pt>
                <c:pt idx="36">
                  <c:v>0</c:v>
                </c:pt>
                <c:pt idx="37">
                  <c:v>0.2882088719818019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1.3638973356310584</c:v>
                </c:pt>
                <c:pt idx="44">
                  <c:v>0.40321366930821367</c:v>
                </c:pt>
                <c:pt idx="45">
                  <c:v>0.25385435268692735</c:v>
                </c:pt>
                <c:pt idx="46">
                  <c:v>0</c:v>
                </c:pt>
                <c:pt idx="47">
                  <c:v>0</c:v>
                </c:pt>
                <c:pt idx="48">
                  <c:v>0.98102517060335637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0.71666105665565816</c:v>
                </c:pt>
                <c:pt idx="53">
                  <c:v>1.4606701250990084</c:v>
                </c:pt>
                <c:pt idx="54">
                  <c:v>0.81904659629924792</c:v>
                </c:pt>
                <c:pt idx="55">
                  <c:v>4.0683008561023248E-2</c:v>
                </c:pt>
                <c:pt idx="56">
                  <c:v>0.74822806128744934</c:v>
                </c:pt>
                <c:pt idx="57">
                  <c:v>1.0364369332692513</c:v>
                </c:pt>
                <c:pt idx="58">
                  <c:v>1.0967457070202771</c:v>
                </c:pt>
                <c:pt idx="59">
                  <c:v>3.1169953255559681</c:v>
                </c:pt>
                <c:pt idx="60">
                  <c:v>2.4115597692515918</c:v>
                </c:pt>
                <c:pt idx="61">
                  <c:v>0.6395517532271886</c:v>
                </c:pt>
                <c:pt idx="62">
                  <c:v>0</c:v>
                </c:pt>
                <c:pt idx="63">
                  <c:v>0</c:v>
                </c:pt>
                <c:pt idx="64">
                  <c:v>0.31555688376949398</c:v>
                </c:pt>
                <c:pt idx="65">
                  <c:v>0</c:v>
                </c:pt>
                <c:pt idx="66">
                  <c:v>0.65284902915104215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0.18793282876025985</c:v>
                </c:pt>
                <c:pt idx="71">
                  <c:v>0</c:v>
                </c:pt>
                <c:pt idx="72">
                  <c:v>1.6282614495787586</c:v>
                </c:pt>
                <c:pt idx="73">
                  <c:v>1.4789021329574723</c:v>
                </c:pt>
                <c:pt idx="74">
                  <c:v>0</c:v>
                </c:pt>
                <c:pt idx="75">
                  <c:v>0.22439684447718389</c:v>
                </c:pt>
                <c:pt idx="76">
                  <c:v>0.80431784219437796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0.51610897021257607</c:v>
                </c:pt>
                <c:pt idx="82">
                  <c:v>1.141609987575924</c:v>
                </c:pt>
                <c:pt idx="83">
                  <c:v>0.10799828981923121</c:v>
                </c:pt>
                <c:pt idx="84">
                  <c:v>0.57852724038565329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1.0266051902495124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1.6464934574372208</c:v>
                </c:pt>
                <c:pt idx="98">
                  <c:v>1.3877420936651623</c:v>
                </c:pt>
                <c:pt idx="99">
                  <c:v>1.5392109067084982</c:v>
                </c:pt>
                <c:pt idx="100">
                  <c:v>4.3525528670872857</c:v>
                </c:pt>
                <c:pt idx="101">
                  <c:v>7.7037390592907009</c:v>
                </c:pt>
                <c:pt idx="102">
                  <c:v>12.048569679780295</c:v>
                </c:pt>
                <c:pt idx="103">
                  <c:v>15.664119985931411</c:v>
                </c:pt>
                <c:pt idx="104">
                  <c:v>18.687130036682511</c:v>
                </c:pt>
                <c:pt idx="105">
                  <c:v>21.500471997061297</c:v>
                </c:pt>
                <c:pt idx="106">
                  <c:v>24.3776259849447</c:v>
                </c:pt>
                <c:pt idx="107">
                  <c:v>24.930198970874201</c:v>
                </c:pt>
                <c:pt idx="108">
                  <c:v>26.11177622792064</c:v>
                </c:pt>
                <c:pt idx="109">
                  <c:v>27.348049508542463</c:v>
                </c:pt>
                <c:pt idx="110">
                  <c:v>28.447582730225822</c:v>
                </c:pt>
                <c:pt idx="111">
                  <c:v>30.303744278035353</c:v>
                </c:pt>
                <c:pt idx="112">
                  <c:v>32.798026100891057</c:v>
                </c:pt>
                <c:pt idx="113">
                  <c:v>35.474628002331379</c:v>
                </c:pt>
                <c:pt idx="114">
                  <c:v>37.877749785894771</c:v>
                </c:pt>
                <c:pt idx="115">
                  <c:v>40.35379960089201</c:v>
                </c:pt>
                <c:pt idx="116">
                  <c:v>41.398636798999988</c:v>
                </c:pt>
                <c:pt idx="117">
                  <c:v>42.416125985320271</c:v>
                </c:pt>
                <c:pt idx="118">
                  <c:v>43.51565920700363</c:v>
                </c:pt>
                <c:pt idx="119">
                  <c:v>43.43922792181619</c:v>
                </c:pt>
                <c:pt idx="120">
                  <c:v>44.830473269234943</c:v>
                </c:pt>
                <c:pt idx="121">
                  <c:v>46.559010762035243</c:v>
                </c:pt>
                <c:pt idx="122">
                  <c:v>48.451636325561701</c:v>
                </c:pt>
                <c:pt idx="123">
                  <c:v>51.82105452562358</c:v>
                </c:pt>
                <c:pt idx="124">
                  <c:v>51.726391232577683</c:v>
                </c:pt>
                <c:pt idx="125">
                  <c:v>53.573436776457982</c:v>
                </c:pt>
                <c:pt idx="126">
                  <c:v>56.68760686650139</c:v>
                </c:pt>
                <c:pt idx="127">
                  <c:v>59.072496642206325</c:v>
                </c:pt>
                <c:pt idx="128">
                  <c:v>60.746338111431236</c:v>
                </c:pt>
                <c:pt idx="129">
                  <c:v>61.891451352760747</c:v>
                </c:pt>
                <c:pt idx="130">
                  <c:v>62.990984574444106</c:v>
                </c:pt>
                <c:pt idx="131">
                  <c:v>64.509853976872094</c:v>
                </c:pt>
                <c:pt idx="132">
                  <c:v>67.323195937250887</c:v>
                </c:pt>
                <c:pt idx="133">
                  <c:v>69.334329551857351</c:v>
                </c:pt>
                <c:pt idx="134">
                  <c:v>71.071983048586887</c:v>
                </c:pt>
                <c:pt idx="135">
                  <c:v>71.533395995224083</c:v>
                </c:pt>
                <c:pt idx="136">
                  <c:v>72.414145122605902</c:v>
                </c:pt>
                <c:pt idx="137">
                  <c:v>72.273901809913852</c:v>
                </c:pt>
                <c:pt idx="138">
                  <c:v>74.193875385227997</c:v>
                </c:pt>
                <c:pt idx="139">
                  <c:v>75.056392504751358</c:v>
                </c:pt>
                <c:pt idx="140">
                  <c:v>75.499573443530082</c:v>
                </c:pt>
                <c:pt idx="141">
                  <c:v>75.897174362662653</c:v>
                </c:pt>
                <c:pt idx="142">
                  <c:v>77.835379945835257</c:v>
                </c:pt>
                <c:pt idx="143">
                  <c:v>78.460880963198605</c:v>
                </c:pt>
                <c:pt idx="144">
                  <c:v>78.648813791958858</c:v>
                </c:pt>
                <c:pt idx="145">
                  <c:v>78.107466306380644</c:v>
                </c:pt>
                <c:pt idx="146">
                  <c:v>78.413907186220911</c:v>
                </c:pt>
                <c:pt idx="147">
                  <c:v>80.060400643658127</c:v>
                </c:pt>
                <c:pt idx="148">
                  <c:v>82.126230281839966</c:v>
                </c:pt>
                <c:pt idx="149">
                  <c:v>83.016095413151007</c:v>
                </c:pt>
                <c:pt idx="150">
                  <c:v>84.188556666268212</c:v>
                </c:pt>
                <c:pt idx="151">
                  <c:v>86.992782622717769</c:v>
                </c:pt>
                <c:pt idx="152">
                  <c:v>88.274635922985752</c:v>
                </c:pt>
                <c:pt idx="153">
                  <c:v>89.757041309696817</c:v>
                </c:pt>
                <c:pt idx="154">
                  <c:v>91.686130888940198</c:v>
                </c:pt>
                <c:pt idx="155">
                  <c:v>93.232348303155874</c:v>
                </c:pt>
                <c:pt idx="156">
                  <c:v>94.532433611282315</c:v>
                </c:pt>
                <c:pt idx="157">
                  <c:v>95.559038801531827</c:v>
                </c:pt>
                <c:pt idx="158">
                  <c:v>96.540063972135187</c:v>
                </c:pt>
                <c:pt idx="159">
                  <c:v>96.718880796966218</c:v>
                </c:pt>
                <c:pt idx="160">
                  <c:v>98.310678230828046</c:v>
                </c:pt>
                <c:pt idx="161">
                  <c:v>101.07844017156069</c:v>
                </c:pt>
                <c:pt idx="162">
                  <c:v>103.043993766521</c:v>
                </c:pt>
                <c:pt idx="163">
                  <c:v>104.13441098427512</c:v>
                </c:pt>
                <c:pt idx="164">
                  <c:v>107.11184101538007</c:v>
                </c:pt>
                <c:pt idx="165">
                  <c:v>108.00170614669111</c:v>
                </c:pt>
                <c:pt idx="166">
                  <c:v>109.52969155304832</c:v>
                </c:pt>
                <c:pt idx="167">
                  <c:v>110.37397666471321</c:v>
                </c:pt>
                <c:pt idx="168">
                  <c:v>110.06052927736577</c:v>
                </c:pt>
                <c:pt idx="169">
                  <c:v>111.52470265621838</c:v>
                </c:pt>
                <c:pt idx="170">
                  <c:v>113.462908239391</c:v>
                </c:pt>
                <c:pt idx="171">
                  <c:v>115.00000964967745</c:v>
                </c:pt>
                <c:pt idx="172">
                  <c:v>117.48517546860393</c:v>
                </c:pt>
                <c:pt idx="173">
                  <c:v>119.94299327574271</c:v>
                </c:pt>
                <c:pt idx="174">
                  <c:v>121.75357480390609</c:v>
                </c:pt>
                <c:pt idx="175">
                  <c:v>122.18763973875559</c:v>
                </c:pt>
                <c:pt idx="176">
                  <c:v>124.78219760483283</c:v>
                </c:pt>
                <c:pt idx="177">
                  <c:v>125.38035061040848</c:v>
                </c:pt>
                <c:pt idx="178">
                  <c:v>128.57656473581497</c:v>
                </c:pt>
                <c:pt idx="179">
                  <c:v>128.38162539954752</c:v>
                </c:pt>
                <c:pt idx="180">
                  <c:v>129.49027462516011</c:v>
                </c:pt>
                <c:pt idx="181">
                  <c:v>130.40748776825885</c:v>
                </c:pt>
                <c:pt idx="182">
                  <c:v>129.06393193690829</c:v>
                </c:pt>
                <c:pt idx="183">
                  <c:v>130.9109774807886</c:v>
                </c:pt>
                <c:pt idx="184">
                  <c:v>131.20830235669965</c:v>
                </c:pt>
                <c:pt idx="185">
                  <c:v>132.10728349193994</c:v>
                </c:pt>
                <c:pt idx="186">
                  <c:v>133.88140100438639</c:v>
                </c:pt>
                <c:pt idx="187">
                  <c:v>137.4696032987498</c:v>
                </c:pt>
                <c:pt idx="188">
                  <c:v>138.80615262259317</c:v>
                </c:pt>
                <c:pt idx="189">
                  <c:v>139.81452580498421</c:v>
                </c:pt>
                <c:pt idx="190">
                  <c:v>140.85024699916295</c:v>
                </c:pt>
                <c:pt idx="191">
                  <c:v>143.09839671592943</c:v>
                </c:pt>
                <c:pt idx="192">
                  <c:v>143.64185369792969</c:v>
                </c:pt>
                <c:pt idx="193">
                  <c:v>146.09055550113925</c:v>
                </c:pt>
                <c:pt idx="194">
                  <c:v>147.72793295464723</c:v>
                </c:pt>
                <c:pt idx="195">
                  <c:v>148.8274661763306</c:v>
                </c:pt>
                <c:pt idx="196">
                  <c:v>148.17672664360163</c:v>
                </c:pt>
                <c:pt idx="197">
                  <c:v>148.41935549593728</c:v>
                </c:pt>
                <c:pt idx="198">
                  <c:v>150.03850094158682</c:v>
                </c:pt>
                <c:pt idx="199">
                  <c:v>152.97946695697485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A-4577-BACA-2682FDD8243A}"/>
            </c:ext>
          </c:extLst>
        </c:ser>
        <c:ser>
          <c:idx val="1"/>
          <c:order val="1"/>
          <c:tx>
            <c:strRef>
              <c:f>My_Practice!$M$1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My_Practice!$A$2:$A$201</c:f>
              <c:numCache>
                <c:formatCode>yyyy\-mm\-dd\ hh:mm:ss</c:formatCode>
                <c:ptCount val="200"/>
                <c:pt idx="0">
                  <c:v>46296</c:v>
                </c:pt>
                <c:pt idx="1">
                  <c:v>46296.041666666657</c:v>
                </c:pt>
                <c:pt idx="2">
                  <c:v>46296.083333333343</c:v>
                </c:pt>
                <c:pt idx="3">
                  <c:v>46296.125</c:v>
                </c:pt>
                <c:pt idx="4">
                  <c:v>46296.166666666657</c:v>
                </c:pt>
                <c:pt idx="5">
                  <c:v>46296.208333333343</c:v>
                </c:pt>
                <c:pt idx="6">
                  <c:v>46296.25</c:v>
                </c:pt>
                <c:pt idx="7">
                  <c:v>46296.291666666657</c:v>
                </c:pt>
                <c:pt idx="8">
                  <c:v>46296.333333333343</c:v>
                </c:pt>
                <c:pt idx="9">
                  <c:v>46296.375</c:v>
                </c:pt>
                <c:pt idx="10">
                  <c:v>46296.416666666657</c:v>
                </c:pt>
                <c:pt idx="11">
                  <c:v>46296.458333333343</c:v>
                </c:pt>
                <c:pt idx="12">
                  <c:v>46296.5</c:v>
                </c:pt>
                <c:pt idx="13">
                  <c:v>46296.541666666657</c:v>
                </c:pt>
                <c:pt idx="14">
                  <c:v>46296.583333333343</c:v>
                </c:pt>
                <c:pt idx="15">
                  <c:v>46296.625</c:v>
                </c:pt>
                <c:pt idx="16">
                  <c:v>46296.666666666657</c:v>
                </c:pt>
                <c:pt idx="17">
                  <c:v>46296.708333333343</c:v>
                </c:pt>
                <c:pt idx="18">
                  <c:v>46296.75</c:v>
                </c:pt>
                <c:pt idx="19">
                  <c:v>46296.791666666657</c:v>
                </c:pt>
                <c:pt idx="20">
                  <c:v>46296.833333333343</c:v>
                </c:pt>
                <c:pt idx="21">
                  <c:v>46296.875</c:v>
                </c:pt>
                <c:pt idx="22">
                  <c:v>46296.916666666657</c:v>
                </c:pt>
                <c:pt idx="23">
                  <c:v>46296.958333333343</c:v>
                </c:pt>
                <c:pt idx="24">
                  <c:v>46297</c:v>
                </c:pt>
                <c:pt idx="25">
                  <c:v>46297.041666666657</c:v>
                </c:pt>
                <c:pt idx="26">
                  <c:v>46297.083333333343</c:v>
                </c:pt>
                <c:pt idx="27">
                  <c:v>46297.125</c:v>
                </c:pt>
                <c:pt idx="28">
                  <c:v>46297.166666666657</c:v>
                </c:pt>
                <c:pt idx="29">
                  <c:v>46297.208333333343</c:v>
                </c:pt>
                <c:pt idx="30">
                  <c:v>46297.25</c:v>
                </c:pt>
                <c:pt idx="31">
                  <c:v>46297.291666666657</c:v>
                </c:pt>
                <c:pt idx="32">
                  <c:v>46297.333333333343</c:v>
                </c:pt>
                <c:pt idx="33">
                  <c:v>46297.375</c:v>
                </c:pt>
                <c:pt idx="34">
                  <c:v>46297.416666666657</c:v>
                </c:pt>
                <c:pt idx="35">
                  <c:v>46297.458333333343</c:v>
                </c:pt>
                <c:pt idx="36">
                  <c:v>46297.5</c:v>
                </c:pt>
                <c:pt idx="37">
                  <c:v>46297.541666666657</c:v>
                </c:pt>
                <c:pt idx="38">
                  <c:v>46297.583333333343</c:v>
                </c:pt>
                <c:pt idx="39">
                  <c:v>46297.625</c:v>
                </c:pt>
                <c:pt idx="40">
                  <c:v>46297.666666666657</c:v>
                </c:pt>
                <c:pt idx="41">
                  <c:v>46297.708333333343</c:v>
                </c:pt>
                <c:pt idx="42">
                  <c:v>46297.75</c:v>
                </c:pt>
                <c:pt idx="43">
                  <c:v>46297.791666666657</c:v>
                </c:pt>
                <c:pt idx="44">
                  <c:v>46297.833333333343</c:v>
                </c:pt>
                <c:pt idx="45">
                  <c:v>46297.875</c:v>
                </c:pt>
                <c:pt idx="46">
                  <c:v>46297.916666666657</c:v>
                </c:pt>
                <c:pt idx="47">
                  <c:v>46297.958333333343</c:v>
                </c:pt>
                <c:pt idx="48">
                  <c:v>46298</c:v>
                </c:pt>
                <c:pt idx="49">
                  <c:v>46298.041666666657</c:v>
                </c:pt>
                <c:pt idx="50">
                  <c:v>46298.083333333343</c:v>
                </c:pt>
                <c:pt idx="51">
                  <c:v>46298.125</c:v>
                </c:pt>
                <c:pt idx="52">
                  <c:v>46298.166666666657</c:v>
                </c:pt>
                <c:pt idx="53">
                  <c:v>46298.208333333343</c:v>
                </c:pt>
                <c:pt idx="54">
                  <c:v>46298.25</c:v>
                </c:pt>
                <c:pt idx="55">
                  <c:v>46298.291666666657</c:v>
                </c:pt>
                <c:pt idx="56">
                  <c:v>46298.333333333343</c:v>
                </c:pt>
                <c:pt idx="57">
                  <c:v>46298.375</c:v>
                </c:pt>
                <c:pt idx="58">
                  <c:v>46298.416666666657</c:v>
                </c:pt>
                <c:pt idx="59">
                  <c:v>46298.458333333343</c:v>
                </c:pt>
                <c:pt idx="60">
                  <c:v>46298.5</c:v>
                </c:pt>
                <c:pt idx="61">
                  <c:v>46298.541666666657</c:v>
                </c:pt>
                <c:pt idx="62">
                  <c:v>46298.583333333343</c:v>
                </c:pt>
                <c:pt idx="63">
                  <c:v>46298.625</c:v>
                </c:pt>
                <c:pt idx="64">
                  <c:v>46298.666666666657</c:v>
                </c:pt>
                <c:pt idx="65">
                  <c:v>46298.708333333343</c:v>
                </c:pt>
                <c:pt idx="66">
                  <c:v>46298.75</c:v>
                </c:pt>
                <c:pt idx="67">
                  <c:v>46298.791666666657</c:v>
                </c:pt>
                <c:pt idx="68">
                  <c:v>46298.833333333343</c:v>
                </c:pt>
                <c:pt idx="69">
                  <c:v>46298.875</c:v>
                </c:pt>
                <c:pt idx="70">
                  <c:v>46298.916666666657</c:v>
                </c:pt>
                <c:pt idx="71">
                  <c:v>46298.958333333343</c:v>
                </c:pt>
                <c:pt idx="72">
                  <c:v>46299</c:v>
                </c:pt>
                <c:pt idx="73">
                  <c:v>46299.041666666657</c:v>
                </c:pt>
                <c:pt idx="74">
                  <c:v>46299.083333333343</c:v>
                </c:pt>
                <c:pt idx="75">
                  <c:v>46299.125</c:v>
                </c:pt>
                <c:pt idx="76">
                  <c:v>46299.166666666657</c:v>
                </c:pt>
                <c:pt idx="77">
                  <c:v>46299.208333333343</c:v>
                </c:pt>
                <c:pt idx="78">
                  <c:v>46299.25</c:v>
                </c:pt>
                <c:pt idx="79">
                  <c:v>46299.291666666657</c:v>
                </c:pt>
                <c:pt idx="80">
                  <c:v>46299.333333333343</c:v>
                </c:pt>
                <c:pt idx="81">
                  <c:v>46299.375</c:v>
                </c:pt>
                <c:pt idx="82">
                  <c:v>46299.416666666657</c:v>
                </c:pt>
                <c:pt idx="83">
                  <c:v>46299.458333333343</c:v>
                </c:pt>
                <c:pt idx="84">
                  <c:v>46299.5</c:v>
                </c:pt>
                <c:pt idx="85">
                  <c:v>46299.541666666657</c:v>
                </c:pt>
                <c:pt idx="86">
                  <c:v>46299.583333333343</c:v>
                </c:pt>
                <c:pt idx="87">
                  <c:v>46299.625</c:v>
                </c:pt>
                <c:pt idx="88">
                  <c:v>46299.666666666657</c:v>
                </c:pt>
                <c:pt idx="89">
                  <c:v>46299.708333333343</c:v>
                </c:pt>
                <c:pt idx="90">
                  <c:v>46299.75</c:v>
                </c:pt>
                <c:pt idx="91">
                  <c:v>46299.791666666657</c:v>
                </c:pt>
                <c:pt idx="92">
                  <c:v>46299.833333333343</c:v>
                </c:pt>
                <c:pt idx="93">
                  <c:v>46299.875</c:v>
                </c:pt>
                <c:pt idx="94">
                  <c:v>46299.916666666657</c:v>
                </c:pt>
                <c:pt idx="95">
                  <c:v>46299.958333333343</c:v>
                </c:pt>
                <c:pt idx="96">
                  <c:v>46300</c:v>
                </c:pt>
                <c:pt idx="97">
                  <c:v>46300.041666666657</c:v>
                </c:pt>
                <c:pt idx="98">
                  <c:v>46300.083333333343</c:v>
                </c:pt>
                <c:pt idx="99">
                  <c:v>46300.125</c:v>
                </c:pt>
                <c:pt idx="100">
                  <c:v>46300.166666666657</c:v>
                </c:pt>
                <c:pt idx="101">
                  <c:v>46300.208333333343</c:v>
                </c:pt>
                <c:pt idx="102">
                  <c:v>46300.25</c:v>
                </c:pt>
                <c:pt idx="103">
                  <c:v>46300.291666666657</c:v>
                </c:pt>
                <c:pt idx="104">
                  <c:v>46300.333333333343</c:v>
                </c:pt>
                <c:pt idx="105">
                  <c:v>46300.375</c:v>
                </c:pt>
                <c:pt idx="106">
                  <c:v>46300.416666666657</c:v>
                </c:pt>
                <c:pt idx="107">
                  <c:v>46300.458333333343</c:v>
                </c:pt>
                <c:pt idx="108">
                  <c:v>46300.5</c:v>
                </c:pt>
                <c:pt idx="109">
                  <c:v>46300.541666666657</c:v>
                </c:pt>
                <c:pt idx="110">
                  <c:v>46300.583333333343</c:v>
                </c:pt>
                <c:pt idx="111">
                  <c:v>46300.625</c:v>
                </c:pt>
                <c:pt idx="112">
                  <c:v>46300.666666666657</c:v>
                </c:pt>
                <c:pt idx="113">
                  <c:v>46300.708333333343</c:v>
                </c:pt>
                <c:pt idx="114">
                  <c:v>46300.75</c:v>
                </c:pt>
                <c:pt idx="115">
                  <c:v>46300.791666666657</c:v>
                </c:pt>
                <c:pt idx="116">
                  <c:v>46300.833333333343</c:v>
                </c:pt>
                <c:pt idx="117">
                  <c:v>46300.875</c:v>
                </c:pt>
                <c:pt idx="118">
                  <c:v>46300.916666666657</c:v>
                </c:pt>
                <c:pt idx="119">
                  <c:v>46300.958333333343</c:v>
                </c:pt>
                <c:pt idx="120">
                  <c:v>46301</c:v>
                </c:pt>
                <c:pt idx="121">
                  <c:v>46301.041666666657</c:v>
                </c:pt>
                <c:pt idx="122">
                  <c:v>46301.083333333343</c:v>
                </c:pt>
                <c:pt idx="123">
                  <c:v>46301.125</c:v>
                </c:pt>
                <c:pt idx="124">
                  <c:v>46301.166666666657</c:v>
                </c:pt>
                <c:pt idx="125">
                  <c:v>46301.208333333343</c:v>
                </c:pt>
                <c:pt idx="126">
                  <c:v>46301.25</c:v>
                </c:pt>
                <c:pt idx="127">
                  <c:v>46301.291666666657</c:v>
                </c:pt>
                <c:pt idx="128">
                  <c:v>46301.333333333343</c:v>
                </c:pt>
                <c:pt idx="129">
                  <c:v>46301.375</c:v>
                </c:pt>
                <c:pt idx="130">
                  <c:v>46301.416666666657</c:v>
                </c:pt>
                <c:pt idx="131">
                  <c:v>46301.458333333343</c:v>
                </c:pt>
                <c:pt idx="132">
                  <c:v>46301.5</c:v>
                </c:pt>
                <c:pt idx="133">
                  <c:v>46301.541666666657</c:v>
                </c:pt>
                <c:pt idx="134">
                  <c:v>46301.583333333343</c:v>
                </c:pt>
                <c:pt idx="135">
                  <c:v>46301.625</c:v>
                </c:pt>
                <c:pt idx="136">
                  <c:v>46301.666666666657</c:v>
                </c:pt>
                <c:pt idx="137">
                  <c:v>46301.708333333343</c:v>
                </c:pt>
                <c:pt idx="138">
                  <c:v>46301.75</c:v>
                </c:pt>
                <c:pt idx="139">
                  <c:v>46301.791666666657</c:v>
                </c:pt>
                <c:pt idx="140">
                  <c:v>46301.833333333343</c:v>
                </c:pt>
                <c:pt idx="141">
                  <c:v>46301.875</c:v>
                </c:pt>
                <c:pt idx="142">
                  <c:v>46301.916666666657</c:v>
                </c:pt>
                <c:pt idx="143">
                  <c:v>46301.958333333343</c:v>
                </c:pt>
                <c:pt idx="144">
                  <c:v>46302</c:v>
                </c:pt>
                <c:pt idx="145">
                  <c:v>46302.041666666657</c:v>
                </c:pt>
                <c:pt idx="146">
                  <c:v>46302.083333333343</c:v>
                </c:pt>
                <c:pt idx="147">
                  <c:v>46302.125</c:v>
                </c:pt>
                <c:pt idx="148">
                  <c:v>46302.166666666657</c:v>
                </c:pt>
                <c:pt idx="149">
                  <c:v>46302.208333333343</c:v>
                </c:pt>
                <c:pt idx="150">
                  <c:v>46302.25</c:v>
                </c:pt>
                <c:pt idx="151">
                  <c:v>46302.291666666657</c:v>
                </c:pt>
                <c:pt idx="152">
                  <c:v>46302.333333333343</c:v>
                </c:pt>
                <c:pt idx="153">
                  <c:v>46302.375</c:v>
                </c:pt>
                <c:pt idx="154">
                  <c:v>46302.416666666657</c:v>
                </c:pt>
                <c:pt idx="155">
                  <c:v>46302.458333333343</c:v>
                </c:pt>
                <c:pt idx="156">
                  <c:v>46302.5</c:v>
                </c:pt>
                <c:pt idx="157">
                  <c:v>46302.541666666657</c:v>
                </c:pt>
                <c:pt idx="158">
                  <c:v>46302.583333333343</c:v>
                </c:pt>
                <c:pt idx="159">
                  <c:v>46302.625</c:v>
                </c:pt>
                <c:pt idx="160">
                  <c:v>46302.666666666657</c:v>
                </c:pt>
                <c:pt idx="161">
                  <c:v>46302.708333333343</c:v>
                </c:pt>
                <c:pt idx="162">
                  <c:v>46302.75</c:v>
                </c:pt>
                <c:pt idx="163">
                  <c:v>46302.791666666657</c:v>
                </c:pt>
                <c:pt idx="164">
                  <c:v>46302.833333333343</c:v>
                </c:pt>
                <c:pt idx="165">
                  <c:v>46302.875</c:v>
                </c:pt>
                <c:pt idx="166">
                  <c:v>46302.916666666657</c:v>
                </c:pt>
                <c:pt idx="167">
                  <c:v>46302.958333333343</c:v>
                </c:pt>
                <c:pt idx="168">
                  <c:v>46303</c:v>
                </c:pt>
                <c:pt idx="169">
                  <c:v>46303.041666666657</c:v>
                </c:pt>
                <c:pt idx="170">
                  <c:v>46303.083333333343</c:v>
                </c:pt>
                <c:pt idx="171">
                  <c:v>46303.125</c:v>
                </c:pt>
                <c:pt idx="172">
                  <c:v>46303.166666666657</c:v>
                </c:pt>
                <c:pt idx="173">
                  <c:v>46303.208333333343</c:v>
                </c:pt>
                <c:pt idx="174">
                  <c:v>46303.25</c:v>
                </c:pt>
                <c:pt idx="175">
                  <c:v>46303.291666666657</c:v>
                </c:pt>
                <c:pt idx="176">
                  <c:v>46303.333333333343</c:v>
                </c:pt>
                <c:pt idx="177">
                  <c:v>46303.375</c:v>
                </c:pt>
                <c:pt idx="178">
                  <c:v>46303.416666666657</c:v>
                </c:pt>
                <c:pt idx="179">
                  <c:v>46303.458333333343</c:v>
                </c:pt>
                <c:pt idx="180">
                  <c:v>46303.5</c:v>
                </c:pt>
                <c:pt idx="181">
                  <c:v>46303.541666666657</c:v>
                </c:pt>
                <c:pt idx="182">
                  <c:v>46303.583333333343</c:v>
                </c:pt>
                <c:pt idx="183">
                  <c:v>46303.625</c:v>
                </c:pt>
                <c:pt idx="184">
                  <c:v>46303.666666666657</c:v>
                </c:pt>
                <c:pt idx="185">
                  <c:v>46303.708333333343</c:v>
                </c:pt>
                <c:pt idx="186">
                  <c:v>46303.75</c:v>
                </c:pt>
                <c:pt idx="187">
                  <c:v>46303.791666666657</c:v>
                </c:pt>
                <c:pt idx="188">
                  <c:v>46303.833333333343</c:v>
                </c:pt>
                <c:pt idx="189">
                  <c:v>46303.875</c:v>
                </c:pt>
                <c:pt idx="190">
                  <c:v>46303.916666666657</c:v>
                </c:pt>
                <c:pt idx="191">
                  <c:v>46303.958333333343</c:v>
                </c:pt>
                <c:pt idx="192">
                  <c:v>46304</c:v>
                </c:pt>
                <c:pt idx="193">
                  <c:v>46304.041666666657</c:v>
                </c:pt>
                <c:pt idx="194">
                  <c:v>46304.083333333343</c:v>
                </c:pt>
                <c:pt idx="195">
                  <c:v>46304.125</c:v>
                </c:pt>
                <c:pt idx="196">
                  <c:v>46304.166666666657</c:v>
                </c:pt>
                <c:pt idx="197">
                  <c:v>46304.208333333343</c:v>
                </c:pt>
                <c:pt idx="198">
                  <c:v>46304.25</c:v>
                </c:pt>
                <c:pt idx="199">
                  <c:v>46304.291666666657</c:v>
                </c:pt>
              </c:numCache>
            </c:numRef>
          </c:cat>
          <c:val>
            <c:numRef>
              <c:f>My_Practice!$M$2:$M$201</c:f>
              <c:numCache>
                <c:formatCode>General</c:formatCode>
                <c:ptCount val="20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  <c:pt idx="72">
                  <c:v>0.5</c:v>
                </c:pt>
                <c:pt idx="73">
                  <c:v>0.5</c:v>
                </c:pt>
                <c:pt idx="74">
                  <c:v>0.5</c:v>
                </c:pt>
                <c:pt idx="75">
                  <c:v>0.5</c:v>
                </c:pt>
                <c:pt idx="76">
                  <c:v>0.5</c:v>
                </c:pt>
                <c:pt idx="77">
                  <c:v>0.5</c:v>
                </c:pt>
                <c:pt idx="78">
                  <c:v>0.5</c:v>
                </c:pt>
                <c:pt idx="79">
                  <c:v>0.5</c:v>
                </c:pt>
                <c:pt idx="80">
                  <c:v>0.5</c:v>
                </c:pt>
                <c:pt idx="81">
                  <c:v>0.5</c:v>
                </c:pt>
                <c:pt idx="82">
                  <c:v>0.5</c:v>
                </c:pt>
                <c:pt idx="83">
                  <c:v>0.5</c:v>
                </c:pt>
                <c:pt idx="84">
                  <c:v>0.5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</c:v>
                </c:pt>
                <c:pt idx="89">
                  <c:v>0.5</c:v>
                </c:pt>
                <c:pt idx="90">
                  <c:v>0.5</c:v>
                </c:pt>
                <c:pt idx="91">
                  <c:v>0.5</c:v>
                </c:pt>
                <c:pt idx="92">
                  <c:v>0.5</c:v>
                </c:pt>
                <c:pt idx="93">
                  <c:v>0.5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</c:v>
                </c:pt>
                <c:pt idx="98">
                  <c:v>0.5</c:v>
                </c:pt>
                <c:pt idx="99">
                  <c:v>0.5</c:v>
                </c:pt>
                <c:pt idx="100">
                  <c:v>0.5</c:v>
                </c:pt>
                <c:pt idx="101">
                  <c:v>0.5</c:v>
                </c:pt>
                <c:pt idx="102">
                  <c:v>0.5</c:v>
                </c:pt>
                <c:pt idx="103">
                  <c:v>0.5</c:v>
                </c:pt>
                <c:pt idx="104">
                  <c:v>0.5</c:v>
                </c:pt>
                <c:pt idx="105">
                  <c:v>0.5</c:v>
                </c:pt>
                <c:pt idx="106">
                  <c:v>0.5</c:v>
                </c:pt>
                <c:pt idx="107">
                  <c:v>0.5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  <c:pt idx="155">
                  <c:v>0.5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A-4577-BACA-2682FDD82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175232"/>
        <c:axId val="559995024"/>
      </c:lineChart>
      <c:catAx>
        <c:axId val="553175232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95024"/>
        <c:crosses val="autoZero"/>
        <c:auto val="0"/>
        <c:lblAlgn val="ctr"/>
        <c:lblOffset val="100"/>
        <c:noMultiLvlLbl val="0"/>
      </c:catAx>
      <c:valAx>
        <c:axId val="55999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17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175260</xdr:colOff>
      <xdr:row>0</xdr:row>
      <xdr:rowOff>53340</xdr:rowOff>
    </xdr:from>
    <xdr:to>
      <xdr:col>28</xdr:col>
      <xdr:colOff>22860</xdr:colOff>
      <xdr:row>23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FC27DA-C50F-A129-6AB9-914E013AB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632460</xdr:colOff>
      <xdr:row>23</xdr:row>
      <xdr:rowOff>68580</xdr:rowOff>
    </xdr:from>
    <xdr:to>
      <xdr:col>28</xdr:col>
      <xdr:colOff>175260</xdr:colOff>
      <xdr:row>47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8B3BB1-73F6-FA2E-863B-D75082003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1"/>
  <sheetViews>
    <sheetView workbookViewId="0">
      <selection activeCell="W1" sqref="A1:W1048576"/>
    </sheetView>
  </sheetViews>
  <sheetFormatPr defaultRowHeight="14.4"/>
  <cols>
    <col min="1" max="1" width="18.109375" bestFit="1" customWidth="1"/>
    <col min="2" max="2" width="15.21875" bestFit="1" customWidth="1"/>
    <col min="3" max="3" width="11.109375" bestFit="1" customWidth="1"/>
    <col min="4" max="4" width="11.6640625" bestFit="1" customWidth="1"/>
    <col min="5" max="5" width="18.5546875" bestFit="1" customWidth="1"/>
    <col min="6" max="6" width="13.6640625" bestFit="1" customWidth="1"/>
    <col min="7" max="7" width="11.5546875" bestFit="1" customWidth="1"/>
    <col min="8" max="8" width="18.5546875" bestFit="1" customWidth="1"/>
    <col min="9" max="9" width="11.6640625" bestFit="1" customWidth="1"/>
    <col min="10" max="10" width="7.21875" bestFit="1" customWidth="1"/>
    <col min="11" max="11" width="18" bestFit="1" customWidth="1"/>
    <col min="12" max="12" width="10.77734375" bestFit="1" customWidth="1"/>
    <col min="13" max="13" width="8.33203125" bestFit="1" customWidth="1"/>
    <col min="20" max="20" width="16.33203125" bestFit="1" customWidth="1"/>
  </cols>
  <sheetData>
    <row r="1" spans="1:2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</row>
    <row r="2" spans="1:23">
      <c r="A2" s="2">
        <v>46296</v>
      </c>
      <c r="B2" t="s">
        <v>37</v>
      </c>
      <c r="C2">
        <v>75.989999999999995</v>
      </c>
      <c r="D2">
        <v>1942</v>
      </c>
      <c r="E2">
        <v>17.86</v>
      </c>
      <c r="F2">
        <v>331.4</v>
      </c>
      <c r="G2">
        <v>421</v>
      </c>
      <c r="H2">
        <v>1.4</v>
      </c>
      <c r="I2">
        <v>1.4450000000000001</v>
      </c>
      <c r="J2">
        <v>245.1</v>
      </c>
      <c r="K2">
        <v>1241.5999999999999</v>
      </c>
      <c r="L2">
        <v>2.4700000000000002</v>
      </c>
      <c r="M2">
        <v>46.4</v>
      </c>
      <c r="N2">
        <v>9146</v>
      </c>
      <c r="O2">
        <v>117707</v>
      </c>
      <c r="P2">
        <v>75.197999999999993</v>
      </c>
      <c r="Q2">
        <v>0.245</v>
      </c>
      <c r="R2">
        <v>0</v>
      </c>
      <c r="S2">
        <v>1.4890000000000001</v>
      </c>
      <c r="T2">
        <v>0</v>
      </c>
      <c r="U2">
        <v>0.4375</v>
      </c>
    </row>
    <row r="3" spans="1:23">
      <c r="A3" s="2">
        <v>46296.041666666657</v>
      </c>
      <c r="B3" t="s">
        <v>37</v>
      </c>
      <c r="C3">
        <v>75.06</v>
      </c>
      <c r="D3">
        <v>1877</v>
      </c>
      <c r="E3">
        <v>18.260000000000002</v>
      </c>
      <c r="F3">
        <v>306.2</v>
      </c>
      <c r="G3">
        <v>416.6</v>
      </c>
      <c r="H3">
        <v>0.92</v>
      </c>
      <c r="I3">
        <v>1.5880000000000001</v>
      </c>
      <c r="J3">
        <v>231.2</v>
      </c>
      <c r="K3">
        <v>1254.3</v>
      </c>
      <c r="L3">
        <v>2.71</v>
      </c>
      <c r="M3">
        <v>34.6</v>
      </c>
      <c r="N3">
        <v>9188</v>
      </c>
      <c r="O3">
        <v>114714</v>
      </c>
      <c r="P3">
        <v>75.17</v>
      </c>
      <c r="Q3">
        <v>2.5000000000000001E-2</v>
      </c>
      <c r="R3">
        <v>0</v>
      </c>
      <c r="S3">
        <v>1.5087999999999999</v>
      </c>
      <c r="T3">
        <v>0.85</v>
      </c>
      <c r="U3">
        <v>0</v>
      </c>
    </row>
    <row r="4" spans="1:23">
      <c r="A4" s="2">
        <v>46296.083333333343</v>
      </c>
      <c r="B4" t="s">
        <v>37</v>
      </c>
      <c r="C4">
        <v>75.7</v>
      </c>
      <c r="D4">
        <v>1904</v>
      </c>
      <c r="E4">
        <v>18.5</v>
      </c>
      <c r="F4">
        <v>333</v>
      </c>
      <c r="G4">
        <v>421</v>
      </c>
      <c r="H4">
        <v>0.06</v>
      </c>
      <c r="I4">
        <v>1.6819999999999999</v>
      </c>
      <c r="J4">
        <v>256.2</v>
      </c>
      <c r="K4">
        <v>1259.5</v>
      </c>
      <c r="L4">
        <v>2.4</v>
      </c>
      <c r="M4">
        <v>30.7</v>
      </c>
      <c r="N4">
        <v>9137</v>
      </c>
      <c r="O4">
        <v>116080</v>
      </c>
      <c r="P4">
        <v>75.275999999999996</v>
      </c>
      <c r="Q4">
        <v>0.125</v>
      </c>
      <c r="R4">
        <v>0</v>
      </c>
      <c r="S4">
        <v>1.5434000000000001</v>
      </c>
      <c r="T4">
        <v>2.875</v>
      </c>
      <c r="U4">
        <v>0</v>
      </c>
    </row>
    <row r="5" spans="1:23">
      <c r="A5" s="2">
        <v>46296.125</v>
      </c>
      <c r="B5" t="s">
        <v>37</v>
      </c>
      <c r="C5">
        <v>76.489999999999995</v>
      </c>
      <c r="D5">
        <v>1879</v>
      </c>
      <c r="E5">
        <v>18.52</v>
      </c>
      <c r="F5">
        <v>340.3</v>
      </c>
      <c r="G5">
        <v>424.3</v>
      </c>
      <c r="H5">
        <v>-0.65</v>
      </c>
      <c r="I5">
        <v>1.6419999999999999</v>
      </c>
      <c r="J5">
        <v>243.6</v>
      </c>
      <c r="K5">
        <v>1255.8</v>
      </c>
      <c r="L5">
        <v>2.38</v>
      </c>
      <c r="M5">
        <v>25.9</v>
      </c>
      <c r="N5">
        <v>9175</v>
      </c>
      <c r="O5">
        <v>113060</v>
      </c>
      <c r="P5">
        <v>75.519000000000005</v>
      </c>
      <c r="Q5">
        <v>0.62</v>
      </c>
      <c r="R5">
        <v>0</v>
      </c>
      <c r="S5">
        <v>1.5631999999999999</v>
      </c>
      <c r="T5">
        <v>4.4000000000000004</v>
      </c>
      <c r="U5">
        <v>0</v>
      </c>
    </row>
    <row r="6" spans="1:23">
      <c r="A6" s="2">
        <v>46296.166666666657</v>
      </c>
      <c r="B6" t="s">
        <v>37</v>
      </c>
      <c r="C6">
        <v>75.47</v>
      </c>
      <c r="D6">
        <v>1880</v>
      </c>
      <c r="E6">
        <v>18.32</v>
      </c>
      <c r="F6">
        <v>326.2</v>
      </c>
      <c r="G6">
        <v>420.4</v>
      </c>
      <c r="H6">
        <v>0.7</v>
      </c>
      <c r="I6">
        <v>1.4690000000000001</v>
      </c>
      <c r="J6">
        <v>238.1</v>
      </c>
      <c r="K6">
        <v>1258</v>
      </c>
      <c r="L6">
        <v>2.4300000000000002</v>
      </c>
      <c r="M6">
        <v>24.2</v>
      </c>
      <c r="N6">
        <v>9049</v>
      </c>
      <c r="O6">
        <v>113565</v>
      </c>
      <c r="P6">
        <v>75.509</v>
      </c>
      <c r="Q6">
        <v>0.60499999999999998</v>
      </c>
      <c r="R6">
        <v>0</v>
      </c>
      <c r="S6">
        <v>1.5443</v>
      </c>
      <c r="T6">
        <v>3.7625000000000002</v>
      </c>
      <c r="U6">
        <v>0.13750000000000001</v>
      </c>
    </row>
    <row r="7" spans="1:23">
      <c r="A7" s="2">
        <v>46296.208333333343</v>
      </c>
      <c r="B7" t="s">
        <v>37</v>
      </c>
      <c r="C7">
        <v>75.88</v>
      </c>
      <c r="D7">
        <v>1886</v>
      </c>
      <c r="E7">
        <v>18.75</v>
      </c>
      <c r="F7">
        <v>348.2</v>
      </c>
      <c r="G7">
        <v>420.3</v>
      </c>
      <c r="H7">
        <v>0.39</v>
      </c>
      <c r="I7">
        <v>1.3640000000000001</v>
      </c>
      <c r="J7">
        <v>243.8</v>
      </c>
      <c r="K7">
        <v>1243.9000000000001</v>
      </c>
      <c r="L7">
        <v>2.36</v>
      </c>
      <c r="M7">
        <v>25.5</v>
      </c>
      <c r="N7">
        <v>9217</v>
      </c>
      <c r="O7">
        <v>115709</v>
      </c>
      <c r="P7">
        <v>75.582999999999998</v>
      </c>
      <c r="Q7">
        <v>0.79500000000000004</v>
      </c>
      <c r="R7">
        <v>0</v>
      </c>
      <c r="S7">
        <v>1.5083</v>
      </c>
      <c r="T7">
        <v>1.8125</v>
      </c>
      <c r="U7">
        <v>1.5874999999999999</v>
      </c>
    </row>
    <row r="8" spans="1:23">
      <c r="A8" s="2">
        <v>46296.25</v>
      </c>
      <c r="B8" t="s">
        <v>37</v>
      </c>
      <c r="C8">
        <v>77.58</v>
      </c>
      <c r="D8">
        <v>1910</v>
      </c>
      <c r="E8">
        <v>18.07</v>
      </c>
      <c r="F8">
        <v>308.39999999999998</v>
      </c>
      <c r="G8">
        <v>414.4</v>
      </c>
      <c r="H8">
        <v>0.9</v>
      </c>
      <c r="I8">
        <v>1.4570000000000001</v>
      </c>
      <c r="J8">
        <v>248.2</v>
      </c>
      <c r="K8">
        <v>1238.5999999999999</v>
      </c>
      <c r="L8">
        <v>2.52</v>
      </c>
      <c r="M8">
        <v>36.6</v>
      </c>
      <c r="N8">
        <v>9200</v>
      </c>
      <c r="O8">
        <v>117226</v>
      </c>
      <c r="P8">
        <v>75.983000000000004</v>
      </c>
      <c r="Q8">
        <v>1.835</v>
      </c>
      <c r="R8">
        <v>0</v>
      </c>
      <c r="S8">
        <v>1.498</v>
      </c>
      <c r="T8">
        <v>1.0249999999999999</v>
      </c>
      <c r="U8">
        <v>1.875</v>
      </c>
    </row>
    <row r="9" spans="1:23">
      <c r="A9" s="2">
        <v>46296.291666666657</v>
      </c>
      <c r="B9" t="s">
        <v>37</v>
      </c>
      <c r="C9">
        <v>76.459999999999994</v>
      </c>
      <c r="D9">
        <v>1878</v>
      </c>
      <c r="E9">
        <v>18.440000000000001</v>
      </c>
      <c r="F9">
        <v>301.3</v>
      </c>
      <c r="G9">
        <v>414.7</v>
      </c>
      <c r="H9">
        <v>0.64</v>
      </c>
      <c r="I9">
        <v>1.5840000000000001</v>
      </c>
      <c r="J9">
        <v>244</v>
      </c>
      <c r="K9">
        <v>1262</v>
      </c>
      <c r="L9">
        <v>2.74</v>
      </c>
      <c r="M9">
        <v>38.1</v>
      </c>
      <c r="N9">
        <v>9135</v>
      </c>
      <c r="O9">
        <v>115533</v>
      </c>
      <c r="P9">
        <v>76.078000000000003</v>
      </c>
      <c r="Q9">
        <v>2.3149999999999999</v>
      </c>
      <c r="R9">
        <v>0</v>
      </c>
      <c r="S9">
        <v>1.5152000000000001</v>
      </c>
      <c r="T9">
        <v>1.825</v>
      </c>
      <c r="U9">
        <v>0.57499999999999996</v>
      </c>
    </row>
    <row r="10" spans="1:23">
      <c r="A10" s="2">
        <v>46296.333333333343</v>
      </c>
      <c r="B10" t="s">
        <v>37</v>
      </c>
      <c r="C10">
        <v>75.790000000000006</v>
      </c>
      <c r="D10">
        <v>1957</v>
      </c>
      <c r="E10">
        <v>18.55</v>
      </c>
      <c r="F10">
        <v>293.3</v>
      </c>
      <c r="G10">
        <v>408.8</v>
      </c>
      <c r="H10">
        <v>1.05</v>
      </c>
      <c r="I10">
        <v>1.6359999999999999</v>
      </c>
      <c r="J10">
        <v>227.9</v>
      </c>
      <c r="K10">
        <v>1247.4000000000001</v>
      </c>
      <c r="L10">
        <v>2.5499999999999998</v>
      </c>
      <c r="M10">
        <v>25.5</v>
      </c>
      <c r="N10">
        <v>9253</v>
      </c>
      <c r="O10">
        <v>114530</v>
      </c>
      <c r="P10">
        <v>76.021000000000001</v>
      </c>
      <c r="Q10">
        <v>2.46</v>
      </c>
      <c r="R10">
        <v>0</v>
      </c>
      <c r="S10">
        <v>1.5394000000000001</v>
      </c>
      <c r="T10">
        <v>3.2749999999999999</v>
      </c>
      <c r="U10">
        <v>0</v>
      </c>
    </row>
    <row r="11" spans="1:23">
      <c r="A11" s="2">
        <v>46296.375</v>
      </c>
      <c r="B11" t="s">
        <v>37</v>
      </c>
      <c r="C11">
        <v>76.33</v>
      </c>
      <c r="D11">
        <v>1860</v>
      </c>
      <c r="E11">
        <v>18.71</v>
      </c>
      <c r="F11">
        <v>342.4</v>
      </c>
      <c r="G11">
        <v>434</v>
      </c>
      <c r="H11">
        <v>-0.54</v>
      </c>
      <c r="I11">
        <v>1.8660000000000001</v>
      </c>
      <c r="J11">
        <v>259</v>
      </c>
      <c r="K11">
        <v>1248</v>
      </c>
      <c r="L11">
        <v>2.46</v>
      </c>
      <c r="M11">
        <v>40.4</v>
      </c>
      <c r="N11">
        <v>9275</v>
      </c>
      <c r="O11">
        <v>114999</v>
      </c>
      <c r="P11">
        <v>76.081999999999994</v>
      </c>
      <c r="Q11">
        <v>2.875</v>
      </c>
      <c r="R11">
        <v>0</v>
      </c>
      <c r="S11">
        <v>1.6047</v>
      </c>
      <c r="T11">
        <v>7.6</v>
      </c>
      <c r="U11">
        <v>0</v>
      </c>
      <c r="W11" t="s">
        <v>38</v>
      </c>
    </row>
    <row r="12" spans="1:23">
      <c r="A12" s="2">
        <v>46296.416666666657</v>
      </c>
      <c r="B12" t="s">
        <v>37</v>
      </c>
      <c r="C12">
        <v>74.739999999999995</v>
      </c>
      <c r="D12">
        <v>1892</v>
      </c>
      <c r="E12">
        <v>18.78</v>
      </c>
      <c r="F12">
        <v>329.8</v>
      </c>
      <c r="G12">
        <v>410</v>
      </c>
      <c r="H12">
        <v>1.32</v>
      </c>
      <c r="I12">
        <v>1.625</v>
      </c>
      <c r="J12">
        <v>262.7</v>
      </c>
      <c r="K12">
        <v>1260.5999999999999</v>
      </c>
      <c r="L12">
        <v>2.46</v>
      </c>
      <c r="M12">
        <v>32.1</v>
      </c>
      <c r="N12">
        <v>9071</v>
      </c>
      <c r="O12">
        <v>113124</v>
      </c>
      <c r="P12">
        <v>75.813999999999993</v>
      </c>
      <c r="Q12">
        <v>2.4950000000000001</v>
      </c>
      <c r="R12">
        <v>0</v>
      </c>
      <c r="S12">
        <v>1.6088</v>
      </c>
      <c r="T12">
        <v>8.9124999999999996</v>
      </c>
      <c r="U12">
        <v>0</v>
      </c>
      <c r="W12" t="s">
        <v>38</v>
      </c>
    </row>
    <row r="13" spans="1:23">
      <c r="A13" s="2">
        <v>46296.458333333343</v>
      </c>
      <c r="B13" t="s">
        <v>37</v>
      </c>
      <c r="C13">
        <v>74.849999999999994</v>
      </c>
      <c r="D13">
        <v>1880</v>
      </c>
      <c r="E13">
        <v>18.05</v>
      </c>
      <c r="F13">
        <v>319.2</v>
      </c>
      <c r="G13">
        <v>414.5</v>
      </c>
      <c r="H13">
        <v>0.2</v>
      </c>
      <c r="I13">
        <v>1.53</v>
      </c>
      <c r="J13">
        <v>256.5</v>
      </c>
      <c r="K13">
        <v>1254.4000000000001</v>
      </c>
      <c r="L13">
        <v>2.27</v>
      </c>
      <c r="M13">
        <v>35.9</v>
      </c>
      <c r="N13">
        <v>9139</v>
      </c>
      <c r="O13">
        <v>115907</v>
      </c>
      <c r="P13">
        <v>75.620999999999995</v>
      </c>
      <c r="Q13">
        <v>2.17</v>
      </c>
      <c r="R13">
        <v>0</v>
      </c>
      <c r="S13">
        <v>1.593</v>
      </c>
      <c r="T13">
        <v>9.0374999999999996</v>
      </c>
      <c r="U13">
        <v>0</v>
      </c>
      <c r="W13" t="s">
        <v>38</v>
      </c>
    </row>
    <row r="14" spans="1:23">
      <c r="A14" s="2">
        <v>46296.5</v>
      </c>
      <c r="B14" t="s">
        <v>37</v>
      </c>
      <c r="C14">
        <v>75.900000000000006</v>
      </c>
      <c r="D14">
        <v>1965</v>
      </c>
      <c r="E14">
        <v>17.89</v>
      </c>
      <c r="F14">
        <v>324.2</v>
      </c>
      <c r="G14">
        <v>414.3</v>
      </c>
      <c r="H14">
        <v>2.08</v>
      </c>
      <c r="I14">
        <v>1.4630000000000001</v>
      </c>
      <c r="J14">
        <v>238.6</v>
      </c>
      <c r="K14">
        <v>1253.5999999999999</v>
      </c>
      <c r="L14">
        <v>2.63</v>
      </c>
      <c r="M14">
        <v>44.7</v>
      </c>
      <c r="N14">
        <v>9138</v>
      </c>
      <c r="O14">
        <v>116323</v>
      </c>
      <c r="P14">
        <v>75.677000000000007</v>
      </c>
      <c r="Q14">
        <v>2.37</v>
      </c>
      <c r="R14">
        <v>0</v>
      </c>
      <c r="S14">
        <v>1.5669999999999999</v>
      </c>
      <c r="T14">
        <v>8.3249999999999993</v>
      </c>
      <c r="U14">
        <v>0.21249999999999999</v>
      </c>
      <c r="W14" t="s">
        <v>38</v>
      </c>
    </row>
    <row r="15" spans="1:23">
      <c r="A15" s="2">
        <v>46296.541666666657</v>
      </c>
      <c r="B15" t="s">
        <v>37</v>
      </c>
      <c r="C15">
        <v>73.209999999999994</v>
      </c>
      <c r="D15">
        <v>1909</v>
      </c>
      <c r="E15">
        <v>19.010000000000002</v>
      </c>
      <c r="F15">
        <v>303.10000000000002</v>
      </c>
      <c r="G15">
        <v>427.2</v>
      </c>
      <c r="H15">
        <v>-0.69</v>
      </c>
      <c r="I15">
        <v>1.6719999999999999</v>
      </c>
      <c r="J15">
        <v>248</v>
      </c>
      <c r="K15">
        <v>1267.3</v>
      </c>
      <c r="L15">
        <v>2.4900000000000002</v>
      </c>
      <c r="M15">
        <v>40.4</v>
      </c>
      <c r="N15">
        <v>9125</v>
      </c>
      <c r="O15">
        <v>114322</v>
      </c>
      <c r="P15">
        <v>75.183999999999997</v>
      </c>
      <c r="Q15">
        <v>1.2250000000000001</v>
      </c>
      <c r="R15">
        <v>0.64500000000000002</v>
      </c>
      <c r="S15">
        <v>1.5880000000000001</v>
      </c>
      <c r="T15">
        <v>10.225</v>
      </c>
      <c r="U15">
        <v>0</v>
      </c>
      <c r="W15" t="s">
        <v>38</v>
      </c>
    </row>
    <row r="16" spans="1:23">
      <c r="A16" s="2">
        <v>46296.583333333343</v>
      </c>
      <c r="B16" t="s">
        <v>37</v>
      </c>
      <c r="C16">
        <v>72.010000000000005</v>
      </c>
      <c r="D16">
        <v>1946</v>
      </c>
      <c r="E16">
        <v>18.63</v>
      </c>
      <c r="F16">
        <v>356.7</v>
      </c>
      <c r="G16">
        <v>417.6</v>
      </c>
      <c r="H16">
        <v>1.74</v>
      </c>
      <c r="I16">
        <v>1.4490000000000001</v>
      </c>
      <c r="J16">
        <v>249.9</v>
      </c>
      <c r="K16">
        <v>1244.9000000000001</v>
      </c>
      <c r="L16">
        <v>2.4700000000000002</v>
      </c>
      <c r="M16">
        <v>33.4</v>
      </c>
      <c r="N16">
        <v>9266</v>
      </c>
      <c r="O16">
        <v>114295</v>
      </c>
      <c r="P16">
        <v>74.549000000000007</v>
      </c>
      <c r="Q16">
        <v>0</v>
      </c>
      <c r="R16">
        <v>1.89</v>
      </c>
      <c r="S16">
        <v>1.5602</v>
      </c>
      <c r="T16">
        <v>9.3375000000000004</v>
      </c>
      <c r="U16">
        <v>0.38750000000000001</v>
      </c>
      <c r="W16" t="s">
        <v>38</v>
      </c>
    </row>
    <row r="17" spans="1:23">
      <c r="A17" s="2">
        <v>46296.625</v>
      </c>
      <c r="B17" t="s">
        <v>37</v>
      </c>
      <c r="C17">
        <v>73.36</v>
      </c>
      <c r="D17">
        <v>1833</v>
      </c>
      <c r="E17">
        <v>18.2</v>
      </c>
      <c r="F17">
        <v>321.89999999999998</v>
      </c>
      <c r="G17">
        <v>430</v>
      </c>
      <c r="H17">
        <v>0.2</v>
      </c>
      <c r="I17">
        <v>1.5409999999999999</v>
      </c>
      <c r="J17">
        <v>256</v>
      </c>
      <c r="K17">
        <v>1257.4000000000001</v>
      </c>
      <c r="L17">
        <v>2.98</v>
      </c>
      <c r="M17">
        <v>29.7</v>
      </c>
      <c r="N17">
        <v>9184</v>
      </c>
      <c r="O17">
        <v>115399</v>
      </c>
      <c r="P17">
        <v>74.311000000000007</v>
      </c>
      <c r="Q17">
        <v>0</v>
      </c>
      <c r="R17">
        <v>2.46</v>
      </c>
      <c r="S17">
        <v>1.5564</v>
      </c>
      <c r="T17">
        <v>9.6</v>
      </c>
      <c r="U17">
        <v>0</v>
      </c>
      <c r="W17" t="s">
        <v>38</v>
      </c>
    </row>
    <row r="18" spans="1:23">
      <c r="A18" s="2">
        <v>46296.666666666657</v>
      </c>
      <c r="B18" t="s">
        <v>37</v>
      </c>
      <c r="C18">
        <v>73.319999999999993</v>
      </c>
      <c r="D18">
        <v>1912</v>
      </c>
      <c r="E18">
        <v>19.12</v>
      </c>
      <c r="F18">
        <v>321.60000000000002</v>
      </c>
      <c r="G18">
        <v>414.6</v>
      </c>
      <c r="H18">
        <v>-0.65</v>
      </c>
      <c r="I18">
        <v>1.544</v>
      </c>
      <c r="J18">
        <v>256.7</v>
      </c>
      <c r="K18">
        <v>1250.5</v>
      </c>
      <c r="L18">
        <v>2.54</v>
      </c>
      <c r="M18">
        <v>22.1</v>
      </c>
      <c r="N18">
        <v>9179</v>
      </c>
      <c r="O18">
        <v>114345</v>
      </c>
      <c r="P18">
        <v>74.113</v>
      </c>
      <c r="Q18">
        <v>0</v>
      </c>
      <c r="R18">
        <v>3.05</v>
      </c>
      <c r="S18">
        <v>1.5539000000000001</v>
      </c>
      <c r="T18">
        <v>9.9</v>
      </c>
      <c r="U18">
        <v>0</v>
      </c>
      <c r="W18" t="s">
        <v>38</v>
      </c>
    </row>
    <row r="19" spans="1:23">
      <c r="A19" s="2">
        <v>46296.708333333343</v>
      </c>
      <c r="B19" t="s">
        <v>37</v>
      </c>
      <c r="C19">
        <v>74.63</v>
      </c>
      <c r="D19">
        <v>1940</v>
      </c>
      <c r="E19">
        <v>18.55</v>
      </c>
      <c r="F19">
        <v>330.9</v>
      </c>
      <c r="G19">
        <v>422.2</v>
      </c>
      <c r="H19">
        <v>-0.48</v>
      </c>
      <c r="I19">
        <v>1.526</v>
      </c>
      <c r="J19">
        <v>242.7</v>
      </c>
      <c r="K19">
        <v>1252.0999999999999</v>
      </c>
      <c r="L19">
        <v>2.39</v>
      </c>
      <c r="M19">
        <v>30.7</v>
      </c>
      <c r="N19">
        <v>9040</v>
      </c>
      <c r="O19">
        <v>114901</v>
      </c>
      <c r="P19">
        <v>74.215999999999994</v>
      </c>
      <c r="Q19">
        <v>0</v>
      </c>
      <c r="R19">
        <v>2.9849999999999999</v>
      </c>
      <c r="S19">
        <v>1.5483</v>
      </c>
      <c r="T19">
        <v>9.9749999999999996</v>
      </c>
      <c r="U19">
        <v>0</v>
      </c>
      <c r="W19" t="s">
        <v>38</v>
      </c>
    </row>
    <row r="20" spans="1:23">
      <c r="A20" s="2">
        <v>46296.75</v>
      </c>
      <c r="B20" t="s">
        <v>37</v>
      </c>
      <c r="C20">
        <v>74.150000000000006</v>
      </c>
      <c r="D20">
        <v>1904</v>
      </c>
      <c r="E20">
        <v>18.97</v>
      </c>
      <c r="F20">
        <v>327.2</v>
      </c>
      <c r="G20">
        <v>413.3</v>
      </c>
      <c r="H20">
        <v>-0.32</v>
      </c>
      <c r="I20">
        <v>1.498</v>
      </c>
      <c r="J20">
        <v>250.8</v>
      </c>
      <c r="K20">
        <v>1262.2</v>
      </c>
      <c r="L20">
        <v>2.44</v>
      </c>
      <c r="M20">
        <v>33.700000000000003</v>
      </c>
      <c r="N20">
        <v>9251</v>
      </c>
      <c r="O20">
        <v>118150</v>
      </c>
      <c r="P20">
        <v>74.203000000000003</v>
      </c>
      <c r="Q20">
        <v>0</v>
      </c>
      <c r="R20">
        <v>3.16</v>
      </c>
      <c r="S20">
        <v>1.5382</v>
      </c>
      <c r="T20">
        <v>9.6999999999999993</v>
      </c>
      <c r="U20">
        <v>0</v>
      </c>
      <c r="W20" t="s">
        <v>38</v>
      </c>
    </row>
    <row r="21" spans="1:23">
      <c r="A21" s="2">
        <v>46296.791666666657</v>
      </c>
      <c r="B21" t="s">
        <v>37</v>
      </c>
      <c r="C21">
        <v>73.459999999999994</v>
      </c>
      <c r="D21">
        <v>1948</v>
      </c>
      <c r="E21">
        <v>18.53</v>
      </c>
      <c r="F21">
        <v>323.39999999999998</v>
      </c>
      <c r="G21">
        <v>437.2</v>
      </c>
      <c r="H21">
        <v>0.42</v>
      </c>
      <c r="I21">
        <v>1.68</v>
      </c>
      <c r="J21">
        <v>254.6</v>
      </c>
      <c r="K21">
        <v>1254.0999999999999</v>
      </c>
      <c r="L21">
        <v>2.67</v>
      </c>
      <c r="M21">
        <v>29.1</v>
      </c>
      <c r="N21">
        <v>9101</v>
      </c>
      <c r="O21">
        <v>114629</v>
      </c>
      <c r="P21">
        <v>74.054000000000002</v>
      </c>
      <c r="Q21">
        <v>0</v>
      </c>
      <c r="R21">
        <v>3.68</v>
      </c>
      <c r="S21">
        <v>1.5666</v>
      </c>
      <c r="T21">
        <v>11.7</v>
      </c>
      <c r="U21">
        <v>0</v>
      </c>
      <c r="W21" t="s">
        <v>38</v>
      </c>
    </row>
    <row r="22" spans="1:23">
      <c r="A22" s="2">
        <v>46296.833333333343</v>
      </c>
      <c r="B22" t="s">
        <v>37</v>
      </c>
      <c r="C22">
        <v>74.81</v>
      </c>
      <c r="D22">
        <v>1877</v>
      </c>
      <c r="E22">
        <v>19.32</v>
      </c>
      <c r="F22">
        <v>308.10000000000002</v>
      </c>
      <c r="G22">
        <v>410.5</v>
      </c>
      <c r="H22">
        <v>0.52</v>
      </c>
      <c r="I22">
        <v>1.6339999999999999</v>
      </c>
      <c r="J22">
        <v>264.60000000000002</v>
      </c>
      <c r="K22">
        <v>1254.3</v>
      </c>
      <c r="L22">
        <v>2.52</v>
      </c>
      <c r="M22">
        <v>34.200000000000003</v>
      </c>
      <c r="N22">
        <v>9205</v>
      </c>
      <c r="O22">
        <v>114462</v>
      </c>
      <c r="P22">
        <v>74.206000000000003</v>
      </c>
      <c r="Q22">
        <v>0</v>
      </c>
      <c r="R22">
        <v>3.5249999999999999</v>
      </c>
      <c r="S22">
        <v>1.5801000000000001</v>
      </c>
      <c r="T22">
        <v>13.125</v>
      </c>
      <c r="U22">
        <v>0</v>
      </c>
      <c r="W22" t="s">
        <v>38</v>
      </c>
    </row>
    <row r="23" spans="1:23">
      <c r="A23" s="2">
        <v>46296.875</v>
      </c>
      <c r="B23" t="s">
        <v>37</v>
      </c>
      <c r="C23">
        <v>75.209999999999994</v>
      </c>
      <c r="D23">
        <v>1963</v>
      </c>
      <c r="E23">
        <v>19.2</v>
      </c>
      <c r="F23">
        <v>327.10000000000002</v>
      </c>
      <c r="G23">
        <v>422.5</v>
      </c>
      <c r="H23">
        <v>-0.56999999999999995</v>
      </c>
      <c r="I23">
        <v>1.425</v>
      </c>
      <c r="J23">
        <v>257</v>
      </c>
      <c r="K23">
        <v>1258.5999999999999</v>
      </c>
      <c r="L23">
        <v>2.2799999999999998</v>
      </c>
      <c r="M23">
        <v>35.5</v>
      </c>
      <c r="N23">
        <v>9222</v>
      </c>
      <c r="O23">
        <v>114029</v>
      </c>
      <c r="P23">
        <v>74.406000000000006</v>
      </c>
      <c r="Q23">
        <v>0</v>
      </c>
      <c r="R23">
        <v>3.17</v>
      </c>
      <c r="S23">
        <v>1.5490999999999999</v>
      </c>
      <c r="T23">
        <v>11.9375</v>
      </c>
      <c r="U23">
        <v>0.6875</v>
      </c>
      <c r="W23" t="s">
        <v>38</v>
      </c>
    </row>
    <row r="24" spans="1:23">
      <c r="A24" s="2">
        <v>46296.916666666657</v>
      </c>
      <c r="B24" t="s">
        <v>37</v>
      </c>
      <c r="C24">
        <v>75.760000000000005</v>
      </c>
      <c r="D24">
        <v>2003</v>
      </c>
      <c r="E24">
        <v>18.399999999999999</v>
      </c>
      <c r="F24">
        <v>348.2</v>
      </c>
      <c r="G24">
        <v>425.1</v>
      </c>
      <c r="H24">
        <v>-0.02</v>
      </c>
      <c r="I24">
        <v>1.5589999999999999</v>
      </c>
      <c r="J24">
        <v>257.89999999999998</v>
      </c>
      <c r="K24">
        <v>1247.0999999999999</v>
      </c>
      <c r="L24">
        <v>2.64</v>
      </c>
      <c r="M24">
        <v>33.700000000000003</v>
      </c>
      <c r="N24">
        <v>9309</v>
      </c>
      <c r="O24">
        <v>116116</v>
      </c>
      <c r="P24">
        <v>74.677000000000007</v>
      </c>
      <c r="Q24">
        <v>0.13</v>
      </c>
      <c r="R24">
        <v>2.54</v>
      </c>
      <c r="S24">
        <v>1.5510999999999999</v>
      </c>
      <c r="T24">
        <v>12.425000000000001</v>
      </c>
      <c r="U24">
        <v>0</v>
      </c>
      <c r="W24" t="s">
        <v>38</v>
      </c>
    </row>
    <row r="25" spans="1:23">
      <c r="A25" s="2">
        <v>46296.958333333343</v>
      </c>
      <c r="B25" t="s">
        <v>37</v>
      </c>
      <c r="C25">
        <v>74.02</v>
      </c>
      <c r="D25">
        <v>1884</v>
      </c>
      <c r="E25">
        <v>18.89</v>
      </c>
      <c r="F25">
        <v>340.2</v>
      </c>
      <c r="G25">
        <v>423.3</v>
      </c>
      <c r="H25">
        <v>2.14</v>
      </c>
      <c r="I25">
        <v>1.3919999999999999</v>
      </c>
      <c r="J25">
        <v>250.8</v>
      </c>
      <c r="K25">
        <v>1243.3</v>
      </c>
      <c r="L25">
        <v>2.4</v>
      </c>
      <c r="M25">
        <v>31.1</v>
      </c>
      <c r="N25">
        <v>9095</v>
      </c>
      <c r="O25">
        <v>114728</v>
      </c>
      <c r="P25">
        <v>74.546000000000006</v>
      </c>
      <c r="Q25">
        <v>0</v>
      </c>
      <c r="R25">
        <v>2.78</v>
      </c>
      <c r="S25">
        <v>1.5192000000000001</v>
      </c>
      <c r="T25">
        <v>10.824999999999999</v>
      </c>
      <c r="U25">
        <v>1.1000000000000001</v>
      </c>
      <c r="W25" t="s">
        <v>38</v>
      </c>
    </row>
    <row r="26" spans="1:23">
      <c r="A26" s="2">
        <v>46297</v>
      </c>
      <c r="B26" t="s">
        <v>37</v>
      </c>
      <c r="C26">
        <v>73.95</v>
      </c>
      <c r="D26">
        <v>1880</v>
      </c>
      <c r="E26">
        <v>18.760000000000002</v>
      </c>
      <c r="F26">
        <v>343.9</v>
      </c>
      <c r="G26">
        <v>418.5</v>
      </c>
      <c r="H26">
        <v>1.73</v>
      </c>
      <c r="I26">
        <v>1.585</v>
      </c>
      <c r="J26">
        <v>264.10000000000002</v>
      </c>
      <c r="K26">
        <v>1241.5999999999999</v>
      </c>
      <c r="L26">
        <v>2.78</v>
      </c>
      <c r="M26">
        <v>36</v>
      </c>
      <c r="N26">
        <v>8958</v>
      </c>
      <c r="O26">
        <v>114026</v>
      </c>
      <c r="P26">
        <v>74.427000000000007</v>
      </c>
      <c r="Q26">
        <v>0</v>
      </c>
      <c r="R26">
        <v>3.0550000000000002</v>
      </c>
      <c r="S26">
        <v>1.5324</v>
      </c>
      <c r="T26">
        <v>11.637499999999999</v>
      </c>
      <c r="U26">
        <v>0</v>
      </c>
      <c r="W26" t="s">
        <v>38</v>
      </c>
    </row>
    <row r="27" spans="1:23">
      <c r="A27" s="2">
        <v>46297.041666666657</v>
      </c>
      <c r="B27" t="s">
        <v>37</v>
      </c>
      <c r="C27">
        <v>73.760000000000005</v>
      </c>
      <c r="D27">
        <v>1965</v>
      </c>
      <c r="E27">
        <v>19.05</v>
      </c>
      <c r="F27">
        <v>312.3</v>
      </c>
      <c r="G27">
        <v>419</v>
      </c>
      <c r="H27">
        <v>0.44</v>
      </c>
      <c r="I27">
        <v>1.6279999999999999</v>
      </c>
      <c r="J27">
        <v>254.1</v>
      </c>
      <c r="K27">
        <v>1234.3</v>
      </c>
      <c r="L27">
        <v>2.66</v>
      </c>
      <c r="M27">
        <v>37.700000000000003</v>
      </c>
      <c r="N27">
        <v>9215</v>
      </c>
      <c r="O27">
        <v>116982</v>
      </c>
      <c r="P27">
        <v>74.293000000000006</v>
      </c>
      <c r="Q27">
        <v>0</v>
      </c>
      <c r="R27">
        <v>3.4249999999999998</v>
      </c>
      <c r="S27">
        <v>1.5515000000000001</v>
      </c>
      <c r="T27">
        <v>12.987500000000001</v>
      </c>
      <c r="U27">
        <v>0</v>
      </c>
      <c r="W27" t="s">
        <v>38</v>
      </c>
    </row>
    <row r="28" spans="1:23">
      <c r="A28" s="2">
        <v>46297.083333333343</v>
      </c>
      <c r="B28" t="s">
        <v>37</v>
      </c>
      <c r="C28">
        <v>73.540000000000006</v>
      </c>
      <c r="D28">
        <v>1971</v>
      </c>
      <c r="E28">
        <v>18.11</v>
      </c>
      <c r="F28">
        <v>305.2</v>
      </c>
      <c r="G28">
        <v>420.4</v>
      </c>
      <c r="H28">
        <v>0.04</v>
      </c>
      <c r="I28">
        <v>1.548</v>
      </c>
      <c r="J28">
        <v>241.4</v>
      </c>
      <c r="K28">
        <v>1266.4000000000001</v>
      </c>
      <c r="L28">
        <v>2.4300000000000002</v>
      </c>
      <c r="M28">
        <v>28.5</v>
      </c>
      <c r="N28">
        <v>9344</v>
      </c>
      <c r="O28">
        <v>117129</v>
      </c>
      <c r="P28">
        <v>74.143000000000001</v>
      </c>
      <c r="Q28">
        <v>0</v>
      </c>
      <c r="R28">
        <v>3.9049999999999998</v>
      </c>
      <c r="S28">
        <v>1.5508</v>
      </c>
      <c r="T28">
        <v>13.3375</v>
      </c>
      <c r="U28">
        <v>0</v>
      </c>
      <c r="W28" t="s">
        <v>38</v>
      </c>
    </row>
    <row r="29" spans="1:23">
      <c r="A29" s="2">
        <v>46297.125</v>
      </c>
      <c r="B29" t="s">
        <v>37</v>
      </c>
      <c r="C29">
        <v>74.819999999999993</v>
      </c>
      <c r="D29">
        <v>1876</v>
      </c>
      <c r="E29">
        <v>18.77</v>
      </c>
      <c r="F29">
        <v>318.10000000000002</v>
      </c>
      <c r="G29">
        <v>418.8</v>
      </c>
      <c r="H29">
        <v>0.12</v>
      </c>
      <c r="I29">
        <v>1.5</v>
      </c>
      <c r="J29">
        <v>264</v>
      </c>
      <c r="K29">
        <v>1241.2</v>
      </c>
      <c r="L29">
        <v>2.69</v>
      </c>
      <c r="M29">
        <v>43.5</v>
      </c>
      <c r="N29">
        <v>9299</v>
      </c>
      <c r="O29">
        <v>114099</v>
      </c>
      <c r="P29">
        <v>74.278000000000006</v>
      </c>
      <c r="Q29">
        <v>0</v>
      </c>
      <c r="R29">
        <v>3.7450000000000001</v>
      </c>
      <c r="S29">
        <v>1.5406</v>
      </c>
      <c r="T29">
        <v>13.0875</v>
      </c>
      <c r="U29">
        <v>0</v>
      </c>
      <c r="W29" t="s">
        <v>38</v>
      </c>
    </row>
    <row r="30" spans="1:23">
      <c r="A30" s="2">
        <v>46297.166666666657</v>
      </c>
      <c r="B30" t="s">
        <v>37</v>
      </c>
      <c r="C30">
        <v>74.33</v>
      </c>
      <c r="D30">
        <v>1881</v>
      </c>
      <c r="E30">
        <v>18.920000000000002</v>
      </c>
      <c r="F30">
        <v>320.8</v>
      </c>
      <c r="G30">
        <v>427.7</v>
      </c>
      <c r="H30">
        <v>0.61</v>
      </c>
      <c r="I30">
        <v>1.4139999999999999</v>
      </c>
      <c r="J30">
        <v>257</v>
      </c>
      <c r="K30">
        <v>1248.2</v>
      </c>
      <c r="L30">
        <v>2.5099999999999998</v>
      </c>
      <c r="M30">
        <v>34.4</v>
      </c>
      <c r="N30">
        <v>9217</v>
      </c>
      <c r="O30">
        <v>112200</v>
      </c>
      <c r="P30">
        <v>74.287999999999997</v>
      </c>
      <c r="Q30">
        <v>0</v>
      </c>
      <c r="R30">
        <v>3.83</v>
      </c>
      <c r="S30">
        <v>1.5153000000000001</v>
      </c>
      <c r="T30">
        <v>11.762499999999999</v>
      </c>
      <c r="U30">
        <v>0.82499999999999996</v>
      </c>
      <c r="W30" t="s">
        <v>38</v>
      </c>
    </row>
    <row r="31" spans="1:23">
      <c r="A31" s="2">
        <v>46297.208333333343</v>
      </c>
      <c r="B31" t="s">
        <v>37</v>
      </c>
      <c r="C31">
        <v>74.930000000000007</v>
      </c>
      <c r="D31">
        <v>1887</v>
      </c>
      <c r="E31">
        <v>17.8</v>
      </c>
      <c r="F31">
        <v>336.4</v>
      </c>
      <c r="G31">
        <v>437.7</v>
      </c>
      <c r="H31">
        <v>-1.02</v>
      </c>
      <c r="I31">
        <v>1.4870000000000001</v>
      </c>
      <c r="J31">
        <v>245.6</v>
      </c>
      <c r="K31">
        <v>1247.8</v>
      </c>
      <c r="L31">
        <v>2.63</v>
      </c>
      <c r="M31">
        <v>35.1</v>
      </c>
      <c r="N31">
        <v>9161</v>
      </c>
      <c r="O31">
        <v>116511</v>
      </c>
      <c r="P31">
        <v>74.417000000000002</v>
      </c>
      <c r="Q31">
        <v>0</v>
      </c>
      <c r="R31">
        <v>3.6150000000000002</v>
      </c>
      <c r="S31">
        <v>1.5097</v>
      </c>
      <c r="T31">
        <v>11.35</v>
      </c>
      <c r="U31">
        <v>0.73750000000000004</v>
      </c>
      <c r="W31" t="s">
        <v>38</v>
      </c>
    </row>
    <row r="32" spans="1:23">
      <c r="A32" s="2">
        <v>46297.25</v>
      </c>
      <c r="B32" t="s">
        <v>37</v>
      </c>
      <c r="C32">
        <v>74.25</v>
      </c>
      <c r="D32">
        <v>1839</v>
      </c>
      <c r="E32">
        <v>18.03</v>
      </c>
      <c r="F32">
        <v>294.60000000000002</v>
      </c>
      <c r="G32">
        <v>415.5</v>
      </c>
      <c r="H32">
        <v>-0.26</v>
      </c>
      <c r="I32">
        <v>1.3580000000000001</v>
      </c>
      <c r="J32">
        <v>245.2</v>
      </c>
      <c r="K32">
        <v>1252.5</v>
      </c>
      <c r="L32">
        <v>2.57</v>
      </c>
      <c r="M32">
        <v>39.200000000000003</v>
      </c>
      <c r="N32">
        <v>9265</v>
      </c>
      <c r="O32">
        <v>113973</v>
      </c>
      <c r="P32">
        <v>74.382999999999996</v>
      </c>
      <c r="Q32">
        <v>0</v>
      </c>
      <c r="R32">
        <v>3.74</v>
      </c>
      <c r="S32">
        <v>1.4793000000000001</v>
      </c>
      <c r="T32">
        <v>9.3249999999999993</v>
      </c>
      <c r="U32">
        <v>2.2625000000000002</v>
      </c>
      <c r="W32" t="s">
        <v>38</v>
      </c>
    </row>
    <row r="33" spans="1:23">
      <c r="A33" s="2">
        <v>46297.291666666657</v>
      </c>
      <c r="B33" t="s">
        <v>37</v>
      </c>
      <c r="C33">
        <v>76.540000000000006</v>
      </c>
      <c r="D33">
        <v>1859</v>
      </c>
      <c r="E33">
        <v>17.68</v>
      </c>
      <c r="F33">
        <v>342.9</v>
      </c>
      <c r="G33">
        <v>409</v>
      </c>
      <c r="H33">
        <v>-1.67</v>
      </c>
      <c r="I33">
        <v>1.36</v>
      </c>
      <c r="J33">
        <v>253</v>
      </c>
      <c r="K33">
        <v>1256.5</v>
      </c>
      <c r="L33">
        <v>2.37</v>
      </c>
      <c r="M33">
        <v>36.4</v>
      </c>
      <c r="N33">
        <v>9122</v>
      </c>
      <c r="O33">
        <v>116186</v>
      </c>
      <c r="P33">
        <v>74.814999999999998</v>
      </c>
      <c r="Q33">
        <v>0.52</v>
      </c>
      <c r="R33">
        <v>2.72</v>
      </c>
      <c r="S33">
        <v>1.4555</v>
      </c>
      <c r="T33">
        <v>7.3250000000000002</v>
      </c>
      <c r="U33">
        <v>3.7625000000000002</v>
      </c>
      <c r="W33" t="s">
        <v>38</v>
      </c>
    </row>
    <row r="34" spans="1:23">
      <c r="A34" s="2">
        <v>46297.333333333343</v>
      </c>
      <c r="B34" t="s">
        <v>37</v>
      </c>
      <c r="C34">
        <v>75.319999999999993</v>
      </c>
      <c r="D34">
        <v>1855</v>
      </c>
      <c r="E34">
        <v>18.39</v>
      </c>
      <c r="F34">
        <v>317.60000000000002</v>
      </c>
      <c r="G34">
        <v>419.3</v>
      </c>
      <c r="H34">
        <v>0.4</v>
      </c>
      <c r="I34">
        <v>1.6679999999999999</v>
      </c>
      <c r="J34">
        <v>254.6</v>
      </c>
      <c r="K34">
        <v>1256.9000000000001</v>
      </c>
      <c r="L34">
        <v>2.4</v>
      </c>
      <c r="M34">
        <v>40.700000000000003</v>
      </c>
      <c r="N34">
        <v>9238</v>
      </c>
      <c r="O34">
        <v>112045</v>
      </c>
      <c r="P34">
        <v>74.915999999999997</v>
      </c>
      <c r="Q34">
        <v>0.43</v>
      </c>
      <c r="R34">
        <v>2.31</v>
      </c>
      <c r="S34">
        <v>1.498</v>
      </c>
      <c r="T34">
        <v>9.1750000000000007</v>
      </c>
      <c r="U34">
        <v>1.4125000000000001</v>
      </c>
      <c r="W34" t="s">
        <v>38</v>
      </c>
    </row>
    <row r="35" spans="1:23">
      <c r="A35" s="2">
        <v>46297.375</v>
      </c>
      <c r="B35" t="s">
        <v>37</v>
      </c>
      <c r="C35">
        <v>74.209999999999994</v>
      </c>
      <c r="D35">
        <v>1865</v>
      </c>
      <c r="E35">
        <v>18.79</v>
      </c>
      <c r="F35">
        <v>313.60000000000002</v>
      </c>
      <c r="G35">
        <v>440.6</v>
      </c>
      <c r="H35">
        <v>0.65</v>
      </c>
      <c r="I35">
        <v>1.36</v>
      </c>
      <c r="J35">
        <v>252</v>
      </c>
      <c r="K35">
        <v>1245.3</v>
      </c>
      <c r="L35">
        <v>2.65</v>
      </c>
      <c r="M35">
        <v>36.700000000000003</v>
      </c>
      <c r="N35">
        <v>9240</v>
      </c>
      <c r="O35">
        <v>116339</v>
      </c>
      <c r="P35">
        <v>74.775000000000006</v>
      </c>
      <c r="Q35">
        <v>0</v>
      </c>
      <c r="R35">
        <v>2.4550000000000001</v>
      </c>
      <c r="S35">
        <v>1.4703999999999999</v>
      </c>
      <c r="T35">
        <v>7.1749999999999998</v>
      </c>
      <c r="U35">
        <v>2.9125000000000001</v>
      </c>
      <c r="W35" t="s">
        <v>38</v>
      </c>
    </row>
    <row r="36" spans="1:23">
      <c r="A36" s="2">
        <v>46297.416666666657</v>
      </c>
      <c r="B36" t="s">
        <v>37</v>
      </c>
      <c r="C36">
        <v>75.22</v>
      </c>
      <c r="D36">
        <v>1898</v>
      </c>
      <c r="E36">
        <v>19.100000000000001</v>
      </c>
      <c r="F36">
        <v>304.8</v>
      </c>
      <c r="G36">
        <v>413.6</v>
      </c>
      <c r="H36">
        <v>-0.48</v>
      </c>
      <c r="I36">
        <v>1.6539999999999999</v>
      </c>
      <c r="J36">
        <v>253.1</v>
      </c>
      <c r="K36">
        <v>1248.7</v>
      </c>
      <c r="L36">
        <v>2.4500000000000002</v>
      </c>
      <c r="M36">
        <v>31.3</v>
      </c>
      <c r="N36">
        <v>9285</v>
      </c>
      <c r="O36">
        <v>113183</v>
      </c>
      <c r="P36">
        <v>74.864000000000004</v>
      </c>
      <c r="Q36">
        <v>0</v>
      </c>
      <c r="R36">
        <v>2.0950000000000002</v>
      </c>
      <c r="S36">
        <v>1.5071000000000001</v>
      </c>
      <c r="T36">
        <v>8.85</v>
      </c>
      <c r="U36">
        <v>0.73750000000000004</v>
      </c>
      <c r="W36" t="s">
        <v>38</v>
      </c>
    </row>
    <row r="37" spans="1:23">
      <c r="A37" s="2">
        <v>46297.458333333343</v>
      </c>
      <c r="B37" t="s">
        <v>37</v>
      </c>
      <c r="C37">
        <v>74.14</v>
      </c>
      <c r="D37">
        <v>1911</v>
      </c>
      <c r="E37">
        <v>18.53</v>
      </c>
      <c r="F37">
        <v>295.2</v>
      </c>
      <c r="G37">
        <v>433.1</v>
      </c>
      <c r="H37">
        <v>1.57</v>
      </c>
      <c r="I37">
        <v>1.5289999999999999</v>
      </c>
      <c r="J37">
        <v>267</v>
      </c>
      <c r="K37">
        <v>1252.3</v>
      </c>
      <c r="L37">
        <v>2.44</v>
      </c>
      <c r="M37">
        <v>37.200000000000003</v>
      </c>
      <c r="N37">
        <v>9421</v>
      </c>
      <c r="O37">
        <v>116096</v>
      </c>
      <c r="P37">
        <v>74.718999999999994</v>
      </c>
      <c r="Q37">
        <v>0</v>
      </c>
      <c r="R37">
        <v>2.2749999999999999</v>
      </c>
      <c r="S37">
        <v>1.5115000000000001</v>
      </c>
      <c r="T37">
        <v>8.9625000000000004</v>
      </c>
      <c r="U37">
        <v>0.125</v>
      </c>
      <c r="W37" t="s">
        <v>38</v>
      </c>
    </row>
    <row r="38" spans="1:23">
      <c r="A38" s="2">
        <v>46297.5</v>
      </c>
      <c r="B38" t="s">
        <v>37</v>
      </c>
      <c r="C38">
        <v>74.53</v>
      </c>
      <c r="D38">
        <v>1970</v>
      </c>
      <c r="E38">
        <v>19.149999999999999</v>
      </c>
      <c r="F38">
        <v>332.3</v>
      </c>
      <c r="G38">
        <v>433.4</v>
      </c>
      <c r="H38">
        <v>-1.23</v>
      </c>
      <c r="I38">
        <v>1.363</v>
      </c>
      <c r="J38">
        <v>260.7</v>
      </c>
      <c r="K38">
        <v>1248</v>
      </c>
      <c r="L38">
        <v>2.36</v>
      </c>
      <c r="M38">
        <v>28.1</v>
      </c>
      <c r="N38">
        <v>9231</v>
      </c>
      <c r="O38">
        <v>115021</v>
      </c>
      <c r="P38">
        <v>74.680999999999997</v>
      </c>
      <c r="Q38">
        <v>0</v>
      </c>
      <c r="R38">
        <v>2.2599999999999998</v>
      </c>
      <c r="S38">
        <v>1.4818</v>
      </c>
      <c r="T38">
        <v>7</v>
      </c>
      <c r="U38">
        <v>1.5874999999999999</v>
      </c>
      <c r="W38" t="s">
        <v>38</v>
      </c>
    </row>
    <row r="39" spans="1:23">
      <c r="A39" s="2">
        <v>46297.541666666657</v>
      </c>
      <c r="B39" t="s">
        <v>37</v>
      </c>
      <c r="C39">
        <v>72.91</v>
      </c>
      <c r="D39">
        <v>1855</v>
      </c>
      <c r="E39">
        <v>17.95</v>
      </c>
      <c r="F39">
        <v>321.10000000000002</v>
      </c>
      <c r="G39">
        <v>415.6</v>
      </c>
      <c r="H39">
        <v>-1.46</v>
      </c>
      <c r="I39">
        <v>1.58</v>
      </c>
      <c r="J39">
        <v>251.9</v>
      </c>
      <c r="K39">
        <v>1262.9000000000001</v>
      </c>
      <c r="L39">
        <v>2.56</v>
      </c>
      <c r="M39">
        <v>35.700000000000003</v>
      </c>
      <c r="N39">
        <v>9159</v>
      </c>
      <c r="O39">
        <v>113569</v>
      </c>
      <c r="P39">
        <v>74.326999999999998</v>
      </c>
      <c r="Q39">
        <v>0</v>
      </c>
      <c r="R39">
        <v>3.0550000000000002</v>
      </c>
      <c r="S39">
        <v>1.5014000000000001</v>
      </c>
      <c r="T39">
        <v>7.75</v>
      </c>
      <c r="U39">
        <v>0.33750000000000002</v>
      </c>
      <c r="W39" t="s">
        <v>38</v>
      </c>
    </row>
    <row r="40" spans="1:23">
      <c r="A40" s="2">
        <v>46297.583333333343</v>
      </c>
      <c r="B40" t="s">
        <v>37</v>
      </c>
      <c r="C40">
        <v>73.069999999999993</v>
      </c>
      <c r="D40">
        <v>1944</v>
      </c>
      <c r="E40">
        <v>17.82</v>
      </c>
      <c r="F40">
        <v>300.7</v>
      </c>
      <c r="G40">
        <v>424.6</v>
      </c>
      <c r="H40">
        <v>0.22</v>
      </c>
      <c r="I40">
        <v>1.516</v>
      </c>
      <c r="J40">
        <v>259.39999999999998</v>
      </c>
      <c r="K40">
        <v>1253.9000000000001</v>
      </c>
      <c r="L40">
        <v>2.81</v>
      </c>
      <c r="M40">
        <v>34.799999999999997</v>
      </c>
      <c r="N40">
        <v>9198</v>
      </c>
      <c r="O40">
        <v>114389</v>
      </c>
      <c r="P40">
        <v>74.075999999999993</v>
      </c>
      <c r="Q40">
        <v>0</v>
      </c>
      <c r="R40">
        <v>3.77</v>
      </c>
      <c r="S40">
        <v>1.5043</v>
      </c>
      <c r="T40">
        <v>7.7</v>
      </c>
      <c r="U40">
        <v>0</v>
      </c>
      <c r="W40" t="s">
        <v>38</v>
      </c>
    </row>
    <row r="41" spans="1:23">
      <c r="A41" s="2">
        <v>46297.625</v>
      </c>
      <c r="B41" t="s">
        <v>37</v>
      </c>
      <c r="C41">
        <v>73.900000000000006</v>
      </c>
      <c r="D41">
        <v>1890</v>
      </c>
      <c r="E41">
        <v>18.48</v>
      </c>
      <c r="F41">
        <v>300.60000000000002</v>
      </c>
      <c r="G41">
        <v>433</v>
      </c>
      <c r="H41">
        <v>1.05</v>
      </c>
      <c r="I41">
        <v>1.522</v>
      </c>
      <c r="J41">
        <v>239.7</v>
      </c>
      <c r="K41">
        <v>1255.9000000000001</v>
      </c>
      <c r="L41">
        <v>2.34</v>
      </c>
      <c r="M41">
        <v>33.799999999999997</v>
      </c>
      <c r="N41">
        <v>9058</v>
      </c>
      <c r="O41">
        <v>116029</v>
      </c>
      <c r="P41">
        <v>74.040000000000006</v>
      </c>
      <c r="Q41">
        <v>0</v>
      </c>
      <c r="R41">
        <v>4.07</v>
      </c>
      <c r="S41">
        <v>1.5079</v>
      </c>
      <c r="T41">
        <v>7.7249999999999996</v>
      </c>
      <c r="U41">
        <v>0</v>
      </c>
      <c r="W41" t="s">
        <v>38</v>
      </c>
    </row>
    <row r="42" spans="1:23">
      <c r="A42" s="2">
        <v>46297.666666666657</v>
      </c>
      <c r="B42" t="s">
        <v>37</v>
      </c>
      <c r="C42">
        <v>74.25</v>
      </c>
      <c r="D42">
        <v>1898</v>
      </c>
      <c r="E42">
        <v>18.649999999999999</v>
      </c>
      <c r="F42">
        <v>315</v>
      </c>
      <c r="G42">
        <v>417</v>
      </c>
      <c r="H42">
        <v>1.68</v>
      </c>
      <c r="I42">
        <v>1.423</v>
      </c>
      <c r="J42">
        <v>254</v>
      </c>
      <c r="K42">
        <v>1255.3</v>
      </c>
      <c r="L42">
        <v>2.5</v>
      </c>
      <c r="M42">
        <v>34.200000000000003</v>
      </c>
      <c r="N42">
        <v>9144</v>
      </c>
      <c r="O42">
        <v>115159</v>
      </c>
      <c r="P42">
        <v>74.081999999999994</v>
      </c>
      <c r="Q42">
        <v>0</v>
      </c>
      <c r="R42">
        <v>4.1950000000000003</v>
      </c>
      <c r="S42">
        <v>1.4908999999999999</v>
      </c>
      <c r="T42">
        <v>6.5125000000000002</v>
      </c>
      <c r="U42">
        <v>0.71250000000000002</v>
      </c>
      <c r="W42" t="s">
        <v>38</v>
      </c>
    </row>
    <row r="43" spans="1:23">
      <c r="A43" s="2">
        <v>46297.708333333343</v>
      </c>
      <c r="B43" t="s">
        <v>37</v>
      </c>
      <c r="C43">
        <v>75.62</v>
      </c>
      <c r="D43">
        <v>1930</v>
      </c>
      <c r="E43">
        <v>18.489999999999998</v>
      </c>
      <c r="F43">
        <v>345</v>
      </c>
      <c r="G43">
        <v>418.4</v>
      </c>
      <c r="H43">
        <v>-0.46</v>
      </c>
      <c r="I43">
        <v>1.5129999999999999</v>
      </c>
      <c r="J43">
        <v>268.10000000000002</v>
      </c>
      <c r="K43">
        <v>1259.4000000000001</v>
      </c>
      <c r="L43">
        <v>2.71</v>
      </c>
      <c r="M43">
        <v>23.7</v>
      </c>
      <c r="N43">
        <v>9167</v>
      </c>
      <c r="O43">
        <v>115877</v>
      </c>
      <c r="P43">
        <v>74.39</v>
      </c>
      <c r="Q43">
        <v>0.06</v>
      </c>
      <c r="R43">
        <v>3.6349999999999998</v>
      </c>
      <c r="S43">
        <v>1.4953000000000001</v>
      </c>
      <c r="T43">
        <v>6.4249999999999998</v>
      </c>
      <c r="U43">
        <v>0.3</v>
      </c>
      <c r="W43" t="s">
        <v>38</v>
      </c>
    </row>
    <row r="44" spans="1:23">
      <c r="A44" s="2">
        <v>46297.75</v>
      </c>
      <c r="B44" t="s">
        <v>37</v>
      </c>
      <c r="C44">
        <v>75.930000000000007</v>
      </c>
      <c r="D44">
        <v>1849</v>
      </c>
      <c r="E44">
        <v>17.670000000000002</v>
      </c>
      <c r="F44">
        <v>316.10000000000002</v>
      </c>
      <c r="G44">
        <v>415.3</v>
      </c>
      <c r="H44">
        <v>1.08</v>
      </c>
      <c r="I44">
        <v>1.5209999999999999</v>
      </c>
      <c r="J44">
        <v>247.8</v>
      </c>
      <c r="K44">
        <v>1251.4000000000001</v>
      </c>
      <c r="L44">
        <v>2.4900000000000002</v>
      </c>
      <c r="M44">
        <v>31.7</v>
      </c>
      <c r="N44">
        <v>9158</v>
      </c>
      <c r="O44">
        <v>117965</v>
      </c>
      <c r="P44">
        <v>74.697999999999993</v>
      </c>
      <c r="Q44">
        <v>0.27500000000000002</v>
      </c>
      <c r="R44">
        <v>2.92</v>
      </c>
      <c r="S44">
        <v>1.5004999999999999</v>
      </c>
      <c r="T44">
        <v>6.4375</v>
      </c>
      <c r="U44">
        <v>0</v>
      </c>
      <c r="W44" t="s">
        <v>38</v>
      </c>
    </row>
    <row r="45" spans="1:23">
      <c r="A45" s="2">
        <v>46297.791666666657</v>
      </c>
      <c r="B45" t="s">
        <v>37</v>
      </c>
      <c r="C45">
        <v>74.59</v>
      </c>
      <c r="D45">
        <v>1917</v>
      </c>
      <c r="E45">
        <v>18.46</v>
      </c>
      <c r="F45">
        <v>297.5</v>
      </c>
      <c r="G45">
        <v>411.9</v>
      </c>
      <c r="H45">
        <v>-0.04</v>
      </c>
      <c r="I45">
        <v>1.698</v>
      </c>
      <c r="J45">
        <v>241.5</v>
      </c>
      <c r="K45">
        <v>1239.5999999999999</v>
      </c>
      <c r="L45">
        <v>2.57</v>
      </c>
      <c r="M45">
        <v>35.6</v>
      </c>
      <c r="N45">
        <v>9212</v>
      </c>
      <c r="O45">
        <v>112654</v>
      </c>
      <c r="P45">
        <v>74.676000000000002</v>
      </c>
      <c r="Q45">
        <v>0</v>
      </c>
      <c r="R45">
        <v>2.875</v>
      </c>
      <c r="S45">
        <v>1.54</v>
      </c>
      <c r="T45">
        <v>8.6624999999999996</v>
      </c>
      <c r="U45">
        <v>0</v>
      </c>
      <c r="W45" t="s">
        <v>38</v>
      </c>
    </row>
    <row r="46" spans="1:23">
      <c r="A46" s="2">
        <v>46297.833333333343</v>
      </c>
      <c r="B46" t="s">
        <v>37</v>
      </c>
      <c r="C46">
        <v>73.790000000000006</v>
      </c>
      <c r="D46">
        <v>1907</v>
      </c>
      <c r="E46">
        <v>17.98</v>
      </c>
      <c r="F46">
        <v>316.3</v>
      </c>
      <c r="G46">
        <v>414.8</v>
      </c>
      <c r="H46">
        <v>-0.17</v>
      </c>
      <c r="I46">
        <v>1.4430000000000001</v>
      </c>
      <c r="J46">
        <v>243.5</v>
      </c>
      <c r="K46">
        <v>1253.2</v>
      </c>
      <c r="L46">
        <v>2.34</v>
      </c>
      <c r="M46">
        <v>36</v>
      </c>
      <c r="N46">
        <v>9134</v>
      </c>
      <c r="O46">
        <v>117426</v>
      </c>
      <c r="P46">
        <v>74.498999999999995</v>
      </c>
      <c r="Q46">
        <v>0</v>
      </c>
      <c r="R46">
        <v>3.23</v>
      </c>
      <c r="S46">
        <v>1.5206</v>
      </c>
      <c r="T46">
        <v>7.7</v>
      </c>
      <c r="U46">
        <v>0.46250000000000002</v>
      </c>
      <c r="W46" t="s">
        <v>38</v>
      </c>
    </row>
    <row r="47" spans="1:23">
      <c r="A47" s="2">
        <v>46297.875</v>
      </c>
      <c r="B47" t="s">
        <v>37</v>
      </c>
      <c r="C47">
        <v>73.44</v>
      </c>
      <c r="D47">
        <v>1922</v>
      </c>
      <c r="E47">
        <v>18.77</v>
      </c>
      <c r="F47">
        <v>315.89999999999998</v>
      </c>
      <c r="G47">
        <v>410.2</v>
      </c>
      <c r="H47">
        <v>0.88</v>
      </c>
      <c r="I47">
        <v>1.532</v>
      </c>
      <c r="J47">
        <v>239.1</v>
      </c>
      <c r="K47">
        <v>1244.8</v>
      </c>
      <c r="L47">
        <v>2.56</v>
      </c>
      <c r="M47">
        <v>28.8</v>
      </c>
      <c r="N47">
        <v>9290</v>
      </c>
      <c r="O47">
        <v>115157</v>
      </c>
      <c r="P47">
        <v>74.287000000000006</v>
      </c>
      <c r="Q47">
        <v>0</v>
      </c>
      <c r="R47">
        <v>3.76</v>
      </c>
      <c r="S47">
        <v>1.5228999999999999</v>
      </c>
      <c r="T47">
        <v>7.85</v>
      </c>
      <c r="U47">
        <v>0</v>
      </c>
      <c r="W47" t="s">
        <v>38</v>
      </c>
    </row>
    <row r="48" spans="1:23">
      <c r="A48" s="2">
        <v>46297.916666666657</v>
      </c>
      <c r="B48" t="s">
        <v>37</v>
      </c>
      <c r="C48">
        <v>73.86</v>
      </c>
      <c r="D48">
        <v>1913</v>
      </c>
      <c r="E48">
        <v>18.649999999999999</v>
      </c>
      <c r="F48">
        <v>279.5</v>
      </c>
      <c r="G48">
        <v>420.3</v>
      </c>
      <c r="H48">
        <v>0.65</v>
      </c>
      <c r="I48">
        <v>1.5149999999999999</v>
      </c>
      <c r="J48">
        <v>242.2</v>
      </c>
      <c r="K48">
        <v>1245.8</v>
      </c>
      <c r="L48">
        <v>2.4700000000000002</v>
      </c>
      <c r="M48">
        <v>42.6</v>
      </c>
      <c r="N48">
        <v>9200</v>
      </c>
      <c r="O48">
        <v>113652</v>
      </c>
      <c r="P48">
        <v>74.201999999999998</v>
      </c>
      <c r="Q48">
        <v>0</v>
      </c>
      <c r="R48">
        <v>4.08</v>
      </c>
      <c r="S48">
        <v>1.5213000000000001</v>
      </c>
      <c r="T48">
        <v>7.7874999999999996</v>
      </c>
      <c r="U48">
        <v>0</v>
      </c>
      <c r="W48" t="s">
        <v>38</v>
      </c>
    </row>
    <row r="49" spans="1:23">
      <c r="A49" s="2">
        <v>46297.958333333343</v>
      </c>
      <c r="B49" t="s">
        <v>37</v>
      </c>
      <c r="C49">
        <v>75.47</v>
      </c>
      <c r="D49">
        <v>2010</v>
      </c>
      <c r="E49">
        <v>18.12</v>
      </c>
      <c r="F49">
        <v>319.2</v>
      </c>
      <c r="G49">
        <v>413.8</v>
      </c>
      <c r="H49">
        <v>-1.58</v>
      </c>
      <c r="I49">
        <v>1.542</v>
      </c>
      <c r="J49">
        <v>246.3</v>
      </c>
      <c r="K49">
        <v>1254.7</v>
      </c>
      <c r="L49">
        <v>2.65</v>
      </c>
      <c r="M49">
        <v>29.8</v>
      </c>
      <c r="N49">
        <v>9199</v>
      </c>
      <c r="O49">
        <v>113005</v>
      </c>
      <c r="P49">
        <v>74.454999999999998</v>
      </c>
      <c r="Q49">
        <v>0</v>
      </c>
      <c r="R49">
        <v>3.5950000000000002</v>
      </c>
      <c r="S49">
        <v>1.5254000000000001</v>
      </c>
      <c r="T49">
        <v>8.0625</v>
      </c>
      <c r="U49">
        <v>0</v>
      </c>
      <c r="W49" t="s">
        <v>38</v>
      </c>
    </row>
    <row r="50" spans="1:23">
      <c r="A50" s="2">
        <v>46298</v>
      </c>
      <c r="B50" t="s">
        <v>37</v>
      </c>
      <c r="C50">
        <v>75.45</v>
      </c>
      <c r="D50">
        <v>1871</v>
      </c>
      <c r="E50">
        <v>18.29</v>
      </c>
      <c r="F50">
        <v>316.5</v>
      </c>
      <c r="G50">
        <v>421.9</v>
      </c>
      <c r="H50">
        <v>1.48</v>
      </c>
      <c r="I50">
        <v>1.6559999999999999</v>
      </c>
      <c r="J50">
        <v>235.9</v>
      </c>
      <c r="K50">
        <v>1259.9000000000001</v>
      </c>
      <c r="L50">
        <v>2.68</v>
      </c>
      <c r="M50">
        <v>40.799999999999997</v>
      </c>
      <c r="N50">
        <v>9174</v>
      </c>
      <c r="O50">
        <v>114716</v>
      </c>
      <c r="P50">
        <v>74.653999999999996</v>
      </c>
      <c r="Q50">
        <v>0</v>
      </c>
      <c r="R50">
        <v>3.12</v>
      </c>
      <c r="S50">
        <v>1.5515000000000001</v>
      </c>
      <c r="T50">
        <v>9.7624999999999993</v>
      </c>
      <c r="U50">
        <v>0</v>
      </c>
      <c r="W50" t="s">
        <v>38</v>
      </c>
    </row>
    <row r="51" spans="1:23">
      <c r="A51" s="2">
        <v>46298.041666666657</v>
      </c>
      <c r="B51" t="s">
        <v>37</v>
      </c>
      <c r="C51">
        <v>73.27</v>
      </c>
      <c r="D51">
        <v>1876</v>
      </c>
      <c r="E51">
        <v>18.079999999999998</v>
      </c>
      <c r="F51">
        <v>330.4</v>
      </c>
      <c r="G51">
        <v>407.6</v>
      </c>
      <c r="H51">
        <v>1.38</v>
      </c>
      <c r="I51">
        <v>1.429</v>
      </c>
      <c r="J51">
        <v>250.2</v>
      </c>
      <c r="K51">
        <v>1250.2</v>
      </c>
      <c r="L51">
        <v>2.89</v>
      </c>
      <c r="M51">
        <v>37.6</v>
      </c>
      <c r="N51">
        <v>9212</v>
      </c>
      <c r="O51">
        <v>116382</v>
      </c>
      <c r="P51">
        <v>74.376999999999995</v>
      </c>
      <c r="Q51">
        <v>0</v>
      </c>
      <c r="R51">
        <v>3.7349999999999999</v>
      </c>
      <c r="S51">
        <v>1.5269999999999999</v>
      </c>
      <c r="T51">
        <v>8.625</v>
      </c>
      <c r="U51">
        <v>0.63749999999999996</v>
      </c>
      <c r="W51" t="s">
        <v>38</v>
      </c>
    </row>
    <row r="52" spans="1:23">
      <c r="A52" s="2">
        <v>46298.083333333343</v>
      </c>
      <c r="B52" t="s">
        <v>37</v>
      </c>
      <c r="C52">
        <v>73.989999999999995</v>
      </c>
      <c r="D52">
        <v>1872</v>
      </c>
      <c r="E52">
        <v>18.47</v>
      </c>
      <c r="F52">
        <v>347.7</v>
      </c>
      <c r="G52">
        <v>422.6</v>
      </c>
      <c r="H52">
        <v>-0.63</v>
      </c>
      <c r="I52">
        <v>1.431</v>
      </c>
      <c r="J52">
        <v>259</v>
      </c>
      <c r="K52">
        <v>1252.5</v>
      </c>
      <c r="L52">
        <v>2.59</v>
      </c>
      <c r="M52">
        <v>31.1</v>
      </c>
      <c r="N52">
        <v>9266</v>
      </c>
      <c r="O52">
        <v>114809</v>
      </c>
      <c r="P52">
        <v>74.3</v>
      </c>
      <c r="Q52">
        <v>0</v>
      </c>
      <c r="R52">
        <v>3.99</v>
      </c>
      <c r="S52">
        <v>1.5078</v>
      </c>
      <c r="T52">
        <v>7.5125000000000002</v>
      </c>
      <c r="U52">
        <v>1.25</v>
      </c>
      <c r="W52" t="s">
        <v>38</v>
      </c>
    </row>
    <row r="53" spans="1:23">
      <c r="A53" s="2">
        <v>46298.125</v>
      </c>
      <c r="B53" t="s">
        <v>37</v>
      </c>
      <c r="C53">
        <v>73.64</v>
      </c>
      <c r="D53">
        <v>1875</v>
      </c>
      <c r="E53">
        <v>18.88</v>
      </c>
      <c r="F53">
        <v>336.9</v>
      </c>
      <c r="G53">
        <v>426.7</v>
      </c>
      <c r="H53">
        <v>0.4</v>
      </c>
      <c r="I53">
        <v>1.5209999999999999</v>
      </c>
      <c r="J53">
        <v>240.9</v>
      </c>
      <c r="K53">
        <v>1263.5999999999999</v>
      </c>
      <c r="L53">
        <v>2.5499999999999998</v>
      </c>
      <c r="M53">
        <v>45.7</v>
      </c>
      <c r="N53">
        <v>9131</v>
      </c>
      <c r="O53">
        <v>117267</v>
      </c>
      <c r="P53">
        <v>74.168000000000006</v>
      </c>
      <c r="Q53">
        <v>0</v>
      </c>
      <c r="R53">
        <v>4.42</v>
      </c>
      <c r="S53">
        <v>1.5105</v>
      </c>
      <c r="T53">
        <v>7.5250000000000004</v>
      </c>
      <c r="U53">
        <v>0.73750000000000004</v>
      </c>
      <c r="W53" t="s">
        <v>38</v>
      </c>
    </row>
    <row r="54" spans="1:23">
      <c r="A54" s="2">
        <v>46298.166666666657</v>
      </c>
      <c r="B54" t="s">
        <v>37</v>
      </c>
      <c r="C54">
        <v>73.23</v>
      </c>
      <c r="D54">
        <v>1871</v>
      </c>
      <c r="E54">
        <v>18.11</v>
      </c>
      <c r="F54">
        <v>316</v>
      </c>
      <c r="G54">
        <v>404.1</v>
      </c>
      <c r="H54">
        <v>0.49</v>
      </c>
      <c r="I54">
        <v>1.627</v>
      </c>
      <c r="J54">
        <v>265.2</v>
      </c>
      <c r="K54">
        <v>1251.9000000000001</v>
      </c>
      <c r="L54">
        <v>2.5299999999999998</v>
      </c>
      <c r="M54">
        <v>27.8</v>
      </c>
      <c r="N54">
        <v>9147</v>
      </c>
      <c r="O54">
        <v>112823</v>
      </c>
      <c r="P54">
        <v>73.98</v>
      </c>
      <c r="Q54">
        <v>0</v>
      </c>
      <c r="R54">
        <v>5.0549999999999997</v>
      </c>
      <c r="S54">
        <v>1.5338000000000001</v>
      </c>
      <c r="T54">
        <v>8.8625000000000007</v>
      </c>
      <c r="U54">
        <v>0</v>
      </c>
      <c r="V54" t="s">
        <v>38</v>
      </c>
      <c r="W54" t="s">
        <v>38</v>
      </c>
    </row>
    <row r="55" spans="1:23">
      <c r="A55" s="2">
        <v>46298.208333333343</v>
      </c>
      <c r="B55" t="s">
        <v>37</v>
      </c>
      <c r="C55">
        <v>74.540000000000006</v>
      </c>
      <c r="D55">
        <v>1954</v>
      </c>
      <c r="E55">
        <v>18.7</v>
      </c>
      <c r="F55">
        <v>303.39999999999998</v>
      </c>
      <c r="G55">
        <v>423</v>
      </c>
      <c r="H55">
        <v>0.26</v>
      </c>
      <c r="I55">
        <v>1.63</v>
      </c>
      <c r="J55">
        <v>255.1</v>
      </c>
      <c r="K55">
        <v>1270.8</v>
      </c>
      <c r="L55">
        <v>2.4500000000000002</v>
      </c>
      <c r="M55">
        <v>40.5</v>
      </c>
      <c r="N55">
        <v>9176</v>
      </c>
      <c r="O55">
        <v>114982</v>
      </c>
      <c r="P55">
        <v>74.091999999999999</v>
      </c>
      <c r="Q55">
        <v>0</v>
      </c>
      <c r="R55">
        <v>5.0350000000000001</v>
      </c>
      <c r="S55">
        <v>1.5529999999999999</v>
      </c>
      <c r="T55">
        <v>10.237500000000001</v>
      </c>
      <c r="U55">
        <v>0</v>
      </c>
      <c r="V55" t="s">
        <v>38</v>
      </c>
      <c r="W55" t="s">
        <v>38</v>
      </c>
    </row>
    <row r="56" spans="1:23">
      <c r="A56" s="2">
        <v>46298.25</v>
      </c>
      <c r="B56" t="s">
        <v>37</v>
      </c>
      <c r="C56">
        <v>75.319999999999993</v>
      </c>
      <c r="D56">
        <v>1964</v>
      </c>
      <c r="E56">
        <v>18.29</v>
      </c>
      <c r="F56">
        <v>358.6</v>
      </c>
      <c r="G56">
        <v>429.8</v>
      </c>
      <c r="H56">
        <v>-0.55000000000000004</v>
      </c>
      <c r="I56">
        <v>1.478</v>
      </c>
      <c r="J56">
        <v>260.3</v>
      </c>
      <c r="K56">
        <v>1254.5</v>
      </c>
      <c r="L56">
        <v>2.5499999999999998</v>
      </c>
      <c r="M56">
        <v>41</v>
      </c>
      <c r="N56">
        <v>9092</v>
      </c>
      <c r="O56">
        <v>113121</v>
      </c>
      <c r="P56">
        <v>74.337999999999994</v>
      </c>
      <c r="Q56">
        <v>0</v>
      </c>
      <c r="R56">
        <v>4.625</v>
      </c>
      <c r="S56">
        <v>1.538</v>
      </c>
      <c r="T56">
        <v>9.7125000000000004</v>
      </c>
      <c r="U56">
        <v>2.5000000000000001E-2</v>
      </c>
      <c r="W56" t="s">
        <v>38</v>
      </c>
    </row>
    <row r="57" spans="1:23">
      <c r="A57" s="2">
        <v>46298.291666666657</v>
      </c>
      <c r="B57" t="s">
        <v>37</v>
      </c>
      <c r="C57">
        <v>76.349999999999994</v>
      </c>
      <c r="D57">
        <v>1874</v>
      </c>
      <c r="E57">
        <v>18.18</v>
      </c>
      <c r="F57">
        <v>320.89999999999998</v>
      </c>
      <c r="G57">
        <v>410.3</v>
      </c>
      <c r="H57">
        <v>-0.67</v>
      </c>
      <c r="I57">
        <v>1.4630000000000001</v>
      </c>
      <c r="J57">
        <v>243.4</v>
      </c>
      <c r="K57">
        <v>1235.9000000000001</v>
      </c>
      <c r="L57">
        <v>2.46</v>
      </c>
      <c r="M57">
        <v>31</v>
      </c>
      <c r="N57">
        <v>9134</v>
      </c>
      <c r="O57">
        <v>115545</v>
      </c>
      <c r="P57">
        <v>74.739999999999995</v>
      </c>
      <c r="Q57">
        <v>0.42499999999999999</v>
      </c>
      <c r="R57">
        <v>3.7</v>
      </c>
      <c r="S57">
        <v>1.5229999999999999</v>
      </c>
      <c r="T57">
        <v>9</v>
      </c>
      <c r="U57">
        <v>0.23749999999999999</v>
      </c>
      <c r="W57" t="s">
        <v>38</v>
      </c>
    </row>
    <row r="58" spans="1:23">
      <c r="A58" s="2">
        <v>46298.333333333343</v>
      </c>
      <c r="B58" t="s">
        <v>37</v>
      </c>
      <c r="C58">
        <v>75.73</v>
      </c>
      <c r="D58">
        <v>1863</v>
      </c>
      <c r="E58">
        <v>18.46</v>
      </c>
      <c r="F58">
        <v>320.2</v>
      </c>
      <c r="G58">
        <v>433.4</v>
      </c>
      <c r="H58">
        <v>-0.03</v>
      </c>
      <c r="I58">
        <v>1.6259999999999999</v>
      </c>
      <c r="J58">
        <v>258.5</v>
      </c>
      <c r="K58">
        <v>1256</v>
      </c>
      <c r="L58">
        <v>2.5299999999999998</v>
      </c>
      <c r="M58">
        <v>43.4</v>
      </c>
      <c r="N58">
        <v>9162</v>
      </c>
      <c r="O58">
        <v>116330</v>
      </c>
      <c r="P58">
        <v>74.938000000000002</v>
      </c>
      <c r="Q58">
        <v>0.54</v>
      </c>
      <c r="R58">
        <v>3.085</v>
      </c>
      <c r="S58">
        <v>1.5436000000000001</v>
      </c>
      <c r="T58">
        <v>10.324999999999999</v>
      </c>
      <c r="U58">
        <v>0</v>
      </c>
      <c r="W58" t="s">
        <v>38</v>
      </c>
    </row>
    <row r="59" spans="1:23">
      <c r="A59" s="2">
        <v>46298.375</v>
      </c>
      <c r="B59" t="s">
        <v>37</v>
      </c>
      <c r="C59">
        <v>74.83</v>
      </c>
      <c r="D59">
        <v>1921</v>
      </c>
      <c r="E59">
        <v>18.09</v>
      </c>
      <c r="F59">
        <v>319.60000000000002</v>
      </c>
      <c r="G59">
        <v>423.4</v>
      </c>
      <c r="H59">
        <v>1.17</v>
      </c>
      <c r="I59">
        <v>1.58</v>
      </c>
      <c r="J59">
        <v>239.1</v>
      </c>
      <c r="K59">
        <v>1253</v>
      </c>
      <c r="L59">
        <v>2.7</v>
      </c>
      <c r="M59">
        <v>33.5</v>
      </c>
      <c r="N59">
        <v>9270</v>
      </c>
      <c r="O59">
        <v>114369</v>
      </c>
      <c r="P59">
        <v>74.917000000000002</v>
      </c>
      <c r="Q59">
        <v>0.20499999999999999</v>
      </c>
      <c r="R59">
        <v>2.92</v>
      </c>
      <c r="S59">
        <v>1.5508999999999999</v>
      </c>
      <c r="T59">
        <v>11.074999999999999</v>
      </c>
      <c r="U59">
        <v>0</v>
      </c>
      <c r="W59" t="s">
        <v>38</v>
      </c>
    </row>
    <row r="60" spans="1:23">
      <c r="A60" s="2">
        <v>46298.416666666657</v>
      </c>
      <c r="B60" t="s">
        <v>37</v>
      </c>
      <c r="C60">
        <v>75.33</v>
      </c>
      <c r="D60">
        <v>1875</v>
      </c>
      <c r="E60">
        <v>18.28</v>
      </c>
      <c r="F60">
        <v>323</v>
      </c>
      <c r="G60">
        <v>414.4</v>
      </c>
      <c r="H60">
        <v>0.54</v>
      </c>
      <c r="I60">
        <v>1.5549999999999999</v>
      </c>
      <c r="J60">
        <v>258.89999999999998</v>
      </c>
      <c r="K60">
        <v>1260.3</v>
      </c>
      <c r="L60">
        <v>2.35</v>
      </c>
      <c r="M60">
        <v>36.700000000000003</v>
      </c>
      <c r="N60">
        <v>9221</v>
      </c>
      <c r="O60">
        <v>111094</v>
      </c>
      <c r="P60">
        <v>74.998999999999995</v>
      </c>
      <c r="Q60">
        <v>0.12</v>
      </c>
      <c r="R60">
        <v>2.5049999999999999</v>
      </c>
      <c r="S60">
        <v>1.5517000000000001</v>
      </c>
      <c r="T60">
        <v>11.512499999999999</v>
      </c>
      <c r="U60">
        <v>0</v>
      </c>
      <c r="W60" t="s">
        <v>38</v>
      </c>
    </row>
    <row r="61" spans="1:23">
      <c r="A61" s="2">
        <v>46298.458333333343</v>
      </c>
      <c r="B61" t="s">
        <v>37</v>
      </c>
      <c r="C61">
        <v>76.31</v>
      </c>
      <c r="D61">
        <v>1928</v>
      </c>
      <c r="E61">
        <v>18.02</v>
      </c>
      <c r="F61">
        <v>317.8</v>
      </c>
      <c r="G61">
        <v>419.6</v>
      </c>
      <c r="H61">
        <v>-0.37</v>
      </c>
      <c r="I61">
        <v>1.77</v>
      </c>
      <c r="J61">
        <v>251.7</v>
      </c>
      <c r="K61">
        <v>1255.4000000000001</v>
      </c>
      <c r="L61">
        <v>2.67</v>
      </c>
      <c r="M61">
        <v>36.6</v>
      </c>
      <c r="N61">
        <v>9215</v>
      </c>
      <c r="O61">
        <v>115298</v>
      </c>
      <c r="P61">
        <v>75.260999999999996</v>
      </c>
      <c r="Q61">
        <v>0.52500000000000002</v>
      </c>
      <c r="R61">
        <v>1.6</v>
      </c>
      <c r="S61">
        <v>1.5953999999999999</v>
      </c>
      <c r="T61">
        <v>14.637499999999999</v>
      </c>
      <c r="U61">
        <v>0</v>
      </c>
      <c r="W61" t="s">
        <v>38</v>
      </c>
    </row>
    <row r="62" spans="1:23">
      <c r="A62" s="2">
        <v>46298.5</v>
      </c>
      <c r="B62" t="s">
        <v>37</v>
      </c>
      <c r="C62">
        <v>75.52</v>
      </c>
      <c r="D62">
        <v>1909</v>
      </c>
      <c r="E62">
        <v>19.29</v>
      </c>
      <c r="F62">
        <v>311.39999999999998</v>
      </c>
      <c r="G62">
        <v>424.5</v>
      </c>
      <c r="H62">
        <v>0.77</v>
      </c>
      <c r="I62">
        <v>1.4710000000000001</v>
      </c>
      <c r="J62">
        <v>255.5</v>
      </c>
      <c r="K62">
        <v>1248.9000000000001</v>
      </c>
      <c r="L62">
        <v>2.7</v>
      </c>
      <c r="M62">
        <v>34.200000000000003</v>
      </c>
      <c r="N62">
        <v>9268</v>
      </c>
      <c r="O62">
        <v>115655</v>
      </c>
      <c r="P62">
        <v>75.313000000000002</v>
      </c>
      <c r="Q62">
        <v>0.53500000000000003</v>
      </c>
      <c r="R62">
        <v>1.0900000000000001</v>
      </c>
      <c r="S62">
        <v>1.5705</v>
      </c>
      <c r="T62">
        <v>14.025</v>
      </c>
      <c r="U62">
        <v>0.1125</v>
      </c>
      <c r="W62" t="s">
        <v>38</v>
      </c>
    </row>
    <row r="63" spans="1:23">
      <c r="A63" s="2">
        <v>46298.541666666657</v>
      </c>
      <c r="B63" t="s">
        <v>37</v>
      </c>
      <c r="C63">
        <v>75.16</v>
      </c>
      <c r="D63">
        <v>1832</v>
      </c>
      <c r="E63">
        <v>18.510000000000002</v>
      </c>
      <c r="F63">
        <v>311.8</v>
      </c>
      <c r="G63">
        <v>420.6</v>
      </c>
      <c r="H63">
        <v>-2.85</v>
      </c>
      <c r="I63">
        <v>1.3540000000000001</v>
      </c>
      <c r="J63">
        <v>238.2</v>
      </c>
      <c r="K63">
        <v>1240.2</v>
      </c>
      <c r="L63">
        <v>2.48</v>
      </c>
      <c r="M63">
        <v>39.9</v>
      </c>
      <c r="N63">
        <v>9189</v>
      </c>
      <c r="O63">
        <v>115606</v>
      </c>
      <c r="P63">
        <v>75.283000000000001</v>
      </c>
      <c r="Q63">
        <v>0.36499999999999999</v>
      </c>
      <c r="R63">
        <v>0.76</v>
      </c>
      <c r="S63">
        <v>1.5271999999999999</v>
      </c>
      <c r="T63">
        <v>11.95</v>
      </c>
      <c r="U63">
        <v>1.6875</v>
      </c>
      <c r="W63" t="s">
        <v>38</v>
      </c>
    </row>
    <row r="64" spans="1:23">
      <c r="A64" s="2">
        <v>46298.583333333343</v>
      </c>
      <c r="B64" t="s">
        <v>37</v>
      </c>
      <c r="C64">
        <v>74.459999999999994</v>
      </c>
      <c r="D64">
        <v>1970</v>
      </c>
      <c r="E64">
        <v>18.22</v>
      </c>
      <c r="F64">
        <v>319.5</v>
      </c>
      <c r="G64">
        <v>424.3</v>
      </c>
      <c r="H64">
        <v>1.1499999999999999</v>
      </c>
      <c r="I64">
        <v>1.3009999999999999</v>
      </c>
      <c r="J64">
        <v>241</v>
      </c>
      <c r="K64">
        <v>1248.3</v>
      </c>
      <c r="L64">
        <v>2.1800000000000002</v>
      </c>
      <c r="M64">
        <v>39.799999999999997</v>
      </c>
      <c r="N64">
        <v>9231</v>
      </c>
      <c r="O64">
        <v>116854</v>
      </c>
      <c r="P64">
        <v>75.117999999999995</v>
      </c>
      <c r="Q64">
        <v>0</v>
      </c>
      <c r="R64">
        <v>0.78</v>
      </c>
      <c r="S64">
        <v>1.482</v>
      </c>
      <c r="T64">
        <v>9.2125000000000004</v>
      </c>
      <c r="U64">
        <v>3.9249999999999998</v>
      </c>
      <c r="W64" t="s">
        <v>38</v>
      </c>
    </row>
    <row r="65" spans="1:23">
      <c r="A65" s="2">
        <v>46298.625</v>
      </c>
      <c r="B65" t="s">
        <v>37</v>
      </c>
      <c r="C65">
        <v>73.87</v>
      </c>
      <c r="D65">
        <v>1981</v>
      </c>
      <c r="E65">
        <v>18.59</v>
      </c>
      <c r="F65">
        <v>311.8</v>
      </c>
      <c r="G65">
        <v>412.6</v>
      </c>
      <c r="H65">
        <v>-1.74</v>
      </c>
      <c r="I65">
        <v>1.4490000000000001</v>
      </c>
      <c r="J65">
        <v>256</v>
      </c>
      <c r="K65">
        <v>1243.2</v>
      </c>
      <c r="L65">
        <v>2.41</v>
      </c>
      <c r="M65">
        <v>24.5</v>
      </c>
      <c r="N65">
        <v>9192</v>
      </c>
      <c r="O65">
        <v>113393</v>
      </c>
      <c r="P65">
        <v>74.867999999999995</v>
      </c>
      <c r="Q65">
        <v>0</v>
      </c>
      <c r="R65">
        <v>1.095</v>
      </c>
      <c r="S65">
        <v>1.4754</v>
      </c>
      <c r="T65">
        <v>8.3249999999999993</v>
      </c>
      <c r="U65">
        <v>4.3125</v>
      </c>
      <c r="W65" t="s">
        <v>38</v>
      </c>
    </row>
    <row r="66" spans="1:23">
      <c r="A66" s="2">
        <v>46298.666666666657</v>
      </c>
      <c r="B66" t="s">
        <v>37</v>
      </c>
      <c r="C66">
        <v>74.489999999999995</v>
      </c>
      <c r="D66">
        <v>1872</v>
      </c>
      <c r="E66">
        <v>18.46</v>
      </c>
      <c r="F66">
        <v>309.3</v>
      </c>
      <c r="G66">
        <v>421.4</v>
      </c>
      <c r="H66">
        <v>-0.36</v>
      </c>
      <c r="I66">
        <v>1.583</v>
      </c>
      <c r="J66">
        <v>240.5</v>
      </c>
      <c r="K66">
        <v>1245.4000000000001</v>
      </c>
      <c r="L66">
        <v>2.69</v>
      </c>
      <c r="M66">
        <v>42.8</v>
      </c>
      <c r="N66">
        <v>9221</v>
      </c>
      <c r="O66">
        <v>116020</v>
      </c>
      <c r="P66">
        <v>74.793000000000006</v>
      </c>
      <c r="Q66">
        <v>0</v>
      </c>
      <c r="R66">
        <v>1.1000000000000001</v>
      </c>
      <c r="S66">
        <v>1.4968999999999999</v>
      </c>
      <c r="T66">
        <v>9.1125000000000007</v>
      </c>
      <c r="U66">
        <v>3.0249999999999999</v>
      </c>
      <c r="W66" t="s">
        <v>38</v>
      </c>
    </row>
    <row r="67" spans="1:23">
      <c r="A67" s="2">
        <v>46298.708333333343</v>
      </c>
      <c r="B67" t="s">
        <v>37</v>
      </c>
      <c r="C67">
        <v>76.37</v>
      </c>
      <c r="D67">
        <v>1883</v>
      </c>
      <c r="E67">
        <v>18.41</v>
      </c>
      <c r="F67">
        <v>321.60000000000002</v>
      </c>
      <c r="G67">
        <v>408.7</v>
      </c>
      <c r="H67">
        <v>-1.1200000000000001</v>
      </c>
      <c r="I67">
        <v>1.454</v>
      </c>
      <c r="J67">
        <v>254.6</v>
      </c>
      <c r="K67">
        <v>1254.7</v>
      </c>
      <c r="L67">
        <v>2.5</v>
      </c>
      <c r="M67">
        <v>25</v>
      </c>
      <c r="N67">
        <v>9153</v>
      </c>
      <c r="O67">
        <v>116789</v>
      </c>
      <c r="P67">
        <v>75.108000000000004</v>
      </c>
      <c r="Q67">
        <v>0.435</v>
      </c>
      <c r="R67">
        <v>0.16500000000000001</v>
      </c>
      <c r="S67">
        <v>1.4883</v>
      </c>
      <c r="T67">
        <v>8.2874999999999996</v>
      </c>
      <c r="U67">
        <v>3.35</v>
      </c>
      <c r="W67" t="s">
        <v>38</v>
      </c>
    </row>
    <row r="68" spans="1:23">
      <c r="A68" s="2">
        <v>46298.75</v>
      </c>
      <c r="B68" t="s">
        <v>37</v>
      </c>
      <c r="C68">
        <v>76.14</v>
      </c>
      <c r="D68">
        <v>1913</v>
      </c>
      <c r="E68">
        <v>18.75</v>
      </c>
      <c r="F68">
        <v>316.2</v>
      </c>
      <c r="G68">
        <v>419.1</v>
      </c>
      <c r="H68">
        <v>-1.29</v>
      </c>
      <c r="I68">
        <v>1.62</v>
      </c>
      <c r="J68">
        <v>236.3</v>
      </c>
      <c r="K68">
        <v>1263.4000000000001</v>
      </c>
      <c r="L68">
        <v>2.35</v>
      </c>
      <c r="M68">
        <v>41.2</v>
      </c>
      <c r="N68">
        <v>9005</v>
      </c>
      <c r="O68">
        <v>112332</v>
      </c>
      <c r="P68">
        <v>75.314999999999998</v>
      </c>
      <c r="Q68">
        <v>0.755</v>
      </c>
      <c r="R68">
        <v>0</v>
      </c>
      <c r="S68">
        <v>1.5146999999999999</v>
      </c>
      <c r="T68">
        <v>9.5374999999999996</v>
      </c>
      <c r="U68">
        <v>1.6</v>
      </c>
      <c r="W68" t="s">
        <v>38</v>
      </c>
    </row>
    <row r="69" spans="1:23">
      <c r="A69" s="2">
        <v>46298.791666666657</v>
      </c>
      <c r="B69" t="s">
        <v>37</v>
      </c>
      <c r="C69">
        <v>76.150000000000006</v>
      </c>
      <c r="D69">
        <v>1915</v>
      </c>
      <c r="E69">
        <v>18.8</v>
      </c>
      <c r="F69">
        <v>342.6</v>
      </c>
      <c r="G69">
        <v>412.8</v>
      </c>
      <c r="H69">
        <v>1.1599999999999999</v>
      </c>
      <c r="I69">
        <v>1.288</v>
      </c>
      <c r="J69">
        <v>258.5</v>
      </c>
      <c r="K69">
        <v>1253.2</v>
      </c>
      <c r="L69">
        <v>2.42</v>
      </c>
      <c r="M69">
        <v>41.8</v>
      </c>
      <c r="N69">
        <v>9189</v>
      </c>
      <c r="O69">
        <v>115479</v>
      </c>
      <c r="P69">
        <v>75.481999999999999</v>
      </c>
      <c r="Q69">
        <v>1.08</v>
      </c>
      <c r="R69">
        <v>0</v>
      </c>
      <c r="S69">
        <v>1.4693000000000001</v>
      </c>
      <c r="T69">
        <v>6.6375000000000002</v>
      </c>
      <c r="U69">
        <v>4</v>
      </c>
      <c r="W69" t="s">
        <v>38</v>
      </c>
    </row>
    <row r="70" spans="1:23">
      <c r="A70" s="2">
        <v>46298.833333333343</v>
      </c>
      <c r="B70" t="s">
        <v>37</v>
      </c>
      <c r="C70">
        <v>75.97</v>
      </c>
      <c r="D70">
        <v>1930</v>
      </c>
      <c r="E70">
        <v>18.29</v>
      </c>
      <c r="F70">
        <v>280.2</v>
      </c>
      <c r="G70">
        <v>414.1</v>
      </c>
      <c r="H70">
        <v>-0.47</v>
      </c>
      <c r="I70">
        <v>1.448</v>
      </c>
      <c r="J70">
        <v>237.7</v>
      </c>
      <c r="K70">
        <v>1240.4000000000001</v>
      </c>
      <c r="L70">
        <v>2.63</v>
      </c>
      <c r="M70">
        <v>28.5</v>
      </c>
      <c r="N70">
        <v>9314</v>
      </c>
      <c r="O70">
        <v>114244</v>
      </c>
      <c r="P70">
        <v>75.578999999999994</v>
      </c>
      <c r="Q70">
        <v>1.3149999999999999</v>
      </c>
      <c r="R70">
        <v>0</v>
      </c>
      <c r="S70">
        <v>1.4651000000000001</v>
      </c>
      <c r="T70">
        <v>5.7374999999999998</v>
      </c>
      <c r="U70">
        <v>4.4000000000000004</v>
      </c>
      <c r="W70" t="s">
        <v>38</v>
      </c>
    </row>
    <row r="71" spans="1:23">
      <c r="A71" s="2">
        <v>46298.875</v>
      </c>
      <c r="B71" t="s">
        <v>37</v>
      </c>
      <c r="C71">
        <v>75.3</v>
      </c>
      <c r="D71">
        <v>1990</v>
      </c>
      <c r="E71">
        <v>18.27</v>
      </c>
      <c r="F71">
        <v>336.4</v>
      </c>
      <c r="G71">
        <v>429.9</v>
      </c>
      <c r="H71">
        <v>0.35</v>
      </c>
      <c r="I71">
        <v>1.4419999999999999</v>
      </c>
      <c r="J71">
        <v>255.5</v>
      </c>
      <c r="K71">
        <v>1253.5999999999999</v>
      </c>
      <c r="L71">
        <v>2.58</v>
      </c>
      <c r="M71">
        <v>32.5</v>
      </c>
      <c r="N71">
        <v>9274</v>
      </c>
      <c r="O71">
        <v>114878</v>
      </c>
      <c r="P71">
        <v>75.522999999999996</v>
      </c>
      <c r="Q71">
        <v>1.2150000000000001</v>
      </c>
      <c r="R71">
        <v>0</v>
      </c>
      <c r="S71">
        <v>1.4603999999999999</v>
      </c>
      <c r="T71">
        <v>4.7625000000000002</v>
      </c>
      <c r="U71">
        <v>4.875</v>
      </c>
    </row>
    <row r="72" spans="1:23">
      <c r="A72" s="2">
        <v>46298.916666666657</v>
      </c>
      <c r="B72" t="s">
        <v>37</v>
      </c>
      <c r="C72">
        <v>75.38</v>
      </c>
      <c r="D72">
        <v>1892</v>
      </c>
      <c r="E72">
        <v>18.39</v>
      </c>
      <c r="F72">
        <v>338.7</v>
      </c>
      <c r="G72">
        <v>428.7</v>
      </c>
      <c r="H72">
        <v>-0.05</v>
      </c>
      <c r="I72">
        <v>1.569</v>
      </c>
      <c r="J72">
        <v>256.3</v>
      </c>
      <c r="K72">
        <v>1259.5999999999999</v>
      </c>
      <c r="L72">
        <v>2.46</v>
      </c>
      <c r="M72">
        <v>28.4</v>
      </c>
      <c r="N72">
        <v>9277</v>
      </c>
      <c r="O72">
        <v>115522</v>
      </c>
      <c r="P72">
        <v>75.495000000000005</v>
      </c>
      <c r="Q72">
        <v>1.155</v>
      </c>
      <c r="R72">
        <v>0</v>
      </c>
      <c r="S72">
        <v>1.4822</v>
      </c>
      <c r="T72">
        <v>5.375</v>
      </c>
      <c r="U72">
        <v>3.7625000000000002</v>
      </c>
      <c r="W72" t="s">
        <v>38</v>
      </c>
    </row>
    <row r="73" spans="1:23">
      <c r="A73" s="2">
        <v>46298.958333333343</v>
      </c>
      <c r="B73" t="s">
        <v>37</v>
      </c>
      <c r="C73">
        <v>77.13</v>
      </c>
      <c r="D73">
        <v>1864</v>
      </c>
      <c r="E73">
        <v>17.579999999999998</v>
      </c>
      <c r="F73">
        <v>288.89999999999998</v>
      </c>
      <c r="G73">
        <v>424.9</v>
      </c>
      <c r="H73">
        <v>0.48</v>
      </c>
      <c r="I73">
        <v>1.4319999999999999</v>
      </c>
      <c r="J73">
        <v>243</v>
      </c>
      <c r="K73">
        <v>1245.0999999999999</v>
      </c>
      <c r="L73">
        <v>2.44</v>
      </c>
      <c r="M73">
        <v>33.700000000000003</v>
      </c>
      <c r="N73">
        <v>9299</v>
      </c>
      <c r="O73">
        <v>114269</v>
      </c>
      <c r="P73">
        <v>75.822000000000003</v>
      </c>
      <c r="Q73">
        <v>1.97</v>
      </c>
      <c r="R73">
        <v>0</v>
      </c>
      <c r="S73">
        <v>1.4721</v>
      </c>
      <c r="T73">
        <v>4.2750000000000004</v>
      </c>
      <c r="U73">
        <v>4.3624999999999998</v>
      </c>
    </row>
    <row r="74" spans="1:23">
      <c r="A74" s="2">
        <v>46299</v>
      </c>
      <c r="B74" t="s">
        <v>37</v>
      </c>
      <c r="C74">
        <v>77.319999999999993</v>
      </c>
      <c r="D74">
        <v>1838</v>
      </c>
      <c r="E74">
        <v>17.89</v>
      </c>
      <c r="F74">
        <v>314.89999999999998</v>
      </c>
      <c r="G74">
        <v>411.3</v>
      </c>
      <c r="H74">
        <v>0.08</v>
      </c>
      <c r="I74">
        <v>1.7270000000000001</v>
      </c>
      <c r="J74">
        <v>255.8</v>
      </c>
      <c r="K74">
        <v>1248.9000000000001</v>
      </c>
      <c r="L74">
        <v>2.44</v>
      </c>
      <c r="M74">
        <v>33.200000000000003</v>
      </c>
      <c r="N74">
        <v>9207</v>
      </c>
      <c r="O74">
        <v>113986</v>
      </c>
      <c r="P74">
        <v>76.120999999999995</v>
      </c>
      <c r="Q74">
        <v>2.88</v>
      </c>
      <c r="R74">
        <v>0</v>
      </c>
      <c r="S74">
        <v>1.5230999999999999</v>
      </c>
      <c r="T74">
        <v>6.8624999999999998</v>
      </c>
      <c r="U74">
        <v>1.2749999999999999</v>
      </c>
      <c r="W74" t="s">
        <v>38</v>
      </c>
    </row>
    <row r="75" spans="1:23">
      <c r="A75" s="2">
        <v>46299.041666666657</v>
      </c>
      <c r="B75" t="s">
        <v>37</v>
      </c>
      <c r="C75">
        <v>77.290000000000006</v>
      </c>
      <c r="D75">
        <v>1867</v>
      </c>
      <c r="E75">
        <v>19.05</v>
      </c>
      <c r="F75">
        <v>314.39999999999998</v>
      </c>
      <c r="G75">
        <v>417.5</v>
      </c>
      <c r="H75">
        <v>-1.28</v>
      </c>
      <c r="I75">
        <v>1.532</v>
      </c>
      <c r="J75">
        <v>252.6</v>
      </c>
      <c r="K75">
        <v>1250.0999999999999</v>
      </c>
      <c r="L75">
        <v>2.36</v>
      </c>
      <c r="M75">
        <v>39.700000000000003</v>
      </c>
      <c r="N75">
        <v>9216</v>
      </c>
      <c r="O75">
        <v>115051</v>
      </c>
      <c r="P75">
        <v>76.355000000000004</v>
      </c>
      <c r="Q75">
        <v>3.7749999999999999</v>
      </c>
      <c r="R75">
        <v>0</v>
      </c>
      <c r="S75">
        <v>1.5248999999999999</v>
      </c>
      <c r="T75">
        <v>7.0125000000000002</v>
      </c>
      <c r="U75">
        <v>0.625</v>
      </c>
      <c r="W75" t="s">
        <v>38</v>
      </c>
    </row>
    <row r="76" spans="1:23">
      <c r="A76" s="2">
        <v>46299.083333333343</v>
      </c>
      <c r="B76" t="s">
        <v>37</v>
      </c>
      <c r="C76">
        <v>73.209999999999994</v>
      </c>
      <c r="D76">
        <v>1899</v>
      </c>
      <c r="E76">
        <v>19.16</v>
      </c>
      <c r="F76">
        <v>298.89999999999998</v>
      </c>
      <c r="G76">
        <v>429.7</v>
      </c>
      <c r="H76">
        <v>1</v>
      </c>
      <c r="I76">
        <v>1.3260000000000001</v>
      </c>
      <c r="J76">
        <v>244.6</v>
      </c>
      <c r="K76">
        <v>1243.7</v>
      </c>
      <c r="L76">
        <v>2.74</v>
      </c>
      <c r="M76">
        <v>42.9</v>
      </c>
      <c r="N76">
        <v>9151</v>
      </c>
      <c r="O76">
        <v>113369</v>
      </c>
      <c r="P76">
        <v>75.725999999999999</v>
      </c>
      <c r="Q76">
        <v>2.63</v>
      </c>
      <c r="R76">
        <v>0.64500000000000002</v>
      </c>
      <c r="S76">
        <v>1.4851000000000001</v>
      </c>
      <c r="T76">
        <v>4.5875000000000004</v>
      </c>
      <c r="U76">
        <v>2.5499999999999998</v>
      </c>
    </row>
    <row r="77" spans="1:23">
      <c r="A77" s="2">
        <v>46299.125</v>
      </c>
      <c r="B77" t="s">
        <v>37</v>
      </c>
      <c r="C77">
        <v>74.91</v>
      </c>
      <c r="D77">
        <v>1981</v>
      </c>
      <c r="E77">
        <v>18.399999999999999</v>
      </c>
      <c r="F77">
        <v>308.3</v>
      </c>
      <c r="G77">
        <v>421.1</v>
      </c>
      <c r="H77">
        <v>-0.49</v>
      </c>
      <c r="I77">
        <v>1.573</v>
      </c>
      <c r="J77">
        <v>239.9</v>
      </c>
      <c r="K77">
        <v>1255.2</v>
      </c>
      <c r="L77">
        <v>2.4500000000000002</v>
      </c>
      <c r="M77">
        <v>43.4</v>
      </c>
      <c r="N77">
        <v>9175</v>
      </c>
      <c r="O77">
        <v>113371</v>
      </c>
      <c r="P77">
        <v>75.563000000000002</v>
      </c>
      <c r="Q77">
        <v>2.335</v>
      </c>
      <c r="R77">
        <v>0.44</v>
      </c>
      <c r="S77">
        <v>1.5026999999999999</v>
      </c>
      <c r="T77">
        <v>5.25</v>
      </c>
      <c r="U77">
        <v>1.3875</v>
      </c>
      <c r="W77" t="s">
        <v>38</v>
      </c>
    </row>
    <row r="78" spans="1:23">
      <c r="A78" s="2">
        <v>46299.166666666657</v>
      </c>
      <c r="B78" t="s">
        <v>37</v>
      </c>
      <c r="C78">
        <v>75.39</v>
      </c>
      <c r="D78">
        <v>1877</v>
      </c>
      <c r="E78">
        <v>18.73</v>
      </c>
      <c r="F78">
        <v>303.3</v>
      </c>
      <c r="G78">
        <v>438.6</v>
      </c>
      <c r="H78">
        <v>-1.56</v>
      </c>
      <c r="I78">
        <v>1.6120000000000001</v>
      </c>
      <c r="J78">
        <v>230.4</v>
      </c>
      <c r="K78">
        <v>1249</v>
      </c>
      <c r="L78">
        <v>2.68</v>
      </c>
      <c r="M78">
        <v>31.6</v>
      </c>
      <c r="N78">
        <v>9249</v>
      </c>
      <c r="O78">
        <v>116019</v>
      </c>
      <c r="P78">
        <v>75.528000000000006</v>
      </c>
      <c r="Q78">
        <v>2.2799999999999998</v>
      </c>
      <c r="R78">
        <v>0</v>
      </c>
      <c r="S78">
        <v>1.5245</v>
      </c>
      <c r="T78">
        <v>6.4</v>
      </c>
      <c r="U78">
        <v>0</v>
      </c>
      <c r="W78" t="s">
        <v>38</v>
      </c>
    </row>
    <row r="79" spans="1:23">
      <c r="A79" s="2">
        <v>46299.208333333343</v>
      </c>
      <c r="B79" t="s">
        <v>37</v>
      </c>
      <c r="C79">
        <v>74.83</v>
      </c>
      <c r="D79">
        <v>1910</v>
      </c>
      <c r="E79">
        <v>18.62</v>
      </c>
      <c r="F79">
        <v>346.3</v>
      </c>
      <c r="G79">
        <v>423.1</v>
      </c>
      <c r="H79">
        <v>-0.43</v>
      </c>
      <c r="I79">
        <v>1.403</v>
      </c>
      <c r="J79">
        <v>253.5</v>
      </c>
      <c r="K79">
        <v>1253.4000000000001</v>
      </c>
      <c r="L79">
        <v>2.73</v>
      </c>
      <c r="M79">
        <v>33.700000000000003</v>
      </c>
      <c r="N79">
        <v>9296</v>
      </c>
      <c r="O79">
        <v>113277</v>
      </c>
      <c r="P79">
        <v>75.388999999999996</v>
      </c>
      <c r="Q79">
        <v>1.9450000000000001</v>
      </c>
      <c r="R79">
        <v>0</v>
      </c>
      <c r="S79">
        <v>1.5002</v>
      </c>
      <c r="T79">
        <v>4.9375</v>
      </c>
      <c r="U79">
        <v>0.96250000000000002</v>
      </c>
    </row>
    <row r="80" spans="1:23">
      <c r="A80" s="2">
        <v>46299.25</v>
      </c>
      <c r="B80" t="s">
        <v>37</v>
      </c>
      <c r="C80">
        <v>75.72</v>
      </c>
      <c r="D80">
        <v>1899</v>
      </c>
      <c r="E80">
        <v>19.73</v>
      </c>
      <c r="F80">
        <v>334</v>
      </c>
      <c r="G80">
        <v>421.5</v>
      </c>
      <c r="H80">
        <v>1.5</v>
      </c>
      <c r="I80">
        <v>1.4950000000000001</v>
      </c>
      <c r="J80">
        <v>234.4</v>
      </c>
      <c r="K80">
        <v>1242.9000000000001</v>
      </c>
      <c r="L80">
        <v>2.65</v>
      </c>
      <c r="M80">
        <v>24.9</v>
      </c>
      <c r="N80">
        <v>9189</v>
      </c>
      <c r="O80">
        <v>115999</v>
      </c>
      <c r="P80">
        <v>75.454999999999998</v>
      </c>
      <c r="Q80">
        <v>2.0550000000000002</v>
      </c>
      <c r="R80">
        <v>0</v>
      </c>
      <c r="S80">
        <v>1.4992000000000001</v>
      </c>
      <c r="T80">
        <v>4.625</v>
      </c>
      <c r="U80">
        <v>0.77500000000000002</v>
      </c>
    </row>
    <row r="81" spans="1:23">
      <c r="A81" s="2">
        <v>46299.291666666657</v>
      </c>
      <c r="B81" t="s">
        <v>37</v>
      </c>
      <c r="C81">
        <v>72.94</v>
      </c>
      <c r="D81">
        <v>1953</v>
      </c>
      <c r="E81">
        <v>18.95</v>
      </c>
      <c r="F81">
        <v>339.1</v>
      </c>
      <c r="G81">
        <v>417.5</v>
      </c>
      <c r="H81">
        <v>0.85</v>
      </c>
      <c r="I81">
        <v>1.47</v>
      </c>
      <c r="J81">
        <v>251</v>
      </c>
      <c r="K81">
        <v>1246.5</v>
      </c>
      <c r="L81">
        <v>2.44</v>
      </c>
      <c r="M81">
        <v>30.2</v>
      </c>
      <c r="N81">
        <v>9164</v>
      </c>
      <c r="O81">
        <v>115694</v>
      </c>
      <c r="P81">
        <v>74.951999999999998</v>
      </c>
      <c r="Q81">
        <v>0.77500000000000002</v>
      </c>
      <c r="R81">
        <v>0.78</v>
      </c>
      <c r="S81">
        <v>1.4934000000000001</v>
      </c>
      <c r="T81">
        <v>4</v>
      </c>
      <c r="U81">
        <v>0.9</v>
      </c>
    </row>
    <row r="82" spans="1:23">
      <c r="A82" s="2">
        <v>46299.333333333343</v>
      </c>
      <c r="B82" t="s">
        <v>37</v>
      </c>
      <c r="C82">
        <v>74.010000000000005</v>
      </c>
      <c r="D82">
        <v>2014</v>
      </c>
      <c r="E82">
        <v>18.45</v>
      </c>
      <c r="F82">
        <v>330.8</v>
      </c>
      <c r="G82">
        <v>421.1</v>
      </c>
      <c r="H82">
        <v>-0.35</v>
      </c>
      <c r="I82">
        <v>1.446</v>
      </c>
      <c r="J82">
        <v>247.4</v>
      </c>
      <c r="K82">
        <v>1255.8</v>
      </c>
      <c r="L82">
        <v>2.56</v>
      </c>
      <c r="M82">
        <v>40.799999999999997</v>
      </c>
      <c r="N82">
        <v>9200</v>
      </c>
      <c r="O82">
        <v>112411</v>
      </c>
      <c r="P82">
        <v>74.763999999999996</v>
      </c>
      <c r="Q82">
        <v>0.03</v>
      </c>
      <c r="R82">
        <v>1.0249999999999999</v>
      </c>
      <c r="S82">
        <v>1.4839</v>
      </c>
      <c r="T82">
        <v>3.0750000000000002</v>
      </c>
      <c r="U82">
        <v>1.325</v>
      </c>
    </row>
    <row r="83" spans="1:23">
      <c r="A83" s="2">
        <v>46299.375</v>
      </c>
      <c r="B83" t="s">
        <v>37</v>
      </c>
      <c r="C83">
        <v>74.48</v>
      </c>
      <c r="D83">
        <v>1876</v>
      </c>
      <c r="E83">
        <v>18.12</v>
      </c>
      <c r="F83">
        <v>303.10000000000002</v>
      </c>
      <c r="G83">
        <v>418.8</v>
      </c>
      <c r="H83">
        <v>-0.35</v>
      </c>
      <c r="I83">
        <v>1.605</v>
      </c>
      <c r="J83">
        <v>256.8</v>
      </c>
      <c r="K83">
        <v>1247</v>
      </c>
      <c r="L83">
        <v>2.5</v>
      </c>
      <c r="M83">
        <v>44.7</v>
      </c>
      <c r="N83">
        <v>9248</v>
      </c>
      <c r="O83">
        <v>113984</v>
      </c>
      <c r="P83">
        <v>74.706999999999994</v>
      </c>
      <c r="Q83">
        <v>0</v>
      </c>
      <c r="R83">
        <v>1.0349999999999999</v>
      </c>
      <c r="S83">
        <v>1.5081</v>
      </c>
      <c r="T83">
        <v>4.1375000000000002</v>
      </c>
      <c r="U83">
        <v>0</v>
      </c>
    </row>
    <row r="84" spans="1:23">
      <c r="A84" s="2">
        <v>46299.416666666657</v>
      </c>
      <c r="B84" t="s">
        <v>37</v>
      </c>
      <c r="C84">
        <v>76.900000000000006</v>
      </c>
      <c r="D84">
        <v>1878</v>
      </c>
      <c r="E84">
        <v>17.86</v>
      </c>
      <c r="F84">
        <v>312.10000000000002</v>
      </c>
      <c r="G84">
        <v>425.7</v>
      </c>
      <c r="H84">
        <v>-0.32</v>
      </c>
      <c r="I84">
        <v>1.617</v>
      </c>
      <c r="J84">
        <v>247</v>
      </c>
      <c r="K84">
        <v>1263.8</v>
      </c>
      <c r="L84">
        <v>2.36</v>
      </c>
      <c r="M84">
        <v>27.6</v>
      </c>
      <c r="N84">
        <v>9084</v>
      </c>
      <c r="O84">
        <v>116791</v>
      </c>
      <c r="P84">
        <v>75.144999999999996</v>
      </c>
      <c r="Q84">
        <v>0.7</v>
      </c>
      <c r="R84">
        <v>0</v>
      </c>
      <c r="S84">
        <v>1.5299</v>
      </c>
      <c r="T84">
        <v>5.35</v>
      </c>
      <c r="U84">
        <v>0</v>
      </c>
      <c r="W84" t="s">
        <v>38</v>
      </c>
    </row>
    <row r="85" spans="1:23">
      <c r="A85" s="2">
        <v>46299.458333333343</v>
      </c>
      <c r="B85" t="s">
        <v>37</v>
      </c>
      <c r="C85">
        <v>76.58</v>
      </c>
      <c r="D85">
        <v>1947</v>
      </c>
      <c r="E85">
        <v>18.579999999999998</v>
      </c>
      <c r="F85">
        <v>327.3</v>
      </c>
      <c r="G85">
        <v>427.7</v>
      </c>
      <c r="H85">
        <v>2.08</v>
      </c>
      <c r="I85">
        <v>1.4350000000000001</v>
      </c>
      <c r="J85">
        <v>246.7</v>
      </c>
      <c r="K85">
        <v>1246.8</v>
      </c>
      <c r="L85">
        <v>2.5499999999999998</v>
      </c>
      <c r="M85">
        <v>31.4</v>
      </c>
      <c r="N85">
        <v>9016</v>
      </c>
      <c r="O85">
        <v>113528</v>
      </c>
      <c r="P85">
        <v>75.432000000000002</v>
      </c>
      <c r="Q85">
        <v>1.24</v>
      </c>
      <c r="R85">
        <v>0</v>
      </c>
      <c r="S85">
        <v>1.5108999999999999</v>
      </c>
      <c r="T85">
        <v>4.2874999999999996</v>
      </c>
      <c r="U85">
        <v>0.5625</v>
      </c>
    </row>
    <row r="86" spans="1:23">
      <c r="A86" s="2">
        <v>46299.5</v>
      </c>
      <c r="B86" t="s">
        <v>37</v>
      </c>
      <c r="C86">
        <v>74.760000000000005</v>
      </c>
      <c r="D86">
        <v>1931</v>
      </c>
      <c r="E86">
        <v>18.2</v>
      </c>
      <c r="F86">
        <v>301.7</v>
      </c>
      <c r="G86">
        <v>413.7</v>
      </c>
      <c r="H86">
        <v>0.38</v>
      </c>
      <c r="I86">
        <v>1.6</v>
      </c>
      <c r="J86">
        <v>257.3</v>
      </c>
      <c r="K86">
        <v>1251.8</v>
      </c>
      <c r="L86">
        <v>2.3199999999999998</v>
      </c>
      <c r="M86">
        <v>34.799999999999997</v>
      </c>
      <c r="N86">
        <v>9156</v>
      </c>
      <c r="O86">
        <v>114303</v>
      </c>
      <c r="P86">
        <v>75.298000000000002</v>
      </c>
      <c r="Q86">
        <v>0.87</v>
      </c>
      <c r="R86">
        <v>0</v>
      </c>
      <c r="S86">
        <v>1.5286999999999999</v>
      </c>
      <c r="T86">
        <v>5.2874999999999996</v>
      </c>
      <c r="U86">
        <v>0</v>
      </c>
      <c r="W86" t="s">
        <v>38</v>
      </c>
    </row>
    <row r="87" spans="1:23">
      <c r="A87" s="2">
        <v>46299.541666666657</v>
      </c>
      <c r="B87" t="s">
        <v>37</v>
      </c>
      <c r="C87">
        <v>74.14</v>
      </c>
      <c r="D87">
        <v>1983</v>
      </c>
      <c r="E87">
        <v>17.93</v>
      </c>
      <c r="F87">
        <v>330.7</v>
      </c>
      <c r="G87">
        <v>409.4</v>
      </c>
      <c r="H87">
        <v>0.43</v>
      </c>
      <c r="I87">
        <v>1.3089999999999999</v>
      </c>
      <c r="J87">
        <v>253.4</v>
      </c>
      <c r="K87">
        <v>1257.5</v>
      </c>
      <c r="L87">
        <v>2.68</v>
      </c>
      <c r="M87">
        <v>36.700000000000003</v>
      </c>
      <c r="N87">
        <v>9102</v>
      </c>
      <c r="O87">
        <v>115693</v>
      </c>
      <c r="P87">
        <v>75.066000000000003</v>
      </c>
      <c r="Q87">
        <v>0.19</v>
      </c>
      <c r="R87">
        <v>0.18</v>
      </c>
      <c r="S87">
        <v>1.4847999999999999</v>
      </c>
      <c r="T87">
        <v>2.65</v>
      </c>
      <c r="U87">
        <v>2.1375000000000002</v>
      </c>
    </row>
    <row r="88" spans="1:23">
      <c r="A88" s="2">
        <v>46299.583333333343</v>
      </c>
      <c r="B88" t="s">
        <v>37</v>
      </c>
      <c r="C88">
        <v>75.78</v>
      </c>
      <c r="D88">
        <v>1926</v>
      </c>
      <c r="E88">
        <v>18.239999999999998</v>
      </c>
      <c r="F88">
        <v>316.39999999999998</v>
      </c>
      <c r="G88">
        <v>405.3</v>
      </c>
      <c r="H88">
        <v>1.03</v>
      </c>
      <c r="I88">
        <v>1.546</v>
      </c>
      <c r="J88">
        <v>253.2</v>
      </c>
      <c r="K88">
        <v>1238.7</v>
      </c>
      <c r="L88">
        <v>2.4300000000000002</v>
      </c>
      <c r="M88">
        <v>30.1</v>
      </c>
      <c r="N88">
        <v>9159</v>
      </c>
      <c r="O88">
        <v>116175</v>
      </c>
      <c r="P88">
        <v>75.209000000000003</v>
      </c>
      <c r="Q88">
        <v>0.33</v>
      </c>
      <c r="R88">
        <v>0</v>
      </c>
      <c r="S88">
        <v>1.4970000000000001</v>
      </c>
      <c r="T88">
        <v>2.9750000000000001</v>
      </c>
      <c r="U88">
        <v>1.3125</v>
      </c>
    </row>
    <row r="89" spans="1:23">
      <c r="A89" s="2">
        <v>46299.625</v>
      </c>
      <c r="B89" t="s">
        <v>37</v>
      </c>
      <c r="C89">
        <v>75.53</v>
      </c>
      <c r="D89">
        <v>1884</v>
      </c>
      <c r="E89">
        <v>18.07</v>
      </c>
      <c r="F89">
        <v>314.39999999999998</v>
      </c>
      <c r="G89">
        <v>424.1</v>
      </c>
      <c r="H89">
        <v>0.24</v>
      </c>
      <c r="I89">
        <v>1.5169999999999999</v>
      </c>
      <c r="J89">
        <v>254.7</v>
      </c>
      <c r="K89">
        <v>1235.9000000000001</v>
      </c>
      <c r="L89">
        <v>2.5299999999999998</v>
      </c>
      <c r="M89">
        <v>37.5</v>
      </c>
      <c r="N89">
        <v>9188</v>
      </c>
      <c r="O89">
        <v>114623</v>
      </c>
      <c r="P89">
        <v>75.272999999999996</v>
      </c>
      <c r="Q89">
        <v>0.34499999999999997</v>
      </c>
      <c r="R89">
        <v>0</v>
      </c>
      <c r="S89">
        <v>1.5009999999999999</v>
      </c>
      <c r="T89">
        <v>2.9375</v>
      </c>
      <c r="U89">
        <v>0.85</v>
      </c>
    </row>
    <row r="90" spans="1:23">
      <c r="A90" s="2">
        <v>46299.666666666657</v>
      </c>
      <c r="B90" t="s">
        <v>37</v>
      </c>
      <c r="C90">
        <v>74.790000000000006</v>
      </c>
      <c r="D90">
        <v>1927</v>
      </c>
      <c r="E90">
        <v>19.170000000000002</v>
      </c>
      <c r="F90">
        <v>330.7</v>
      </c>
      <c r="G90">
        <v>411.2</v>
      </c>
      <c r="H90">
        <v>-0.26</v>
      </c>
      <c r="I90">
        <v>1.661</v>
      </c>
      <c r="J90">
        <v>234.6</v>
      </c>
      <c r="K90">
        <v>1237.8</v>
      </c>
      <c r="L90">
        <v>2.54</v>
      </c>
      <c r="M90">
        <v>32.200000000000003</v>
      </c>
      <c r="N90">
        <v>9164</v>
      </c>
      <c r="O90">
        <v>114104</v>
      </c>
      <c r="P90">
        <v>75.177000000000007</v>
      </c>
      <c r="Q90">
        <v>0</v>
      </c>
      <c r="R90">
        <v>0</v>
      </c>
      <c r="S90">
        <v>1.5329999999999999</v>
      </c>
      <c r="T90">
        <v>4.7</v>
      </c>
      <c r="U90">
        <v>0</v>
      </c>
    </row>
    <row r="91" spans="1:23">
      <c r="A91" s="2">
        <v>46299.708333333343</v>
      </c>
      <c r="B91" t="s">
        <v>37</v>
      </c>
      <c r="C91">
        <v>75.36</v>
      </c>
      <c r="D91">
        <v>1950</v>
      </c>
      <c r="E91">
        <v>18.850000000000001</v>
      </c>
      <c r="F91">
        <v>326.7</v>
      </c>
      <c r="G91">
        <v>402.8</v>
      </c>
      <c r="H91">
        <v>-0.2</v>
      </c>
      <c r="I91">
        <v>1.4179999999999999</v>
      </c>
      <c r="J91">
        <v>257.60000000000002</v>
      </c>
      <c r="K91">
        <v>1260.0999999999999</v>
      </c>
      <c r="L91">
        <v>2.46</v>
      </c>
      <c r="M91">
        <v>34.9</v>
      </c>
      <c r="N91">
        <v>9316</v>
      </c>
      <c r="O91">
        <v>117134</v>
      </c>
      <c r="P91">
        <v>75.212999999999994</v>
      </c>
      <c r="Q91">
        <v>0</v>
      </c>
      <c r="R91">
        <v>0</v>
      </c>
      <c r="S91">
        <v>1.51</v>
      </c>
      <c r="T91">
        <v>3.4249999999999998</v>
      </c>
      <c r="U91">
        <v>0.77500000000000002</v>
      </c>
    </row>
    <row r="92" spans="1:23">
      <c r="A92" s="2">
        <v>46299.75</v>
      </c>
      <c r="B92" t="s">
        <v>37</v>
      </c>
      <c r="C92">
        <v>74.33</v>
      </c>
      <c r="D92">
        <v>1937</v>
      </c>
      <c r="E92">
        <v>18.5</v>
      </c>
      <c r="F92">
        <v>314.60000000000002</v>
      </c>
      <c r="G92">
        <v>423.1</v>
      </c>
      <c r="H92">
        <v>-7.0000000000000007E-2</v>
      </c>
      <c r="I92">
        <v>1.5009999999999999</v>
      </c>
      <c r="J92">
        <v>256.10000000000002</v>
      </c>
      <c r="K92">
        <v>1245.5999999999999</v>
      </c>
      <c r="L92">
        <v>2.59</v>
      </c>
      <c r="M92">
        <v>38.299999999999997</v>
      </c>
      <c r="N92">
        <v>9226</v>
      </c>
      <c r="O92">
        <v>117608</v>
      </c>
      <c r="P92">
        <v>75.037000000000006</v>
      </c>
      <c r="Q92">
        <v>0</v>
      </c>
      <c r="R92">
        <v>8.5000000000000006E-2</v>
      </c>
      <c r="S92">
        <v>1.5082</v>
      </c>
      <c r="T92">
        <v>3.1875</v>
      </c>
      <c r="U92">
        <v>0.51249999999999996</v>
      </c>
    </row>
    <row r="93" spans="1:23">
      <c r="A93" s="2">
        <v>46299.791666666657</v>
      </c>
      <c r="B93" t="s">
        <v>37</v>
      </c>
      <c r="C93">
        <v>75.489999999999995</v>
      </c>
      <c r="D93">
        <v>1923</v>
      </c>
      <c r="E93">
        <v>19.09</v>
      </c>
      <c r="F93">
        <v>337.4</v>
      </c>
      <c r="G93">
        <v>439.9</v>
      </c>
      <c r="H93">
        <v>-0.04</v>
      </c>
      <c r="I93">
        <v>1.5349999999999999</v>
      </c>
      <c r="J93">
        <v>239.8</v>
      </c>
      <c r="K93">
        <v>1270.5</v>
      </c>
      <c r="L93">
        <v>2.4300000000000002</v>
      </c>
      <c r="M93">
        <v>35</v>
      </c>
      <c r="N93">
        <v>9224</v>
      </c>
      <c r="O93">
        <v>116468</v>
      </c>
      <c r="P93">
        <v>75.126999999999995</v>
      </c>
      <c r="Q93">
        <v>0</v>
      </c>
      <c r="R93">
        <v>0</v>
      </c>
      <c r="S93">
        <v>1.5136000000000001</v>
      </c>
      <c r="T93">
        <v>3.375</v>
      </c>
      <c r="U93">
        <v>0</v>
      </c>
    </row>
    <row r="94" spans="1:23">
      <c r="A94" s="2">
        <v>46299.833333333343</v>
      </c>
      <c r="B94" t="s">
        <v>37</v>
      </c>
      <c r="C94">
        <v>74.3</v>
      </c>
      <c r="D94">
        <v>1948</v>
      </c>
      <c r="E94">
        <v>18.53</v>
      </c>
      <c r="F94">
        <v>303.8</v>
      </c>
      <c r="G94">
        <v>420</v>
      </c>
      <c r="H94">
        <v>0.73</v>
      </c>
      <c r="I94">
        <v>1.339</v>
      </c>
      <c r="J94">
        <v>247.6</v>
      </c>
      <c r="K94">
        <v>1245.5</v>
      </c>
      <c r="L94">
        <v>2.63</v>
      </c>
      <c r="M94">
        <v>32.4</v>
      </c>
      <c r="N94">
        <v>9250</v>
      </c>
      <c r="O94">
        <v>115128</v>
      </c>
      <c r="P94">
        <v>74.962000000000003</v>
      </c>
      <c r="Q94">
        <v>0</v>
      </c>
      <c r="R94">
        <v>0.1</v>
      </c>
      <c r="S94">
        <v>1.4786999999999999</v>
      </c>
      <c r="T94">
        <v>1.1125</v>
      </c>
      <c r="U94">
        <v>1.7625</v>
      </c>
    </row>
    <row r="95" spans="1:23">
      <c r="A95" s="2">
        <v>46299.875</v>
      </c>
      <c r="B95" t="s">
        <v>37</v>
      </c>
      <c r="C95">
        <v>74.069999999999993</v>
      </c>
      <c r="D95">
        <v>1953</v>
      </c>
      <c r="E95">
        <v>18.16</v>
      </c>
      <c r="F95">
        <v>329.2</v>
      </c>
      <c r="G95">
        <v>426.7</v>
      </c>
      <c r="H95">
        <v>0.05</v>
      </c>
      <c r="I95">
        <v>1.427</v>
      </c>
      <c r="J95">
        <v>249.6</v>
      </c>
      <c r="K95">
        <v>1251.5</v>
      </c>
      <c r="L95">
        <v>2.2999999999999998</v>
      </c>
      <c r="M95">
        <v>34.299999999999997</v>
      </c>
      <c r="N95">
        <v>9109</v>
      </c>
      <c r="O95">
        <v>113788</v>
      </c>
      <c r="P95">
        <v>74.783000000000001</v>
      </c>
      <c r="Q95">
        <v>0</v>
      </c>
      <c r="R95">
        <v>0.315</v>
      </c>
      <c r="S95">
        <v>1.4682999999999999</v>
      </c>
      <c r="T95">
        <v>0</v>
      </c>
      <c r="U95">
        <v>2.4249999999999998</v>
      </c>
    </row>
    <row r="96" spans="1:23">
      <c r="A96" s="2">
        <v>46299.916666666657</v>
      </c>
      <c r="B96" t="s">
        <v>37</v>
      </c>
      <c r="C96">
        <v>74.86</v>
      </c>
      <c r="D96">
        <v>1962</v>
      </c>
      <c r="E96">
        <v>19.11</v>
      </c>
      <c r="F96">
        <v>328.9</v>
      </c>
      <c r="G96">
        <v>420.7</v>
      </c>
      <c r="H96">
        <v>0.73</v>
      </c>
      <c r="I96">
        <v>1.407</v>
      </c>
      <c r="J96">
        <v>248.7</v>
      </c>
      <c r="K96">
        <v>1262.3</v>
      </c>
      <c r="L96">
        <v>2.52</v>
      </c>
      <c r="M96">
        <v>34.5</v>
      </c>
      <c r="N96">
        <v>9283</v>
      </c>
      <c r="O96">
        <v>113754</v>
      </c>
      <c r="P96">
        <v>74.799000000000007</v>
      </c>
      <c r="Q96">
        <v>0</v>
      </c>
      <c r="R96">
        <v>0.13500000000000001</v>
      </c>
      <c r="S96">
        <v>1.4560999999999999</v>
      </c>
      <c r="T96">
        <v>0</v>
      </c>
      <c r="U96">
        <v>3.3374999999999999</v>
      </c>
    </row>
    <row r="97" spans="1:23">
      <c r="A97" s="2">
        <v>46299.958333333343</v>
      </c>
      <c r="B97" t="s">
        <v>37</v>
      </c>
      <c r="C97">
        <v>72.98</v>
      </c>
      <c r="D97">
        <v>1929</v>
      </c>
      <c r="E97">
        <v>18.72</v>
      </c>
      <c r="F97">
        <v>315.39999999999998</v>
      </c>
      <c r="G97">
        <v>419.2</v>
      </c>
      <c r="H97">
        <v>-0.08</v>
      </c>
      <c r="I97">
        <v>1.546</v>
      </c>
      <c r="J97">
        <v>253.3</v>
      </c>
      <c r="K97">
        <v>1266</v>
      </c>
      <c r="L97">
        <v>2.79</v>
      </c>
      <c r="M97">
        <v>32.799999999999997</v>
      </c>
      <c r="N97">
        <v>9194</v>
      </c>
      <c r="O97">
        <v>115784</v>
      </c>
      <c r="P97">
        <v>74.435000000000002</v>
      </c>
      <c r="Q97">
        <v>0</v>
      </c>
      <c r="R97">
        <v>0.89500000000000002</v>
      </c>
      <c r="S97">
        <v>1.474</v>
      </c>
      <c r="T97">
        <v>0.32500000000000001</v>
      </c>
      <c r="U97">
        <v>2.5125000000000002</v>
      </c>
    </row>
    <row r="98" spans="1:23">
      <c r="A98" s="2">
        <v>46300</v>
      </c>
      <c r="B98" t="s">
        <v>37</v>
      </c>
      <c r="C98">
        <v>74.56</v>
      </c>
      <c r="D98">
        <v>1892</v>
      </c>
      <c r="E98">
        <v>18.09</v>
      </c>
      <c r="F98">
        <v>324.89999999999998</v>
      </c>
      <c r="G98">
        <v>427.4</v>
      </c>
      <c r="H98">
        <v>0.08</v>
      </c>
      <c r="I98">
        <v>1.528</v>
      </c>
      <c r="J98">
        <v>264.3</v>
      </c>
      <c r="K98">
        <v>1266.5</v>
      </c>
      <c r="L98">
        <v>2.35</v>
      </c>
      <c r="M98">
        <v>33.4</v>
      </c>
      <c r="N98">
        <v>9254</v>
      </c>
      <c r="O98">
        <v>115628</v>
      </c>
      <c r="P98">
        <v>74.459999999999994</v>
      </c>
      <c r="Q98">
        <v>0</v>
      </c>
      <c r="R98">
        <v>0.86499999999999999</v>
      </c>
      <c r="S98">
        <v>1.4847999999999999</v>
      </c>
      <c r="T98">
        <v>0.42499999999999999</v>
      </c>
      <c r="U98">
        <v>1.9125000000000001</v>
      </c>
    </row>
    <row r="99" spans="1:23">
      <c r="A99" s="2">
        <v>46300.041666666657</v>
      </c>
      <c r="B99" t="s">
        <v>37</v>
      </c>
      <c r="C99">
        <v>74.849999999999994</v>
      </c>
      <c r="D99">
        <v>1907</v>
      </c>
      <c r="E99">
        <v>18.420000000000002</v>
      </c>
      <c r="F99">
        <v>301.2</v>
      </c>
      <c r="G99">
        <v>417.7</v>
      </c>
      <c r="H99">
        <v>-2</v>
      </c>
      <c r="I99">
        <v>1.7290000000000001</v>
      </c>
      <c r="J99">
        <v>260.8</v>
      </c>
      <c r="K99">
        <v>1259.7</v>
      </c>
      <c r="L99">
        <v>2.4</v>
      </c>
      <c r="M99">
        <v>44.6</v>
      </c>
      <c r="N99">
        <v>9114</v>
      </c>
      <c r="O99">
        <v>117102</v>
      </c>
      <c r="P99">
        <v>74.537999999999997</v>
      </c>
      <c r="Q99">
        <v>0</v>
      </c>
      <c r="R99">
        <v>0.69</v>
      </c>
      <c r="S99">
        <v>1.5337000000000001</v>
      </c>
      <c r="T99">
        <v>3.0375000000000001</v>
      </c>
      <c r="U99">
        <v>0</v>
      </c>
    </row>
    <row r="100" spans="1:23">
      <c r="A100" s="2">
        <v>46300.083333333343</v>
      </c>
      <c r="B100" t="s">
        <v>37</v>
      </c>
      <c r="C100">
        <v>74.78</v>
      </c>
      <c r="D100">
        <v>1954</v>
      </c>
      <c r="E100">
        <v>18.149999999999999</v>
      </c>
      <c r="F100">
        <v>333.9</v>
      </c>
      <c r="G100">
        <v>422.1</v>
      </c>
      <c r="H100">
        <v>0.92</v>
      </c>
      <c r="I100">
        <v>1.52</v>
      </c>
      <c r="J100">
        <v>236.9</v>
      </c>
      <c r="K100">
        <v>1258.2</v>
      </c>
      <c r="L100">
        <v>2.58</v>
      </c>
      <c r="M100">
        <v>38.4</v>
      </c>
      <c r="N100">
        <v>9076</v>
      </c>
      <c r="O100">
        <v>115976</v>
      </c>
      <c r="P100">
        <v>74.585999999999999</v>
      </c>
      <c r="Q100">
        <v>0</v>
      </c>
      <c r="R100">
        <v>0.55000000000000004</v>
      </c>
      <c r="S100">
        <v>1.5308999999999999</v>
      </c>
      <c r="T100">
        <v>3.0375000000000001</v>
      </c>
      <c r="U100">
        <v>0</v>
      </c>
    </row>
    <row r="101" spans="1:23">
      <c r="A101" s="2">
        <v>46300.125</v>
      </c>
      <c r="B101" t="s">
        <v>37</v>
      </c>
      <c r="C101">
        <v>75.069999999999993</v>
      </c>
      <c r="D101">
        <v>1863</v>
      </c>
      <c r="E101">
        <v>17.95</v>
      </c>
      <c r="F101">
        <v>317.2</v>
      </c>
      <c r="G101">
        <v>422.6</v>
      </c>
      <c r="H101">
        <v>0.35</v>
      </c>
      <c r="I101">
        <v>1.5649999999999999</v>
      </c>
      <c r="J101">
        <v>256.2</v>
      </c>
      <c r="K101">
        <v>1254.7</v>
      </c>
      <c r="L101">
        <v>2.5299999999999998</v>
      </c>
      <c r="M101">
        <v>33.200000000000003</v>
      </c>
      <c r="N101">
        <v>9265</v>
      </c>
      <c r="O101">
        <v>112745</v>
      </c>
      <c r="P101">
        <v>74.683000000000007</v>
      </c>
      <c r="Q101">
        <v>0</v>
      </c>
      <c r="R101">
        <v>0.26500000000000001</v>
      </c>
      <c r="S101">
        <v>1.5377000000000001</v>
      </c>
      <c r="T101">
        <v>3.6</v>
      </c>
      <c r="U101">
        <v>0</v>
      </c>
    </row>
    <row r="102" spans="1:23">
      <c r="A102" s="2">
        <v>46300.166666666657</v>
      </c>
      <c r="B102" t="s">
        <v>39</v>
      </c>
      <c r="C102">
        <v>73.930000000000007</v>
      </c>
      <c r="D102">
        <v>1917</v>
      </c>
      <c r="E102">
        <v>18.87</v>
      </c>
      <c r="F102">
        <v>312.2</v>
      </c>
      <c r="G102">
        <v>414.7</v>
      </c>
      <c r="H102">
        <v>1</v>
      </c>
      <c r="I102">
        <v>1.857</v>
      </c>
      <c r="J102">
        <v>245.3</v>
      </c>
      <c r="K102">
        <v>1246.2</v>
      </c>
      <c r="L102">
        <v>2.95</v>
      </c>
      <c r="M102">
        <v>65.599999999999994</v>
      </c>
      <c r="N102">
        <v>9230</v>
      </c>
      <c r="O102">
        <v>116578</v>
      </c>
      <c r="P102">
        <v>74.533000000000001</v>
      </c>
      <c r="Q102">
        <v>0</v>
      </c>
      <c r="R102">
        <v>0.55000000000000004</v>
      </c>
      <c r="S102">
        <v>1.6015999999999999</v>
      </c>
      <c r="T102">
        <v>7.8125</v>
      </c>
      <c r="U102">
        <v>0</v>
      </c>
      <c r="W102" t="s">
        <v>38</v>
      </c>
    </row>
    <row r="103" spans="1:23">
      <c r="A103" s="2">
        <v>46300.208333333343</v>
      </c>
      <c r="B103" t="s">
        <v>39</v>
      </c>
      <c r="C103">
        <v>74.34</v>
      </c>
      <c r="D103">
        <v>1881</v>
      </c>
      <c r="E103">
        <v>19.29</v>
      </c>
      <c r="F103">
        <v>335.1</v>
      </c>
      <c r="G103">
        <v>427.9</v>
      </c>
      <c r="H103">
        <v>-2.9</v>
      </c>
      <c r="I103">
        <v>1.9159999999999999</v>
      </c>
      <c r="J103">
        <v>235.9</v>
      </c>
      <c r="K103">
        <v>1235.5999999999999</v>
      </c>
      <c r="L103">
        <v>2.97</v>
      </c>
      <c r="M103">
        <v>57.3</v>
      </c>
      <c r="N103">
        <v>9128</v>
      </c>
      <c r="O103">
        <v>113503</v>
      </c>
      <c r="P103">
        <v>74.494</v>
      </c>
      <c r="Q103">
        <v>0</v>
      </c>
      <c r="R103">
        <v>0.63</v>
      </c>
      <c r="S103">
        <v>1.6645000000000001</v>
      </c>
      <c r="T103">
        <v>12.762499999999999</v>
      </c>
      <c r="U103">
        <v>0</v>
      </c>
      <c r="W103" t="s">
        <v>38</v>
      </c>
    </row>
    <row r="104" spans="1:23">
      <c r="A104" s="2">
        <v>46300.25</v>
      </c>
      <c r="B104" t="s">
        <v>39</v>
      </c>
      <c r="C104">
        <v>74.86</v>
      </c>
      <c r="D104">
        <v>1900</v>
      </c>
      <c r="E104">
        <v>18</v>
      </c>
      <c r="F104">
        <v>308.2</v>
      </c>
      <c r="G104">
        <v>418.6</v>
      </c>
      <c r="H104">
        <v>2.09</v>
      </c>
      <c r="I104">
        <v>2.0249999999999999</v>
      </c>
      <c r="J104">
        <v>242.9</v>
      </c>
      <c r="K104">
        <v>1233.5</v>
      </c>
      <c r="L104">
        <v>3</v>
      </c>
      <c r="M104">
        <v>69.400000000000006</v>
      </c>
      <c r="N104">
        <v>9130</v>
      </c>
      <c r="O104">
        <v>114424</v>
      </c>
      <c r="P104">
        <v>74.566999999999993</v>
      </c>
      <c r="Q104">
        <v>0</v>
      </c>
      <c r="R104">
        <v>0.45</v>
      </c>
      <c r="S104">
        <v>1.7365999999999999</v>
      </c>
      <c r="T104">
        <v>19.074999999999999</v>
      </c>
      <c r="U104">
        <v>0</v>
      </c>
      <c r="W104" t="s">
        <v>38</v>
      </c>
    </row>
    <row r="105" spans="1:23">
      <c r="A105" s="2">
        <v>46300.291666666657</v>
      </c>
      <c r="B105" t="s">
        <v>39</v>
      </c>
      <c r="C105">
        <v>74.099999999999994</v>
      </c>
      <c r="D105">
        <v>1955</v>
      </c>
      <c r="E105">
        <v>18.82</v>
      </c>
      <c r="F105">
        <v>297.10000000000002</v>
      </c>
      <c r="G105">
        <v>414</v>
      </c>
      <c r="H105">
        <v>-0.14000000000000001</v>
      </c>
      <c r="I105">
        <v>1.9450000000000001</v>
      </c>
      <c r="J105">
        <v>252.1</v>
      </c>
      <c r="K105">
        <v>1240</v>
      </c>
      <c r="L105">
        <v>3.07</v>
      </c>
      <c r="M105">
        <v>63</v>
      </c>
      <c r="N105">
        <v>9290</v>
      </c>
      <c r="O105">
        <v>115375</v>
      </c>
      <c r="P105">
        <v>74.474000000000004</v>
      </c>
      <c r="Q105">
        <v>0</v>
      </c>
      <c r="R105">
        <v>0.65</v>
      </c>
      <c r="S105">
        <v>1.7783</v>
      </c>
      <c r="T105">
        <v>24.387499999999999</v>
      </c>
      <c r="U105">
        <v>0</v>
      </c>
      <c r="W105" t="s">
        <v>38</v>
      </c>
    </row>
    <row r="106" spans="1:23">
      <c r="A106" s="2">
        <v>46300.333333333343</v>
      </c>
      <c r="B106" t="s">
        <v>39</v>
      </c>
      <c r="C106">
        <v>74.150000000000006</v>
      </c>
      <c r="D106">
        <v>1905</v>
      </c>
      <c r="E106">
        <v>18.36</v>
      </c>
      <c r="F106">
        <v>294.3</v>
      </c>
      <c r="G106">
        <v>424.3</v>
      </c>
      <c r="H106">
        <v>1.1100000000000001</v>
      </c>
      <c r="I106">
        <v>1.88</v>
      </c>
      <c r="J106">
        <v>242.2</v>
      </c>
      <c r="K106">
        <v>1238.5999999999999</v>
      </c>
      <c r="L106">
        <v>2.96</v>
      </c>
      <c r="M106">
        <v>59.1</v>
      </c>
      <c r="N106">
        <v>9105</v>
      </c>
      <c r="O106">
        <v>117994</v>
      </c>
      <c r="P106">
        <v>74.409000000000006</v>
      </c>
      <c r="Q106">
        <v>0</v>
      </c>
      <c r="R106">
        <v>0.82499999999999996</v>
      </c>
      <c r="S106">
        <v>1.7986</v>
      </c>
      <c r="T106">
        <v>28.887499999999999</v>
      </c>
      <c r="U106">
        <v>0</v>
      </c>
      <c r="W106" t="s">
        <v>38</v>
      </c>
    </row>
    <row r="107" spans="1:23">
      <c r="A107" s="2">
        <v>46300.375</v>
      </c>
      <c r="B107" t="s">
        <v>39</v>
      </c>
      <c r="C107">
        <v>74.47</v>
      </c>
      <c r="D107">
        <v>1898</v>
      </c>
      <c r="E107">
        <v>18.46</v>
      </c>
      <c r="F107">
        <v>326.10000000000002</v>
      </c>
      <c r="G107">
        <v>412.8</v>
      </c>
      <c r="H107">
        <v>-1.04</v>
      </c>
      <c r="I107">
        <v>1.857</v>
      </c>
      <c r="J107">
        <v>234.5</v>
      </c>
      <c r="K107">
        <v>1236.4000000000001</v>
      </c>
      <c r="L107">
        <v>2.86</v>
      </c>
      <c r="M107">
        <v>63.6</v>
      </c>
      <c r="N107">
        <v>9331</v>
      </c>
      <c r="O107">
        <v>119665</v>
      </c>
      <c r="P107">
        <v>74.421000000000006</v>
      </c>
      <c r="Q107">
        <v>0</v>
      </c>
      <c r="R107">
        <v>0.84</v>
      </c>
      <c r="S107">
        <v>1.8103</v>
      </c>
      <c r="T107">
        <v>33.1</v>
      </c>
      <c r="U107">
        <v>0</v>
      </c>
      <c r="W107" t="s">
        <v>38</v>
      </c>
    </row>
    <row r="108" spans="1:23">
      <c r="A108" s="2">
        <v>46300.416666666657</v>
      </c>
      <c r="B108" t="s">
        <v>39</v>
      </c>
      <c r="C108">
        <v>76.13</v>
      </c>
      <c r="D108">
        <v>1834</v>
      </c>
      <c r="E108">
        <v>18.440000000000001</v>
      </c>
      <c r="F108">
        <v>297.2</v>
      </c>
      <c r="G108">
        <v>420.2</v>
      </c>
      <c r="H108">
        <v>0.61</v>
      </c>
      <c r="I108">
        <v>1.8640000000000001</v>
      </c>
      <c r="J108">
        <v>242.5</v>
      </c>
      <c r="K108">
        <v>1245.5999999999999</v>
      </c>
      <c r="L108">
        <v>3</v>
      </c>
      <c r="M108">
        <v>47.4</v>
      </c>
      <c r="N108">
        <v>9128</v>
      </c>
      <c r="O108">
        <v>115910</v>
      </c>
      <c r="P108">
        <v>74.763000000000005</v>
      </c>
      <c r="Q108">
        <v>0.315</v>
      </c>
      <c r="R108">
        <v>2.5000000000000001E-2</v>
      </c>
      <c r="S108">
        <v>1.821</v>
      </c>
      <c r="T108">
        <v>37.4</v>
      </c>
      <c r="U108">
        <v>0</v>
      </c>
      <c r="W108" t="s">
        <v>38</v>
      </c>
    </row>
    <row r="109" spans="1:23">
      <c r="A109" s="2">
        <v>46300.458333333343</v>
      </c>
      <c r="B109" t="s">
        <v>39</v>
      </c>
      <c r="C109">
        <v>77.41</v>
      </c>
      <c r="D109">
        <v>1928</v>
      </c>
      <c r="E109">
        <v>18.36</v>
      </c>
      <c r="F109">
        <v>342.1</v>
      </c>
      <c r="G109">
        <v>419.9</v>
      </c>
      <c r="H109">
        <v>-1.05</v>
      </c>
      <c r="I109">
        <v>1.609</v>
      </c>
      <c r="J109">
        <v>233.4</v>
      </c>
      <c r="K109">
        <v>1247.5999999999999</v>
      </c>
      <c r="L109">
        <v>3.18</v>
      </c>
      <c r="M109">
        <v>51</v>
      </c>
      <c r="N109">
        <v>9251</v>
      </c>
      <c r="O109">
        <v>114725</v>
      </c>
      <c r="P109">
        <v>75.292000000000002</v>
      </c>
      <c r="Q109">
        <v>1.27</v>
      </c>
      <c r="R109">
        <v>0</v>
      </c>
      <c r="S109">
        <v>1.7786</v>
      </c>
      <c r="T109">
        <v>38.512500000000003</v>
      </c>
      <c r="U109">
        <v>0</v>
      </c>
      <c r="W109" t="s">
        <v>38</v>
      </c>
    </row>
    <row r="110" spans="1:23">
      <c r="A110" s="2">
        <v>46300.5</v>
      </c>
      <c r="B110" t="s">
        <v>39</v>
      </c>
      <c r="C110">
        <v>77.36</v>
      </c>
      <c r="D110">
        <v>1923</v>
      </c>
      <c r="E110">
        <v>18.760000000000002</v>
      </c>
      <c r="F110">
        <v>284</v>
      </c>
      <c r="G110">
        <v>428.7</v>
      </c>
      <c r="H110">
        <v>-0.62</v>
      </c>
      <c r="I110">
        <v>1.6779999999999999</v>
      </c>
      <c r="J110">
        <v>232.2</v>
      </c>
      <c r="K110">
        <v>1240.7</v>
      </c>
      <c r="L110">
        <v>2.88</v>
      </c>
      <c r="M110">
        <v>50.4</v>
      </c>
      <c r="N110">
        <v>9174</v>
      </c>
      <c r="O110">
        <v>115802</v>
      </c>
      <c r="P110">
        <v>75.706000000000003</v>
      </c>
      <c r="Q110">
        <v>2.2000000000000002</v>
      </c>
      <c r="R110">
        <v>0</v>
      </c>
      <c r="S110">
        <v>1.7585</v>
      </c>
      <c r="T110">
        <v>40.487499999999997</v>
      </c>
      <c r="U110">
        <v>0</v>
      </c>
      <c r="W110" t="s">
        <v>38</v>
      </c>
    </row>
    <row r="111" spans="1:23">
      <c r="A111" s="2">
        <v>46300.541666666657</v>
      </c>
      <c r="B111" t="s">
        <v>39</v>
      </c>
      <c r="C111">
        <v>75.760000000000005</v>
      </c>
      <c r="D111">
        <v>1990</v>
      </c>
      <c r="E111">
        <v>18.440000000000001</v>
      </c>
      <c r="F111">
        <v>340</v>
      </c>
      <c r="G111">
        <v>423.8</v>
      </c>
      <c r="H111">
        <v>1.91</v>
      </c>
      <c r="I111">
        <v>1.6839999999999999</v>
      </c>
      <c r="J111">
        <v>228.5</v>
      </c>
      <c r="K111">
        <v>1251.8</v>
      </c>
      <c r="L111">
        <v>2.75</v>
      </c>
      <c r="M111">
        <v>61.1</v>
      </c>
      <c r="N111">
        <v>9248</v>
      </c>
      <c r="O111">
        <v>116331</v>
      </c>
      <c r="P111">
        <v>75.716999999999999</v>
      </c>
      <c r="Q111">
        <v>2.33</v>
      </c>
      <c r="R111">
        <v>0</v>
      </c>
      <c r="S111">
        <v>1.7436</v>
      </c>
      <c r="T111">
        <v>42.537500000000001</v>
      </c>
      <c r="U111">
        <v>0</v>
      </c>
      <c r="W111" t="s">
        <v>38</v>
      </c>
    </row>
    <row r="112" spans="1:23">
      <c r="A112" s="2">
        <v>46300.583333333343</v>
      </c>
      <c r="B112" t="s">
        <v>39</v>
      </c>
      <c r="C112">
        <v>73.260000000000005</v>
      </c>
      <c r="D112">
        <v>1878</v>
      </c>
      <c r="E112">
        <v>18.91</v>
      </c>
      <c r="F112">
        <v>317.2</v>
      </c>
      <c r="G112">
        <v>419.8</v>
      </c>
      <c r="H112">
        <v>-0.19</v>
      </c>
      <c r="I112">
        <v>1.669</v>
      </c>
      <c r="J112">
        <v>247.6</v>
      </c>
      <c r="K112">
        <v>1230.9000000000001</v>
      </c>
      <c r="L112">
        <v>3.07</v>
      </c>
      <c r="M112">
        <v>73.900000000000006</v>
      </c>
      <c r="N112">
        <v>9156</v>
      </c>
      <c r="O112">
        <v>114519</v>
      </c>
      <c r="P112">
        <v>75.224999999999994</v>
      </c>
      <c r="Q112">
        <v>1.21</v>
      </c>
      <c r="R112">
        <v>0.62</v>
      </c>
      <c r="S112">
        <v>1.7286999999999999</v>
      </c>
      <c r="T112">
        <v>44.4</v>
      </c>
      <c r="U112">
        <v>0</v>
      </c>
      <c r="W112" t="s">
        <v>38</v>
      </c>
    </row>
    <row r="113" spans="1:23">
      <c r="A113" s="2">
        <v>46300.625</v>
      </c>
      <c r="B113" t="s">
        <v>39</v>
      </c>
      <c r="C113">
        <v>74.510000000000005</v>
      </c>
      <c r="D113">
        <v>1901</v>
      </c>
      <c r="E113">
        <v>18.809999999999999</v>
      </c>
      <c r="F113">
        <v>311.89999999999998</v>
      </c>
      <c r="G113">
        <v>426.5</v>
      </c>
      <c r="H113">
        <v>0.22</v>
      </c>
      <c r="I113">
        <v>1.752</v>
      </c>
      <c r="J113">
        <v>223.8</v>
      </c>
      <c r="K113">
        <v>1238.5</v>
      </c>
      <c r="L113">
        <v>2.88</v>
      </c>
      <c r="M113">
        <v>77.900000000000006</v>
      </c>
      <c r="N113">
        <v>9187</v>
      </c>
      <c r="O113">
        <v>117693</v>
      </c>
      <c r="P113">
        <v>75.081999999999994</v>
      </c>
      <c r="Q113">
        <v>0.71499999999999997</v>
      </c>
      <c r="R113">
        <v>0.61499999999999999</v>
      </c>
      <c r="S113">
        <v>1.7333000000000001</v>
      </c>
      <c r="T113">
        <v>47.3</v>
      </c>
      <c r="U113">
        <v>0</v>
      </c>
      <c r="W113" t="s">
        <v>38</v>
      </c>
    </row>
    <row r="114" spans="1:23">
      <c r="A114" s="2">
        <v>46300.666666666657</v>
      </c>
      <c r="B114" t="s">
        <v>39</v>
      </c>
      <c r="C114">
        <v>75.33</v>
      </c>
      <c r="D114">
        <v>1902</v>
      </c>
      <c r="E114">
        <v>18.760000000000002</v>
      </c>
      <c r="F114">
        <v>304.60000000000002</v>
      </c>
      <c r="G114">
        <v>431.1</v>
      </c>
      <c r="H114">
        <v>0.87</v>
      </c>
      <c r="I114">
        <v>1.8220000000000001</v>
      </c>
      <c r="J114">
        <v>247.3</v>
      </c>
      <c r="K114">
        <v>1234.3</v>
      </c>
      <c r="L114">
        <v>2.57</v>
      </c>
      <c r="M114">
        <v>65.099999999999994</v>
      </c>
      <c r="N114">
        <v>9203</v>
      </c>
      <c r="O114">
        <v>115345</v>
      </c>
      <c r="P114">
        <v>75.132000000000005</v>
      </c>
      <c r="Q114">
        <v>0.63</v>
      </c>
      <c r="R114">
        <v>0.2</v>
      </c>
      <c r="S114">
        <v>1.7511000000000001</v>
      </c>
      <c r="T114">
        <v>51.075000000000003</v>
      </c>
      <c r="U114">
        <v>0</v>
      </c>
      <c r="W114" t="s">
        <v>38</v>
      </c>
    </row>
    <row r="115" spans="1:23">
      <c r="A115" s="2">
        <v>46300.708333333343</v>
      </c>
      <c r="B115" t="s">
        <v>39</v>
      </c>
      <c r="C115">
        <v>77.97</v>
      </c>
      <c r="D115">
        <v>1961</v>
      </c>
      <c r="E115">
        <v>18.53</v>
      </c>
      <c r="F115">
        <v>318.2</v>
      </c>
      <c r="G115">
        <v>424.5</v>
      </c>
      <c r="H115">
        <v>0.5</v>
      </c>
      <c r="I115">
        <v>1.8420000000000001</v>
      </c>
      <c r="J115">
        <v>237</v>
      </c>
      <c r="K115">
        <v>1225.0999999999999</v>
      </c>
      <c r="L115">
        <v>3.03</v>
      </c>
      <c r="M115">
        <v>64</v>
      </c>
      <c r="N115">
        <v>9120</v>
      </c>
      <c r="O115">
        <v>115747</v>
      </c>
      <c r="P115">
        <v>75.698999999999998</v>
      </c>
      <c r="Q115">
        <v>1.865</v>
      </c>
      <c r="R115">
        <v>0</v>
      </c>
      <c r="S115">
        <v>1.7693000000000001</v>
      </c>
      <c r="T115">
        <v>55.1</v>
      </c>
      <c r="U115">
        <v>0</v>
      </c>
      <c r="W115" t="s">
        <v>38</v>
      </c>
    </row>
    <row r="116" spans="1:23">
      <c r="A116" s="2">
        <v>46300.75</v>
      </c>
      <c r="B116" t="s">
        <v>39</v>
      </c>
      <c r="C116">
        <v>76.650000000000006</v>
      </c>
      <c r="D116">
        <v>1885</v>
      </c>
      <c r="E116">
        <v>18.690000000000001</v>
      </c>
      <c r="F116">
        <v>311</v>
      </c>
      <c r="G116">
        <v>420.1</v>
      </c>
      <c r="H116">
        <v>0.15</v>
      </c>
      <c r="I116">
        <v>1.8120000000000001</v>
      </c>
      <c r="J116">
        <v>218</v>
      </c>
      <c r="K116">
        <v>1239.3</v>
      </c>
      <c r="L116">
        <v>2.82</v>
      </c>
      <c r="M116">
        <v>45.6</v>
      </c>
      <c r="N116">
        <v>9259</v>
      </c>
      <c r="O116">
        <v>115999</v>
      </c>
      <c r="P116">
        <v>75.89</v>
      </c>
      <c r="Q116">
        <v>2.44</v>
      </c>
      <c r="R116">
        <v>0</v>
      </c>
      <c r="S116">
        <v>1.7778</v>
      </c>
      <c r="T116">
        <v>58.75</v>
      </c>
      <c r="U116">
        <v>0</v>
      </c>
      <c r="W116" t="s">
        <v>38</v>
      </c>
    </row>
    <row r="117" spans="1:23">
      <c r="A117" s="2">
        <v>46300.791666666657</v>
      </c>
      <c r="B117" t="s">
        <v>39</v>
      </c>
      <c r="C117">
        <v>76.459999999999994</v>
      </c>
      <c r="D117">
        <v>1901</v>
      </c>
      <c r="E117">
        <v>19.25</v>
      </c>
      <c r="F117">
        <v>327.5</v>
      </c>
      <c r="G117">
        <v>409.5</v>
      </c>
      <c r="H117">
        <v>0.36</v>
      </c>
      <c r="I117">
        <v>1.82</v>
      </c>
      <c r="J117">
        <v>235.7</v>
      </c>
      <c r="K117">
        <v>1239</v>
      </c>
      <c r="L117">
        <v>2.89</v>
      </c>
      <c r="M117">
        <v>55.7</v>
      </c>
      <c r="N117">
        <v>9159</v>
      </c>
      <c r="O117">
        <v>115632</v>
      </c>
      <c r="P117">
        <v>76.004000000000005</v>
      </c>
      <c r="Q117">
        <v>2.92</v>
      </c>
      <c r="R117">
        <v>0</v>
      </c>
      <c r="S117">
        <v>1.7862</v>
      </c>
      <c r="T117">
        <v>62.5</v>
      </c>
      <c r="U117">
        <v>0</v>
      </c>
      <c r="W117" t="s">
        <v>38</v>
      </c>
    </row>
    <row r="118" spans="1:23">
      <c r="A118" s="2">
        <v>46300.833333333343</v>
      </c>
      <c r="B118" t="s">
        <v>39</v>
      </c>
      <c r="C118">
        <v>76.3</v>
      </c>
      <c r="D118">
        <v>1915</v>
      </c>
      <c r="E118">
        <v>19.18</v>
      </c>
      <c r="F118">
        <v>312.10000000000002</v>
      </c>
      <c r="G118">
        <v>411.5</v>
      </c>
      <c r="H118">
        <v>2.4</v>
      </c>
      <c r="I118">
        <v>1.663</v>
      </c>
      <c r="J118">
        <v>211</v>
      </c>
      <c r="K118">
        <v>1252.0999999999999</v>
      </c>
      <c r="L118">
        <v>2.95</v>
      </c>
      <c r="M118">
        <v>53.7</v>
      </c>
      <c r="N118">
        <v>9182</v>
      </c>
      <c r="O118">
        <v>116258</v>
      </c>
      <c r="P118">
        <v>76.063000000000002</v>
      </c>
      <c r="Q118">
        <v>3.32</v>
      </c>
      <c r="R118">
        <v>0</v>
      </c>
      <c r="S118">
        <v>1.7616000000000001</v>
      </c>
      <c r="T118">
        <v>64.287499999999994</v>
      </c>
      <c r="U118">
        <v>0</v>
      </c>
      <c r="W118" t="s">
        <v>38</v>
      </c>
    </row>
    <row r="119" spans="1:23">
      <c r="A119" s="2">
        <v>46300.875</v>
      </c>
      <c r="B119" t="s">
        <v>39</v>
      </c>
      <c r="C119">
        <v>75.09</v>
      </c>
      <c r="D119">
        <v>1895</v>
      </c>
      <c r="E119">
        <v>18.62</v>
      </c>
      <c r="F119">
        <v>312.10000000000002</v>
      </c>
      <c r="G119">
        <v>417.6</v>
      </c>
      <c r="H119">
        <v>-0.06</v>
      </c>
      <c r="I119">
        <v>1.66</v>
      </c>
      <c r="J119">
        <v>238.3</v>
      </c>
      <c r="K119">
        <v>1245</v>
      </c>
      <c r="L119">
        <v>2.93</v>
      </c>
      <c r="M119">
        <v>55</v>
      </c>
      <c r="N119">
        <v>9120</v>
      </c>
      <c r="O119">
        <v>114074</v>
      </c>
      <c r="P119">
        <v>75.867999999999995</v>
      </c>
      <c r="Q119">
        <v>3.1150000000000002</v>
      </c>
      <c r="R119">
        <v>0</v>
      </c>
      <c r="S119">
        <v>1.7413000000000001</v>
      </c>
      <c r="T119">
        <v>66.037499999999994</v>
      </c>
      <c r="U119">
        <v>0</v>
      </c>
      <c r="W119" t="s">
        <v>38</v>
      </c>
    </row>
    <row r="120" spans="1:23">
      <c r="A120" s="2">
        <v>46300.916666666657</v>
      </c>
      <c r="B120" t="s">
        <v>39</v>
      </c>
      <c r="C120">
        <v>75.38</v>
      </c>
      <c r="D120">
        <v>1866</v>
      </c>
      <c r="E120">
        <v>19.079999999999998</v>
      </c>
      <c r="F120">
        <v>303.7</v>
      </c>
      <c r="G120">
        <v>415.1</v>
      </c>
      <c r="H120">
        <v>0.2</v>
      </c>
      <c r="I120">
        <v>1.669</v>
      </c>
      <c r="J120">
        <v>240.9</v>
      </c>
      <c r="K120">
        <v>1231.8</v>
      </c>
      <c r="L120">
        <v>3.01</v>
      </c>
      <c r="M120">
        <v>58.7</v>
      </c>
      <c r="N120">
        <v>8995</v>
      </c>
      <c r="O120">
        <v>114163</v>
      </c>
      <c r="P120">
        <v>75.771000000000001</v>
      </c>
      <c r="Q120">
        <v>3.0550000000000002</v>
      </c>
      <c r="R120">
        <v>0</v>
      </c>
      <c r="S120">
        <v>1.7267999999999999</v>
      </c>
      <c r="T120">
        <v>67.900000000000006</v>
      </c>
      <c r="U120">
        <v>0</v>
      </c>
      <c r="W120" t="s">
        <v>38</v>
      </c>
    </row>
    <row r="121" spans="1:23">
      <c r="A121" s="2">
        <v>46300.958333333343</v>
      </c>
      <c r="B121" t="s">
        <v>39</v>
      </c>
      <c r="C121">
        <v>76.2</v>
      </c>
      <c r="D121">
        <v>1894</v>
      </c>
      <c r="E121">
        <v>19.37</v>
      </c>
      <c r="F121">
        <v>307.7</v>
      </c>
      <c r="G121">
        <v>418.5</v>
      </c>
      <c r="H121">
        <v>1.05</v>
      </c>
      <c r="I121">
        <v>1.54</v>
      </c>
      <c r="J121">
        <v>226.1</v>
      </c>
      <c r="K121">
        <v>1254.8</v>
      </c>
      <c r="L121">
        <v>2.83</v>
      </c>
      <c r="M121">
        <v>56.2</v>
      </c>
      <c r="N121">
        <v>9185</v>
      </c>
      <c r="O121">
        <v>113350</v>
      </c>
      <c r="P121">
        <v>75.856999999999999</v>
      </c>
      <c r="Q121">
        <v>3.4049999999999998</v>
      </c>
      <c r="R121">
        <v>0</v>
      </c>
      <c r="S121">
        <v>1.6895</v>
      </c>
      <c r="T121">
        <v>68.150000000000006</v>
      </c>
      <c r="U121">
        <v>0</v>
      </c>
      <c r="W121" t="s">
        <v>38</v>
      </c>
    </row>
    <row r="122" spans="1:23">
      <c r="A122" s="2">
        <v>46301</v>
      </c>
      <c r="B122" t="s">
        <v>39</v>
      </c>
      <c r="C122">
        <v>76.400000000000006</v>
      </c>
      <c r="D122">
        <v>1932</v>
      </c>
      <c r="E122">
        <v>18.43</v>
      </c>
      <c r="F122">
        <v>312.60000000000002</v>
      </c>
      <c r="G122">
        <v>420.5</v>
      </c>
      <c r="H122">
        <v>1.1100000000000001</v>
      </c>
      <c r="I122">
        <v>1.7010000000000001</v>
      </c>
      <c r="J122">
        <v>233.2</v>
      </c>
      <c r="K122">
        <v>1249.8</v>
      </c>
      <c r="L122">
        <v>2.98</v>
      </c>
      <c r="M122">
        <v>44.2</v>
      </c>
      <c r="N122">
        <v>9393</v>
      </c>
      <c r="O122">
        <v>115659</v>
      </c>
      <c r="P122">
        <v>75.965000000000003</v>
      </c>
      <c r="Q122">
        <v>3.855</v>
      </c>
      <c r="R122">
        <v>0</v>
      </c>
      <c r="S122">
        <v>1.6918</v>
      </c>
      <c r="T122">
        <v>70.412499999999994</v>
      </c>
      <c r="U122">
        <v>0</v>
      </c>
      <c r="W122" t="s">
        <v>38</v>
      </c>
    </row>
    <row r="123" spans="1:23">
      <c r="A123" s="2">
        <v>46301.041666666657</v>
      </c>
      <c r="B123" t="s">
        <v>39</v>
      </c>
      <c r="C123">
        <v>75.52</v>
      </c>
      <c r="D123">
        <v>1837</v>
      </c>
      <c r="E123">
        <v>19.350000000000001</v>
      </c>
      <c r="F123">
        <v>281.7</v>
      </c>
      <c r="G123">
        <v>424.2</v>
      </c>
      <c r="H123">
        <v>1.19</v>
      </c>
      <c r="I123">
        <v>1.738</v>
      </c>
      <c r="J123">
        <v>251.5</v>
      </c>
      <c r="K123">
        <v>1244.7</v>
      </c>
      <c r="L123">
        <v>2.86</v>
      </c>
      <c r="M123">
        <v>66</v>
      </c>
      <c r="N123">
        <v>9263</v>
      </c>
      <c r="O123">
        <v>116168</v>
      </c>
      <c r="P123">
        <v>75.876000000000005</v>
      </c>
      <c r="Q123">
        <v>3.8650000000000002</v>
      </c>
      <c r="R123">
        <v>0</v>
      </c>
      <c r="S123">
        <v>1.7010000000000001</v>
      </c>
      <c r="T123">
        <v>73.137500000000003</v>
      </c>
      <c r="U123">
        <v>0</v>
      </c>
      <c r="W123" t="s">
        <v>38</v>
      </c>
    </row>
    <row r="124" spans="1:23">
      <c r="A124" s="2">
        <v>46301.083333333343</v>
      </c>
      <c r="B124" t="s">
        <v>39</v>
      </c>
      <c r="C124">
        <v>78.540000000000006</v>
      </c>
      <c r="D124">
        <v>1888</v>
      </c>
      <c r="E124">
        <v>18.89</v>
      </c>
      <c r="F124">
        <v>286.60000000000002</v>
      </c>
      <c r="G124">
        <v>419.4</v>
      </c>
      <c r="H124">
        <v>0.64</v>
      </c>
      <c r="I124">
        <v>1.756</v>
      </c>
      <c r="J124">
        <v>226.9</v>
      </c>
      <c r="K124">
        <v>1238.2</v>
      </c>
      <c r="L124">
        <v>3.01</v>
      </c>
      <c r="M124">
        <v>51.4</v>
      </c>
      <c r="N124">
        <v>9198</v>
      </c>
      <c r="O124">
        <v>115687</v>
      </c>
      <c r="P124">
        <v>76.409000000000006</v>
      </c>
      <c r="Q124">
        <v>5.3849999999999998</v>
      </c>
      <c r="R124">
        <v>0</v>
      </c>
      <c r="S124">
        <v>1.712</v>
      </c>
      <c r="T124">
        <v>76.087500000000006</v>
      </c>
      <c r="U124">
        <v>0</v>
      </c>
      <c r="V124" t="s">
        <v>38</v>
      </c>
      <c r="W124" t="s">
        <v>38</v>
      </c>
    </row>
    <row r="125" spans="1:23">
      <c r="A125" s="2">
        <v>46301.125</v>
      </c>
      <c r="B125" t="s">
        <v>39</v>
      </c>
      <c r="C125">
        <v>76.39</v>
      </c>
      <c r="D125">
        <v>1850</v>
      </c>
      <c r="E125">
        <v>19.420000000000002</v>
      </c>
      <c r="F125">
        <v>317.3</v>
      </c>
      <c r="G125">
        <v>423.9</v>
      </c>
      <c r="H125">
        <v>-1.1399999999999999</v>
      </c>
      <c r="I125">
        <v>1.9179999999999999</v>
      </c>
      <c r="J125">
        <v>221.4</v>
      </c>
      <c r="K125">
        <v>1232.3</v>
      </c>
      <c r="L125">
        <v>2.99</v>
      </c>
      <c r="M125">
        <v>61.9</v>
      </c>
      <c r="N125">
        <v>9179</v>
      </c>
      <c r="O125">
        <v>117512</v>
      </c>
      <c r="P125">
        <v>76.405000000000001</v>
      </c>
      <c r="Q125">
        <v>5.83</v>
      </c>
      <c r="R125">
        <v>0</v>
      </c>
      <c r="S125">
        <v>1.7532000000000001</v>
      </c>
      <c r="T125">
        <v>81.0625</v>
      </c>
      <c r="U125">
        <v>0</v>
      </c>
      <c r="V125" t="s">
        <v>38</v>
      </c>
      <c r="W125" t="s">
        <v>38</v>
      </c>
    </row>
    <row r="126" spans="1:23">
      <c r="A126" s="2">
        <v>46301.166666666657</v>
      </c>
      <c r="B126" t="s">
        <v>39</v>
      </c>
      <c r="C126">
        <v>76.680000000000007</v>
      </c>
      <c r="D126">
        <v>1935</v>
      </c>
      <c r="E126">
        <v>18.91</v>
      </c>
      <c r="F126">
        <v>308.2</v>
      </c>
      <c r="G126">
        <v>420.5</v>
      </c>
      <c r="H126">
        <v>1.63</v>
      </c>
      <c r="I126">
        <v>1.538</v>
      </c>
      <c r="J126">
        <v>246.8</v>
      </c>
      <c r="K126">
        <v>1237</v>
      </c>
      <c r="L126">
        <v>2.76</v>
      </c>
      <c r="M126">
        <v>76.599999999999994</v>
      </c>
      <c r="N126">
        <v>9202</v>
      </c>
      <c r="O126">
        <v>114992</v>
      </c>
      <c r="P126">
        <v>76.459999999999994</v>
      </c>
      <c r="Q126">
        <v>6.42</v>
      </c>
      <c r="R126">
        <v>0</v>
      </c>
      <c r="S126">
        <v>1.7101999999999999</v>
      </c>
      <c r="T126">
        <v>81.287499999999994</v>
      </c>
      <c r="U126">
        <v>0</v>
      </c>
      <c r="V126" t="s">
        <v>38</v>
      </c>
      <c r="W126" t="s">
        <v>38</v>
      </c>
    </row>
    <row r="127" spans="1:23">
      <c r="A127" s="2">
        <v>46301.208333333343</v>
      </c>
      <c r="B127" t="s">
        <v>39</v>
      </c>
      <c r="C127">
        <v>78.930000000000007</v>
      </c>
      <c r="D127">
        <v>1811</v>
      </c>
      <c r="E127">
        <v>18.53</v>
      </c>
      <c r="F127">
        <v>302.2</v>
      </c>
      <c r="G127">
        <v>404.2</v>
      </c>
      <c r="H127">
        <v>-1.1499999999999999</v>
      </c>
      <c r="I127">
        <v>1.7509999999999999</v>
      </c>
      <c r="J127">
        <v>251.6</v>
      </c>
      <c r="K127">
        <v>1248.7</v>
      </c>
      <c r="L127">
        <v>3.06</v>
      </c>
      <c r="M127">
        <v>52.6</v>
      </c>
      <c r="N127">
        <v>9244</v>
      </c>
      <c r="O127">
        <v>116003</v>
      </c>
      <c r="P127">
        <v>76.953999999999994</v>
      </c>
      <c r="Q127">
        <v>8.1349999999999998</v>
      </c>
      <c r="R127">
        <v>0</v>
      </c>
      <c r="S127">
        <v>1.7182999999999999</v>
      </c>
      <c r="T127">
        <v>84.174999999999997</v>
      </c>
      <c r="U127">
        <v>0</v>
      </c>
      <c r="V127" t="s">
        <v>38</v>
      </c>
      <c r="W127" t="s">
        <v>38</v>
      </c>
    </row>
    <row r="128" spans="1:23">
      <c r="A128" s="2">
        <v>46301.25</v>
      </c>
      <c r="B128" t="s">
        <v>39</v>
      </c>
      <c r="C128">
        <v>77.099999999999994</v>
      </c>
      <c r="D128">
        <v>1854</v>
      </c>
      <c r="E128">
        <v>18.63</v>
      </c>
      <c r="F128">
        <v>304.7</v>
      </c>
      <c r="G128">
        <v>412.5</v>
      </c>
      <c r="H128">
        <v>0.3</v>
      </c>
      <c r="I128">
        <v>1.89</v>
      </c>
      <c r="J128">
        <v>232</v>
      </c>
      <c r="K128">
        <v>1255.0999999999999</v>
      </c>
      <c r="L128">
        <v>2.82</v>
      </c>
      <c r="M128">
        <v>39.799999999999997</v>
      </c>
      <c r="N128">
        <v>9106</v>
      </c>
      <c r="O128">
        <v>113362</v>
      </c>
      <c r="P128">
        <v>76.983000000000004</v>
      </c>
      <c r="Q128">
        <v>8.9350000000000005</v>
      </c>
      <c r="R128">
        <v>0</v>
      </c>
      <c r="S128">
        <v>1.7526999999999999</v>
      </c>
      <c r="T128">
        <v>88.8</v>
      </c>
      <c r="U128">
        <v>0</v>
      </c>
      <c r="V128" t="s">
        <v>38</v>
      </c>
      <c r="W128" t="s">
        <v>38</v>
      </c>
    </row>
    <row r="129" spans="1:23">
      <c r="A129" s="2">
        <v>46301.291666666657</v>
      </c>
      <c r="B129" t="s">
        <v>39</v>
      </c>
      <c r="C129">
        <v>76.47</v>
      </c>
      <c r="D129">
        <v>1895</v>
      </c>
      <c r="E129">
        <v>19.329999999999998</v>
      </c>
      <c r="F129">
        <v>309</v>
      </c>
      <c r="G129">
        <v>418.8</v>
      </c>
      <c r="H129">
        <v>-0.75</v>
      </c>
      <c r="I129">
        <v>1.81</v>
      </c>
      <c r="J129">
        <v>242.1</v>
      </c>
      <c r="K129">
        <v>1252.3</v>
      </c>
      <c r="L129">
        <v>3.02</v>
      </c>
      <c r="M129">
        <v>57.7</v>
      </c>
      <c r="N129">
        <v>9289</v>
      </c>
      <c r="O129">
        <v>114419</v>
      </c>
      <c r="P129">
        <v>76.881</v>
      </c>
      <c r="Q129">
        <v>9.42</v>
      </c>
      <c r="R129">
        <v>0</v>
      </c>
      <c r="S129">
        <v>1.7641</v>
      </c>
      <c r="T129">
        <v>92.424999999999997</v>
      </c>
      <c r="U129">
        <v>0</v>
      </c>
      <c r="V129" t="s">
        <v>38</v>
      </c>
      <c r="W129" t="s">
        <v>38</v>
      </c>
    </row>
    <row r="130" spans="1:23">
      <c r="A130" s="2">
        <v>46301.333333333343</v>
      </c>
      <c r="B130" t="s">
        <v>39</v>
      </c>
      <c r="C130">
        <v>76.84</v>
      </c>
      <c r="D130">
        <v>1948</v>
      </c>
      <c r="E130">
        <v>19.440000000000001</v>
      </c>
      <c r="F130">
        <v>295.10000000000002</v>
      </c>
      <c r="G130">
        <v>410.3</v>
      </c>
      <c r="H130">
        <v>-0.06</v>
      </c>
      <c r="I130">
        <v>1.732</v>
      </c>
      <c r="J130">
        <v>245.4</v>
      </c>
      <c r="K130">
        <v>1236.0999999999999</v>
      </c>
      <c r="L130">
        <v>2.96</v>
      </c>
      <c r="M130">
        <v>68.8</v>
      </c>
      <c r="N130">
        <v>9257</v>
      </c>
      <c r="O130">
        <v>116043</v>
      </c>
      <c r="P130">
        <v>76.873000000000005</v>
      </c>
      <c r="Q130">
        <v>10.09</v>
      </c>
      <c r="R130">
        <v>0</v>
      </c>
      <c r="S130">
        <v>1.7577</v>
      </c>
      <c r="T130">
        <v>95.075000000000003</v>
      </c>
      <c r="U130">
        <v>0</v>
      </c>
      <c r="V130" t="s">
        <v>38</v>
      </c>
      <c r="W130" t="s">
        <v>38</v>
      </c>
    </row>
    <row r="131" spans="1:23">
      <c r="A131" s="2">
        <v>46301.375</v>
      </c>
      <c r="B131" t="s">
        <v>39</v>
      </c>
      <c r="C131">
        <v>77.239999999999995</v>
      </c>
      <c r="D131">
        <v>1874</v>
      </c>
      <c r="E131">
        <v>19.010000000000002</v>
      </c>
      <c r="F131">
        <v>290.89999999999998</v>
      </c>
      <c r="G131">
        <v>424.8</v>
      </c>
      <c r="H131">
        <v>0.33</v>
      </c>
      <c r="I131">
        <v>1.6739999999999999</v>
      </c>
      <c r="J131">
        <v>224.6</v>
      </c>
      <c r="K131">
        <v>1231</v>
      </c>
      <c r="L131">
        <v>3.18</v>
      </c>
      <c r="M131">
        <v>75.7</v>
      </c>
      <c r="N131">
        <v>9257</v>
      </c>
      <c r="O131">
        <v>116274</v>
      </c>
      <c r="P131">
        <v>76.945999999999998</v>
      </c>
      <c r="Q131">
        <v>10.96</v>
      </c>
      <c r="R131">
        <v>0</v>
      </c>
      <c r="S131">
        <v>1.7410000000000001</v>
      </c>
      <c r="T131">
        <v>97</v>
      </c>
      <c r="U131">
        <v>0</v>
      </c>
      <c r="V131" t="s">
        <v>38</v>
      </c>
      <c r="W131" t="s">
        <v>38</v>
      </c>
    </row>
    <row r="132" spans="1:23">
      <c r="A132" s="2">
        <v>46301.416666666657</v>
      </c>
      <c r="B132" t="s">
        <v>39</v>
      </c>
      <c r="C132">
        <v>74.959999999999994</v>
      </c>
      <c r="D132">
        <v>1851</v>
      </c>
      <c r="E132">
        <v>19.66</v>
      </c>
      <c r="F132">
        <v>304.89999999999998</v>
      </c>
      <c r="G132">
        <v>432.2</v>
      </c>
      <c r="H132">
        <v>0.32</v>
      </c>
      <c r="I132">
        <v>1.669</v>
      </c>
      <c r="J132">
        <v>227.1</v>
      </c>
      <c r="K132">
        <v>1241.0999999999999</v>
      </c>
      <c r="L132">
        <v>2.87</v>
      </c>
      <c r="M132">
        <v>50.2</v>
      </c>
      <c r="N132">
        <v>9235</v>
      </c>
      <c r="O132">
        <v>114559</v>
      </c>
      <c r="P132">
        <v>76.549000000000007</v>
      </c>
      <c r="Q132">
        <v>10.69</v>
      </c>
      <c r="R132">
        <v>0</v>
      </c>
      <c r="S132">
        <v>1.7265999999999999</v>
      </c>
      <c r="T132">
        <v>98.862499999999997</v>
      </c>
      <c r="U132">
        <v>0</v>
      </c>
      <c r="V132" t="s">
        <v>38</v>
      </c>
      <c r="W132" t="s">
        <v>38</v>
      </c>
    </row>
    <row r="133" spans="1:23">
      <c r="A133" s="2">
        <v>46301.458333333343</v>
      </c>
      <c r="B133" t="s">
        <v>39</v>
      </c>
      <c r="C133">
        <v>75.98</v>
      </c>
      <c r="D133">
        <v>1960</v>
      </c>
      <c r="E133">
        <v>18.77</v>
      </c>
      <c r="F133">
        <v>286.7</v>
      </c>
      <c r="G133">
        <v>429.8</v>
      </c>
      <c r="H133">
        <v>0.42</v>
      </c>
      <c r="I133">
        <v>1.7150000000000001</v>
      </c>
      <c r="J133">
        <v>244.3</v>
      </c>
      <c r="K133">
        <v>1225.9000000000001</v>
      </c>
      <c r="L133">
        <v>2.85</v>
      </c>
      <c r="M133">
        <v>64</v>
      </c>
      <c r="N133">
        <v>9202</v>
      </c>
      <c r="O133">
        <v>114893</v>
      </c>
      <c r="P133">
        <v>76.435000000000002</v>
      </c>
      <c r="Q133">
        <v>10.93</v>
      </c>
      <c r="R133">
        <v>0</v>
      </c>
      <c r="S133">
        <v>1.7242999999999999</v>
      </c>
      <c r="T133">
        <v>101.3</v>
      </c>
      <c r="U133">
        <v>0</v>
      </c>
      <c r="V133" t="s">
        <v>38</v>
      </c>
      <c r="W133" t="s">
        <v>38</v>
      </c>
    </row>
    <row r="134" spans="1:23">
      <c r="A134" s="2">
        <v>46301.5</v>
      </c>
      <c r="B134" t="s">
        <v>39</v>
      </c>
      <c r="C134">
        <v>74.849999999999994</v>
      </c>
      <c r="D134">
        <v>1809</v>
      </c>
      <c r="E134">
        <v>19.43</v>
      </c>
      <c r="F134">
        <v>306.89999999999998</v>
      </c>
      <c r="G134">
        <v>418.3</v>
      </c>
      <c r="H134">
        <v>1.61</v>
      </c>
      <c r="I134">
        <v>1.857</v>
      </c>
      <c r="J134">
        <v>248.9</v>
      </c>
      <c r="K134">
        <v>1242.5999999999999</v>
      </c>
      <c r="L134">
        <v>2.9</v>
      </c>
      <c r="M134">
        <v>56.3</v>
      </c>
      <c r="N134">
        <v>9254</v>
      </c>
      <c r="O134">
        <v>112723</v>
      </c>
      <c r="P134">
        <v>76.117999999999995</v>
      </c>
      <c r="Q134">
        <v>10.605</v>
      </c>
      <c r="R134">
        <v>0</v>
      </c>
      <c r="S134">
        <v>1.7507999999999999</v>
      </c>
      <c r="T134">
        <v>105.5125</v>
      </c>
      <c r="U134">
        <v>0</v>
      </c>
      <c r="V134" t="s">
        <v>38</v>
      </c>
      <c r="W134" t="s">
        <v>38</v>
      </c>
    </row>
    <row r="135" spans="1:23">
      <c r="A135" s="2">
        <v>46301.541666666657</v>
      </c>
      <c r="B135" t="s">
        <v>39</v>
      </c>
      <c r="C135">
        <v>76.37</v>
      </c>
      <c r="D135">
        <v>1775</v>
      </c>
      <c r="E135">
        <v>19.010000000000002</v>
      </c>
      <c r="F135">
        <v>274.7</v>
      </c>
      <c r="G135">
        <v>431.9</v>
      </c>
      <c r="H135">
        <v>0.45</v>
      </c>
      <c r="I135">
        <v>1.7689999999999999</v>
      </c>
      <c r="J135">
        <v>237.6</v>
      </c>
      <c r="K135">
        <v>1238.8</v>
      </c>
      <c r="L135">
        <v>2.85</v>
      </c>
      <c r="M135">
        <v>59.2</v>
      </c>
      <c r="N135">
        <v>9247</v>
      </c>
      <c r="O135">
        <v>114464</v>
      </c>
      <c r="P135">
        <v>76.168000000000006</v>
      </c>
      <c r="Q135">
        <v>11.04</v>
      </c>
      <c r="R135">
        <v>0</v>
      </c>
      <c r="S135">
        <v>1.7544</v>
      </c>
      <c r="T135">
        <v>108.625</v>
      </c>
      <c r="U135">
        <v>0</v>
      </c>
      <c r="V135" t="s">
        <v>38</v>
      </c>
      <c r="W135" t="s">
        <v>38</v>
      </c>
    </row>
    <row r="136" spans="1:23">
      <c r="A136" s="2">
        <v>46301.583333333343</v>
      </c>
      <c r="B136" t="s">
        <v>39</v>
      </c>
      <c r="C136">
        <v>75.239999999999995</v>
      </c>
      <c r="D136">
        <v>1893</v>
      </c>
      <c r="E136">
        <v>19.260000000000002</v>
      </c>
      <c r="F136">
        <v>315</v>
      </c>
      <c r="G136">
        <v>421.2</v>
      </c>
      <c r="H136">
        <v>-0.24</v>
      </c>
      <c r="I136">
        <v>1.7390000000000001</v>
      </c>
      <c r="J136">
        <v>223.2</v>
      </c>
      <c r="K136">
        <v>1236.3</v>
      </c>
      <c r="L136">
        <v>3.02</v>
      </c>
      <c r="M136">
        <v>81.2</v>
      </c>
      <c r="N136">
        <v>9172</v>
      </c>
      <c r="O136">
        <v>116336</v>
      </c>
      <c r="P136">
        <v>75.983000000000004</v>
      </c>
      <c r="Q136">
        <v>10.91</v>
      </c>
      <c r="R136">
        <v>0</v>
      </c>
      <c r="S136">
        <v>1.7514000000000001</v>
      </c>
      <c r="T136">
        <v>111.3625</v>
      </c>
      <c r="U136">
        <v>0</v>
      </c>
      <c r="V136" t="s">
        <v>38</v>
      </c>
      <c r="W136" t="s">
        <v>38</v>
      </c>
    </row>
    <row r="137" spans="1:23">
      <c r="A137" s="2">
        <v>46301.625</v>
      </c>
      <c r="B137" t="s">
        <v>39</v>
      </c>
      <c r="C137">
        <v>77.11</v>
      </c>
      <c r="D137">
        <v>1849</v>
      </c>
      <c r="E137">
        <v>19.57</v>
      </c>
      <c r="F137">
        <v>306.10000000000002</v>
      </c>
      <c r="G137">
        <v>417.3</v>
      </c>
      <c r="H137">
        <v>0.96</v>
      </c>
      <c r="I137">
        <v>1.599</v>
      </c>
      <c r="J137">
        <v>251.9</v>
      </c>
      <c r="K137">
        <v>1227.2</v>
      </c>
      <c r="L137">
        <v>2.66</v>
      </c>
      <c r="M137">
        <v>48</v>
      </c>
      <c r="N137">
        <v>9154</v>
      </c>
      <c r="O137">
        <v>115863</v>
      </c>
      <c r="P137">
        <v>76.207999999999998</v>
      </c>
      <c r="Q137">
        <v>11.715</v>
      </c>
      <c r="R137">
        <v>0</v>
      </c>
      <c r="S137">
        <v>1.7209000000000001</v>
      </c>
      <c r="T137">
        <v>112.35</v>
      </c>
      <c r="U137">
        <v>0</v>
      </c>
      <c r="V137" t="s">
        <v>38</v>
      </c>
      <c r="W137" t="s">
        <v>38</v>
      </c>
    </row>
    <row r="138" spans="1:23">
      <c r="A138" s="2">
        <v>46301.666666666657</v>
      </c>
      <c r="B138" t="s">
        <v>39</v>
      </c>
      <c r="C138">
        <v>76.13</v>
      </c>
      <c r="D138">
        <v>1825</v>
      </c>
      <c r="E138">
        <v>19.239999999999998</v>
      </c>
      <c r="F138">
        <v>302.2</v>
      </c>
      <c r="G138">
        <v>415.1</v>
      </c>
      <c r="H138">
        <v>1.19</v>
      </c>
      <c r="I138">
        <v>1.645</v>
      </c>
      <c r="J138">
        <v>226.7</v>
      </c>
      <c r="K138">
        <v>1244.0999999999999</v>
      </c>
      <c r="L138">
        <v>2.74</v>
      </c>
      <c r="M138">
        <v>62</v>
      </c>
      <c r="N138">
        <v>9208</v>
      </c>
      <c r="O138">
        <v>115751</v>
      </c>
      <c r="P138">
        <v>76.192999999999998</v>
      </c>
      <c r="Q138">
        <v>12.03</v>
      </c>
      <c r="R138">
        <v>0</v>
      </c>
      <c r="S138">
        <v>1.7057</v>
      </c>
      <c r="T138">
        <v>113.91249999999999</v>
      </c>
      <c r="U138">
        <v>0</v>
      </c>
      <c r="V138" t="s">
        <v>38</v>
      </c>
      <c r="W138" t="s">
        <v>38</v>
      </c>
    </row>
    <row r="139" spans="1:23">
      <c r="A139" s="2">
        <v>46301.708333333343</v>
      </c>
      <c r="B139" t="s">
        <v>39</v>
      </c>
      <c r="C139">
        <v>76.66</v>
      </c>
      <c r="D139">
        <v>1902</v>
      </c>
      <c r="E139">
        <v>19.46</v>
      </c>
      <c r="F139">
        <v>312.5</v>
      </c>
      <c r="G139">
        <v>417.6</v>
      </c>
      <c r="H139">
        <v>-1.23</v>
      </c>
      <c r="I139">
        <v>1.5329999999999999</v>
      </c>
      <c r="J139">
        <v>228.6</v>
      </c>
      <c r="K139">
        <v>1235.7</v>
      </c>
      <c r="L139">
        <v>2.74</v>
      </c>
      <c r="M139">
        <v>63.7</v>
      </c>
      <c r="N139">
        <v>9324</v>
      </c>
      <c r="O139">
        <v>115075</v>
      </c>
      <c r="P139">
        <v>76.286000000000001</v>
      </c>
      <c r="Q139">
        <v>12.61</v>
      </c>
      <c r="R139">
        <v>0</v>
      </c>
      <c r="S139">
        <v>1.6712</v>
      </c>
      <c r="T139">
        <v>114.075</v>
      </c>
      <c r="U139">
        <v>0</v>
      </c>
      <c r="V139" t="s">
        <v>38</v>
      </c>
      <c r="W139" t="s">
        <v>38</v>
      </c>
    </row>
    <row r="140" spans="1:23">
      <c r="A140" s="2">
        <v>46301.75</v>
      </c>
      <c r="B140" t="s">
        <v>39</v>
      </c>
      <c r="C140">
        <v>77.97</v>
      </c>
      <c r="D140">
        <v>1881</v>
      </c>
      <c r="E140">
        <v>20.04</v>
      </c>
      <c r="F140">
        <v>322.2</v>
      </c>
      <c r="G140">
        <v>416.9</v>
      </c>
      <c r="H140">
        <v>0.6</v>
      </c>
      <c r="I140">
        <v>1.7589999999999999</v>
      </c>
      <c r="J140">
        <v>235.4</v>
      </c>
      <c r="K140">
        <v>1230.5999999999999</v>
      </c>
      <c r="L140">
        <v>3.04</v>
      </c>
      <c r="M140">
        <v>68.7</v>
      </c>
      <c r="N140">
        <v>9101</v>
      </c>
      <c r="O140">
        <v>115011</v>
      </c>
      <c r="P140">
        <v>76.623000000000005</v>
      </c>
      <c r="Q140">
        <v>13.845000000000001</v>
      </c>
      <c r="R140">
        <v>0</v>
      </c>
      <c r="S140">
        <v>1.6887000000000001</v>
      </c>
      <c r="T140">
        <v>117.0625</v>
      </c>
      <c r="U140">
        <v>0</v>
      </c>
      <c r="V140" t="s">
        <v>38</v>
      </c>
      <c r="W140" t="s">
        <v>38</v>
      </c>
    </row>
    <row r="141" spans="1:23">
      <c r="A141" s="2">
        <v>46301.791666666657</v>
      </c>
      <c r="B141" t="s">
        <v>39</v>
      </c>
      <c r="C141">
        <v>75.790000000000006</v>
      </c>
      <c r="D141">
        <v>1843</v>
      </c>
      <c r="E141">
        <v>19.440000000000001</v>
      </c>
      <c r="F141">
        <v>311.8</v>
      </c>
      <c r="G141">
        <v>421.4</v>
      </c>
      <c r="H141">
        <v>0.7</v>
      </c>
      <c r="I141">
        <v>1.643</v>
      </c>
      <c r="J141">
        <v>247.5</v>
      </c>
      <c r="K141">
        <v>1217</v>
      </c>
      <c r="L141">
        <v>3.16</v>
      </c>
      <c r="M141">
        <v>60.8</v>
      </c>
      <c r="N141">
        <v>9083</v>
      </c>
      <c r="O141">
        <v>114010</v>
      </c>
      <c r="P141">
        <v>76.456000000000003</v>
      </c>
      <c r="Q141">
        <v>13.99</v>
      </c>
      <c r="R141">
        <v>0</v>
      </c>
      <c r="S141">
        <v>1.6796</v>
      </c>
      <c r="T141">
        <v>118.6</v>
      </c>
      <c r="U141">
        <v>0</v>
      </c>
      <c r="V141" t="s">
        <v>38</v>
      </c>
      <c r="W141" t="s">
        <v>38</v>
      </c>
    </row>
    <row r="142" spans="1:23">
      <c r="A142" s="2">
        <v>46301.833333333343</v>
      </c>
      <c r="B142" t="s">
        <v>39</v>
      </c>
      <c r="C142">
        <v>76.569999999999993</v>
      </c>
      <c r="D142">
        <v>1810</v>
      </c>
      <c r="E142">
        <v>20.03</v>
      </c>
      <c r="F142">
        <v>268.39999999999998</v>
      </c>
      <c r="G142">
        <v>421.3</v>
      </c>
      <c r="H142">
        <v>-0.3</v>
      </c>
      <c r="I142">
        <v>1.597</v>
      </c>
      <c r="J142">
        <v>240.5</v>
      </c>
      <c r="K142">
        <v>1239.8</v>
      </c>
      <c r="L142">
        <v>2.88</v>
      </c>
      <c r="M142">
        <v>62.5</v>
      </c>
      <c r="N142">
        <v>9213</v>
      </c>
      <c r="O142">
        <v>116048</v>
      </c>
      <c r="P142">
        <v>76.478999999999999</v>
      </c>
      <c r="Q142">
        <v>14.525</v>
      </c>
      <c r="R142">
        <v>0</v>
      </c>
      <c r="S142">
        <v>1.6631</v>
      </c>
      <c r="T142">
        <v>119.5625</v>
      </c>
      <c r="U142">
        <v>0</v>
      </c>
      <c r="V142" t="s">
        <v>38</v>
      </c>
      <c r="W142" t="s">
        <v>38</v>
      </c>
    </row>
    <row r="143" spans="1:23">
      <c r="A143" s="2">
        <v>46301.875</v>
      </c>
      <c r="B143" t="s">
        <v>39</v>
      </c>
      <c r="C143">
        <v>77.62</v>
      </c>
      <c r="D143">
        <v>1906</v>
      </c>
      <c r="E143">
        <v>19.28</v>
      </c>
      <c r="F143">
        <v>276.2</v>
      </c>
      <c r="G143">
        <v>420</v>
      </c>
      <c r="H143">
        <v>1.38</v>
      </c>
      <c r="I143">
        <v>1.5920000000000001</v>
      </c>
      <c r="J143">
        <v>236.1</v>
      </c>
      <c r="K143">
        <v>1254.2</v>
      </c>
      <c r="L143">
        <v>2.87</v>
      </c>
      <c r="M143">
        <v>56.9</v>
      </c>
      <c r="N143">
        <v>9204</v>
      </c>
      <c r="O143">
        <v>115631</v>
      </c>
      <c r="P143">
        <v>76.706999999999994</v>
      </c>
      <c r="Q143">
        <v>15.585000000000001</v>
      </c>
      <c r="R143">
        <v>0</v>
      </c>
      <c r="S143">
        <v>1.6489</v>
      </c>
      <c r="T143">
        <v>120.46250000000001</v>
      </c>
      <c r="U143">
        <v>0</v>
      </c>
      <c r="V143" t="s">
        <v>38</v>
      </c>
      <c r="W143" t="s">
        <v>38</v>
      </c>
    </row>
    <row r="144" spans="1:23">
      <c r="A144" s="2">
        <v>46301.916666666657</v>
      </c>
      <c r="B144" t="s">
        <v>39</v>
      </c>
      <c r="C144">
        <v>75.319999999999993</v>
      </c>
      <c r="D144">
        <v>1896</v>
      </c>
      <c r="E144">
        <v>19.97</v>
      </c>
      <c r="F144">
        <v>285.39999999999998</v>
      </c>
      <c r="G144">
        <v>423.5</v>
      </c>
      <c r="H144">
        <v>-0.15</v>
      </c>
      <c r="I144">
        <v>1.7609999999999999</v>
      </c>
      <c r="J144">
        <v>236.6</v>
      </c>
      <c r="K144">
        <v>1253.3</v>
      </c>
      <c r="L144">
        <v>2.91</v>
      </c>
      <c r="M144">
        <v>62.2</v>
      </c>
      <c r="N144">
        <v>9214</v>
      </c>
      <c r="O144">
        <v>115738</v>
      </c>
      <c r="P144">
        <v>76.430000000000007</v>
      </c>
      <c r="Q144">
        <v>15.494999999999999</v>
      </c>
      <c r="R144">
        <v>0</v>
      </c>
      <c r="S144">
        <v>1.6713</v>
      </c>
      <c r="T144">
        <v>123.47499999999999</v>
      </c>
      <c r="U144">
        <v>0</v>
      </c>
      <c r="V144" t="s">
        <v>38</v>
      </c>
      <c r="W144" t="s">
        <v>38</v>
      </c>
    </row>
    <row r="145" spans="1:23">
      <c r="A145" s="2">
        <v>46301.958333333343</v>
      </c>
      <c r="B145" t="s">
        <v>39</v>
      </c>
      <c r="C145">
        <v>76.209999999999994</v>
      </c>
      <c r="D145">
        <v>1861</v>
      </c>
      <c r="E145">
        <v>20.37</v>
      </c>
      <c r="F145">
        <v>294.60000000000002</v>
      </c>
      <c r="G145">
        <v>429.5</v>
      </c>
      <c r="H145">
        <v>0.13</v>
      </c>
      <c r="I145">
        <v>1.617</v>
      </c>
      <c r="J145">
        <v>232.4</v>
      </c>
      <c r="K145">
        <v>1236.3</v>
      </c>
      <c r="L145">
        <v>3.07</v>
      </c>
      <c r="M145">
        <v>57.3</v>
      </c>
      <c r="N145">
        <v>9220</v>
      </c>
      <c r="O145">
        <v>114211</v>
      </c>
      <c r="P145">
        <v>76.385999999999996</v>
      </c>
      <c r="Q145">
        <v>15.85</v>
      </c>
      <c r="R145">
        <v>0</v>
      </c>
      <c r="S145">
        <v>1.6604000000000001</v>
      </c>
      <c r="T145">
        <v>124.6875</v>
      </c>
      <c r="U145">
        <v>0</v>
      </c>
      <c r="V145" t="s">
        <v>38</v>
      </c>
      <c r="W145" t="s">
        <v>38</v>
      </c>
    </row>
    <row r="146" spans="1:23">
      <c r="A146" s="2">
        <v>46302</v>
      </c>
      <c r="B146" t="s">
        <v>39</v>
      </c>
      <c r="C146">
        <v>76.75</v>
      </c>
      <c r="D146">
        <v>1948</v>
      </c>
      <c r="E146">
        <v>18.829999999999998</v>
      </c>
      <c r="F146">
        <v>301.39999999999998</v>
      </c>
      <c r="G146">
        <v>427.6</v>
      </c>
      <c r="H146">
        <v>-0.17</v>
      </c>
      <c r="I146">
        <v>1.569</v>
      </c>
      <c r="J146">
        <v>237.6</v>
      </c>
      <c r="K146">
        <v>1235.2</v>
      </c>
      <c r="L146">
        <v>2.76</v>
      </c>
      <c r="M146">
        <v>65</v>
      </c>
      <c r="N146">
        <v>9182</v>
      </c>
      <c r="O146">
        <v>111770</v>
      </c>
      <c r="P146">
        <v>76.459000000000003</v>
      </c>
      <c r="Q146">
        <v>16.475000000000001</v>
      </c>
      <c r="R146">
        <v>0</v>
      </c>
      <c r="S146">
        <v>1.6420999999999999</v>
      </c>
      <c r="T146">
        <v>125.3</v>
      </c>
      <c r="U146">
        <v>0</v>
      </c>
      <c r="V146" t="s">
        <v>38</v>
      </c>
      <c r="W146" t="s">
        <v>38</v>
      </c>
    </row>
    <row r="147" spans="1:23">
      <c r="A147" s="2">
        <v>46302.041666666657</v>
      </c>
      <c r="B147" t="s">
        <v>39</v>
      </c>
      <c r="C147">
        <v>78.900000000000006</v>
      </c>
      <c r="D147">
        <v>1816</v>
      </c>
      <c r="E147">
        <v>19.53</v>
      </c>
      <c r="F147">
        <v>282.10000000000002</v>
      </c>
      <c r="G147">
        <v>408.1</v>
      </c>
      <c r="H147">
        <v>0.02</v>
      </c>
      <c r="I147">
        <v>1.4890000000000001</v>
      </c>
      <c r="J147">
        <v>206.7</v>
      </c>
      <c r="K147">
        <v>1243.8</v>
      </c>
      <c r="L147">
        <v>2.94</v>
      </c>
      <c r="M147">
        <v>57</v>
      </c>
      <c r="N147">
        <v>9319</v>
      </c>
      <c r="O147">
        <v>116646</v>
      </c>
      <c r="P147">
        <v>76.947000000000003</v>
      </c>
      <c r="Q147">
        <v>18.175000000000001</v>
      </c>
      <c r="R147">
        <v>0</v>
      </c>
      <c r="S147">
        <v>1.6114999999999999</v>
      </c>
      <c r="T147">
        <v>124.91249999999999</v>
      </c>
      <c r="U147">
        <v>0</v>
      </c>
      <c r="V147" t="s">
        <v>38</v>
      </c>
      <c r="W147" t="s">
        <v>38</v>
      </c>
    </row>
    <row r="148" spans="1:23">
      <c r="A148" s="2">
        <v>46302.083333333343</v>
      </c>
      <c r="B148" t="s">
        <v>39</v>
      </c>
      <c r="C148">
        <v>77.290000000000006</v>
      </c>
      <c r="D148">
        <v>1795</v>
      </c>
      <c r="E148">
        <v>20.11</v>
      </c>
      <c r="F148">
        <v>295.2</v>
      </c>
      <c r="G148">
        <v>399.6</v>
      </c>
      <c r="H148">
        <v>-1.1000000000000001</v>
      </c>
      <c r="I148">
        <v>1.5820000000000001</v>
      </c>
      <c r="J148">
        <v>229</v>
      </c>
      <c r="K148">
        <v>1232</v>
      </c>
      <c r="L148">
        <v>3.05</v>
      </c>
      <c r="M148">
        <v>63</v>
      </c>
      <c r="N148">
        <v>9072</v>
      </c>
      <c r="O148">
        <v>114282</v>
      </c>
      <c r="P148">
        <v>77.016000000000005</v>
      </c>
      <c r="Q148">
        <v>19.07</v>
      </c>
      <c r="R148">
        <v>0</v>
      </c>
      <c r="S148">
        <v>1.6055999999999999</v>
      </c>
      <c r="T148">
        <v>125.6875</v>
      </c>
      <c r="U148">
        <v>0</v>
      </c>
      <c r="V148" t="s">
        <v>38</v>
      </c>
      <c r="W148" t="s">
        <v>38</v>
      </c>
    </row>
    <row r="149" spans="1:23">
      <c r="A149" s="2">
        <v>46302.125</v>
      </c>
      <c r="B149" t="s">
        <v>39</v>
      </c>
      <c r="C149">
        <v>75.45</v>
      </c>
      <c r="D149">
        <v>1831</v>
      </c>
      <c r="E149">
        <v>19.829999999999998</v>
      </c>
      <c r="F149">
        <v>280.5</v>
      </c>
      <c r="G149">
        <v>427.5</v>
      </c>
      <c r="H149">
        <v>-1.44</v>
      </c>
      <c r="I149">
        <v>1.7290000000000001</v>
      </c>
      <c r="J149">
        <v>234.4</v>
      </c>
      <c r="K149">
        <v>1242.4000000000001</v>
      </c>
      <c r="L149">
        <v>2.98</v>
      </c>
      <c r="M149">
        <v>59.8</v>
      </c>
      <c r="N149">
        <v>9134</v>
      </c>
      <c r="O149">
        <v>113706</v>
      </c>
      <c r="P149">
        <v>76.701999999999998</v>
      </c>
      <c r="Q149">
        <v>19.045000000000002</v>
      </c>
      <c r="R149">
        <v>0</v>
      </c>
      <c r="S149">
        <v>1.6303000000000001</v>
      </c>
      <c r="T149">
        <v>128.30000000000001</v>
      </c>
      <c r="U149">
        <v>0</v>
      </c>
      <c r="V149" t="s">
        <v>38</v>
      </c>
      <c r="W149" t="s">
        <v>38</v>
      </c>
    </row>
    <row r="150" spans="1:23">
      <c r="A150" s="2">
        <v>46302.166666666657</v>
      </c>
      <c r="B150" t="s">
        <v>39</v>
      </c>
      <c r="C150">
        <v>76.53</v>
      </c>
      <c r="D150">
        <v>1860</v>
      </c>
      <c r="E150">
        <v>20.09</v>
      </c>
      <c r="F150">
        <v>282</v>
      </c>
      <c r="G150">
        <v>409.1</v>
      </c>
      <c r="H150">
        <v>1.59</v>
      </c>
      <c r="I150">
        <v>1.7749999999999999</v>
      </c>
      <c r="J150">
        <v>220.5</v>
      </c>
      <c r="K150">
        <v>1246.0999999999999</v>
      </c>
      <c r="L150">
        <v>2.93</v>
      </c>
      <c r="M150">
        <v>69</v>
      </c>
      <c r="N150">
        <v>9192</v>
      </c>
      <c r="O150">
        <v>116040</v>
      </c>
      <c r="P150">
        <v>76.668000000000006</v>
      </c>
      <c r="Q150">
        <v>19.559999999999999</v>
      </c>
      <c r="R150">
        <v>0</v>
      </c>
      <c r="S150">
        <v>1.6592</v>
      </c>
      <c r="T150">
        <v>131.48750000000001</v>
      </c>
      <c r="U150">
        <v>0</v>
      </c>
      <c r="V150" t="s">
        <v>38</v>
      </c>
      <c r="W150" t="s">
        <v>38</v>
      </c>
    </row>
    <row r="151" spans="1:23">
      <c r="A151" s="2">
        <v>46302.208333333343</v>
      </c>
      <c r="B151" t="s">
        <v>39</v>
      </c>
      <c r="C151">
        <v>77.73</v>
      </c>
      <c r="D151">
        <v>1872</v>
      </c>
      <c r="E151">
        <v>19.73</v>
      </c>
      <c r="F151">
        <v>269.5</v>
      </c>
      <c r="G151">
        <v>418.2</v>
      </c>
      <c r="H151">
        <v>-0.85</v>
      </c>
      <c r="I151">
        <v>1.6459999999999999</v>
      </c>
      <c r="J151">
        <v>235.9</v>
      </c>
      <c r="K151">
        <v>1249.8</v>
      </c>
      <c r="L151">
        <v>3.05</v>
      </c>
      <c r="M151">
        <v>59.6</v>
      </c>
      <c r="N151">
        <v>9069</v>
      </c>
      <c r="O151">
        <v>114412</v>
      </c>
      <c r="P151">
        <v>76.88</v>
      </c>
      <c r="Q151">
        <v>20.675000000000001</v>
      </c>
      <c r="R151">
        <v>0</v>
      </c>
      <c r="S151">
        <v>1.6566000000000001</v>
      </c>
      <c r="T151">
        <v>133.0625</v>
      </c>
      <c r="U151">
        <v>0</v>
      </c>
      <c r="V151" t="s">
        <v>38</v>
      </c>
      <c r="W151" t="s">
        <v>38</v>
      </c>
    </row>
    <row r="152" spans="1:23">
      <c r="A152" s="2">
        <v>46302.25</v>
      </c>
      <c r="B152" t="s">
        <v>39</v>
      </c>
      <c r="C152">
        <v>78.91</v>
      </c>
      <c r="D152">
        <v>1849</v>
      </c>
      <c r="E152">
        <v>20.03</v>
      </c>
      <c r="F152">
        <v>276.2</v>
      </c>
      <c r="G152">
        <v>410.6</v>
      </c>
      <c r="H152">
        <v>-0.99</v>
      </c>
      <c r="I152">
        <v>1.677</v>
      </c>
      <c r="J152">
        <v>230</v>
      </c>
      <c r="K152">
        <v>1239.2</v>
      </c>
      <c r="L152">
        <v>2.4900000000000002</v>
      </c>
      <c r="M152">
        <v>45.8</v>
      </c>
      <c r="N152">
        <v>9186</v>
      </c>
      <c r="O152">
        <v>116590</v>
      </c>
      <c r="P152">
        <v>77.286000000000001</v>
      </c>
      <c r="Q152">
        <v>22.38</v>
      </c>
      <c r="R152">
        <v>0</v>
      </c>
      <c r="S152">
        <v>1.6607000000000001</v>
      </c>
      <c r="T152">
        <v>135.02500000000001</v>
      </c>
      <c r="U152">
        <v>0</v>
      </c>
      <c r="V152" t="s">
        <v>38</v>
      </c>
      <c r="W152" t="s">
        <v>38</v>
      </c>
    </row>
    <row r="153" spans="1:23">
      <c r="A153" s="2">
        <v>46302.291666666657</v>
      </c>
      <c r="B153" t="s">
        <v>39</v>
      </c>
      <c r="C153">
        <v>77.83</v>
      </c>
      <c r="D153">
        <v>1875</v>
      </c>
      <c r="E153">
        <v>19.97</v>
      </c>
      <c r="F153">
        <v>269.10000000000002</v>
      </c>
      <c r="G153">
        <v>405.6</v>
      </c>
      <c r="H153">
        <v>-2.15</v>
      </c>
      <c r="I153">
        <v>1.8560000000000001</v>
      </c>
      <c r="J153">
        <v>249.6</v>
      </c>
      <c r="K153">
        <v>1238.4000000000001</v>
      </c>
      <c r="L153">
        <v>3</v>
      </c>
      <c r="M153">
        <v>70.099999999999994</v>
      </c>
      <c r="N153">
        <v>9333</v>
      </c>
      <c r="O153">
        <v>115926</v>
      </c>
      <c r="P153">
        <v>77.394999999999996</v>
      </c>
      <c r="Q153">
        <v>23.545000000000002</v>
      </c>
      <c r="R153">
        <v>0</v>
      </c>
      <c r="S153">
        <v>1.6997</v>
      </c>
      <c r="T153">
        <v>139.22499999999999</v>
      </c>
      <c r="U153">
        <v>0</v>
      </c>
      <c r="V153" t="s">
        <v>38</v>
      </c>
      <c r="W153" t="s">
        <v>38</v>
      </c>
    </row>
    <row r="154" spans="1:23">
      <c r="A154" s="2">
        <v>46302.333333333343</v>
      </c>
      <c r="B154" t="s">
        <v>39</v>
      </c>
      <c r="C154">
        <v>76.180000000000007</v>
      </c>
      <c r="D154">
        <v>1802</v>
      </c>
      <c r="E154">
        <v>20.53</v>
      </c>
      <c r="F154">
        <v>274.2</v>
      </c>
      <c r="G154">
        <v>424.3</v>
      </c>
      <c r="H154">
        <v>-0.64</v>
      </c>
      <c r="I154">
        <v>1.6890000000000001</v>
      </c>
      <c r="J154">
        <v>247.7</v>
      </c>
      <c r="K154">
        <v>1233</v>
      </c>
      <c r="L154">
        <v>2.8</v>
      </c>
      <c r="M154">
        <v>52.8</v>
      </c>
      <c r="N154">
        <v>9202</v>
      </c>
      <c r="O154">
        <v>116025</v>
      </c>
      <c r="P154">
        <v>77.152000000000001</v>
      </c>
      <c r="Q154">
        <v>23.885000000000002</v>
      </c>
      <c r="R154">
        <v>0</v>
      </c>
      <c r="S154">
        <v>1.6976</v>
      </c>
      <c r="T154">
        <v>141.33750000000001</v>
      </c>
      <c r="U154">
        <v>0</v>
      </c>
      <c r="V154" t="s">
        <v>38</v>
      </c>
      <c r="W154" t="s">
        <v>38</v>
      </c>
    </row>
    <row r="155" spans="1:23">
      <c r="A155" s="2">
        <v>46302.375</v>
      </c>
      <c r="B155" t="s">
        <v>39</v>
      </c>
      <c r="C155">
        <v>78</v>
      </c>
      <c r="D155">
        <v>1923</v>
      </c>
      <c r="E155">
        <v>20.190000000000001</v>
      </c>
      <c r="F155">
        <v>304</v>
      </c>
      <c r="G155">
        <v>426.1</v>
      </c>
      <c r="H155">
        <v>-1.32</v>
      </c>
      <c r="I155">
        <v>1.7110000000000001</v>
      </c>
      <c r="J155">
        <v>227.3</v>
      </c>
      <c r="K155">
        <v>1233.4000000000001</v>
      </c>
      <c r="L155">
        <v>2.63</v>
      </c>
      <c r="M155">
        <v>54.8</v>
      </c>
      <c r="N155">
        <v>9218</v>
      </c>
      <c r="O155">
        <v>112951</v>
      </c>
      <c r="P155">
        <v>77.322000000000003</v>
      </c>
      <c r="Q155">
        <v>25.135000000000002</v>
      </c>
      <c r="R155">
        <v>0</v>
      </c>
      <c r="S155">
        <v>1.7002999999999999</v>
      </c>
      <c r="T155">
        <v>143.72499999999999</v>
      </c>
      <c r="U155">
        <v>0</v>
      </c>
      <c r="V155" t="s">
        <v>38</v>
      </c>
      <c r="W155" t="s">
        <v>38</v>
      </c>
    </row>
    <row r="156" spans="1:23">
      <c r="A156" s="2">
        <v>46302.416666666657</v>
      </c>
      <c r="B156" t="s">
        <v>39</v>
      </c>
      <c r="C156">
        <v>78.34</v>
      </c>
      <c r="D156">
        <v>1853</v>
      </c>
      <c r="E156">
        <v>20.260000000000002</v>
      </c>
      <c r="F156">
        <v>273.39999999999998</v>
      </c>
      <c r="G156">
        <v>415.4</v>
      </c>
      <c r="H156">
        <v>1.64</v>
      </c>
      <c r="I156">
        <v>1.76</v>
      </c>
      <c r="J156">
        <v>230.5</v>
      </c>
      <c r="K156">
        <v>1238.2</v>
      </c>
      <c r="L156">
        <v>2.98</v>
      </c>
      <c r="M156">
        <v>55.2</v>
      </c>
      <c r="N156">
        <v>9099</v>
      </c>
      <c r="O156">
        <v>116818</v>
      </c>
      <c r="P156">
        <v>77.525000000000006</v>
      </c>
      <c r="Q156">
        <v>26.555</v>
      </c>
      <c r="R156">
        <v>0</v>
      </c>
      <c r="S156">
        <v>1.7121999999999999</v>
      </c>
      <c r="T156">
        <v>146.72499999999999</v>
      </c>
      <c r="U156">
        <v>0</v>
      </c>
      <c r="V156" t="s">
        <v>38</v>
      </c>
      <c r="W156" t="s">
        <v>38</v>
      </c>
    </row>
    <row r="157" spans="1:23">
      <c r="A157" s="2">
        <v>46302.458333333343</v>
      </c>
      <c r="B157" t="s">
        <v>39</v>
      </c>
      <c r="C157">
        <v>77.010000000000005</v>
      </c>
      <c r="D157">
        <v>1906</v>
      </c>
      <c r="E157">
        <v>19.989999999999998</v>
      </c>
      <c r="F157">
        <v>326.5</v>
      </c>
      <c r="G157">
        <v>399.3</v>
      </c>
      <c r="H157">
        <v>1.01</v>
      </c>
      <c r="I157">
        <v>1.718</v>
      </c>
      <c r="J157">
        <v>231.3</v>
      </c>
      <c r="K157">
        <v>1242.9000000000001</v>
      </c>
      <c r="L157">
        <v>3.11</v>
      </c>
      <c r="M157">
        <v>71</v>
      </c>
      <c r="N157">
        <v>9151</v>
      </c>
      <c r="O157">
        <v>115392</v>
      </c>
      <c r="P157">
        <v>77.421999999999997</v>
      </c>
      <c r="Q157">
        <v>27.31</v>
      </c>
      <c r="R157">
        <v>0</v>
      </c>
      <c r="S157">
        <v>1.7134</v>
      </c>
      <c r="T157">
        <v>149.19999999999999</v>
      </c>
      <c r="U157">
        <v>0</v>
      </c>
      <c r="V157" t="s">
        <v>38</v>
      </c>
      <c r="W157" t="s">
        <v>38</v>
      </c>
    </row>
    <row r="158" spans="1:23">
      <c r="A158" s="2">
        <v>46302.5</v>
      </c>
      <c r="B158" t="s">
        <v>39</v>
      </c>
      <c r="C158">
        <v>79.319999999999993</v>
      </c>
      <c r="D158">
        <v>1871</v>
      </c>
      <c r="E158">
        <v>19.98</v>
      </c>
      <c r="F158">
        <v>293.8</v>
      </c>
      <c r="G158">
        <v>415.6</v>
      </c>
      <c r="H158">
        <v>-0.69</v>
      </c>
      <c r="I158">
        <v>1.6910000000000001</v>
      </c>
      <c r="J158">
        <v>227.5</v>
      </c>
      <c r="K158">
        <v>1247.3</v>
      </c>
      <c r="L158">
        <v>2.88</v>
      </c>
      <c r="M158">
        <v>42.9</v>
      </c>
      <c r="N158">
        <v>9170</v>
      </c>
      <c r="O158">
        <v>114446</v>
      </c>
      <c r="P158">
        <v>77.802000000000007</v>
      </c>
      <c r="Q158">
        <v>29.22</v>
      </c>
      <c r="R158">
        <v>0</v>
      </c>
      <c r="S158">
        <v>1.7089000000000001</v>
      </c>
      <c r="T158">
        <v>151.33750000000001</v>
      </c>
      <c r="U158">
        <v>0</v>
      </c>
      <c r="V158" t="s">
        <v>38</v>
      </c>
      <c r="W158" t="s">
        <v>38</v>
      </c>
    </row>
    <row r="159" spans="1:23">
      <c r="A159" s="2">
        <v>46302.541666666657</v>
      </c>
      <c r="B159" t="s">
        <v>39</v>
      </c>
      <c r="C159">
        <v>77.78</v>
      </c>
      <c r="D159">
        <v>1875</v>
      </c>
      <c r="E159">
        <v>20.04</v>
      </c>
      <c r="F159">
        <v>288.60000000000002</v>
      </c>
      <c r="G159">
        <v>423.1</v>
      </c>
      <c r="H159">
        <v>2.25</v>
      </c>
      <c r="I159">
        <v>1.661</v>
      </c>
      <c r="J159">
        <v>234</v>
      </c>
      <c r="K159">
        <v>1233.5999999999999</v>
      </c>
      <c r="L159">
        <v>3.04</v>
      </c>
      <c r="M159">
        <v>85.1</v>
      </c>
      <c r="N159">
        <v>9175</v>
      </c>
      <c r="O159">
        <v>115215</v>
      </c>
      <c r="P159">
        <v>77.796999999999997</v>
      </c>
      <c r="Q159">
        <v>30.36</v>
      </c>
      <c r="R159">
        <v>0</v>
      </c>
      <c r="S159">
        <v>1.6993</v>
      </c>
      <c r="T159">
        <v>153.1</v>
      </c>
      <c r="U159">
        <v>0</v>
      </c>
      <c r="V159" t="s">
        <v>38</v>
      </c>
      <c r="W159" t="s">
        <v>38</v>
      </c>
    </row>
    <row r="160" spans="1:23">
      <c r="A160" s="2">
        <v>46302.583333333343</v>
      </c>
      <c r="B160" t="s">
        <v>39</v>
      </c>
      <c r="C160">
        <v>76.78</v>
      </c>
      <c r="D160">
        <v>1879</v>
      </c>
      <c r="E160">
        <v>20.399999999999999</v>
      </c>
      <c r="F160">
        <v>272.3</v>
      </c>
      <c r="G160">
        <v>408.2</v>
      </c>
      <c r="H160">
        <v>0.98</v>
      </c>
      <c r="I160">
        <v>1.6559999999999999</v>
      </c>
      <c r="J160">
        <v>224.4</v>
      </c>
      <c r="K160">
        <v>1251.9000000000001</v>
      </c>
      <c r="L160">
        <v>3.14</v>
      </c>
      <c r="M160">
        <v>68.400000000000006</v>
      </c>
      <c r="N160">
        <v>9303</v>
      </c>
      <c r="O160">
        <v>112336</v>
      </c>
      <c r="P160">
        <v>77.593999999999994</v>
      </c>
      <c r="Q160">
        <v>31</v>
      </c>
      <c r="R160">
        <v>0</v>
      </c>
      <c r="S160">
        <v>1.6907000000000001</v>
      </c>
      <c r="T160">
        <v>154.80000000000001</v>
      </c>
      <c r="U160">
        <v>0</v>
      </c>
      <c r="V160" t="s">
        <v>38</v>
      </c>
      <c r="W160" t="s">
        <v>38</v>
      </c>
    </row>
    <row r="161" spans="1:23">
      <c r="A161" s="2">
        <v>46302.625</v>
      </c>
      <c r="B161" t="s">
        <v>39</v>
      </c>
      <c r="C161">
        <v>78.069999999999993</v>
      </c>
      <c r="D161">
        <v>1873</v>
      </c>
      <c r="E161">
        <v>20.100000000000001</v>
      </c>
      <c r="F161">
        <v>295.10000000000002</v>
      </c>
      <c r="G161">
        <v>421.5</v>
      </c>
      <c r="H161">
        <v>-0.32</v>
      </c>
      <c r="I161">
        <v>1.5680000000000001</v>
      </c>
      <c r="J161">
        <v>220.7</v>
      </c>
      <c r="K161">
        <v>1237.8</v>
      </c>
      <c r="L161">
        <v>3.1</v>
      </c>
      <c r="M161">
        <v>61.8</v>
      </c>
      <c r="N161">
        <v>9245</v>
      </c>
      <c r="O161">
        <v>115613</v>
      </c>
      <c r="P161">
        <v>77.688999999999993</v>
      </c>
      <c r="Q161">
        <v>32.284999999999997</v>
      </c>
      <c r="R161">
        <v>0</v>
      </c>
      <c r="S161">
        <v>1.6660999999999999</v>
      </c>
      <c r="T161">
        <v>155.4</v>
      </c>
      <c r="U161">
        <v>0</v>
      </c>
      <c r="V161" t="s">
        <v>38</v>
      </c>
      <c r="W161" t="s">
        <v>38</v>
      </c>
    </row>
    <row r="162" spans="1:23">
      <c r="A162" s="2">
        <v>46302.666666666657</v>
      </c>
      <c r="B162" t="s">
        <v>39</v>
      </c>
      <c r="C162">
        <v>77.64</v>
      </c>
      <c r="D162">
        <v>1881</v>
      </c>
      <c r="E162">
        <v>20.420000000000002</v>
      </c>
      <c r="F162">
        <v>275.39999999999998</v>
      </c>
      <c r="G162">
        <v>419.9</v>
      </c>
      <c r="H162">
        <v>-2.5</v>
      </c>
      <c r="I162">
        <v>1.7230000000000001</v>
      </c>
      <c r="J162">
        <v>238.2</v>
      </c>
      <c r="K162">
        <v>1239.8</v>
      </c>
      <c r="L162">
        <v>3.15</v>
      </c>
      <c r="M162">
        <v>59.6</v>
      </c>
      <c r="N162">
        <v>9111</v>
      </c>
      <c r="O162">
        <v>113456</v>
      </c>
      <c r="P162">
        <v>77.679000000000002</v>
      </c>
      <c r="Q162">
        <v>33.354999999999997</v>
      </c>
      <c r="R162">
        <v>0</v>
      </c>
      <c r="S162">
        <v>1.6775</v>
      </c>
      <c r="T162">
        <v>157.9375</v>
      </c>
      <c r="U162">
        <v>0</v>
      </c>
      <c r="V162" t="s">
        <v>38</v>
      </c>
      <c r="W162" t="s">
        <v>38</v>
      </c>
    </row>
    <row r="163" spans="1:23">
      <c r="A163" s="2">
        <v>46302.708333333343</v>
      </c>
      <c r="B163" t="s">
        <v>39</v>
      </c>
      <c r="C163">
        <v>78.040000000000006</v>
      </c>
      <c r="D163">
        <v>1911</v>
      </c>
      <c r="E163">
        <v>21.16</v>
      </c>
      <c r="F163">
        <v>285.2</v>
      </c>
      <c r="G163">
        <v>424.6</v>
      </c>
      <c r="H163">
        <v>2.29</v>
      </c>
      <c r="I163">
        <v>1.8520000000000001</v>
      </c>
      <c r="J163">
        <v>238.3</v>
      </c>
      <c r="K163">
        <v>1234</v>
      </c>
      <c r="L163">
        <v>3.01</v>
      </c>
      <c r="M163">
        <v>62.3</v>
      </c>
      <c r="N163">
        <v>9220</v>
      </c>
      <c r="O163">
        <v>112971</v>
      </c>
      <c r="P163">
        <v>77.751000000000005</v>
      </c>
      <c r="Q163">
        <v>34.625</v>
      </c>
      <c r="R163">
        <v>0</v>
      </c>
      <c r="S163">
        <v>1.7123999999999999</v>
      </c>
      <c r="T163">
        <v>162.08750000000001</v>
      </c>
      <c r="U163">
        <v>0</v>
      </c>
      <c r="V163" t="s">
        <v>38</v>
      </c>
      <c r="W163" t="s">
        <v>38</v>
      </c>
    </row>
    <row r="164" spans="1:23">
      <c r="A164" s="2">
        <v>46302.75</v>
      </c>
      <c r="B164" t="s">
        <v>39</v>
      </c>
      <c r="C164">
        <v>79.17</v>
      </c>
      <c r="D164">
        <v>1859</v>
      </c>
      <c r="E164">
        <v>20.71</v>
      </c>
      <c r="F164">
        <v>321.2</v>
      </c>
      <c r="G164">
        <v>421</v>
      </c>
      <c r="H164">
        <v>-1.39</v>
      </c>
      <c r="I164">
        <v>1.764</v>
      </c>
      <c r="J164">
        <v>224</v>
      </c>
      <c r="K164">
        <v>1220.5999999999999</v>
      </c>
      <c r="L164">
        <v>2.91</v>
      </c>
      <c r="M164">
        <v>64.2</v>
      </c>
      <c r="N164">
        <v>9240</v>
      </c>
      <c r="O164">
        <v>112716</v>
      </c>
      <c r="P164">
        <v>78.034999999999997</v>
      </c>
      <c r="Q164">
        <v>36.46</v>
      </c>
      <c r="R164">
        <v>0</v>
      </c>
      <c r="S164">
        <v>1.7226999999999999</v>
      </c>
      <c r="T164">
        <v>165.13749999999999</v>
      </c>
      <c r="U164">
        <v>0</v>
      </c>
      <c r="V164" t="s">
        <v>38</v>
      </c>
      <c r="W164" t="s">
        <v>38</v>
      </c>
    </row>
    <row r="165" spans="1:23">
      <c r="A165" s="2">
        <v>46302.791666666657</v>
      </c>
      <c r="B165" t="s">
        <v>39</v>
      </c>
      <c r="C165">
        <v>77.52</v>
      </c>
      <c r="D165">
        <v>1882</v>
      </c>
      <c r="E165">
        <v>20.260000000000002</v>
      </c>
      <c r="F165">
        <v>280.8</v>
      </c>
      <c r="G165">
        <v>412.2</v>
      </c>
      <c r="H165">
        <v>-1.65</v>
      </c>
      <c r="I165">
        <v>1.6679999999999999</v>
      </c>
      <c r="J165">
        <v>241</v>
      </c>
      <c r="K165">
        <v>1247.0999999999999</v>
      </c>
      <c r="L165">
        <v>2.66</v>
      </c>
      <c r="M165">
        <v>65.2</v>
      </c>
      <c r="N165">
        <v>9291</v>
      </c>
      <c r="O165">
        <v>116669</v>
      </c>
      <c r="P165">
        <v>77.932000000000002</v>
      </c>
      <c r="Q165">
        <v>37.47</v>
      </c>
      <c r="R165">
        <v>0</v>
      </c>
      <c r="S165">
        <v>1.7118</v>
      </c>
      <c r="T165">
        <v>166.98750000000001</v>
      </c>
      <c r="U165">
        <v>0</v>
      </c>
      <c r="V165" t="s">
        <v>38</v>
      </c>
      <c r="W165" t="s">
        <v>38</v>
      </c>
    </row>
    <row r="166" spans="1:23">
      <c r="A166" s="2">
        <v>46302.833333333343</v>
      </c>
      <c r="B166" t="s">
        <v>39</v>
      </c>
      <c r="C166">
        <v>78.84</v>
      </c>
      <c r="D166">
        <v>1845</v>
      </c>
      <c r="E166">
        <v>20.9</v>
      </c>
      <c r="F166">
        <v>298.8</v>
      </c>
      <c r="G166">
        <v>429.6</v>
      </c>
      <c r="H166">
        <v>1.02</v>
      </c>
      <c r="I166">
        <v>1.875</v>
      </c>
      <c r="J166">
        <v>225.7</v>
      </c>
      <c r="K166">
        <v>1245.9000000000001</v>
      </c>
      <c r="L166">
        <v>2.86</v>
      </c>
      <c r="M166">
        <v>64.400000000000006</v>
      </c>
      <c r="N166">
        <v>9326</v>
      </c>
      <c r="O166">
        <v>114056</v>
      </c>
      <c r="P166">
        <v>78.114000000000004</v>
      </c>
      <c r="Q166">
        <v>39.14</v>
      </c>
      <c r="R166">
        <v>0</v>
      </c>
      <c r="S166">
        <v>1.7444</v>
      </c>
      <c r="T166">
        <v>171.42500000000001</v>
      </c>
      <c r="U166">
        <v>0</v>
      </c>
      <c r="V166" t="s">
        <v>38</v>
      </c>
      <c r="W166" t="s">
        <v>38</v>
      </c>
    </row>
    <row r="167" spans="1:23">
      <c r="A167" s="2">
        <v>46302.875</v>
      </c>
      <c r="B167" t="s">
        <v>39</v>
      </c>
      <c r="C167">
        <v>78.510000000000005</v>
      </c>
      <c r="D167">
        <v>1913</v>
      </c>
      <c r="E167">
        <v>20.29</v>
      </c>
      <c r="F167">
        <v>270.5</v>
      </c>
      <c r="G167">
        <v>418.7</v>
      </c>
      <c r="H167">
        <v>2.44</v>
      </c>
      <c r="I167">
        <v>1.6459999999999999</v>
      </c>
      <c r="J167">
        <v>234.5</v>
      </c>
      <c r="K167">
        <v>1237.7</v>
      </c>
      <c r="L167">
        <v>2.77</v>
      </c>
      <c r="M167">
        <v>60.7</v>
      </c>
      <c r="N167">
        <v>9119</v>
      </c>
      <c r="O167">
        <v>117301</v>
      </c>
      <c r="P167">
        <v>78.192999999999998</v>
      </c>
      <c r="Q167">
        <v>40.645000000000003</v>
      </c>
      <c r="R167">
        <v>0</v>
      </c>
      <c r="S167">
        <v>1.7246999999999999</v>
      </c>
      <c r="T167">
        <v>173</v>
      </c>
      <c r="U167">
        <v>0</v>
      </c>
      <c r="V167" t="s">
        <v>38</v>
      </c>
      <c r="W167" t="s">
        <v>38</v>
      </c>
    </row>
    <row r="168" spans="1:23">
      <c r="A168" s="2">
        <v>46302.916666666657</v>
      </c>
      <c r="B168" t="s">
        <v>39</v>
      </c>
      <c r="C168">
        <v>78.97</v>
      </c>
      <c r="D168">
        <v>1817</v>
      </c>
      <c r="E168">
        <v>19.66</v>
      </c>
      <c r="F168">
        <v>279.89999999999998</v>
      </c>
      <c r="G168">
        <v>419.8</v>
      </c>
      <c r="H168">
        <v>1.38</v>
      </c>
      <c r="I168">
        <v>1.716</v>
      </c>
      <c r="J168">
        <v>240.2</v>
      </c>
      <c r="K168">
        <v>1240.5</v>
      </c>
      <c r="L168">
        <v>3.23</v>
      </c>
      <c r="M168">
        <v>58.4</v>
      </c>
      <c r="N168">
        <v>9135</v>
      </c>
      <c r="O168">
        <v>114196</v>
      </c>
      <c r="P168">
        <v>78.347999999999999</v>
      </c>
      <c r="Q168">
        <v>42.38</v>
      </c>
      <c r="R168">
        <v>0</v>
      </c>
      <c r="S168">
        <v>1.7230000000000001</v>
      </c>
      <c r="T168">
        <v>175.45</v>
      </c>
      <c r="U168">
        <v>0</v>
      </c>
      <c r="V168" t="s">
        <v>38</v>
      </c>
      <c r="W168" t="s">
        <v>38</v>
      </c>
    </row>
    <row r="169" spans="1:23">
      <c r="A169" s="2">
        <v>46302.958333333343</v>
      </c>
      <c r="B169" t="s">
        <v>39</v>
      </c>
      <c r="C169">
        <v>79.91</v>
      </c>
      <c r="D169">
        <v>1927</v>
      </c>
      <c r="E169">
        <v>20.11</v>
      </c>
      <c r="F169">
        <v>306.39999999999998</v>
      </c>
      <c r="G169">
        <v>412.5</v>
      </c>
      <c r="H169">
        <v>0.56000000000000005</v>
      </c>
      <c r="I169">
        <v>1.641</v>
      </c>
      <c r="J169">
        <v>231.7</v>
      </c>
      <c r="K169">
        <v>1244.0999999999999</v>
      </c>
      <c r="L169">
        <v>2.87</v>
      </c>
      <c r="M169">
        <v>58.8</v>
      </c>
      <c r="N169">
        <v>9099</v>
      </c>
      <c r="O169">
        <v>112439</v>
      </c>
      <c r="P169">
        <v>78.661000000000001</v>
      </c>
      <c r="Q169">
        <v>44.585000000000001</v>
      </c>
      <c r="R169">
        <v>0</v>
      </c>
      <c r="S169">
        <v>1.7065999999999999</v>
      </c>
      <c r="T169">
        <v>176.96250000000001</v>
      </c>
      <c r="U169">
        <v>0</v>
      </c>
      <c r="V169" t="s">
        <v>38</v>
      </c>
      <c r="W169" t="s">
        <v>38</v>
      </c>
    </row>
    <row r="170" spans="1:23">
      <c r="A170" s="2">
        <v>46303</v>
      </c>
      <c r="B170" t="s">
        <v>39</v>
      </c>
      <c r="C170">
        <v>79.349999999999994</v>
      </c>
      <c r="D170">
        <v>1844</v>
      </c>
      <c r="E170">
        <v>19.79</v>
      </c>
      <c r="F170">
        <v>269.8</v>
      </c>
      <c r="G170">
        <v>416.5</v>
      </c>
      <c r="H170">
        <v>0.59</v>
      </c>
      <c r="I170">
        <v>1.514</v>
      </c>
      <c r="J170">
        <v>236.5</v>
      </c>
      <c r="K170">
        <v>1227.5</v>
      </c>
      <c r="L170">
        <v>2.92</v>
      </c>
      <c r="M170">
        <v>58.4</v>
      </c>
      <c r="N170">
        <v>9181</v>
      </c>
      <c r="O170">
        <v>113325</v>
      </c>
      <c r="P170">
        <v>78.799000000000007</v>
      </c>
      <c r="Q170">
        <v>46.51</v>
      </c>
      <c r="R170">
        <v>0</v>
      </c>
      <c r="S170">
        <v>1.6680999999999999</v>
      </c>
      <c r="T170">
        <v>176.88749999999999</v>
      </c>
      <c r="U170">
        <v>0</v>
      </c>
      <c r="V170" t="s">
        <v>38</v>
      </c>
      <c r="W170" t="s">
        <v>38</v>
      </c>
    </row>
    <row r="171" spans="1:23">
      <c r="A171" s="2">
        <v>46303.041666666657</v>
      </c>
      <c r="B171" t="s">
        <v>39</v>
      </c>
      <c r="C171">
        <v>78.709999999999994</v>
      </c>
      <c r="D171">
        <v>1780</v>
      </c>
      <c r="E171">
        <v>20.43</v>
      </c>
      <c r="F171">
        <v>305.8</v>
      </c>
      <c r="G171">
        <v>412.9</v>
      </c>
      <c r="H171">
        <v>0.85</v>
      </c>
      <c r="I171">
        <v>1.7090000000000001</v>
      </c>
      <c r="J171">
        <v>226.8</v>
      </c>
      <c r="K171">
        <v>1235.8</v>
      </c>
      <c r="L171">
        <v>2.98</v>
      </c>
      <c r="M171">
        <v>69.099999999999994</v>
      </c>
      <c r="N171">
        <v>9237</v>
      </c>
      <c r="O171">
        <v>116854</v>
      </c>
      <c r="P171">
        <v>78.781000000000006</v>
      </c>
      <c r="Q171">
        <v>48.115000000000002</v>
      </c>
      <c r="R171">
        <v>0</v>
      </c>
      <c r="S171">
        <v>1.6762999999999999</v>
      </c>
      <c r="T171">
        <v>179.25</v>
      </c>
      <c r="U171">
        <v>0</v>
      </c>
      <c r="V171" t="s">
        <v>38</v>
      </c>
      <c r="W171" t="s">
        <v>38</v>
      </c>
    </row>
    <row r="172" spans="1:23">
      <c r="A172" s="2">
        <v>46303.083333333343</v>
      </c>
      <c r="B172" t="s">
        <v>39</v>
      </c>
      <c r="C172">
        <v>77.72</v>
      </c>
      <c r="D172">
        <v>1850</v>
      </c>
      <c r="E172">
        <v>20.61</v>
      </c>
      <c r="F172">
        <v>288.60000000000002</v>
      </c>
      <c r="G172">
        <v>418.6</v>
      </c>
      <c r="H172">
        <v>0.76</v>
      </c>
      <c r="I172">
        <v>1.7609999999999999</v>
      </c>
      <c r="J172">
        <v>230</v>
      </c>
      <c r="K172">
        <v>1246.4000000000001</v>
      </c>
      <c r="L172">
        <v>2.91</v>
      </c>
      <c r="M172">
        <v>64.7</v>
      </c>
      <c r="N172">
        <v>9279</v>
      </c>
      <c r="O172">
        <v>114766</v>
      </c>
      <c r="P172">
        <v>78.569000000000003</v>
      </c>
      <c r="Q172">
        <v>49.225000000000001</v>
      </c>
      <c r="R172">
        <v>0</v>
      </c>
      <c r="S172">
        <v>1.6932</v>
      </c>
      <c r="T172">
        <v>182.26249999999999</v>
      </c>
      <c r="U172">
        <v>0</v>
      </c>
      <c r="V172" t="s">
        <v>38</v>
      </c>
      <c r="W172" t="s">
        <v>38</v>
      </c>
    </row>
    <row r="173" spans="1:23">
      <c r="A173" s="2">
        <v>46303.125</v>
      </c>
      <c r="B173" t="s">
        <v>39</v>
      </c>
      <c r="C173">
        <v>77.39</v>
      </c>
      <c r="D173">
        <v>1813</v>
      </c>
      <c r="E173">
        <v>21.3</v>
      </c>
      <c r="F173">
        <v>269</v>
      </c>
      <c r="G173">
        <v>433.7</v>
      </c>
      <c r="H173">
        <v>0.28000000000000003</v>
      </c>
      <c r="I173">
        <v>1.7170000000000001</v>
      </c>
      <c r="J173">
        <v>229.9</v>
      </c>
      <c r="K173">
        <v>1230</v>
      </c>
      <c r="L173">
        <v>3.15</v>
      </c>
      <c r="M173">
        <v>36.5</v>
      </c>
      <c r="N173">
        <v>9194</v>
      </c>
      <c r="O173">
        <v>114178</v>
      </c>
      <c r="P173">
        <v>78.332999999999998</v>
      </c>
      <c r="Q173">
        <v>50.17</v>
      </c>
      <c r="R173">
        <v>0</v>
      </c>
      <c r="S173">
        <v>1.698</v>
      </c>
      <c r="T173">
        <v>184.72499999999999</v>
      </c>
      <c r="U173">
        <v>0</v>
      </c>
      <c r="V173" t="s">
        <v>38</v>
      </c>
      <c r="W173" t="s">
        <v>38</v>
      </c>
    </row>
    <row r="174" spans="1:23">
      <c r="A174" s="2">
        <v>46303.166666666657</v>
      </c>
      <c r="B174" t="s">
        <v>39</v>
      </c>
      <c r="C174">
        <v>77.16</v>
      </c>
      <c r="D174">
        <v>1880</v>
      </c>
      <c r="E174">
        <v>20.79</v>
      </c>
      <c r="F174">
        <v>286.3</v>
      </c>
      <c r="G174">
        <v>409</v>
      </c>
      <c r="H174">
        <v>0.1</v>
      </c>
      <c r="I174">
        <v>1.821</v>
      </c>
      <c r="J174">
        <v>224.5</v>
      </c>
      <c r="K174">
        <v>1242.3</v>
      </c>
      <c r="L174">
        <v>2.81</v>
      </c>
      <c r="M174">
        <v>65.2</v>
      </c>
      <c r="N174">
        <v>9174</v>
      </c>
      <c r="O174">
        <v>115240</v>
      </c>
      <c r="P174">
        <v>78.097999999999999</v>
      </c>
      <c r="Q174">
        <v>51</v>
      </c>
      <c r="R174">
        <v>0</v>
      </c>
      <c r="S174">
        <v>1.7225999999999999</v>
      </c>
      <c r="T174">
        <v>188.48750000000001</v>
      </c>
      <c r="U174">
        <v>0</v>
      </c>
      <c r="V174" t="s">
        <v>38</v>
      </c>
      <c r="W174" t="s">
        <v>38</v>
      </c>
    </row>
    <row r="175" spans="1:23">
      <c r="A175" s="2">
        <v>46303.208333333343</v>
      </c>
      <c r="B175" t="s">
        <v>39</v>
      </c>
      <c r="C175">
        <v>78</v>
      </c>
      <c r="D175">
        <v>1812</v>
      </c>
      <c r="E175">
        <v>20.6</v>
      </c>
      <c r="F175">
        <v>290.8</v>
      </c>
      <c r="G175">
        <v>407.1</v>
      </c>
      <c r="H175">
        <v>-0.06</v>
      </c>
      <c r="I175">
        <v>1.8180000000000001</v>
      </c>
      <c r="J175">
        <v>230.2</v>
      </c>
      <c r="K175">
        <v>1229.0999999999999</v>
      </c>
      <c r="L175">
        <v>2.93</v>
      </c>
      <c r="M175">
        <v>61.6</v>
      </c>
      <c r="N175">
        <v>9212</v>
      </c>
      <c r="O175">
        <v>115753</v>
      </c>
      <c r="P175">
        <v>78.078999999999994</v>
      </c>
      <c r="Q175">
        <v>52.25</v>
      </c>
      <c r="R175">
        <v>0</v>
      </c>
      <c r="S175">
        <v>1.7417</v>
      </c>
      <c r="T175">
        <v>192.21250000000001</v>
      </c>
      <c r="U175">
        <v>0</v>
      </c>
      <c r="V175" t="s">
        <v>38</v>
      </c>
      <c r="W175" t="s">
        <v>38</v>
      </c>
    </row>
    <row r="176" spans="1:23">
      <c r="A176" s="2">
        <v>46303.25</v>
      </c>
      <c r="B176" t="s">
        <v>39</v>
      </c>
      <c r="C176">
        <v>78.56</v>
      </c>
      <c r="D176">
        <v>1821</v>
      </c>
      <c r="E176">
        <v>21.05</v>
      </c>
      <c r="F176">
        <v>284.89999999999998</v>
      </c>
      <c r="G176">
        <v>431.8</v>
      </c>
      <c r="H176">
        <v>-0.75</v>
      </c>
      <c r="I176">
        <v>1.7470000000000001</v>
      </c>
      <c r="J176">
        <v>216.5</v>
      </c>
      <c r="K176">
        <v>1243.7</v>
      </c>
      <c r="L176">
        <v>2.79</v>
      </c>
      <c r="M176">
        <v>59.9</v>
      </c>
      <c r="N176">
        <v>9133</v>
      </c>
      <c r="O176">
        <v>116676</v>
      </c>
      <c r="P176">
        <v>78.174999999999997</v>
      </c>
      <c r="Q176">
        <v>53.78</v>
      </c>
      <c r="R176">
        <v>0</v>
      </c>
      <c r="S176">
        <v>1.7426999999999999</v>
      </c>
      <c r="T176">
        <v>195.05</v>
      </c>
      <c r="U176">
        <v>0</v>
      </c>
      <c r="V176" t="s">
        <v>38</v>
      </c>
      <c r="W176" t="s">
        <v>38</v>
      </c>
    </row>
    <row r="177" spans="1:23">
      <c r="A177" s="2">
        <v>46303.291666666657</v>
      </c>
      <c r="B177" t="s">
        <v>39</v>
      </c>
      <c r="C177">
        <v>80.72</v>
      </c>
      <c r="D177">
        <v>1755</v>
      </c>
      <c r="E177">
        <v>19.87</v>
      </c>
      <c r="F177">
        <v>251.4</v>
      </c>
      <c r="G177">
        <v>418.3</v>
      </c>
      <c r="H177">
        <v>-0.28000000000000003</v>
      </c>
      <c r="I177">
        <v>1.5960000000000001</v>
      </c>
      <c r="J177">
        <v>227.1</v>
      </c>
      <c r="K177">
        <v>1239.7</v>
      </c>
      <c r="L177">
        <v>2.7</v>
      </c>
      <c r="M177">
        <v>56.9</v>
      </c>
      <c r="N177">
        <v>9367</v>
      </c>
      <c r="O177">
        <v>117173</v>
      </c>
      <c r="P177">
        <v>78.683999999999997</v>
      </c>
      <c r="Q177">
        <v>56.39</v>
      </c>
      <c r="R177">
        <v>0</v>
      </c>
      <c r="S177">
        <v>1.7134</v>
      </c>
      <c r="T177">
        <v>196</v>
      </c>
      <c r="U177">
        <v>0</v>
      </c>
      <c r="V177" t="s">
        <v>38</v>
      </c>
      <c r="W177" t="s">
        <v>38</v>
      </c>
    </row>
    <row r="178" spans="1:23">
      <c r="A178" s="2">
        <v>46303.333333333343</v>
      </c>
      <c r="B178" t="s">
        <v>39</v>
      </c>
      <c r="C178">
        <v>79.33</v>
      </c>
      <c r="D178">
        <v>1819</v>
      </c>
      <c r="E178">
        <v>20.87</v>
      </c>
      <c r="F178">
        <v>263.5</v>
      </c>
      <c r="G178">
        <v>414.6</v>
      </c>
      <c r="H178">
        <v>-1.69</v>
      </c>
      <c r="I178">
        <v>1.833</v>
      </c>
      <c r="J178">
        <v>229.2</v>
      </c>
      <c r="K178">
        <v>1227.0999999999999</v>
      </c>
      <c r="L178">
        <v>2.81</v>
      </c>
      <c r="M178">
        <v>69</v>
      </c>
      <c r="N178">
        <v>9071</v>
      </c>
      <c r="O178">
        <v>114460</v>
      </c>
      <c r="P178">
        <v>78.813000000000002</v>
      </c>
      <c r="Q178">
        <v>58.305</v>
      </c>
      <c r="R178">
        <v>0</v>
      </c>
      <c r="S178">
        <v>1.7373000000000001</v>
      </c>
      <c r="T178">
        <v>199.91249999999999</v>
      </c>
      <c r="U178">
        <v>0</v>
      </c>
      <c r="V178" t="s">
        <v>38</v>
      </c>
      <c r="W178" t="s">
        <v>38</v>
      </c>
    </row>
    <row r="179" spans="1:23">
      <c r="A179" s="2">
        <v>46303.375</v>
      </c>
      <c r="B179" t="s">
        <v>39</v>
      </c>
      <c r="C179">
        <v>81.17</v>
      </c>
      <c r="D179">
        <v>1729</v>
      </c>
      <c r="E179">
        <v>21.12</v>
      </c>
      <c r="F179">
        <v>270.10000000000002</v>
      </c>
      <c r="G179">
        <v>428.3</v>
      </c>
      <c r="H179">
        <v>-0.1</v>
      </c>
      <c r="I179">
        <v>1.6140000000000001</v>
      </c>
      <c r="J179">
        <v>229.4</v>
      </c>
      <c r="K179">
        <v>1249.3</v>
      </c>
      <c r="L179">
        <v>2.89</v>
      </c>
      <c r="M179">
        <v>67.599999999999994</v>
      </c>
      <c r="N179">
        <v>9215</v>
      </c>
      <c r="O179">
        <v>113011</v>
      </c>
      <c r="P179">
        <v>79.284999999999997</v>
      </c>
      <c r="Q179">
        <v>61.14</v>
      </c>
      <c r="R179">
        <v>0</v>
      </c>
      <c r="S179">
        <v>1.7125999999999999</v>
      </c>
      <c r="T179">
        <v>201.08750000000001</v>
      </c>
      <c r="U179">
        <v>0</v>
      </c>
      <c r="V179" t="s">
        <v>38</v>
      </c>
      <c r="W179" t="s">
        <v>38</v>
      </c>
    </row>
    <row r="180" spans="1:23">
      <c r="A180" s="2">
        <v>46303.416666666657</v>
      </c>
      <c r="B180" t="s">
        <v>39</v>
      </c>
      <c r="C180">
        <v>80.430000000000007</v>
      </c>
      <c r="D180">
        <v>1766</v>
      </c>
      <c r="E180">
        <v>20.25</v>
      </c>
      <c r="F180">
        <v>272.10000000000002</v>
      </c>
      <c r="G180">
        <v>415.2</v>
      </c>
      <c r="H180">
        <v>-0.99</v>
      </c>
      <c r="I180">
        <v>1.899</v>
      </c>
      <c r="J180">
        <v>229.6</v>
      </c>
      <c r="K180">
        <v>1234.0999999999999</v>
      </c>
      <c r="L180">
        <v>2.84</v>
      </c>
      <c r="M180">
        <v>53.8</v>
      </c>
      <c r="N180">
        <v>9362</v>
      </c>
      <c r="O180">
        <v>114380</v>
      </c>
      <c r="P180">
        <v>79.513999999999996</v>
      </c>
      <c r="Q180">
        <v>63.604999999999997</v>
      </c>
      <c r="R180">
        <v>0</v>
      </c>
      <c r="S180">
        <v>1.7499</v>
      </c>
      <c r="T180">
        <v>205.82499999999999</v>
      </c>
      <c r="U180">
        <v>0</v>
      </c>
      <c r="V180" t="s">
        <v>38</v>
      </c>
      <c r="W180" t="s">
        <v>38</v>
      </c>
    </row>
    <row r="181" spans="1:23">
      <c r="A181" s="2">
        <v>46303.458333333343</v>
      </c>
      <c r="B181" t="s">
        <v>39</v>
      </c>
      <c r="C181">
        <v>82.37</v>
      </c>
      <c r="D181">
        <v>1871</v>
      </c>
      <c r="E181">
        <v>21.33</v>
      </c>
      <c r="F181">
        <v>281.89999999999998</v>
      </c>
      <c r="G181">
        <v>434.6</v>
      </c>
      <c r="H181">
        <v>-1.1000000000000001</v>
      </c>
      <c r="I181">
        <v>1.5269999999999999</v>
      </c>
      <c r="J181">
        <v>231.4</v>
      </c>
      <c r="K181">
        <v>1233.5</v>
      </c>
      <c r="L181">
        <v>2.8</v>
      </c>
      <c r="M181">
        <v>63.3</v>
      </c>
      <c r="N181">
        <v>9201</v>
      </c>
      <c r="O181">
        <v>115390</v>
      </c>
      <c r="P181">
        <v>80.084999999999994</v>
      </c>
      <c r="Q181">
        <v>67.040000000000006</v>
      </c>
      <c r="R181">
        <v>0</v>
      </c>
      <c r="S181">
        <v>1.7053</v>
      </c>
      <c r="T181">
        <v>205.91249999999999</v>
      </c>
      <c r="U181">
        <v>0</v>
      </c>
      <c r="V181" t="s">
        <v>38</v>
      </c>
      <c r="W181" t="s">
        <v>38</v>
      </c>
    </row>
    <row r="182" spans="1:23">
      <c r="A182" s="2">
        <v>46303.5</v>
      </c>
      <c r="B182" t="s">
        <v>39</v>
      </c>
      <c r="C182">
        <v>82.31</v>
      </c>
      <c r="D182">
        <v>1871</v>
      </c>
      <c r="E182">
        <v>21.04</v>
      </c>
      <c r="F182">
        <v>274.7</v>
      </c>
      <c r="G182">
        <v>425.4</v>
      </c>
      <c r="H182">
        <v>0.18</v>
      </c>
      <c r="I182">
        <v>1.67</v>
      </c>
      <c r="J182">
        <v>236.8</v>
      </c>
      <c r="K182">
        <v>1241.5999999999999</v>
      </c>
      <c r="L182">
        <v>2.69</v>
      </c>
      <c r="M182">
        <v>52.2</v>
      </c>
      <c r="N182">
        <v>9185</v>
      </c>
      <c r="O182">
        <v>113554</v>
      </c>
      <c r="P182">
        <v>80.53</v>
      </c>
      <c r="Q182">
        <v>70.444999999999993</v>
      </c>
      <c r="R182">
        <v>0</v>
      </c>
      <c r="S182">
        <v>1.6982999999999999</v>
      </c>
      <c r="T182">
        <v>207.78749999999999</v>
      </c>
      <c r="U182">
        <v>0</v>
      </c>
      <c r="V182" t="s">
        <v>38</v>
      </c>
      <c r="W182" t="s">
        <v>38</v>
      </c>
    </row>
    <row r="183" spans="1:23">
      <c r="A183" s="2">
        <v>46303.541666666657</v>
      </c>
      <c r="B183" t="s">
        <v>39</v>
      </c>
      <c r="C183">
        <v>80.28</v>
      </c>
      <c r="D183">
        <v>1854</v>
      </c>
      <c r="E183">
        <v>20.76</v>
      </c>
      <c r="F183">
        <v>251.4</v>
      </c>
      <c r="G183">
        <v>416.1</v>
      </c>
      <c r="H183">
        <v>1.39</v>
      </c>
      <c r="I183">
        <v>1.649</v>
      </c>
      <c r="J183">
        <v>240.7</v>
      </c>
      <c r="K183">
        <v>1249.2</v>
      </c>
      <c r="L183">
        <v>2.89</v>
      </c>
      <c r="M183">
        <v>49</v>
      </c>
      <c r="N183">
        <v>9171</v>
      </c>
      <c r="O183">
        <v>113564</v>
      </c>
      <c r="P183">
        <v>80.48</v>
      </c>
      <c r="Q183">
        <v>72.834999999999994</v>
      </c>
      <c r="R183">
        <v>0</v>
      </c>
      <c r="S183">
        <v>1.6883999999999999</v>
      </c>
      <c r="T183">
        <v>209.4</v>
      </c>
      <c r="U183">
        <v>0</v>
      </c>
      <c r="V183" t="s">
        <v>38</v>
      </c>
      <c r="W183" t="s">
        <v>38</v>
      </c>
    </row>
    <row r="184" spans="1:23">
      <c r="A184" s="2">
        <v>46303.583333333343</v>
      </c>
      <c r="B184" t="s">
        <v>39</v>
      </c>
      <c r="C184">
        <v>79</v>
      </c>
      <c r="D184">
        <v>1791</v>
      </c>
      <c r="E184">
        <v>21.21</v>
      </c>
      <c r="F184">
        <v>276.5</v>
      </c>
      <c r="G184">
        <v>437.3</v>
      </c>
      <c r="H184">
        <v>0.92</v>
      </c>
      <c r="I184">
        <v>1.401</v>
      </c>
      <c r="J184">
        <v>225.5</v>
      </c>
      <c r="K184">
        <v>1231.9000000000001</v>
      </c>
      <c r="L184">
        <v>2.67</v>
      </c>
      <c r="M184">
        <v>55</v>
      </c>
      <c r="N184">
        <v>9186</v>
      </c>
      <c r="O184">
        <v>115516</v>
      </c>
      <c r="P184">
        <v>80.183999999999997</v>
      </c>
      <c r="Q184">
        <v>74.584999999999994</v>
      </c>
      <c r="R184">
        <v>0</v>
      </c>
      <c r="S184">
        <v>1.6309</v>
      </c>
      <c r="T184">
        <v>207.91249999999999</v>
      </c>
      <c r="U184">
        <v>0.98750000000000004</v>
      </c>
      <c r="V184" t="s">
        <v>38</v>
      </c>
      <c r="W184" t="s">
        <v>38</v>
      </c>
    </row>
    <row r="185" spans="1:23">
      <c r="A185" s="2">
        <v>46303.625</v>
      </c>
      <c r="B185" t="s">
        <v>39</v>
      </c>
      <c r="C185">
        <v>79.489999999999995</v>
      </c>
      <c r="D185">
        <v>1831</v>
      </c>
      <c r="E185">
        <v>21.9</v>
      </c>
      <c r="F185">
        <v>279.39999999999998</v>
      </c>
      <c r="G185">
        <v>415.2</v>
      </c>
      <c r="H185">
        <v>-1.57</v>
      </c>
      <c r="I185">
        <v>1.7509999999999999</v>
      </c>
      <c r="J185">
        <v>220</v>
      </c>
      <c r="K185">
        <v>1240.5</v>
      </c>
      <c r="L185">
        <v>3.01</v>
      </c>
      <c r="M185">
        <v>66.900000000000006</v>
      </c>
      <c r="N185">
        <v>9310</v>
      </c>
      <c r="O185">
        <v>114927</v>
      </c>
      <c r="P185">
        <v>80.045000000000002</v>
      </c>
      <c r="Q185">
        <v>76.58</v>
      </c>
      <c r="R185">
        <v>0</v>
      </c>
      <c r="S185">
        <v>1.6549</v>
      </c>
      <c r="T185">
        <v>210.8</v>
      </c>
      <c r="U185">
        <v>0</v>
      </c>
      <c r="V185" t="s">
        <v>38</v>
      </c>
      <c r="W185" t="s">
        <v>38</v>
      </c>
    </row>
    <row r="186" spans="1:23">
      <c r="A186" s="2">
        <v>46303.666666666657</v>
      </c>
      <c r="B186" t="s">
        <v>39</v>
      </c>
      <c r="C186">
        <v>79.790000000000006</v>
      </c>
      <c r="D186">
        <v>1833</v>
      </c>
      <c r="E186">
        <v>21.09</v>
      </c>
      <c r="F186">
        <v>278</v>
      </c>
      <c r="G186">
        <v>425.9</v>
      </c>
      <c r="H186">
        <v>-0.99</v>
      </c>
      <c r="I186">
        <v>1.581</v>
      </c>
      <c r="J186">
        <v>221.6</v>
      </c>
      <c r="K186">
        <v>1243.4000000000001</v>
      </c>
      <c r="L186">
        <v>2.91</v>
      </c>
      <c r="M186">
        <v>67.599999999999994</v>
      </c>
      <c r="N186">
        <v>9023</v>
      </c>
      <c r="O186">
        <v>115049</v>
      </c>
      <c r="P186">
        <v>79.994</v>
      </c>
      <c r="Q186">
        <v>78.724999999999994</v>
      </c>
      <c r="R186">
        <v>0</v>
      </c>
      <c r="S186">
        <v>1.6402000000000001</v>
      </c>
      <c r="T186">
        <v>211.5625</v>
      </c>
      <c r="U186">
        <v>0</v>
      </c>
      <c r="V186" t="s">
        <v>38</v>
      </c>
      <c r="W186" t="s">
        <v>38</v>
      </c>
    </row>
    <row r="187" spans="1:23">
      <c r="A187" s="2">
        <v>46303.708333333343</v>
      </c>
      <c r="B187" t="s">
        <v>39</v>
      </c>
      <c r="C187">
        <v>80.760000000000005</v>
      </c>
      <c r="D187">
        <v>1780</v>
      </c>
      <c r="E187">
        <v>21.15</v>
      </c>
      <c r="F187">
        <v>285.2</v>
      </c>
      <c r="G187">
        <v>422.4</v>
      </c>
      <c r="H187">
        <v>0.94</v>
      </c>
      <c r="I187">
        <v>1.647</v>
      </c>
      <c r="J187">
        <v>227.1</v>
      </c>
      <c r="K187">
        <v>1245.5</v>
      </c>
      <c r="L187">
        <v>2.68</v>
      </c>
      <c r="M187">
        <v>64.099999999999994</v>
      </c>
      <c r="N187">
        <v>9323</v>
      </c>
      <c r="O187">
        <v>113862</v>
      </c>
      <c r="P187">
        <v>80.147000000000006</v>
      </c>
      <c r="Q187">
        <v>81.355000000000004</v>
      </c>
      <c r="R187">
        <v>0</v>
      </c>
      <c r="S187">
        <v>1.6415</v>
      </c>
      <c r="T187">
        <v>213.15</v>
      </c>
      <c r="U187">
        <v>0</v>
      </c>
      <c r="V187" t="s">
        <v>38</v>
      </c>
      <c r="W187" t="s">
        <v>38</v>
      </c>
    </row>
    <row r="188" spans="1:23">
      <c r="A188" s="2">
        <v>46303.75</v>
      </c>
      <c r="B188" t="s">
        <v>39</v>
      </c>
      <c r="C188">
        <v>80.23</v>
      </c>
      <c r="D188">
        <v>1899</v>
      </c>
      <c r="E188">
        <v>20.9</v>
      </c>
      <c r="F188">
        <v>280.89999999999998</v>
      </c>
      <c r="G188">
        <v>430.4</v>
      </c>
      <c r="H188">
        <v>-0.98</v>
      </c>
      <c r="I188">
        <v>1.7430000000000001</v>
      </c>
      <c r="J188">
        <v>228.5</v>
      </c>
      <c r="K188">
        <v>1241.4000000000001</v>
      </c>
      <c r="L188">
        <v>2.85</v>
      </c>
      <c r="M188">
        <v>65.8</v>
      </c>
      <c r="N188">
        <v>9086</v>
      </c>
      <c r="O188">
        <v>114654</v>
      </c>
      <c r="P188">
        <v>80.164000000000001</v>
      </c>
      <c r="Q188">
        <v>83.72</v>
      </c>
      <c r="R188">
        <v>0</v>
      </c>
      <c r="S188">
        <v>1.6617999999999999</v>
      </c>
      <c r="T188">
        <v>215.9375</v>
      </c>
      <c r="U188">
        <v>0</v>
      </c>
      <c r="V188" t="s">
        <v>38</v>
      </c>
      <c r="W188" t="s">
        <v>38</v>
      </c>
    </row>
    <row r="189" spans="1:23">
      <c r="A189" s="2">
        <v>46303.791666666657</v>
      </c>
      <c r="B189" t="s">
        <v>39</v>
      </c>
      <c r="C189">
        <v>79.13</v>
      </c>
      <c r="D189">
        <v>1870</v>
      </c>
      <c r="E189">
        <v>20.77</v>
      </c>
      <c r="F189">
        <v>274.7</v>
      </c>
      <c r="G189">
        <v>432.5</v>
      </c>
      <c r="H189">
        <v>-0.22</v>
      </c>
      <c r="I189">
        <v>1.9419999999999999</v>
      </c>
      <c r="J189">
        <v>224.3</v>
      </c>
      <c r="K189">
        <v>1237.0999999999999</v>
      </c>
      <c r="L189">
        <v>2.79</v>
      </c>
      <c r="M189">
        <v>64.099999999999994</v>
      </c>
      <c r="N189">
        <v>9179</v>
      </c>
      <c r="O189">
        <v>113614</v>
      </c>
      <c r="P189">
        <v>79.956999999999994</v>
      </c>
      <c r="Q189">
        <v>85.534999999999997</v>
      </c>
      <c r="R189">
        <v>0</v>
      </c>
      <c r="S189">
        <v>1.7179</v>
      </c>
      <c r="T189">
        <v>221.21250000000001</v>
      </c>
      <c r="U189">
        <v>0</v>
      </c>
      <c r="V189" t="s">
        <v>38</v>
      </c>
      <c r="W189" t="s">
        <v>38</v>
      </c>
    </row>
    <row r="190" spans="1:23">
      <c r="A190" s="2">
        <v>46303.833333333343</v>
      </c>
      <c r="B190" t="s">
        <v>39</v>
      </c>
      <c r="C190">
        <v>78.41</v>
      </c>
      <c r="D190">
        <v>1820</v>
      </c>
      <c r="E190">
        <v>21.47</v>
      </c>
      <c r="F190">
        <v>266.10000000000002</v>
      </c>
      <c r="G190">
        <v>420.3</v>
      </c>
      <c r="H190">
        <v>0.55000000000000004</v>
      </c>
      <c r="I190">
        <v>1.6950000000000001</v>
      </c>
      <c r="J190">
        <v>219</v>
      </c>
      <c r="K190">
        <v>1233.4000000000001</v>
      </c>
      <c r="L190">
        <v>2.95</v>
      </c>
      <c r="M190">
        <v>54.9</v>
      </c>
      <c r="N190">
        <v>9166</v>
      </c>
      <c r="O190">
        <v>116335</v>
      </c>
      <c r="P190">
        <v>79.647999999999996</v>
      </c>
      <c r="Q190">
        <v>86.99</v>
      </c>
      <c r="R190">
        <v>0</v>
      </c>
      <c r="S190">
        <v>1.7133</v>
      </c>
      <c r="T190">
        <v>223.4</v>
      </c>
      <c r="U190">
        <v>0</v>
      </c>
      <c r="V190" t="s">
        <v>38</v>
      </c>
      <c r="W190" t="s">
        <v>38</v>
      </c>
    </row>
    <row r="191" spans="1:23">
      <c r="A191" s="2">
        <v>46303.875</v>
      </c>
      <c r="B191" t="s">
        <v>39</v>
      </c>
      <c r="C191">
        <v>77.13</v>
      </c>
      <c r="D191">
        <v>1830</v>
      </c>
      <c r="E191">
        <v>20.83</v>
      </c>
      <c r="F191">
        <v>241.7</v>
      </c>
      <c r="G191">
        <v>414</v>
      </c>
      <c r="H191">
        <v>-0.97</v>
      </c>
      <c r="I191">
        <v>1.659</v>
      </c>
      <c r="J191">
        <v>227.4</v>
      </c>
      <c r="K191">
        <v>1240.7</v>
      </c>
      <c r="L191">
        <v>3.1</v>
      </c>
      <c r="M191">
        <v>63.5</v>
      </c>
      <c r="N191">
        <v>9247</v>
      </c>
      <c r="O191">
        <v>116553</v>
      </c>
      <c r="P191">
        <v>79.144000000000005</v>
      </c>
      <c r="Q191">
        <v>87.805000000000007</v>
      </c>
      <c r="R191">
        <v>0</v>
      </c>
      <c r="S191">
        <v>1.7023999999999999</v>
      </c>
      <c r="T191">
        <v>225.13749999999999</v>
      </c>
      <c r="U191">
        <v>0</v>
      </c>
      <c r="V191" t="s">
        <v>38</v>
      </c>
      <c r="W191" t="s">
        <v>38</v>
      </c>
    </row>
    <row r="192" spans="1:23">
      <c r="A192" s="2">
        <v>46303.916666666657</v>
      </c>
      <c r="B192" t="s">
        <v>39</v>
      </c>
      <c r="C192">
        <v>77.790000000000006</v>
      </c>
      <c r="D192">
        <v>1837</v>
      </c>
      <c r="E192">
        <v>21.23</v>
      </c>
      <c r="F192">
        <v>272.39999999999998</v>
      </c>
      <c r="G192">
        <v>423.7</v>
      </c>
      <c r="H192">
        <v>0.11</v>
      </c>
      <c r="I192">
        <v>1.6619999999999999</v>
      </c>
      <c r="J192">
        <v>233.8</v>
      </c>
      <c r="K192">
        <v>1231.4000000000001</v>
      </c>
      <c r="L192">
        <v>2.62</v>
      </c>
      <c r="M192">
        <v>66.400000000000006</v>
      </c>
      <c r="N192">
        <v>9072</v>
      </c>
      <c r="O192">
        <v>112231</v>
      </c>
      <c r="P192">
        <v>78.873000000000005</v>
      </c>
      <c r="Q192">
        <v>88.95</v>
      </c>
      <c r="R192">
        <v>0</v>
      </c>
      <c r="S192">
        <v>1.6942999999999999</v>
      </c>
      <c r="T192">
        <v>226.91249999999999</v>
      </c>
      <c r="U192">
        <v>0</v>
      </c>
      <c r="V192" t="s">
        <v>38</v>
      </c>
      <c r="W192" t="s">
        <v>38</v>
      </c>
    </row>
    <row r="193" spans="1:23">
      <c r="A193" s="2">
        <v>46303.958333333343</v>
      </c>
      <c r="B193" t="s">
        <v>39</v>
      </c>
      <c r="C193">
        <v>79.989999999999995</v>
      </c>
      <c r="D193">
        <v>1735</v>
      </c>
      <c r="E193">
        <v>21.04</v>
      </c>
      <c r="F193">
        <v>268.5</v>
      </c>
      <c r="G193">
        <v>414.6</v>
      </c>
      <c r="H193">
        <v>-1.33</v>
      </c>
      <c r="I193">
        <v>1.7949999999999999</v>
      </c>
      <c r="J193">
        <v>238</v>
      </c>
      <c r="K193">
        <v>1216.5999999999999</v>
      </c>
      <c r="L193">
        <v>2.92</v>
      </c>
      <c r="M193">
        <v>66</v>
      </c>
      <c r="N193">
        <v>9237</v>
      </c>
      <c r="O193">
        <v>113606</v>
      </c>
      <c r="P193">
        <v>79.096999999999994</v>
      </c>
      <c r="Q193">
        <v>91.194999999999993</v>
      </c>
      <c r="R193">
        <v>0</v>
      </c>
      <c r="S193">
        <v>1.7144999999999999</v>
      </c>
      <c r="T193">
        <v>230.35</v>
      </c>
      <c r="U193">
        <v>0</v>
      </c>
      <c r="V193" t="s">
        <v>38</v>
      </c>
      <c r="W193" t="s">
        <v>38</v>
      </c>
    </row>
    <row r="194" spans="1:23">
      <c r="A194" s="2">
        <v>46304</v>
      </c>
      <c r="B194" t="s">
        <v>39</v>
      </c>
      <c r="C194">
        <v>79.8</v>
      </c>
      <c r="D194">
        <v>1815</v>
      </c>
      <c r="E194">
        <v>21.45</v>
      </c>
      <c r="F194">
        <v>268.89999999999998</v>
      </c>
      <c r="G194">
        <v>436.1</v>
      </c>
      <c r="H194">
        <v>-0.6</v>
      </c>
      <c r="I194">
        <v>1.6080000000000001</v>
      </c>
      <c r="J194">
        <v>226.4</v>
      </c>
      <c r="K194">
        <v>1243.5</v>
      </c>
      <c r="L194">
        <v>2.88</v>
      </c>
      <c r="M194">
        <v>69.5</v>
      </c>
      <c r="N194">
        <v>9362</v>
      </c>
      <c r="O194">
        <v>112755</v>
      </c>
      <c r="P194">
        <v>79.236999999999995</v>
      </c>
      <c r="Q194">
        <v>93.344999999999999</v>
      </c>
      <c r="R194">
        <v>0</v>
      </c>
      <c r="S194">
        <v>1.6932</v>
      </c>
      <c r="T194">
        <v>231.45</v>
      </c>
      <c r="U194">
        <v>0</v>
      </c>
      <c r="V194" t="s">
        <v>38</v>
      </c>
      <c r="W194" t="s">
        <v>38</v>
      </c>
    </row>
    <row r="195" spans="1:23">
      <c r="A195" s="2">
        <v>46304.041666666657</v>
      </c>
      <c r="B195" t="s">
        <v>39</v>
      </c>
      <c r="C195">
        <v>78.61</v>
      </c>
      <c r="D195">
        <v>1795</v>
      </c>
      <c r="E195">
        <v>21.42</v>
      </c>
      <c r="F195">
        <v>245</v>
      </c>
      <c r="G195">
        <v>421.1</v>
      </c>
      <c r="H195">
        <v>0.32</v>
      </c>
      <c r="I195">
        <v>1.8169999999999999</v>
      </c>
      <c r="J195">
        <v>227.9</v>
      </c>
      <c r="K195">
        <v>1247.2</v>
      </c>
      <c r="L195">
        <v>3</v>
      </c>
      <c r="M195">
        <v>65.7</v>
      </c>
      <c r="N195">
        <v>9091</v>
      </c>
      <c r="O195">
        <v>114025</v>
      </c>
      <c r="P195">
        <v>79.111999999999995</v>
      </c>
      <c r="Q195">
        <v>94.9</v>
      </c>
      <c r="R195">
        <v>0</v>
      </c>
      <c r="S195">
        <v>1.7179</v>
      </c>
      <c r="T195">
        <v>235.16249999999999</v>
      </c>
      <c r="U195">
        <v>0</v>
      </c>
      <c r="V195" t="s">
        <v>38</v>
      </c>
      <c r="W195" t="s">
        <v>38</v>
      </c>
    </row>
    <row r="196" spans="1:23">
      <c r="A196" s="2">
        <v>46304.083333333343</v>
      </c>
      <c r="B196" t="s">
        <v>39</v>
      </c>
      <c r="C196">
        <v>79.31</v>
      </c>
      <c r="D196">
        <v>1780</v>
      </c>
      <c r="E196">
        <v>21.74</v>
      </c>
      <c r="F196">
        <v>247.4</v>
      </c>
      <c r="G196">
        <v>417.1</v>
      </c>
      <c r="H196">
        <v>-1.59</v>
      </c>
      <c r="I196">
        <v>1.728</v>
      </c>
      <c r="J196">
        <v>222.7</v>
      </c>
      <c r="K196">
        <v>1221.0999999999999</v>
      </c>
      <c r="L196">
        <v>2.93</v>
      </c>
      <c r="M196">
        <v>62.8</v>
      </c>
      <c r="N196">
        <v>9215</v>
      </c>
      <c r="O196">
        <v>114875</v>
      </c>
      <c r="P196">
        <v>79.150999999999996</v>
      </c>
      <c r="Q196">
        <v>96.805000000000007</v>
      </c>
      <c r="R196">
        <v>0</v>
      </c>
      <c r="S196">
        <v>1.72</v>
      </c>
      <c r="T196">
        <v>237.76249999999999</v>
      </c>
      <c r="U196">
        <v>0</v>
      </c>
      <c r="V196" t="s">
        <v>38</v>
      </c>
      <c r="W196" t="s">
        <v>38</v>
      </c>
    </row>
    <row r="197" spans="1:23">
      <c r="A197" s="2">
        <v>46304.125</v>
      </c>
      <c r="B197" t="s">
        <v>39</v>
      </c>
      <c r="C197">
        <v>80.3</v>
      </c>
      <c r="D197">
        <v>1811</v>
      </c>
      <c r="E197">
        <v>21.15</v>
      </c>
      <c r="F197">
        <v>278.8</v>
      </c>
      <c r="G197">
        <v>421.5</v>
      </c>
      <c r="H197">
        <v>0.44</v>
      </c>
      <c r="I197">
        <v>1.669</v>
      </c>
      <c r="J197">
        <v>231.7</v>
      </c>
      <c r="K197">
        <v>1231.9000000000001</v>
      </c>
      <c r="L197">
        <v>2.79</v>
      </c>
      <c r="M197">
        <v>68.599999999999994</v>
      </c>
      <c r="N197">
        <v>9147</v>
      </c>
      <c r="O197">
        <v>112826</v>
      </c>
      <c r="P197">
        <v>79.381</v>
      </c>
      <c r="Q197">
        <v>99.204999999999998</v>
      </c>
      <c r="R197">
        <v>0</v>
      </c>
      <c r="S197">
        <v>1.7098</v>
      </c>
      <c r="T197">
        <v>239.625</v>
      </c>
      <c r="U197">
        <v>0</v>
      </c>
      <c r="V197" t="s">
        <v>38</v>
      </c>
      <c r="W197" t="s">
        <v>38</v>
      </c>
    </row>
    <row r="198" spans="1:23">
      <c r="A198" s="2">
        <v>46304.166666666657</v>
      </c>
      <c r="B198" t="s">
        <v>39</v>
      </c>
      <c r="C198">
        <v>78.180000000000007</v>
      </c>
      <c r="D198">
        <v>1904</v>
      </c>
      <c r="E198">
        <v>21.27</v>
      </c>
      <c r="F198">
        <v>261.8</v>
      </c>
      <c r="G198">
        <v>409.2</v>
      </c>
      <c r="H198">
        <v>-0.02</v>
      </c>
      <c r="I198">
        <v>1.4770000000000001</v>
      </c>
      <c r="J198">
        <v>223.5</v>
      </c>
      <c r="K198">
        <v>1245</v>
      </c>
      <c r="L198">
        <v>2.85</v>
      </c>
      <c r="M198">
        <v>59.8</v>
      </c>
      <c r="N198">
        <v>9234</v>
      </c>
      <c r="O198">
        <v>113617</v>
      </c>
      <c r="P198">
        <v>79.141000000000005</v>
      </c>
      <c r="Q198">
        <v>100.545</v>
      </c>
      <c r="R198">
        <v>0</v>
      </c>
      <c r="S198">
        <v>1.6632</v>
      </c>
      <c r="T198">
        <v>239.08750000000001</v>
      </c>
      <c r="U198">
        <v>3.7499999999999999E-2</v>
      </c>
      <c r="V198" t="s">
        <v>38</v>
      </c>
      <c r="W198" t="s">
        <v>38</v>
      </c>
    </row>
    <row r="199" spans="1:23">
      <c r="A199" s="2">
        <v>46304.208333333343</v>
      </c>
      <c r="B199" t="s">
        <v>39</v>
      </c>
      <c r="C199">
        <v>78.790000000000006</v>
      </c>
      <c r="D199">
        <v>1851</v>
      </c>
      <c r="E199">
        <v>21.02</v>
      </c>
      <c r="F199">
        <v>272</v>
      </c>
      <c r="G199">
        <v>412.2</v>
      </c>
      <c r="H199">
        <v>0.55000000000000004</v>
      </c>
      <c r="I199">
        <v>1.575</v>
      </c>
      <c r="J199">
        <v>237.7</v>
      </c>
      <c r="K199">
        <v>1256.5</v>
      </c>
      <c r="L199">
        <v>2.78</v>
      </c>
      <c r="M199">
        <v>52.9</v>
      </c>
      <c r="N199">
        <v>9202</v>
      </c>
      <c r="O199">
        <v>113494</v>
      </c>
      <c r="P199">
        <v>79.070999999999998</v>
      </c>
      <c r="Q199">
        <v>102.19</v>
      </c>
      <c r="R199">
        <v>0</v>
      </c>
      <c r="S199">
        <v>1.6456</v>
      </c>
      <c r="T199">
        <v>239.77500000000001</v>
      </c>
      <c r="U199">
        <v>0</v>
      </c>
      <c r="V199" t="s">
        <v>38</v>
      </c>
      <c r="W199" t="s">
        <v>38</v>
      </c>
    </row>
    <row r="200" spans="1:23">
      <c r="A200" s="2">
        <v>46304.25</v>
      </c>
      <c r="B200" t="s">
        <v>39</v>
      </c>
      <c r="C200">
        <v>79.47</v>
      </c>
      <c r="D200">
        <v>1796</v>
      </c>
      <c r="E200">
        <v>21.26</v>
      </c>
      <c r="F200">
        <v>261.60000000000002</v>
      </c>
      <c r="G200">
        <v>429.6</v>
      </c>
      <c r="H200">
        <v>0.22</v>
      </c>
      <c r="I200">
        <v>1.726</v>
      </c>
      <c r="J200">
        <v>214.1</v>
      </c>
      <c r="K200">
        <v>1240.2</v>
      </c>
      <c r="L200">
        <v>3.06</v>
      </c>
      <c r="M200">
        <v>58.7</v>
      </c>
      <c r="N200">
        <v>9149</v>
      </c>
      <c r="O200">
        <v>115311</v>
      </c>
      <c r="P200">
        <v>79.150999999999996</v>
      </c>
      <c r="Q200">
        <v>104.175</v>
      </c>
      <c r="R200">
        <v>0</v>
      </c>
      <c r="S200">
        <v>1.6617</v>
      </c>
      <c r="T200">
        <v>242.35</v>
      </c>
      <c r="U200">
        <v>0</v>
      </c>
      <c r="V200" t="s">
        <v>38</v>
      </c>
      <c r="W200" t="s">
        <v>38</v>
      </c>
    </row>
    <row r="201" spans="1:23">
      <c r="A201" s="2">
        <v>46304.291666666657</v>
      </c>
      <c r="B201" t="s">
        <v>39</v>
      </c>
      <c r="C201">
        <v>79.28</v>
      </c>
      <c r="D201">
        <v>1847</v>
      </c>
      <c r="E201">
        <v>21.62</v>
      </c>
      <c r="F201">
        <v>261</v>
      </c>
      <c r="G201">
        <v>414.7</v>
      </c>
      <c r="H201">
        <v>1.36</v>
      </c>
      <c r="I201">
        <v>1.871</v>
      </c>
      <c r="J201">
        <v>228.4</v>
      </c>
      <c r="K201">
        <v>1234.2</v>
      </c>
      <c r="L201">
        <v>2.9</v>
      </c>
      <c r="M201">
        <v>54</v>
      </c>
      <c r="N201">
        <v>9239</v>
      </c>
      <c r="O201">
        <v>115104</v>
      </c>
      <c r="P201">
        <v>79.176000000000002</v>
      </c>
      <c r="Q201">
        <v>106.065</v>
      </c>
      <c r="R201">
        <v>0</v>
      </c>
      <c r="S201">
        <v>1.7035</v>
      </c>
      <c r="T201">
        <v>246.73750000000001</v>
      </c>
      <c r="U201">
        <v>0</v>
      </c>
      <c r="V201" t="s">
        <v>38</v>
      </c>
      <c r="W201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1"/>
  <sheetViews>
    <sheetView tabSelected="1" topLeftCell="H1" workbookViewId="0">
      <selection activeCell="V1" sqref="A1:V1048576"/>
    </sheetView>
  </sheetViews>
  <sheetFormatPr defaultRowHeight="14.4"/>
  <cols>
    <col min="1" max="1" width="18.109375" bestFit="1" customWidth="1"/>
    <col min="2" max="2" width="11.109375" bestFit="1" customWidth="1"/>
    <col min="3" max="3" width="11.6640625" bestFit="1" customWidth="1"/>
    <col min="4" max="4" width="18.5546875" bestFit="1" customWidth="1"/>
    <col min="5" max="5" width="13.6640625" bestFit="1" customWidth="1"/>
    <col min="6" max="6" width="11.5546875" bestFit="1" customWidth="1"/>
    <col min="7" max="7" width="18.5546875" bestFit="1" customWidth="1"/>
    <col min="8" max="8" width="11.6640625" bestFit="1" customWidth="1"/>
    <col min="9" max="9" width="7.21875" bestFit="1" customWidth="1"/>
    <col min="10" max="10" width="18" bestFit="1" customWidth="1"/>
    <col min="11" max="11" width="10.77734375" bestFit="1" customWidth="1"/>
    <col min="12" max="12" width="8.33203125" bestFit="1" customWidth="1"/>
    <col min="13" max="13" width="14.5546875" bestFit="1" customWidth="1"/>
    <col min="14" max="14" width="13.44140625" bestFit="1" customWidth="1"/>
    <col min="15" max="15" width="17.77734375" bestFit="1" customWidth="1"/>
    <col min="16" max="16" width="16.21875" bestFit="1" customWidth="1"/>
    <col min="17" max="17" width="18" bestFit="1" customWidth="1"/>
    <col min="18" max="18" width="17.88671875" bestFit="1" customWidth="1"/>
    <col min="19" max="19" width="16.33203125" bestFit="1" customWidth="1"/>
    <col min="20" max="20" width="18.109375" bestFit="1" customWidth="1"/>
    <col min="21" max="21" width="10.109375" bestFit="1" customWidth="1"/>
    <col min="22" max="22" width="10.21875" bestFit="1" customWidth="1"/>
  </cols>
  <sheetData>
    <row r="1" spans="1:22">
      <c r="A1" s="1" t="s">
        <v>14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</row>
    <row r="2" spans="1:22">
      <c r="A2" s="2">
        <v>46296</v>
      </c>
      <c r="B2">
        <v>75.989999999999995</v>
      </c>
      <c r="C2">
        <v>1942</v>
      </c>
      <c r="D2">
        <v>17.86</v>
      </c>
      <c r="E2">
        <v>331.4</v>
      </c>
      <c r="F2">
        <v>421</v>
      </c>
      <c r="G2">
        <v>1.4</v>
      </c>
      <c r="H2">
        <v>1.4450000000000001</v>
      </c>
      <c r="I2">
        <v>245.1</v>
      </c>
      <c r="J2">
        <v>1241.5999999999999</v>
      </c>
      <c r="K2">
        <v>2.4700000000000002</v>
      </c>
      <c r="L2">
        <v>46.4</v>
      </c>
      <c r="M2">
        <v>9146</v>
      </c>
      <c r="N2">
        <v>117707</v>
      </c>
      <c r="O2">
        <v>75.197999999999993</v>
      </c>
      <c r="P2">
        <v>0.245</v>
      </c>
      <c r="Q2">
        <v>0</v>
      </c>
      <c r="R2">
        <v>1.4890000000000001</v>
      </c>
      <c r="S2">
        <v>0</v>
      </c>
      <c r="T2">
        <v>0.4375</v>
      </c>
    </row>
    <row r="3" spans="1:22">
      <c r="A3" s="2">
        <v>46296.041666666657</v>
      </c>
      <c r="B3">
        <v>75.06</v>
      </c>
      <c r="C3">
        <v>1877</v>
      </c>
      <c r="D3">
        <v>18.260000000000002</v>
      </c>
      <c r="E3">
        <v>306.2</v>
      </c>
      <c r="F3">
        <v>416.6</v>
      </c>
      <c r="G3">
        <v>0.92</v>
      </c>
      <c r="H3">
        <v>1.5880000000000001</v>
      </c>
      <c r="I3">
        <v>231.2</v>
      </c>
      <c r="J3">
        <v>1254.3</v>
      </c>
      <c r="K3">
        <v>2.71</v>
      </c>
      <c r="L3">
        <v>34.6</v>
      </c>
      <c r="M3">
        <v>9188</v>
      </c>
      <c r="N3">
        <v>114714</v>
      </c>
      <c r="O3">
        <v>75.17</v>
      </c>
      <c r="P3">
        <v>2.5000000000000001E-2</v>
      </c>
      <c r="Q3">
        <v>0</v>
      </c>
      <c r="R3">
        <v>1.5087999999999999</v>
      </c>
      <c r="S3">
        <v>0.85</v>
      </c>
      <c r="T3">
        <v>0</v>
      </c>
    </row>
    <row r="4" spans="1:22">
      <c r="A4" s="2">
        <v>46296.083333333343</v>
      </c>
      <c r="B4">
        <v>75.7</v>
      </c>
      <c r="C4">
        <v>1904</v>
      </c>
      <c r="D4">
        <v>18.5</v>
      </c>
      <c r="E4">
        <v>333</v>
      </c>
      <c r="F4">
        <v>421</v>
      </c>
      <c r="G4">
        <v>0.06</v>
      </c>
      <c r="H4">
        <v>1.6819999999999999</v>
      </c>
      <c r="I4">
        <v>256.2</v>
      </c>
      <c r="J4">
        <v>1259.5</v>
      </c>
      <c r="K4">
        <v>2.4</v>
      </c>
      <c r="L4">
        <v>30.7</v>
      </c>
      <c r="M4">
        <v>9137</v>
      </c>
      <c r="N4">
        <v>116080</v>
      </c>
      <c r="O4">
        <v>75.275999999999996</v>
      </c>
      <c r="P4">
        <v>0.125</v>
      </c>
      <c r="Q4">
        <v>0</v>
      </c>
      <c r="R4">
        <v>1.5434000000000001</v>
      </c>
      <c r="S4">
        <v>2.875</v>
      </c>
      <c r="T4">
        <v>0</v>
      </c>
    </row>
    <row r="5" spans="1:22">
      <c r="A5" s="2">
        <v>46296.125</v>
      </c>
      <c r="B5">
        <v>76.489999999999995</v>
      </c>
      <c r="C5">
        <v>1879</v>
      </c>
      <c r="D5">
        <v>18.52</v>
      </c>
      <c r="E5">
        <v>340.3</v>
      </c>
      <c r="F5">
        <v>424.3</v>
      </c>
      <c r="G5">
        <v>-0.65</v>
      </c>
      <c r="H5">
        <v>1.6419999999999999</v>
      </c>
      <c r="I5">
        <v>243.6</v>
      </c>
      <c r="J5">
        <v>1255.8</v>
      </c>
      <c r="K5">
        <v>2.38</v>
      </c>
      <c r="L5">
        <v>25.9</v>
      </c>
      <c r="M5">
        <v>9175</v>
      </c>
      <c r="N5">
        <v>113060</v>
      </c>
      <c r="O5">
        <v>75.519000000000005</v>
      </c>
      <c r="P5">
        <v>0.62</v>
      </c>
      <c r="Q5">
        <v>0</v>
      </c>
      <c r="R5">
        <v>1.5631999999999999</v>
      </c>
      <c r="S5">
        <v>4.4000000000000004</v>
      </c>
      <c r="T5">
        <v>0</v>
      </c>
    </row>
    <row r="6" spans="1:22">
      <c r="A6" s="2">
        <v>46296.166666666657</v>
      </c>
      <c r="B6">
        <v>75.47</v>
      </c>
      <c r="C6">
        <v>1880</v>
      </c>
      <c r="D6">
        <v>18.32</v>
      </c>
      <c r="E6">
        <v>326.2</v>
      </c>
      <c r="F6">
        <v>420.4</v>
      </c>
      <c r="G6">
        <v>0.7</v>
      </c>
      <c r="H6">
        <v>1.4690000000000001</v>
      </c>
      <c r="I6">
        <v>238.1</v>
      </c>
      <c r="J6">
        <v>1258</v>
      </c>
      <c r="K6">
        <v>2.4300000000000002</v>
      </c>
      <c r="L6">
        <v>24.2</v>
      </c>
      <c r="M6">
        <v>9049</v>
      </c>
      <c r="N6">
        <v>113565</v>
      </c>
      <c r="O6">
        <v>75.509</v>
      </c>
      <c r="P6">
        <v>0.60499999999999998</v>
      </c>
      <c r="Q6">
        <v>0</v>
      </c>
      <c r="R6">
        <v>1.5443</v>
      </c>
      <c r="S6">
        <v>3.7625000000000002</v>
      </c>
      <c r="T6">
        <v>0.13750000000000001</v>
      </c>
    </row>
    <row r="7" spans="1:22">
      <c r="A7" s="2">
        <v>46296.208333333343</v>
      </c>
      <c r="B7">
        <v>75.88</v>
      </c>
      <c r="C7">
        <v>1886</v>
      </c>
      <c r="D7">
        <v>18.75</v>
      </c>
      <c r="E7">
        <v>348.2</v>
      </c>
      <c r="F7">
        <v>420.3</v>
      </c>
      <c r="G7">
        <v>0.39</v>
      </c>
      <c r="H7">
        <v>1.3640000000000001</v>
      </c>
      <c r="I7">
        <v>243.8</v>
      </c>
      <c r="J7">
        <v>1243.9000000000001</v>
      </c>
      <c r="K7">
        <v>2.36</v>
      </c>
      <c r="L7">
        <v>25.5</v>
      </c>
      <c r="M7">
        <v>9217</v>
      </c>
      <c r="N7">
        <v>115709</v>
      </c>
      <c r="O7">
        <v>75.582999999999998</v>
      </c>
      <c r="P7">
        <v>0.79500000000000004</v>
      </c>
      <c r="Q7">
        <v>0</v>
      </c>
      <c r="R7">
        <v>1.5083</v>
      </c>
      <c r="S7">
        <v>1.8125</v>
      </c>
      <c r="T7">
        <v>1.5874999999999999</v>
      </c>
    </row>
    <row r="8" spans="1:22">
      <c r="A8" s="2">
        <v>46296.25</v>
      </c>
      <c r="B8">
        <v>77.58</v>
      </c>
      <c r="C8">
        <v>1910</v>
      </c>
      <c r="D8">
        <v>18.07</v>
      </c>
      <c r="E8">
        <v>308.39999999999998</v>
      </c>
      <c r="F8">
        <v>414.4</v>
      </c>
      <c r="G8">
        <v>0.9</v>
      </c>
      <c r="H8">
        <v>1.4570000000000001</v>
      </c>
      <c r="I8">
        <v>248.2</v>
      </c>
      <c r="J8">
        <v>1238.5999999999999</v>
      </c>
      <c r="K8">
        <v>2.52</v>
      </c>
      <c r="L8">
        <v>36.6</v>
      </c>
      <c r="M8">
        <v>9200</v>
      </c>
      <c r="N8">
        <v>117226</v>
      </c>
      <c r="O8">
        <v>75.983000000000004</v>
      </c>
      <c r="P8">
        <v>1.835</v>
      </c>
      <c r="Q8">
        <v>0</v>
      </c>
      <c r="R8">
        <v>1.498</v>
      </c>
      <c r="S8">
        <v>1.0249999999999999</v>
      </c>
      <c r="T8">
        <v>1.875</v>
      </c>
    </row>
    <row r="9" spans="1:22">
      <c r="A9" s="2">
        <v>46296.291666666657</v>
      </c>
      <c r="B9">
        <v>76.459999999999994</v>
      </c>
      <c r="C9">
        <v>1878</v>
      </c>
      <c r="D9">
        <v>18.440000000000001</v>
      </c>
      <c r="E9">
        <v>301.3</v>
      </c>
      <c r="F9">
        <v>414.7</v>
      </c>
      <c r="G9">
        <v>0.64</v>
      </c>
      <c r="H9">
        <v>1.5840000000000001</v>
      </c>
      <c r="I9">
        <v>244</v>
      </c>
      <c r="J9">
        <v>1262</v>
      </c>
      <c r="K9">
        <v>2.74</v>
      </c>
      <c r="L9">
        <v>38.1</v>
      </c>
      <c r="M9">
        <v>9135</v>
      </c>
      <c r="N9">
        <v>115533</v>
      </c>
      <c r="O9">
        <v>76.078000000000003</v>
      </c>
      <c r="P9">
        <v>2.3149999999999999</v>
      </c>
      <c r="Q9">
        <v>0</v>
      </c>
      <c r="R9">
        <v>1.5152000000000001</v>
      </c>
      <c r="S9">
        <v>1.825</v>
      </c>
      <c r="T9">
        <v>0.57499999999999996</v>
      </c>
    </row>
    <row r="10" spans="1:22">
      <c r="A10" s="2">
        <v>46296.333333333343</v>
      </c>
      <c r="B10">
        <v>75.790000000000006</v>
      </c>
      <c r="C10">
        <v>1957</v>
      </c>
      <c r="D10">
        <v>18.55</v>
      </c>
      <c r="E10">
        <v>293.3</v>
      </c>
      <c r="F10">
        <v>408.8</v>
      </c>
      <c r="G10">
        <v>1.05</v>
      </c>
      <c r="H10">
        <v>1.6359999999999999</v>
      </c>
      <c r="I10">
        <v>227.9</v>
      </c>
      <c r="J10">
        <v>1247.4000000000001</v>
      </c>
      <c r="K10">
        <v>2.5499999999999998</v>
      </c>
      <c r="L10">
        <v>25.5</v>
      </c>
      <c r="M10">
        <v>9253</v>
      </c>
      <c r="N10">
        <v>114530</v>
      </c>
      <c r="O10">
        <v>76.021000000000001</v>
      </c>
      <c r="P10">
        <v>2.46</v>
      </c>
      <c r="Q10">
        <v>0</v>
      </c>
      <c r="R10">
        <v>1.5394000000000001</v>
      </c>
      <c r="S10">
        <v>3.2749999999999999</v>
      </c>
      <c r="T10">
        <v>0</v>
      </c>
    </row>
    <row r="11" spans="1:22">
      <c r="A11" s="2">
        <v>46296.375</v>
      </c>
      <c r="B11">
        <v>76.33</v>
      </c>
      <c r="C11">
        <v>1860</v>
      </c>
      <c r="D11">
        <v>18.71</v>
      </c>
      <c r="E11">
        <v>342.4</v>
      </c>
      <c r="F11">
        <v>434</v>
      </c>
      <c r="G11">
        <v>-0.54</v>
      </c>
      <c r="H11">
        <v>1.8660000000000001</v>
      </c>
      <c r="I11">
        <v>259</v>
      </c>
      <c r="J11">
        <v>1248</v>
      </c>
      <c r="K11">
        <v>2.46</v>
      </c>
      <c r="L11">
        <v>40.4</v>
      </c>
      <c r="M11">
        <v>9275</v>
      </c>
      <c r="N11">
        <v>114999</v>
      </c>
      <c r="O11">
        <v>76.081999999999994</v>
      </c>
      <c r="P11">
        <v>2.875</v>
      </c>
      <c r="Q11">
        <v>0</v>
      </c>
      <c r="R11">
        <v>1.6047</v>
      </c>
      <c r="S11">
        <v>7.6</v>
      </c>
      <c r="T11">
        <v>0</v>
      </c>
      <c r="V11" t="s">
        <v>38</v>
      </c>
    </row>
    <row r="12" spans="1:22">
      <c r="A12" s="2">
        <v>46296.416666666657</v>
      </c>
      <c r="B12">
        <v>74.739999999999995</v>
      </c>
      <c r="C12">
        <v>1892</v>
      </c>
      <c r="D12">
        <v>18.78</v>
      </c>
      <c r="E12">
        <v>329.8</v>
      </c>
      <c r="F12">
        <v>410</v>
      </c>
      <c r="G12">
        <v>1.32</v>
      </c>
      <c r="H12">
        <v>1.625</v>
      </c>
      <c r="I12">
        <v>262.7</v>
      </c>
      <c r="J12">
        <v>1260.5999999999999</v>
      </c>
      <c r="K12">
        <v>2.46</v>
      </c>
      <c r="L12">
        <v>32.1</v>
      </c>
      <c r="M12">
        <v>9071</v>
      </c>
      <c r="N12">
        <v>113124</v>
      </c>
      <c r="O12">
        <v>75.813999999999993</v>
      </c>
      <c r="P12">
        <v>2.4950000000000001</v>
      </c>
      <c r="Q12">
        <v>0</v>
      </c>
      <c r="R12">
        <v>1.6088</v>
      </c>
      <c r="S12">
        <v>8.9124999999999996</v>
      </c>
      <c r="T12">
        <v>0</v>
      </c>
      <c r="V12" t="s">
        <v>38</v>
      </c>
    </row>
    <row r="13" spans="1:22">
      <c r="A13" s="2">
        <v>46296.458333333343</v>
      </c>
      <c r="B13">
        <v>74.849999999999994</v>
      </c>
      <c r="C13">
        <v>1880</v>
      </c>
      <c r="D13">
        <v>18.05</v>
      </c>
      <c r="E13">
        <v>319.2</v>
      </c>
      <c r="F13">
        <v>414.5</v>
      </c>
      <c r="G13">
        <v>0.2</v>
      </c>
      <c r="H13">
        <v>1.53</v>
      </c>
      <c r="I13">
        <v>256.5</v>
      </c>
      <c r="J13">
        <v>1254.4000000000001</v>
      </c>
      <c r="K13">
        <v>2.27</v>
      </c>
      <c r="L13">
        <v>35.9</v>
      </c>
      <c r="M13">
        <v>9139</v>
      </c>
      <c r="N13">
        <v>115907</v>
      </c>
      <c r="O13">
        <v>75.620999999999995</v>
      </c>
      <c r="P13">
        <v>2.17</v>
      </c>
      <c r="Q13">
        <v>0</v>
      </c>
      <c r="R13">
        <v>1.593</v>
      </c>
      <c r="S13">
        <v>9.0374999999999996</v>
      </c>
      <c r="T13">
        <v>0</v>
      </c>
      <c r="V13" t="s">
        <v>38</v>
      </c>
    </row>
    <row r="14" spans="1:22">
      <c r="A14" s="2">
        <v>46296.5</v>
      </c>
      <c r="B14">
        <v>75.900000000000006</v>
      </c>
      <c r="C14">
        <v>1965</v>
      </c>
      <c r="D14">
        <v>17.89</v>
      </c>
      <c r="E14">
        <v>324.2</v>
      </c>
      <c r="F14">
        <v>414.3</v>
      </c>
      <c r="G14">
        <v>2.08</v>
      </c>
      <c r="H14">
        <v>1.4630000000000001</v>
      </c>
      <c r="I14">
        <v>238.6</v>
      </c>
      <c r="J14">
        <v>1253.5999999999999</v>
      </c>
      <c r="K14">
        <v>2.63</v>
      </c>
      <c r="L14">
        <v>44.7</v>
      </c>
      <c r="M14">
        <v>9138</v>
      </c>
      <c r="N14">
        <v>116323</v>
      </c>
      <c r="O14">
        <v>75.677000000000007</v>
      </c>
      <c r="P14">
        <v>2.37</v>
      </c>
      <c r="Q14">
        <v>0</v>
      </c>
      <c r="R14">
        <v>1.5669999999999999</v>
      </c>
      <c r="S14">
        <v>8.3249999999999993</v>
      </c>
      <c r="T14">
        <v>0.21249999999999999</v>
      </c>
      <c r="V14" t="s">
        <v>38</v>
      </c>
    </row>
    <row r="15" spans="1:22">
      <c r="A15" s="2">
        <v>46296.541666666657</v>
      </c>
      <c r="B15">
        <v>73.209999999999994</v>
      </c>
      <c r="C15">
        <v>1909</v>
      </c>
      <c r="D15">
        <v>19.010000000000002</v>
      </c>
      <c r="E15">
        <v>303.10000000000002</v>
      </c>
      <c r="F15">
        <v>427.2</v>
      </c>
      <c r="G15">
        <v>-0.69</v>
      </c>
      <c r="H15">
        <v>1.6719999999999999</v>
      </c>
      <c r="I15">
        <v>248</v>
      </c>
      <c r="J15">
        <v>1267.3</v>
      </c>
      <c r="K15">
        <v>2.4900000000000002</v>
      </c>
      <c r="L15">
        <v>40.4</v>
      </c>
      <c r="M15">
        <v>9125</v>
      </c>
      <c r="N15">
        <v>114322</v>
      </c>
      <c r="O15">
        <v>75.183999999999997</v>
      </c>
      <c r="P15">
        <v>1.2250000000000001</v>
      </c>
      <c r="Q15">
        <v>0.64500000000000002</v>
      </c>
      <c r="R15">
        <v>1.5880000000000001</v>
      </c>
      <c r="S15">
        <v>10.225</v>
      </c>
      <c r="T15">
        <v>0</v>
      </c>
      <c r="V15" t="s">
        <v>38</v>
      </c>
    </row>
    <row r="16" spans="1:22">
      <c r="A16" s="2">
        <v>46296.583333333343</v>
      </c>
      <c r="B16">
        <v>72.010000000000005</v>
      </c>
      <c r="C16">
        <v>1946</v>
      </c>
      <c r="D16">
        <v>18.63</v>
      </c>
      <c r="E16">
        <v>356.7</v>
      </c>
      <c r="F16">
        <v>417.6</v>
      </c>
      <c r="G16">
        <v>1.74</v>
      </c>
      <c r="H16">
        <v>1.4490000000000001</v>
      </c>
      <c r="I16">
        <v>249.9</v>
      </c>
      <c r="J16">
        <v>1244.9000000000001</v>
      </c>
      <c r="K16">
        <v>2.4700000000000002</v>
      </c>
      <c r="L16">
        <v>33.4</v>
      </c>
      <c r="M16">
        <v>9266</v>
      </c>
      <c r="N16">
        <v>114295</v>
      </c>
      <c r="O16">
        <v>74.549000000000007</v>
      </c>
      <c r="P16">
        <v>0</v>
      </c>
      <c r="Q16">
        <v>1.89</v>
      </c>
      <c r="R16">
        <v>1.5602</v>
      </c>
      <c r="S16">
        <v>9.3375000000000004</v>
      </c>
      <c r="T16">
        <v>0.38750000000000001</v>
      </c>
      <c r="V16" t="s">
        <v>38</v>
      </c>
    </row>
    <row r="17" spans="1:22">
      <c r="A17" s="2">
        <v>46296.625</v>
      </c>
      <c r="B17">
        <v>73.36</v>
      </c>
      <c r="C17">
        <v>1833</v>
      </c>
      <c r="D17">
        <v>18.2</v>
      </c>
      <c r="E17">
        <v>321.89999999999998</v>
      </c>
      <c r="F17">
        <v>430</v>
      </c>
      <c r="G17">
        <v>0.2</v>
      </c>
      <c r="H17">
        <v>1.5409999999999999</v>
      </c>
      <c r="I17">
        <v>256</v>
      </c>
      <c r="J17">
        <v>1257.4000000000001</v>
      </c>
      <c r="K17">
        <v>2.98</v>
      </c>
      <c r="L17">
        <v>29.7</v>
      </c>
      <c r="M17">
        <v>9184</v>
      </c>
      <c r="N17">
        <v>115399</v>
      </c>
      <c r="O17">
        <v>74.311000000000007</v>
      </c>
      <c r="P17">
        <v>0</v>
      </c>
      <c r="Q17">
        <v>2.46</v>
      </c>
      <c r="R17">
        <v>1.5564</v>
      </c>
      <c r="S17">
        <v>9.6</v>
      </c>
      <c r="T17">
        <v>0</v>
      </c>
      <c r="V17" t="s">
        <v>38</v>
      </c>
    </row>
    <row r="18" spans="1:22">
      <c r="A18" s="2">
        <v>46296.666666666657</v>
      </c>
      <c r="B18">
        <v>73.319999999999993</v>
      </c>
      <c r="C18">
        <v>1912</v>
      </c>
      <c r="D18">
        <v>19.12</v>
      </c>
      <c r="E18">
        <v>321.60000000000002</v>
      </c>
      <c r="F18">
        <v>414.6</v>
      </c>
      <c r="G18">
        <v>-0.65</v>
      </c>
      <c r="H18">
        <v>1.544</v>
      </c>
      <c r="I18">
        <v>256.7</v>
      </c>
      <c r="J18">
        <v>1250.5</v>
      </c>
      <c r="K18">
        <v>2.54</v>
      </c>
      <c r="L18">
        <v>22.1</v>
      </c>
      <c r="M18">
        <v>9179</v>
      </c>
      <c r="N18">
        <v>114345</v>
      </c>
      <c r="O18">
        <v>74.113</v>
      </c>
      <c r="P18">
        <v>0</v>
      </c>
      <c r="Q18">
        <v>3.05</v>
      </c>
      <c r="R18">
        <v>1.5539000000000001</v>
      </c>
      <c r="S18">
        <v>9.9</v>
      </c>
      <c r="T18">
        <v>0</v>
      </c>
      <c r="V18" t="s">
        <v>38</v>
      </c>
    </row>
    <row r="19" spans="1:22">
      <c r="A19" s="2">
        <v>46296.708333333343</v>
      </c>
      <c r="B19">
        <v>74.63</v>
      </c>
      <c r="C19">
        <v>1940</v>
      </c>
      <c r="D19">
        <v>18.55</v>
      </c>
      <c r="E19">
        <v>330.9</v>
      </c>
      <c r="F19">
        <v>422.2</v>
      </c>
      <c r="G19">
        <v>-0.48</v>
      </c>
      <c r="H19">
        <v>1.526</v>
      </c>
      <c r="I19">
        <v>242.7</v>
      </c>
      <c r="J19">
        <v>1252.0999999999999</v>
      </c>
      <c r="K19">
        <v>2.39</v>
      </c>
      <c r="L19">
        <v>30.7</v>
      </c>
      <c r="M19">
        <v>9040</v>
      </c>
      <c r="N19">
        <v>114901</v>
      </c>
      <c r="O19">
        <v>74.215999999999994</v>
      </c>
      <c r="P19">
        <v>0</v>
      </c>
      <c r="Q19">
        <v>2.9849999999999999</v>
      </c>
      <c r="R19">
        <v>1.5483</v>
      </c>
      <c r="S19">
        <v>9.9749999999999996</v>
      </c>
      <c r="T19">
        <v>0</v>
      </c>
      <c r="V19" t="s">
        <v>38</v>
      </c>
    </row>
    <row r="20" spans="1:22">
      <c r="A20" s="2">
        <v>46296.75</v>
      </c>
      <c r="B20">
        <v>74.150000000000006</v>
      </c>
      <c r="C20">
        <v>1904</v>
      </c>
      <c r="D20">
        <v>18.97</v>
      </c>
      <c r="E20">
        <v>327.2</v>
      </c>
      <c r="F20">
        <v>413.3</v>
      </c>
      <c r="G20">
        <v>-0.32</v>
      </c>
      <c r="H20">
        <v>1.498</v>
      </c>
      <c r="I20">
        <v>250.8</v>
      </c>
      <c r="J20">
        <v>1262.2</v>
      </c>
      <c r="K20">
        <v>2.44</v>
      </c>
      <c r="L20">
        <v>33.700000000000003</v>
      </c>
      <c r="M20">
        <v>9251</v>
      </c>
      <c r="N20">
        <v>118150</v>
      </c>
      <c r="O20">
        <v>74.203000000000003</v>
      </c>
      <c r="P20">
        <v>0</v>
      </c>
      <c r="Q20">
        <v>3.16</v>
      </c>
      <c r="R20">
        <v>1.5382</v>
      </c>
      <c r="S20">
        <v>9.6999999999999993</v>
      </c>
      <c r="T20">
        <v>0</v>
      </c>
      <c r="V20" t="s">
        <v>38</v>
      </c>
    </row>
    <row r="21" spans="1:22">
      <c r="A21" s="2">
        <v>46296.791666666657</v>
      </c>
      <c r="B21">
        <v>73.459999999999994</v>
      </c>
      <c r="C21">
        <v>1948</v>
      </c>
      <c r="D21">
        <v>18.53</v>
      </c>
      <c r="E21">
        <v>323.39999999999998</v>
      </c>
      <c r="F21">
        <v>437.2</v>
      </c>
      <c r="G21">
        <v>0.42</v>
      </c>
      <c r="H21">
        <v>1.68</v>
      </c>
      <c r="I21">
        <v>254.6</v>
      </c>
      <c r="J21">
        <v>1254.0999999999999</v>
      </c>
      <c r="K21">
        <v>2.67</v>
      </c>
      <c r="L21">
        <v>29.1</v>
      </c>
      <c r="M21">
        <v>9101</v>
      </c>
      <c r="N21">
        <v>114629</v>
      </c>
      <c r="O21">
        <v>74.054000000000002</v>
      </c>
      <c r="P21">
        <v>0</v>
      </c>
      <c r="Q21">
        <v>3.68</v>
      </c>
      <c r="R21">
        <v>1.5666</v>
      </c>
      <c r="S21">
        <v>11.7</v>
      </c>
      <c r="T21">
        <v>0</v>
      </c>
      <c r="V21" t="s">
        <v>38</v>
      </c>
    </row>
    <row r="22" spans="1:22">
      <c r="A22" s="2">
        <v>46296.833333333343</v>
      </c>
      <c r="B22">
        <v>74.81</v>
      </c>
      <c r="C22">
        <v>1877</v>
      </c>
      <c r="D22">
        <v>19.32</v>
      </c>
      <c r="E22">
        <v>308.10000000000002</v>
      </c>
      <c r="F22">
        <v>410.5</v>
      </c>
      <c r="G22">
        <v>0.52</v>
      </c>
      <c r="H22">
        <v>1.6339999999999999</v>
      </c>
      <c r="I22">
        <v>264.60000000000002</v>
      </c>
      <c r="J22">
        <v>1254.3</v>
      </c>
      <c r="K22">
        <v>2.52</v>
      </c>
      <c r="L22">
        <v>34.200000000000003</v>
      </c>
      <c r="M22">
        <v>9205</v>
      </c>
      <c r="N22">
        <v>114462</v>
      </c>
      <c r="O22">
        <v>74.206000000000003</v>
      </c>
      <c r="P22">
        <v>0</v>
      </c>
      <c r="Q22">
        <v>3.5249999999999999</v>
      </c>
      <c r="R22">
        <v>1.5801000000000001</v>
      </c>
      <c r="S22">
        <v>13.125</v>
      </c>
      <c r="T22">
        <v>0</v>
      </c>
      <c r="V22" t="s">
        <v>38</v>
      </c>
    </row>
    <row r="23" spans="1:22">
      <c r="A23" s="2">
        <v>46296.875</v>
      </c>
      <c r="B23">
        <v>75.209999999999994</v>
      </c>
      <c r="C23">
        <v>1963</v>
      </c>
      <c r="D23">
        <v>19.2</v>
      </c>
      <c r="E23">
        <v>327.10000000000002</v>
      </c>
      <c r="F23">
        <v>422.5</v>
      </c>
      <c r="G23">
        <v>-0.56999999999999995</v>
      </c>
      <c r="H23">
        <v>1.425</v>
      </c>
      <c r="I23">
        <v>257</v>
      </c>
      <c r="J23">
        <v>1258.5999999999999</v>
      </c>
      <c r="K23">
        <v>2.2799999999999998</v>
      </c>
      <c r="L23">
        <v>35.5</v>
      </c>
      <c r="M23">
        <v>9222</v>
      </c>
      <c r="N23">
        <v>114029</v>
      </c>
      <c r="O23">
        <v>74.406000000000006</v>
      </c>
      <c r="P23">
        <v>0</v>
      </c>
      <c r="Q23">
        <v>3.17</v>
      </c>
      <c r="R23">
        <v>1.5490999999999999</v>
      </c>
      <c r="S23">
        <v>11.9375</v>
      </c>
      <c r="T23">
        <v>0.6875</v>
      </c>
      <c r="V23" t="s">
        <v>38</v>
      </c>
    </row>
    <row r="24" spans="1:22">
      <c r="A24" s="2">
        <v>46296.916666666657</v>
      </c>
      <c r="B24">
        <v>75.760000000000005</v>
      </c>
      <c r="C24">
        <v>2003</v>
      </c>
      <c r="D24">
        <v>18.399999999999999</v>
      </c>
      <c r="E24">
        <v>348.2</v>
      </c>
      <c r="F24">
        <v>425.1</v>
      </c>
      <c r="G24">
        <v>-0.02</v>
      </c>
      <c r="H24">
        <v>1.5589999999999999</v>
      </c>
      <c r="I24">
        <v>257.89999999999998</v>
      </c>
      <c r="J24">
        <v>1247.0999999999999</v>
      </c>
      <c r="K24">
        <v>2.64</v>
      </c>
      <c r="L24">
        <v>33.700000000000003</v>
      </c>
      <c r="M24">
        <v>9309</v>
      </c>
      <c r="N24">
        <v>116116</v>
      </c>
      <c r="O24">
        <v>74.677000000000007</v>
      </c>
      <c r="P24">
        <v>0.13</v>
      </c>
      <c r="Q24">
        <v>2.54</v>
      </c>
      <c r="R24">
        <v>1.5510999999999999</v>
      </c>
      <c r="S24">
        <v>12.425000000000001</v>
      </c>
      <c r="T24">
        <v>0</v>
      </c>
      <c r="V24" t="s">
        <v>38</v>
      </c>
    </row>
    <row r="25" spans="1:22">
      <c r="A25" s="2">
        <v>46296.958333333343</v>
      </c>
      <c r="B25">
        <v>74.02</v>
      </c>
      <c r="C25">
        <v>1884</v>
      </c>
      <c r="D25">
        <v>18.89</v>
      </c>
      <c r="E25">
        <v>340.2</v>
      </c>
      <c r="F25">
        <v>423.3</v>
      </c>
      <c r="G25">
        <v>2.14</v>
      </c>
      <c r="H25">
        <v>1.3919999999999999</v>
      </c>
      <c r="I25">
        <v>250.8</v>
      </c>
      <c r="J25">
        <v>1243.3</v>
      </c>
      <c r="K25">
        <v>2.4</v>
      </c>
      <c r="L25">
        <v>31.1</v>
      </c>
      <c r="M25">
        <v>9095</v>
      </c>
      <c r="N25">
        <v>114728</v>
      </c>
      <c r="O25">
        <v>74.546000000000006</v>
      </c>
      <c r="P25">
        <v>0</v>
      </c>
      <c r="Q25">
        <v>2.78</v>
      </c>
      <c r="R25">
        <v>1.5192000000000001</v>
      </c>
      <c r="S25">
        <v>10.824999999999999</v>
      </c>
      <c r="T25">
        <v>1.1000000000000001</v>
      </c>
      <c r="V25" t="s">
        <v>38</v>
      </c>
    </row>
    <row r="26" spans="1:22">
      <c r="A26" s="2">
        <v>46297</v>
      </c>
      <c r="B26">
        <v>73.95</v>
      </c>
      <c r="C26">
        <v>1880</v>
      </c>
      <c r="D26">
        <v>18.760000000000002</v>
      </c>
      <c r="E26">
        <v>343.9</v>
      </c>
      <c r="F26">
        <v>418.5</v>
      </c>
      <c r="G26">
        <v>1.73</v>
      </c>
      <c r="H26">
        <v>1.585</v>
      </c>
      <c r="I26">
        <v>264.10000000000002</v>
      </c>
      <c r="J26">
        <v>1241.5999999999999</v>
      </c>
      <c r="K26">
        <v>2.78</v>
      </c>
      <c r="L26">
        <v>36</v>
      </c>
      <c r="M26">
        <v>8958</v>
      </c>
      <c r="N26">
        <v>114026</v>
      </c>
      <c r="O26">
        <v>74.427000000000007</v>
      </c>
      <c r="P26">
        <v>0</v>
      </c>
      <c r="Q26">
        <v>3.0550000000000002</v>
      </c>
      <c r="R26">
        <v>1.5324</v>
      </c>
      <c r="S26">
        <v>11.637499999999999</v>
      </c>
      <c r="T26">
        <v>0</v>
      </c>
      <c r="V26" t="s">
        <v>38</v>
      </c>
    </row>
    <row r="27" spans="1:22">
      <c r="A27" s="2">
        <v>46297.041666666657</v>
      </c>
      <c r="B27">
        <v>73.760000000000005</v>
      </c>
      <c r="C27">
        <v>1965</v>
      </c>
      <c r="D27">
        <v>19.05</v>
      </c>
      <c r="E27">
        <v>312.3</v>
      </c>
      <c r="F27">
        <v>419</v>
      </c>
      <c r="G27">
        <v>0.44</v>
      </c>
      <c r="H27">
        <v>1.6279999999999999</v>
      </c>
      <c r="I27">
        <v>254.1</v>
      </c>
      <c r="J27">
        <v>1234.3</v>
      </c>
      <c r="K27">
        <v>2.66</v>
      </c>
      <c r="L27">
        <v>37.700000000000003</v>
      </c>
      <c r="M27">
        <v>9215</v>
      </c>
      <c r="N27">
        <v>116982</v>
      </c>
      <c r="O27">
        <v>74.293000000000006</v>
      </c>
      <c r="P27">
        <v>0</v>
      </c>
      <c r="Q27">
        <v>3.4249999999999998</v>
      </c>
      <c r="R27">
        <v>1.5515000000000001</v>
      </c>
      <c r="S27">
        <v>12.987500000000001</v>
      </c>
      <c r="T27">
        <v>0</v>
      </c>
      <c r="V27" t="s">
        <v>38</v>
      </c>
    </row>
    <row r="28" spans="1:22">
      <c r="A28" s="2">
        <v>46297.083333333343</v>
      </c>
      <c r="B28">
        <v>73.540000000000006</v>
      </c>
      <c r="C28">
        <v>1971</v>
      </c>
      <c r="D28">
        <v>18.11</v>
      </c>
      <c r="E28">
        <v>305.2</v>
      </c>
      <c r="F28">
        <v>420.4</v>
      </c>
      <c r="G28">
        <v>0.04</v>
      </c>
      <c r="H28">
        <v>1.548</v>
      </c>
      <c r="I28">
        <v>241.4</v>
      </c>
      <c r="J28">
        <v>1266.4000000000001</v>
      </c>
      <c r="K28">
        <v>2.4300000000000002</v>
      </c>
      <c r="L28">
        <v>28.5</v>
      </c>
      <c r="M28">
        <v>9344</v>
      </c>
      <c r="N28">
        <v>117129</v>
      </c>
      <c r="O28">
        <v>74.143000000000001</v>
      </c>
      <c r="P28">
        <v>0</v>
      </c>
      <c r="Q28">
        <v>3.9049999999999998</v>
      </c>
      <c r="R28">
        <v>1.5508</v>
      </c>
      <c r="S28">
        <v>13.3375</v>
      </c>
      <c r="T28">
        <v>0</v>
      </c>
      <c r="V28" t="s">
        <v>38</v>
      </c>
    </row>
    <row r="29" spans="1:22">
      <c r="A29" s="2">
        <v>46297.125</v>
      </c>
      <c r="B29">
        <v>74.819999999999993</v>
      </c>
      <c r="C29">
        <v>1876</v>
      </c>
      <c r="D29">
        <v>18.77</v>
      </c>
      <c r="E29">
        <v>318.10000000000002</v>
      </c>
      <c r="F29">
        <v>418.8</v>
      </c>
      <c r="G29">
        <v>0.12</v>
      </c>
      <c r="H29">
        <v>1.5</v>
      </c>
      <c r="I29">
        <v>264</v>
      </c>
      <c r="J29">
        <v>1241.2</v>
      </c>
      <c r="K29">
        <v>2.69</v>
      </c>
      <c r="L29">
        <v>43.5</v>
      </c>
      <c r="M29">
        <v>9299</v>
      </c>
      <c r="N29">
        <v>114099</v>
      </c>
      <c r="O29">
        <v>74.278000000000006</v>
      </c>
      <c r="P29">
        <v>0</v>
      </c>
      <c r="Q29">
        <v>3.7450000000000001</v>
      </c>
      <c r="R29">
        <v>1.5406</v>
      </c>
      <c r="S29">
        <v>13.0875</v>
      </c>
      <c r="T29">
        <v>0</v>
      </c>
      <c r="V29" t="s">
        <v>38</v>
      </c>
    </row>
    <row r="30" spans="1:22">
      <c r="A30" s="2">
        <v>46297.166666666657</v>
      </c>
      <c r="B30">
        <v>74.33</v>
      </c>
      <c r="C30">
        <v>1881</v>
      </c>
      <c r="D30">
        <v>18.920000000000002</v>
      </c>
      <c r="E30">
        <v>320.8</v>
      </c>
      <c r="F30">
        <v>427.7</v>
      </c>
      <c r="G30">
        <v>0.61</v>
      </c>
      <c r="H30">
        <v>1.4139999999999999</v>
      </c>
      <c r="I30">
        <v>257</v>
      </c>
      <c r="J30">
        <v>1248.2</v>
      </c>
      <c r="K30">
        <v>2.5099999999999998</v>
      </c>
      <c r="L30">
        <v>34.4</v>
      </c>
      <c r="M30">
        <v>9217</v>
      </c>
      <c r="N30">
        <v>112200</v>
      </c>
      <c r="O30">
        <v>74.287999999999997</v>
      </c>
      <c r="P30">
        <v>0</v>
      </c>
      <c r="Q30">
        <v>3.83</v>
      </c>
      <c r="R30">
        <v>1.5153000000000001</v>
      </c>
      <c r="S30">
        <v>11.762499999999999</v>
      </c>
      <c r="T30">
        <v>0.82499999999999996</v>
      </c>
      <c r="V30" t="s">
        <v>38</v>
      </c>
    </row>
    <row r="31" spans="1:22">
      <c r="A31" s="2">
        <v>46297.208333333343</v>
      </c>
      <c r="B31">
        <v>74.930000000000007</v>
      </c>
      <c r="C31">
        <v>1887</v>
      </c>
      <c r="D31">
        <v>17.8</v>
      </c>
      <c r="E31">
        <v>336.4</v>
      </c>
      <c r="F31">
        <v>437.7</v>
      </c>
      <c r="G31">
        <v>-1.02</v>
      </c>
      <c r="H31">
        <v>1.4870000000000001</v>
      </c>
      <c r="I31">
        <v>245.6</v>
      </c>
      <c r="J31">
        <v>1247.8</v>
      </c>
      <c r="K31">
        <v>2.63</v>
      </c>
      <c r="L31">
        <v>35.1</v>
      </c>
      <c r="M31">
        <v>9161</v>
      </c>
      <c r="N31">
        <v>116511</v>
      </c>
      <c r="O31">
        <v>74.417000000000002</v>
      </c>
      <c r="P31">
        <v>0</v>
      </c>
      <c r="Q31">
        <v>3.6150000000000002</v>
      </c>
      <c r="R31">
        <v>1.5097</v>
      </c>
      <c r="S31">
        <v>11.35</v>
      </c>
      <c r="T31">
        <v>0.73750000000000004</v>
      </c>
      <c r="V31" t="s">
        <v>38</v>
      </c>
    </row>
    <row r="32" spans="1:22">
      <c r="A32" s="2">
        <v>46297.25</v>
      </c>
      <c r="B32">
        <v>74.25</v>
      </c>
      <c r="C32">
        <v>1839</v>
      </c>
      <c r="D32">
        <v>18.03</v>
      </c>
      <c r="E32">
        <v>294.60000000000002</v>
      </c>
      <c r="F32">
        <v>415.5</v>
      </c>
      <c r="G32">
        <v>-0.26</v>
      </c>
      <c r="H32">
        <v>1.3580000000000001</v>
      </c>
      <c r="I32">
        <v>245.2</v>
      </c>
      <c r="J32">
        <v>1252.5</v>
      </c>
      <c r="K32">
        <v>2.57</v>
      </c>
      <c r="L32">
        <v>39.200000000000003</v>
      </c>
      <c r="M32">
        <v>9265</v>
      </c>
      <c r="N32">
        <v>113973</v>
      </c>
      <c r="O32">
        <v>74.382999999999996</v>
      </c>
      <c r="P32">
        <v>0</v>
      </c>
      <c r="Q32">
        <v>3.74</v>
      </c>
      <c r="R32">
        <v>1.4793000000000001</v>
      </c>
      <c r="S32">
        <v>9.3249999999999993</v>
      </c>
      <c r="T32">
        <v>2.2625000000000002</v>
      </c>
      <c r="V32" t="s">
        <v>38</v>
      </c>
    </row>
    <row r="33" spans="1:22">
      <c r="A33" s="2">
        <v>46297.291666666657</v>
      </c>
      <c r="B33">
        <v>76.540000000000006</v>
      </c>
      <c r="C33">
        <v>1859</v>
      </c>
      <c r="D33">
        <v>17.68</v>
      </c>
      <c r="E33">
        <v>342.9</v>
      </c>
      <c r="F33">
        <v>409</v>
      </c>
      <c r="G33">
        <v>-1.67</v>
      </c>
      <c r="H33">
        <v>1.36</v>
      </c>
      <c r="I33">
        <v>253</v>
      </c>
      <c r="J33">
        <v>1256.5</v>
      </c>
      <c r="K33">
        <v>2.37</v>
      </c>
      <c r="L33">
        <v>36.4</v>
      </c>
      <c r="M33">
        <v>9122</v>
      </c>
      <c r="N33">
        <v>116186</v>
      </c>
      <c r="O33">
        <v>74.814999999999998</v>
      </c>
      <c r="P33">
        <v>0.52</v>
      </c>
      <c r="Q33">
        <v>2.72</v>
      </c>
      <c r="R33">
        <v>1.4555</v>
      </c>
      <c r="S33">
        <v>7.3250000000000002</v>
      </c>
      <c r="T33">
        <v>3.7625000000000002</v>
      </c>
      <c r="V33" t="s">
        <v>38</v>
      </c>
    </row>
    <row r="34" spans="1:22">
      <c r="A34" s="2">
        <v>46297.333333333343</v>
      </c>
      <c r="B34">
        <v>75.319999999999993</v>
      </c>
      <c r="C34">
        <v>1855</v>
      </c>
      <c r="D34">
        <v>18.39</v>
      </c>
      <c r="E34">
        <v>317.60000000000002</v>
      </c>
      <c r="F34">
        <v>419.3</v>
      </c>
      <c r="G34">
        <v>0.4</v>
      </c>
      <c r="H34">
        <v>1.6679999999999999</v>
      </c>
      <c r="I34">
        <v>254.6</v>
      </c>
      <c r="J34">
        <v>1256.9000000000001</v>
      </c>
      <c r="K34">
        <v>2.4</v>
      </c>
      <c r="L34">
        <v>40.700000000000003</v>
      </c>
      <c r="M34">
        <v>9238</v>
      </c>
      <c r="N34">
        <v>112045</v>
      </c>
      <c r="O34">
        <v>74.915999999999997</v>
      </c>
      <c r="P34">
        <v>0.43</v>
      </c>
      <c r="Q34">
        <v>2.31</v>
      </c>
      <c r="R34">
        <v>1.498</v>
      </c>
      <c r="S34">
        <v>9.1750000000000007</v>
      </c>
      <c r="T34">
        <v>1.4125000000000001</v>
      </c>
      <c r="V34" t="s">
        <v>38</v>
      </c>
    </row>
    <row r="35" spans="1:22">
      <c r="A35" s="2">
        <v>46297.375</v>
      </c>
      <c r="B35">
        <v>74.209999999999994</v>
      </c>
      <c r="C35">
        <v>1865</v>
      </c>
      <c r="D35">
        <v>18.79</v>
      </c>
      <c r="E35">
        <v>313.60000000000002</v>
      </c>
      <c r="F35">
        <v>440.6</v>
      </c>
      <c r="G35">
        <v>0.65</v>
      </c>
      <c r="H35">
        <v>1.36</v>
      </c>
      <c r="I35">
        <v>252</v>
      </c>
      <c r="J35">
        <v>1245.3</v>
      </c>
      <c r="K35">
        <v>2.65</v>
      </c>
      <c r="L35">
        <v>36.700000000000003</v>
      </c>
      <c r="M35">
        <v>9240</v>
      </c>
      <c r="N35">
        <v>116339</v>
      </c>
      <c r="O35">
        <v>74.775000000000006</v>
      </c>
      <c r="P35">
        <v>0</v>
      </c>
      <c r="Q35">
        <v>2.4550000000000001</v>
      </c>
      <c r="R35">
        <v>1.4703999999999999</v>
      </c>
      <c r="S35">
        <v>7.1749999999999998</v>
      </c>
      <c r="T35">
        <v>2.9125000000000001</v>
      </c>
      <c r="V35" t="s">
        <v>38</v>
      </c>
    </row>
    <row r="36" spans="1:22">
      <c r="A36" s="2">
        <v>46297.416666666657</v>
      </c>
      <c r="B36">
        <v>75.22</v>
      </c>
      <c r="C36">
        <v>1898</v>
      </c>
      <c r="D36">
        <v>19.100000000000001</v>
      </c>
      <c r="E36">
        <v>304.8</v>
      </c>
      <c r="F36">
        <v>413.6</v>
      </c>
      <c r="G36">
        <v>-0.48</v>
      </c>
      <c r="H36">
        <v>1.6539999999999999</v>
      </c>
      <c r="I36">
        <v>253.1</v>
      </c>
      <c r="J36">
        <v>1248.7</v>
      </c>
      <c r="K36">
        <v>2.4500000000000002</v>
      </c>
      <c r="L36">
        <v>31.3</v>
      </c>
      <c r="M36">
        <v>9285</v>
      </c>
      <c r="N36">
        <v>113183</v>
      </c>
      <c r="O36">
        <v>74.864000000000004</v>
      </c>
      <c r="P36">
        <v>0</v>
      </c>
      <c r="Q36">
        <v>2.0950000000000002</v>
      </c>
      <c r="R36">
        <v>1.5071000000000001</v>
      </c>
      <c r="S36">
        <v>8.85</v>
      </c>
      <c r="T36">
        <v>0.73750000000000004</v>
      </c>
      <c r="V36" t="s">
        <v>38</v>
      </c>
    </row>
    <row r="37" spans="1:22">
      <c r="A37" s="2">
        <v>46297.458333333343</v>
      </c>
      <c r="B37">
        <v>74.14</v>
      </c>
      <c r="C37">
        <v>1911</v>
      </c>
      <c r="D37">
        <v>18.53</v>
      </c>
      <c r="E37">
        <v>295.2</v>
      </c>
      <c r="F37">
        <v>433.1</v>
      </c>
      <c r="G37">
        <v>1.57</v>
      </c>
      <c r="H37">
        <v>1.5289999999999999</v>
      </c>
      <c r="I37">
        <v>267</v>
      </c>
      <c r="J37">
        <v>1252.3</v>
      </c>
      <c r="K37">
        <v>2.44</v>
      </c>
      <c r="L37">
        <v>37.200000000000003</v>
      </c>
      <c r="M37">
        <v>9421</v>
      </c>
      <c r="N37">
        <v>116096</v>
      </c>
      <c r="O37">
        <v>74.718999999999994</v>
      </c>
      <c r="P37">
        <v>0</v>
      </c>
      <c r="Q37">
        <v>2.2749999999999999</v>
      </c>
      <c r="R37">
        <v>1.5115000000000001</v>
      </c>
      <c r="S37">
        <v>8.9625000000000004</v>
      </c>
      <c r="T37">
        <v>0.125</v>
      </c>
      <c r="V37" t="s">
        <v>38</v>
      </c>
    </row>
    <row r="38" spans="1:22">
      <c r="A38" s="2">
        <v>46297.5</v>
      </c>
      <c r="B38">
        <v>74.53</v>
      </c>
      <c r="C38">
        <v>1970</v>
      </c>
      <c r="D38">
        <v>19.149999999999999</v>
      </c>
      <c r="E38">
        <v>332.3</v>
      </c>
      <c r="F38">
        <v>433.4</v>
      </c>
      <c r="G38">
        <v>-1.23</v>
      </c>
      <c r="H38">
        <v>1.363</v>
      </c>
      <c r="I38">
        <v>260.7</v>
      </c>
      <c r="J38">
        <v>1248</v>
      </c>
      <c r="K38">
        <v>2.36</v>
      </c>
      <c r="L38">
        <v>28.1</v>
      </c>
      <c r="M38">
        <v>9231</v>
      </c>
      <c r="N38">
        <v>115021</v>
      </c>
      <c r="O38">
        <v>74.680999999999997</v>
      </c>
      <c r="P38">
        <v>0</v>
      </c>
      <c r="Q38">
        <v>2.2599999999999998</v>
      </c>
      <c r="R38">
        <v>1.4818</v>
      </c>
      <c r="S38">
        <v>7</v>
      </c>
      <c r="T38">
        <v>1.5874999999999999</v>
      </c>
      <c r="V38" t="s">
        <v>38</v>
      </c>
    </row>
    <row r="39" spans="1:22">
      <c r="A39" s="2">
        <v>46297.541666666657</v>
      </c>
      <c r="B39">
        <v>72.91</v>
      </c>
      <c r="C39">
        <v>1855</v>
      </c>
      <c r="D39">
        <v>17.95</v>
      </c>
      <c r="E39">
        <v>321.10000000000002</v>
      </c>
      <c r="F39">
        <v>415.6</v>
      </c>
      <c r="G39">
        <v>-1.46</v>
      </c>
      <c r="H39">
        <v>1.58</v>
      </c>
      <c r="I39">
        <v>251.9</v>
      </c>
      <c r="J39">
        <v>1262.9000000000001</v>
      </c>
      <c r="K39">
        <v>2.56</v>
      </c>
      <c r="L39">
        <v>35.700000000000003</v>
      </c>
      <c r="M39">
        <v>9159</v>
      </c>
      <c r="N39">
        <v>113569</v>
      </c>
      <c r="O39">
        <v>74.326999999999998</v>
      </c>
      <c r="P39">
        <v>0</v>
      </c>
      <c r="Q39">
        <v>3.0550000000000002</v>
      </c>
      <c r="R39">
        <v>1.5014000000000001</v>
      </c>
      <c r="S39">
        <v>7.75</v>
      </c>
      <c r="T39">
        <v>0.33750000000000002</v>
      </c>
      <c r="V39" t="s">
        <v>38</v>
      </c>
    </row>
    <row r="40" spans="1:22">
      <c r="A40" s="2">
        <v>46297.583333333343</v>
      </c>
      <c r="B40">
        <v>73.069999999999993</v>
      </c>
      <c r="C40">
        <v>1944</v>
      </c>
      <c r="D40">
        <v>17.82</v>
      </c>
      <c r="E40">
        <v>300.7</v>
      </c>
      <c r="F40">
        <v>424.6</v>
      </c>
      <c r="G40">
        <v>0.22</v>
      </c>
      <c r="H40">
        <v>1.516</v>
      </c>
      <c r="I40">
        <v>259.39999999999998</v>
      </c>
      <c r="J40">
        <v>1253.9000000000001</v>
      </c>
      <c r="K40">
        <v>2.81</v>
      </c>
      <c r="L40">
        <v>34.799999999999997</v>
      </c>
      <c r="M40">
        <v>9198</v>
      </c>
      <c r="N40">
        <v>114389</v>
      </c>
      <c r="O40">
        <v>74.075999999999993</v>
      </c>
      <c r="P40">
        <v>0</v>
      </c>
      <c r="Q40">
        <v>3.77</v>
      </c>
      <c r="R40">
        <v>1.5043</v>
      </c>
      <c r="S40">
        <v>7.7</v>
      </c>
      <c r="T40">
        <v>0</v>
      </c>
      <c r="V40" t="s">
        <v>38</v>
      </c>
    </row>
    <row r="41" spans="1:22">
      <c r="A41" s="2">
        <v>46297.625</v>
      </c>
      <c r="B41">
        <v>73.900000000000006</v>
      </c>
      <c r="C41">
        <v>1890</v>
      </c>
      <c r="D41">
        <v>18.48</v>
      </c>
      <c r="E41">
        <v>300.60000000000002</v>
      </c>
      <c r="F41">
        <v>433</v>
      </c>
      <c r="G41">
        <v>1.05</v>
      </c>
      <c r="H41">
        <v>1.522</v>
      </c>
      <c r="I41">
        <v>239.7</v>
      </c>
      <c r="J41">
        <v>1255.9000000000001</v>
      </c>
      <c r="K41">
        <v>2.34</v>
      </c>
      <c r="L41">
        <v>33.799999999999997</v>
      </c>
      <c r="M41">
        <v>9058</v>
      </c>
      <c r="N41">
        <v>116029</v>
      </c>
      <c r="O41">
        <v>74.040000000000006</v>
      </c>
      <c r="P41">
        <v>0</v>
      </c>
      <c r="Q41">
        <v>4.07</v>
      </c>
      <c r="R41">
        <v>1.5079</v>
      </c>
      <c r="S41">
        <v>7.7249999999999996</v>
      </c>
      <c r="T41">
        <v>0</v>
      </c>
      <c r="V41" t="s">
        <v>38</v>
      </c>
    </row>
    <row r="42" spans="1:22">
      <c r="A42" s="2">
        <v>46297.666666666657</v>
      </c>
      <c r="B42">
        <v>74.25</v>
      </c>
      <c r="C42">
        <v>1898</v>
      </c>
      <c r="D42">
        <v>18.649999999999999</v>
      </c>
      <c r="E42">
        <v>315</v>
      </c>
      <c r="F42">
        <v>417</v>
      </c>
      <c r="G42">
        <v>1.68</v>
      </c>
      <c r="H42">
        <v>1.423</v>
      </c>
      <c r="I42">
        <v>254</v>
      </c>
      <c r="J42">
        <v>1255.3</v>
      </c>
      <c r="K42">
        <v>2.5</v>
      </c>
      <c r="L42">
        <v>34.200000000000003</v>
      </c>
      <c r="M42">
        <v>9144</v>
      </c>
      <c r="N42">
        <v>115159</v>
      </c>
      <c r="O42">
        <v>74.081999999999994</v>
      </c>
      <c r="P42">
        <v>0</v>
      </c>
      <c r="Q42">
        <v>4.1950000000000003</v>
      </c>
      <c r="R42">
        <v>1.4908999999999999</v>
      </c>
      <c r="S42">
        <v>6.5125000000000002</v>
      </c>
      <c r="T42">
        <v>0.71250000000000002</v>
      </c>
      <c r="V42" t="s">
        <v>38</v>
      </c>
    </row>
    <row r="43" spans="1:22">
      <c r="A43" s="2">
        <v>46297.708333333343</v>
      </c>
      <c r="B43">
        <v>75.62</v>
      </c>
      <c r="C43">
        <v>1930</v>
      </c>
      <c r="D43">
        <v>18.489999999999998</v>
      </c>
      <c r="E43">
        <v>345</v>
      </c>
      <c r="F43">
        <v>418.4</v>
      </c>
      <c r="G43">
        <v>-0.46</v>
      </c>
      <c r="H43">
        <v>1.5129999999999999</v>
      </c>
      <c r="I43">
        <v>268.10000000000002</v>
      </c>
      <c r="J43">
        <v>1259.4000000000001</v>
      </c>
      <c r="K43">
        <v>2.71</v>
      </c>
      <c r="L43">
        <v>23.7</v>
      </c>
      <c r="M43">
        <v>9167</v>
      </c>
      <c r="N43">
        <v>115877</v>
      </c>
      <c r="O43">
        <v>74.39</v>
      </c>
      <c r="P43">
        <v>0.06</v>
      </c>
      <c r="Q43">
        <v>3.6349999999999998</v>
      </c>
      <c r="R43">
        <v>1.4953000000000001</v>
      </c>
      <c r="S43">
        <v>6.4249999999999998</v>
      </c>
      <c r="T43">
        <v>0.3</v>
      </c>
      <c r="V43" t="s">
        <v>38</v>
      </c>
    </row>
    <row r="44" spans="1:22">
      <c r="A44" s="2">
        <v>46297.75</v>
      </c>
      <c r="B44">
        <v>75.930000000000007</v>
      </c>
      <c r="C44">
        <v>1849</v>
      </c>
      <c r="D44">
        <v>17.670000000000002</v>
      </c>
      <c r="E44">
        <v>316.10000000000002</v>
      </c>
      <c r="F44">
        <v>415.3</v>
      </c>
      <c r="G44">
        <v>1.08</v>
      </c>
      <c r="H44">
        <v>1.5209999999999999</v>
      </c>
      <c r="I44">
        <v>247.8</v>
      </c>
      <c r="J44">
        <v>1251.4000000000001</v>
      </c>
      <c r="K44">
        <v>2.4900000000000002</v>
      </c>
      <c r="L44">
        <v>31.7</v>
      </c>
      <c r="M44">
        <v>9158</v>
      </c>
      <c r="N44">
        <v>117965</v>
      </c>
      <c r="O44">
        <v>74.697999999999993</v>
      </c>
      <c r="P44">
        <v>0.27500000000000002</v>
      </c>
      <c r="Q44">
        <v>2.92</v>
      </c>
      <c r="R44">
        <v>1.5004999999999999</v>
      </c>
      <c r="S44">
        <v>6.4375</v>
      </c>
      <c r="T44">
        <v>0</v>
      </c>
      <c r="V44" t="s">
        <v>38</v>
      </c>
    </row>
    <row r="45" spans="1:22">
      <c r="A45" s="2">
        <v>46297.791666666657</v>
      </c>
      <c r="B45">
        <v>74.59</v>
      </c>
      <c r="C45">
        <v>1917</v>
      </c>
      <c r="D45">
        <v>18.46</v>
      </c>
      <c r="E45">
        <v>297.5</v>
      </c>
      <c r="F45">
        <v>411.9</v>
      </c>
      <c r="G45">
        <v>-0.04</v>
      </c>
      <c r="H45">
        <v>1.698</v>
      </c>
      <c r="I45">
        <v>241.5</v>
      </c>
      <c r="J45">
        <v>1239.5999999999999</v>
      </c>
      <c r="K45">
        <v>2.57</v>
      </c>
      <c r="L45">
        <v>35.6</v>
      </c>
      <c r="M45">
        <v>9212</v>
      </c>
      <c r="N45">
        <v>112654</v>
      </c>
      <c r="O45">
        <v>74.676000000000002</v>
      </c>
      <c r="P45">
        <v>0</v>
      </c>
      <c r="Q45">
        <v>2.875</v>
      </c>
      <c r="R45">
        <v>1.54</v>
      </c>
      <c r="S45">
        <v>8.6624999999999996</v>
      </c>
      <c r="T45">
        <v>0</v>
      </c>
      <c r="V45" t="s">
        <v>38</v>
      </c>
    </row>
    <row r="46" spans="1:22">
      <c r="A46" s="2">
        <v>46297.833333333343</v>
      </c>
      <c r="B46">
        <v>73.790000000000006</v>
      </c>
      <c r="C46">
        <v>1907</v>
      </c>
      <c r="D46">
        <v>17.98</v>
      </c>
      <c r="E46">
        <v>316.3</v>
      </c>
      <c r="F46">
        <v>414.8</v>
      </c>
      <c r="G46">
        <v>-0.17</v>
      </c>
      <c r="H46">
        <v>1.4430000000000001</v>
      </c>
      <c r="I46">
        <v>243.5</v>
      </c>
      <c r="J46">
        <v>1253.2</v>
      </c>
      <c r="K46">
        <v>2.34</v>
      </c>
      <c r="L46">
        <v>36</v>
      </c>
      <c r="M46">
        <v>9134</v>
      </c>
      <c r="N46">
        <v>117426</v>
      </c>
      <c r="O46">
        <v>74.498999999999995</v>
      </c>
      <c r="P46">
        <v>0</v>
      </c>
      <c r="Q46">
        <v>3.23</v>
      </c>
      <c r="R46">
        <v>1.5206</v>
      </c>
      <c r="S46">
        <v>7.7</v>
      </c>
      <c r="T46">
        <v>0.46250000000000002</v>
      </c>
      <c r="V46" t="s">
        <v>38</v>
      </c>
    </row>
    <row r="47" spans="1:22">
      <c r="A47" s="2">
        <v>46297.875</v>
      </c>
      <c r="B47">
        <v>73.44</v>
      </c>
      <c r="C47">
        <v>1922</v>
      </c>
      <c r="D47">
        <v>18.77</v>
      </c>
      <c r="E47">
        <v>315.89999999999998</v>
      </c>
      <c r="F47">
        <v>410.2</v>
      </c>
      <c r="G47">
        <v>0.88</v>
      </c>
      <c r="H47">
        <v>1.532</v>
      </c>
      <c r="I47">
        <v>239.1</v>
      </c>
      <c r="J47">
        <v>1244.8</v>
      </c>
      <c r="K47">
        <v>2.56</v>
      </c>
      <c r="L47">
        <v>28.8</v>
      </c>
      <c r="M47">
        <v>9290</v>
      </c>
      <c r="N47">
        <v>115157</v>
      </c>
      <c r="O47">
        <v>74.287000000000006</v>
      </c>
      <c r="P47">
        <v>0</v>
      </c>
      <c r="Q47">
        <v>3.76</v>
      </c>
      <c r="R47">
        <v>1.5228999999999999</v>
      </c>
      <c r="S47">
        <v>7.85</v>
      </c>
      <c r="T47">
        <v>0</v>
      </c>
      <c r="V47" t="s">
        <v>38</v>
      </c>
    </row>
    <row r="48" spans="1:22">
      <c r="A48" s="2">
        <v>46297.916666666657</v>
      </c>
      <c r="B48">
        <v>73.86</v>
      </c>
      <c r="C48">
        <v>1913</v>
      </c>
      <c r="D48">
        <v>18.649999999999999</v>
      </c>
      <c r="E48">
        <v>279.5</v>
      </c>
      <c r="F48">
        <v>420.3</v>
      </c>
      <c r="G48">
        <v>0.65</v>
      </c>
      <c r="H48">
        <v>1.5149999999999999</v>
      </c>
      <c r="I48">
        <v>242.2</v>
      </c>
      <c r="J48">
        <v>1245.8</v>
      </c>
      <c r="K48">
        <v>2.4700000000000002</v>
      </c>
      <c r="L48">
        <v>42.6</v>
      </c>
      <c r="M48">
        <v>9200</v>
      </c>
      <c r="N48">
        <v>113652</v>
      </c>
      <c r="O48">
        <v>74.201999999999998</v>
      </c>
      <c r="P48">
        <v>0</v>
      </c>
      <c r="Q48">
        <v>4.08</v>
      </c>
      <c r="R48">
        <v>1.5213000000000001</v>
      </c>
      <c r="S48">
        <v>7.7874999999999996</v>
      </c>
      <c r="T48">
        <v>0</v>
      </c>
      <c r="V48" t="s">
        <v>38</v>
      </c>
    </row>
    <row r="49" spans="1:22">
      <c r="A49" s="2">
        <v>46297.958333333343</v>
      </c>
      <c r="B49">
        <v>75.47</v>
      </c>
      <c r="C49">
        <v>2010</v>
      </c>
      <c r="D49">
        <v>18.12</v>
      </c>
      <c r="E49">
        <v>319.2</v>
      </c>
      <c r="F49">
        <v>413.8</v>
      </c>
      <c r="G49">
        <v>-1.58</v>
      </c>
      <c r="H49">
        <v>1.542</v>
      </c>
      <c r="I49">
        <v>246.3</v>
      </c>
      <c r="J49">
        <v>1254.7</v>
      </c>
      <c r="K49">
        <v>2.65</v>
      </c>
      <c r="L49">
        <v>29.8</v>
      </c>
      <c r="M49">
        <v>9199</v>
      </c>
      <c r="N49">
        <v>113005</v>
      </c>
      <c r="O49">
        <v>74.454999999999998</v>
      </c>
      <c r="P49">
        <v>0</v>
      </c>
      <c r="Q49">
        <v>3.5950000000000002</v>
      </c>
      <c r="R49">
        <v>1.5254000000000001</v>
      </c>
      <c r="S49">
        <v>8.0625</v>
      </c>
      <c r="T49">
        <v>0</v>
      </c>
      <c r="V49" t="s">
        <v>38</v>
      </c>
    </row>
    <row r="50" spans="1:22">
      <c r="A50" s="2">
        <v>46298</v>
      </c>
      <c r="B50">
        <v>75.45</v>
      </c>
      <c r="C50">
        <v>1871</v>
      </c>
      <c r="D50">
        <v>18.29</v>
      </c>
      <c r="E50">
        <v>316.5</v>
      </c>
      <c r="F50">
        <v>421.9</v>
      </c>
      <c r="G50">
        <v>1.48</v>
      </c>
      <c r="H50">
        <v>1.6559999999999999</v>
      </c>
      <c r="I50">
        <v>235.9</v>
      </c>
      <c r="J50">
        <v>1259.9000000000001</v>
      </c>
      <c r="K50">
        <v>2.68</v>
      </c>
      <c r="L50">
        <v>40.799999999999997</v>
      </c>
      <c r="M50">
        <v>9174</v>
      </c>
      <c r="N50">
        <v>114716</v>
      </c>
      <c r="O50">
        <v>74.653999999999996</v>
      </c>
      <c r="P50">
        <v>0</v>
      </c>
      <c r="Q50">
        <v>3.12</v>
      </c>
      <c r="R50">
        <v>1.5515000000000001</v>
      </c>
      <c r="S50">
        <v>9.7624999999999993</v>
      </c>
      <c r="T50">
        <v>0</v>
      </c>
      <c r="V50" t="s">
        <v>38</v>
      </c>
    </row>
    <row r="51" spans="1:22">
      <c r="A51" s="2">
        <v>46298.041666666657</v>
      </c>
      <c r="B51">
        <v>73.27</v>
      </c>
      <c r="C51">
        <v>1876</v>
      </c>
      <c r="D51">
        <v>18.079999999999998</v>
      </c>
      <c r="E51">
        <v>330.4</v>
      </c>
      <c r="F51">
        <v>407.6</v>
      </c>
      <c r="G51">
        <v>1.38</v>
      </c>
      <c r="H51">
        <v>1.429</v>
      </c>
      <c r="I51">
        <v>250.2</v>
      </c>
      <c r="J51">
        <v>1250.2</v>
      </c>
      <c r="K51">
        <v>2.89</v>
      </c>
      <c r="L51">
        <v>37.6</v>
      </c>
      <c r="M51">
        <v>9212</v>
      </c>
      <c r="N51">
        <v>116382</v>
      </c>
      <c r="O51">
        <v>74.376999999999995</v>
      </c>
      <c r="P51">
        <v>0</v>
      </c>
      <c r="Q51">
        <v>3.7349999999999999</v>
      </c>
      <c r="R51">
        <v>1.5269999999999999</v>
      </c>
      <c r="S51">
        <v>8.625</v>
      </c>
      <c r="T51">
        <v>0.63749999999999996</v>
      </c>
      <c r="V51" t="s">
        <v>38</v>
      </c>
    </row>
    <row r="52" spans="1:22">
      <c r="A52" s="2">
        <v>46298.083333333343</v>
      </c>
      <c r="B52">
        <v>73.989999999999995</v>
      </c>
      <c r="C52">
        <v>1872</v>
      </c>
      <c r="D52">
        <v>18.47</v>
      </c>
      <c r="E52">
        <v>347.7</v>
      </c>
      <c r="F52">
        <v>422.6</v>
      </c>
      <c r="G52">
        <v>-0.63</v>
      </c>
      <c r="H52">
        <v>1.431</v>
      </c>
      <c r="I52">
        <v>259</v>
      </c>
      <c r="J52">
        <v>1252.5</v>
      </c>
      <c r="K52">
        <v>2.59</v>
      </c>
      <c r="L52">
        <v>31.1</v>
      </c>
      <c r="M52">
        <v>9266</v>
      </c>
      <c r="N52">
        <v>114809</v>
      </c>
      <c r="O52">
        <v>74.3</v>
      </c>
      <c r="P52">
        <v>0</v>
      </c>
      <c r="Q52">
        <v>3.99</v>
      </c>
      <c r="R52">
        <v>1.5078</v>
      </c>
      <c r="S52">
        <v>7.5125000000000002</v>
      </c>
      <c r="T52">
        <v>1.25</v>
      </c>
      <c r="V52" t="s">
        <v>38</v>
      </c>
    </row>
    <row r="53" spans="1:22">
      <c r="A53" s="2">
        <v>46298.125</v>
      </c>
      <c r="B53">
        <v>73.64</v>
      </c>
      <c r="C53">
        <v>1875</v>
      </c>
      <c r="D53">
        <v>18.88</v>
      </c>
      <c r="E53">
        <v>336.9</v>
      </c>
      <c r="F53">
        <v>426.7</v>
      </c>
      <c r="G53">
        <v>0.4</v>
      </c>
      <c r="H53">
        <v>1.5209999999999999</v>
      </c>
      <c r="I53">
        <v>240.9</v>
      </c>
      <c r="J53">
        <v>1263.5999999999999</v>
      </c>
      <c r="K53">
        <v>2.5499999999999998</v>
      </c>
      <c r="L53">
        <v>45.7</v>
      </c>
      <c r="M53">
        <v>9131</v>
      </c>
      <c r="N53">
        <v>117267</v>
      </c>
      <c r="O53">
        <v>74.168000000000006</v>
      </c>
      <c r="P53">
        <v>0</v>
      </c>
      <c r="Q53">
        <v>4.42</v>
      </c>
      <c r="R53">
        <v>1.5105</v>
      </c>
      <c r="S53">
        <v>7.5250000000000004</v>
      </c>
      <c r="T53">
        <v>0.73750000000000004</v>
      </c>
      <c r="V53" t="s">
        <v>38</v>
      </c>
    </row>
    <row r="54" spans="1:22">
      <c r="A54" s="2">
        <v>46298.166666666657</v>
      </c>
      <c r="B54">
        <v>73.23</v>
      </c>
      <c r="C54">
        <v>1871</v>
      </c>
      <c r="D54">
        <v>18.11</v>
      </c>
      <c r="E54">
        <v>316</v>
      </c>
      <c r="F54">
        <v>404.1</v>
      </c>
      <c r="G54">
        <v>0.49</v>
      </c>
      <c r="H54">
        <v>1.627</v>
      </c>
      <c r="I54">
        <v>265.2</v>
      </c>
      <c r="J54">
        <v>1251.9000000000001</v>
      </c>
      <c r="K54">
        <v>2.5299999999999998</v>
      </c>
      <c r="L54">
        <v>27.8</v>
      </c>
      <c r="M54">
        <v>9147</v>
      </c>
      <c r="N54">
        <v>112823</v>
      </c>
      <c r="O54">
        <v>73.98</v>
      </c>
      <c r="P54">
        <v>0</v>
      </c>
      <c r="Q54">
        <v>5.0549999999999997</v>
      </c>
      <c r="R54">
        <v>1.5338000000000001</v>
      </c>
      <c r="S54">
        <v>8.8625000000000007</v>
      </c>
      <c r="T54">
        <v>0</v>
      </c>
      <c r="U54" t="s">
        <v>38</v>
      </c>
      <c r="V54" t="s">
        <v>38</v>
      </c>
    </row>
    <row r="55" spans="1:22">
      <c r="A55" s="2">
        <v>46298.208333333343</v>
      </c>
      <c r="B55">
        <v>74.540000000000006</v>
      </c>
      <c r="C55">
        <v>1954</v>
      </c>
      <c r="D55">
        <v>18.7</v>
      </c>
      <c r="E55">
        <v>303.39999999999998</v>
      </c>
      <c r="F55">
        <v>423</v>
      </c>
      <c r="G55">
        <v>0.26</v>
      </c>
      <c r="H55">
        <v>1.63</v>
      </c>
      <c r="I55">
        <v>255.1</v>
      </c>
      <c r="J55">
        <v>1270.8</v>
      </c>
      <c r="K55">
        <v>2.4500000000000002</v>
      </c>
      <c r="L55">
        <v>40.5</v>
      </c>
      <c r="M55">
        <v>9176</v>
      </c>
      <c r="N55">
        <v>114982</v>
      </c>
      <c r="O55">
        <v>74.091999999999999</v>
      </c>
      <c r="P55">
        <v>0</v>
      </c>
      <c r="Q55">
        <v>5.0350000000000001</v>
      </c>
      <c r="R55">
        <v>1.5529999999999999</v>
      </c>
      <c r="S55">
        <v>10.237500000000001</v>
      </c>
      <c r="T55">
        <v>0</v>
      </c>
      <c r="U55" t="s">
        <v>38</v>
      </c>
      <c r="V55" t="s">
        <v>38</v>
      </c>
    </row>
    <row r="56" spans="1:22">
      <c r="A56" s="2">
        <v>46298.25</v>
      </c>
      <c r="B56">
        <v>75.319999999999993</v>
      </c>
      <c r="C56">
        <v>1964</v>
      </c>
      <c r="D56">
        <v>18.29</v>
      </c>
      <c r="E56">
        <v>358.6</v>
      </c>
      <c r="F56">
        <v>429.8</v>
      </c>
      <c r="G56">
        <v>-0.55000000000000004</v>
      </c>
      <c r="H56">
        <v>1.478</v>
      </c>
      <c r="I56">
        <v>260.3</v>
      </c>
      <c r="J56">
        <v>1254.5</v>
      </c>
      <c r="K56">
        <v>2.5499999999999998</v>
      </c>
      <c r="L56">
        <v>41</v>
      </c>
      <c r="M56">
        <v>9092</v>
      </c>
      <c r="N56">
        <v>113121</v>
      </c>
      <c r="O56">
        <v>74.337999999999994</v>
      </c>
      <c r="P56">
        <v>0</v>
      </c>
      <c r="Q56">
        <v>4.625</v>
      </c>
      <c r="R56">
        <v>1.538</v>
      </c>
      <c r="S56">
        <v>9.7125000000000004</v>
      </c>
      <c r="T56">
        <v>2.5000000000000001E-2</v>
      </c>
      <c r="V56" t="s">
        <v>38</v>
      </c>
    </row>
    <row r="57" spans="1:22">
      <c r="A57" s="2">
        <v>46298.291666666657</v>
      </c>
      <c r="B57">
        <v>76.349999999999994</v>
      </c>
      <c r="C57">
        <v>1874</v>
      </c>
      <c r="D57">
        <v>18.18</v>
      </c>
      <c r="E57">
        <v>320.89999999999998</v>
      </c>
      <c r="F57">
        <v>410.3</v>
      </c>
      <c r="G57">
        <v>-0.67</v>
      </c>
      <c r="H57">
        <v>1.4630000000000001</v>
      </c>
      <c r="I57">
        <v>243.4</v>
      </c>
      <c r="J57">
        <v>1235.9000000000001</v>
      </c>
      <c r="K57">
        <v>2.46</v>
      </c>
      <c r="L57">
        <v>31</v>
      </c>
      <c r="M57">
        <v>9134</v>
      </c>
      <c r="N57">
        <v>115545</v>
      </c>
      <c r="O57">
        <v>74.739999999999995</v>
      </c>
      <c r="P57">
        <v>0.42499999999999999</v>
      </c>
      <c r="Q57">
        <v>3.7</v>
      </c>
      <c r="R57">
        <v>1.5229999999999999</v>
      </c>
      <c r="S57">
        <v>9</v>
      </c>
      <c r="T57">
        <v>0.23749999999999999</v>
      </c>
      <c r="V57" t="s">
        <v>38</v>
      </c>
    </row>
    <row r="58" spans="1:22">
      <c r="A58" s="2">
        <v>46298.333333333343</v>
      </c>
      <c r="B58">
        <v>75.73</v>
      </c>
      <c r="C58">
        <v>1863</v>
      </c>
      <c r="D58">
        <v>18.46</v>
      </c>
      <c r="E58">
        <v>320.2</v>
      </c>
      <c r="F58">
        <v>433.4</v>
      </c>
      <c r="G58">
        <v>-0.03</v>
      </c>
      <c r="H58">
        <v>1.6259999999999999</v>
      </c>
      <c r="I58">
        <v>258.5</v>
      </c>
      <c r="J58">
        <v>1256</v>
      </c>
      <c r="K58">
        <v>2.5299999999999998</v>
      </c>
      <c r="L58">
        <v>43.4</v>
      </c>
      <c r="M58">
        <v>9162</v>
      </c>
      <c r="N58">
        <v>116330</v>
      </c>
      <c r="O58">
        <v>74.938000000000002</v>
      </c>
      <c r="P58">
        <v>0.54</v>
      </c>
      <c r="Q58">
        <v>3.085</v>
      </c>
      <c r="R58">
        <v>1.5436000000000001</v>
      </c>
      <c r="S58">
        <v>10.324999999999999</v>
      </c>
      <c r="T58">
        <v>0</v>
      </c>
      <c r="V58" t="s">
        <v>38</v>
      </c>
    </row>
    <row r="59" spans="1:22">
      <c r="A59" s="2">
        <v>46298.375</v>
      </c>
      <c r="B59">
        <v>74.83</v>
      </c>
      <c r="C59">
        <v>1921</v>
      </c>
      <c r="D59">
        <v>18.09</v>
      </c>
      <c r="E59">
        <v>319.60000000000002</v>
      </c>
      <c r="F59">
        <v>423.4</v>
      </c>
      <c r="G59">
        <v>1.17</v>
      </c>
      <c r="H59">
        <v>1.58</v>
      </c>
      <c r="I59">
        <v>239.1</v>
      </c>
      <c r="J59">
        <v>1253</v>
      </c>
      <c r="K59">
        <v>2.7</v>
      </c>
      <c r="L59">
        <v>33.5</v>
      </c>
      <c r="M59">
        <v>9270</v>
      </c>
      <c r="N59">
        <v>114369</v>
      </c>
      <c r="O59">
        <v>74.917000000000002</v>
      </c>
      <c r="P59">
        <v>0.20499999999999999</v>
      </c>
      <c r="Q59">
        <v>2.92</v>
      </c>
      <c r="R59">
        <v>1.5508999999999999</v>
      </c>
      <c r="S59">
        <v>11.074999999999999</v>
      </c>
      <c r="T59">
        <v>0</v>
      </c>
      <c r="V59" t="s">
        <v>38</v>
      </c>
    </row>
    <row r="60" spans="1:22">
      <c r="A60" s="2">
        <v>46298.416666666657</v>
      </c>
      <c r="B60">
        <v>75.33</v>
      </c>
      <c r="C60">
        <v>1875</v>
      </c>
      <c r="D60">
        <v>18.28</v>
      </c>
      <c r="E60">
        <v>323</v>
      </c>
      <c r="F60">
        <v>414.4</v>
      </c>
      <c r="G60">
        <v>0.54</v>
      </c>
      <c r="H60">
        <v>1.5549999999999999</v>
      </c>
      <c r="I60">
        <v>258.89999999999998</v>
      </c>
      <c r="J60">
        <v>1260.3</v>
      </c>
      <c r="K60">
        <v>2.35</v>
      </c>
      <c r="L60">
        <v>36.700000000000003</v>
      </c>
      <c r="M60">
        <v>9221</v>
      </c>
      <c r="N60">
        <v>111094</v>
      </c>
      <c r="O60">
        <v>74.998999999999995</v>
      </c>
      <c r="P60">
        <v>0.12</v>
      </c>
      <c r="Q60">
        <v>2.5049999999999999</v>
      </c>
      <c r="R60">
        <v>1.5517000000000001</v>
      </c>
      <c r="S60">
        <v>11.512499999999999</v>
      </c>
      <c r="T60">
        <v>0</v>
      </c>
      <c r="V60" t="s">
        <v>38</v>
      </c>
    </row>
    <row r="61" spans="1:22">
      <c r="A61" s="2">
        <v>46298.458333333343</v>
      </c>
      <c r="B61">
        <v>76.31</v>
      </c>
      <c r="C61">
        <v>1928</v>
      </c>
      <c r="D61">
        <v>18.02</v>
      </c>
      <c r="E61">
        <v>317.8</v>
      </c>
      <c r="F61">
        <v>419.6</v>
      </c>
      <c r="G61">
        <v>-0.37</v>
      </c>
      <c r="H61">
        <v>1.77</v>
      </c>
      <c r="I61">
        <v>251.7</v>
      </c>
      <c r="J61">
        <v>1255.4000000000001</v>
      </c>
      <c r="K61">
        <v>2.67</v>
      </c>
      <c r="L61">
        <v>36.6</v>
      </c>
      <c r="M61">
        <v>9215</v>
      </c>
      <c r="N61">
        <v>115298</v>
      </c>
      <c r="O61">
        <v>75.260999999999996</v>
      </c>
      <c r="P61">
        <v>0.52500000000000002</v>
      </c>
      <c r="Q61">
        <v>1.6</v>
      </c>
      <c r="R61">
        <v>1.5953999999999999</v>
      </c>
      <c r="S61">
        <v>14.637499999999999</v>
      </c>
      <c r="T61">
        <v>0</v>
      </c>
      <c r="V61" t="s">
        <v>38</v>
      </c>
    </row>
    <row r="62" spans="1:22">
      <c r="A62" s="2">
        <v>46298.5</v>
      </c>
      <c r="B62">
        <v>75.52</v>
      </c>
      <c r="C62">
        <v>1909</v>
      </c>
      <c r="D62">
        <v>19.29</v>
      </c>
      <c r="E62">
        <v>311.39999999999998</v>
      </c>
      <c r="F62">
        <v>424.5</v>
      </c>
      <c r="G62">
        <v>0.77</v>
      </c>
      <c r="H62">
        <v>1.4710000000000001</v>
      </c>
      <c r="I62">
        <v>255.5</v>
      </c>
      <c r="J62">
        <v>1248.9000000000001</v>
      </c>
      <c r="K62">
        <v>2.7</v>
      </c>
      <c r="L62">
        <v>34.200000000000003</v>
      </c>
      <c r="M62">
        <v>9268</v>
      </c>
      <c r="N62">
        <v>115655</v>
      </c>
      <c r="O62">
        <v>75.313000000000002</v>
      </c>
      <c r="P62">
        <v>0.53500000000000003</v>
      </c>
      <c r="Q62">
        <v>1.0900000000000001</v>
      </c>
      <c r="R62">
        <v>1.5705</v>
      </c>
      <c r="S62">
        <v>14.025</v>
      </c>
      <c r="T62">
        <v>0.1125</v>
      </c>
      <c r="V62" t="s">
        <v>38</v>
      </c>
    </row>
    <row r="63" spans="1:22">
      <c r="A63" s="2">
        <v>46298.541666666657</v>
      </c>
      <c r="B63">
        <v>75.16</v>
      </c>
      <c r="C63">
        <v>1832</v>
      </c>
      <c r="D63">
        <v>18.510000000000002</v>
      </c>
      <c r="E63">
        <v>311.8</v>
      </c>
      <c r="F63">
        <v>420.6</v>
      </c>
      <c r="G63">
        <v>-2.85</v>
      </c>
      <c r="H63">
        <v>1.3540000000000001</v>
      </c>
      <c r="I63">
        <v>238.2</v>
      </c>
      <c r="J63">
        <v>1240.2</v>
      </c>
      <c r="K63">
        <v>2.48</v>
      </c>
      <c r="L63">
        <v>39.9</v>
      </c>
      <c r="M63">
        <v>9189</v>
      </c>
      <c r="N63">
        <v>115606</v>
      </c>
      <c r="O63">
        <v>75.283000000000001</v>
      </c>
      <c r="P63">
        <v>0.36499999999999999</v>
      </c>
      <c r="Q63">
        <v>0.76</v>
      </c>
      <c r="R63">
        <v>1.5271999999999999</v>
      </c>
      <c r="S63">
        <v>11.95</v>
      </c>
      <c r="T63">
        <v>1.6875</v>
      </c>
      <c r="V63" t="s">
        <v>38</v>
      </c>
    </row>
    <row r="64" spans="1:22">
      <c r="A64" s="2">
        <v>46298.583333333343</v>
      </c>
      <c r="B64">
        <v>74.459999999999994</v>
      </c>
      <c r="C64">
        <v>1970</v>
      </c>
      <c r="D64">
        <v>18.22</v>
      </c>
      <c r="E64">
        <v>319.5</v>
      </c>
      <c r="F64">
        <v>424.3</v>
      </c>
      <c r="G64">
        <v>1.1499999999999999</v>
      </c>
      <c r="H64">
        <v>1.3009999999999999</v>
      </c>
      <c r="I64">
        <v>241</v>
      </c>
      <c r="J64">
        <v>1248.3</v>
      </c>
      <c r="K64">
        <v>2.1800000000000002</v>
      </c>
      <c r="L64">
        <v>39.799999999999997</v>
      </c>
      <c r="M64">
        <v>9231</v>
      </c>
      <c r="N64">
        <v>116854</v>
      </c>
      <c r="O64">
        <v>75.117999999999995</v>
      </c>
      <c r="P64">
        <v>0</v>
      </c>
      <c r="Q64">
        <v>0.78</v>
      </c>
      <c r="R64">
        <v>1.482</v>
      </c>
      <c r="S64">
        <v>9.2125000000000004</v>
      </c>
      <c r="T64">
        <v>3.9249999999999998</v>
      </c>
      <c r="V64" t="s">
        <v>38</v>
      </c>
    </row>
    <row r="65" spans="1:22">
      <c r="A65" s="2">
        <v>46298.625</v>
      </c>
      <c r="B65">
        <v>73.87</v>
      </c>
      <c r="C65">
        <v>1981</v>
      </c>
      <c r="D65">
        <v>18.59</v>
      </c>
      <c r="E65">
        <v>311.8</v>
      </c>
      <c r="F65">
        <v>412.6</v>
      </c>
      <c r="G65">
        <v>-1.74</v>
      </c>
      <c r="H65">
        <v>1.4490000000000001</v>
      </c>
      <c r="I65">
        <v>256</v>
      </c>
      <c r="J65">
        <v>1243.2</v>
      </c>
      <c r="K65">
        <v>2.41</v>
      </c>
      <c r="L65">
        <v>24.5</v>
      </c>
      <c r="M65">
        <v>9192</v>
      </c>
      <c r="N65">
        <v>113393</v>
      </c>
      <c r="O65">
        <v>74.867999999999995</v>
      </c>
      <c r="P65">
        <v>0</v>
      </c>
      <c r="Q65">
        <v>1.095</v>
      </c>
      <c r="R65">
        <v>1.4754</v>
      </c>
      <c r="S65">
        <v>8.3249999999999993</v>
      </c>
      <c r="T65">
        <v>4.3125</v>
      </c>
      <c r="V65" t="s">
        <v>38</v>
      </c>
    </row>
    <row r="66" spans="1:22">
      <c r="A66" s="2">
        <v>46298.666666666657</v>
      </c>
      <c r="B66">
        <v>74.489999999999995</v>
      </c>
      <c r="C66">
        <v>1872</v>
      </c>
      <c r="D66">
        <v>18.46</v>
      </c>
      <c r="E66">
        <v>309.3</v>
      </c>
      <c r="F66">
        <v>421.4</v>
      </c>
      <c r="G66">
        <v>-0.36</v>
      </c>
      <c r="H66">
        <v>1.583</v>
      </c>
      <c r="I66">
        <v>240.5</v>
      </c>
      <c r="J66">
        <v>1245.4000000000001</v>
      </c>
      <c r="K66">
        <v>2.69</v>
      </c>
      <c r="L66">
        <v>42.8</v>
      </c>
      <c r="M66">
        <v>9221</v>
      </c>
      <c r="N66">
        <v>116020</v>
      </c>
      <c r="O66">
        <v>74.793000000000006</v>
      </c>
      <c r="P66">
        <v>0</v>
      </c>
      <c r="Q66">
        <v>1.1000000000000001</v>
      </c>
      <c r="R66">
        <v>1.4968999999999999</v>
      </c>
      <c r="S66">
        <v>9.1125000000000007</v>
      </c>
      <c r="T66">
        <v>3.0249999999999999</v>
      </c>
      <c r="V66" t="s">
        <v>38</v>
      </c>
    </row>
    <row r="67" spans="1:22">
      <c r="A67" s="2">
        <v>46298.708333333343</v>
      </c>
      <c r="B67">
        <v>76.37</v>
      </c>
      <c r="C67">
        <v>1883</v>
      </c>
      <c r="D67">
        <v>18.41</v>
      </c>
      <c r="E67">
        <v>321.60000000000002</v>
      </c>
      <c r="F67">
        <v>408.7</v>
      </c>
      <c r="G67">
        <v>-1.1200000000000001</v>
      </c>
      <c r="H67">
        <v>1.454</v>
      </c>
      <c r="I67">
        <v>254.6</v>
      </c>
      <c r="J67">
        <v>1254.7</v>
      </c>
      <c r="K67">
        <v>2.5</v>
      </c>
      <c r="L67">
        <v>25</v>
      </c>
      <c r="M67">
        <v>9153</v>
      </c>
      <c r="N67">
        <v>116789</v>
      </c>
      <c r="O67">
        <v>75.108000000000004</v>
      </c>
      <c r="P67">
        <v>0.435</v>
      </c>
      <c r="Q67">
        <v>0.16500000000000001</v>
      </c>
      <c r="R67">
        <v>1.4883</v>
      </c>
      <c r="S67">
        <v>8.2874999999999996</v>
      </c>
      <c r="T67">
        <v>3.35</v>
      </c>
      <c r="V67" t="s">
        <v>38</v>
      </c>
    </row>
    <row r="68" spans="1:22">
      <c r="A68" s="2">
        <v>46298.75</v>
      </c>
      <c r="B68">
        <v>76.14</v>
      </c>
      <c r="C68">
        <v>1913</v>
      </c>
      <c r="D68">
        <v>18.75</v>
      </c>
      <c r="E68">
        <v>316.2</v>
      </c>
      <c r="F68">
        <v>419.1</v>
      </c>
      <c r="G68">
        <v>-1.29</v>
      </c>
      <c r="H68">
        <v>1.62</v>
      </c>
      <c r="I68">
        <v>236.3</v>
      </c>
      <c r="J68">
        <v>1263.4000000000001</v>
      </c>
      <c r="K68">
        <v>2.35</v>
      </c>
      <c r="L68">
        <v>41.2</v>
      </c>
      <c r="M68">
        <v>9005</v>
      </c>
      <c r="N68">
        <v>112332</v>
      </c>
      <c r="O68">
        <v>75.314999999999998</v>
      </c>
      <c r="P68">
        <v>0.755</v>
      </c>
      <c r="Q68">
        <v>0</v>
      </c>
      <c r="R68">
        <v>1.5146999999999999</v>
      </c>
      <c r="S68">
        <v>9.5374999999999996</v>
      </c>
      <c r="T68">
        <v>1.6</v>
      </c>
      <c r="V68" t="s">
        <v>38</v>
      </c>
    </row>
    <row r="69" spans="1:22">
      <c r="A69" s="2">
        <v>46298.791666666657</v>
      </c>
      <c r="B69">
        <v>76.150000000000006</v>
      </c>
      <c r="C69">
        <v>1915</v>
      </c>
      <c r="D69">
        <v>18.8</v>
      </c>
      <c r="E69">
        <v>342.6</v>
      </c>
      <c r="F69">
        <v>412.8</v>
      </c>
      <c r="G69">
        <v>1.1599999999999999</v>
      </c>
      <c r="H69">
        <v>1.288</v>
      </c>
      <c r="I69">
        <v>258.5</v>
      </c>
      <c r="J69">
        <v>1253.2</v>
      </c>
      <c r="K69">
        <v>2.42</v>
      </c>
      <c r="L69">
        <v>41.8</v>
      </c>
      <c r="M69">
        <v>9189</v>
      </c>
      <c r="N69">
        <v>115479</v>
      </c>
      <c r="O69">
        <v>75.481999999999999</v>
      </c>
      <c r="P69">
        <v>1.08</v>
      </c>
      <c r="Q69">
        <v>0</v>
      </c>
      <c r="R69">
        <v>1.4693000000000001</v>
      </c>
      <c r="S69">
        <v>6.6375000000000002</v>
      </c>
      <c r="T69">
        <v>4</v>
      </c>
      <c r="V69" t="s">
        <v>38</v>
      </c>
    </row>
    <row r="70" spans="1:22">
      <c r="A70" s="2">
        <v>46298.833333333343</v>
      </c>
      <c r="B70">
        <v>75.97</v>
      </c>
      <c r="C70">
        <v>1930</v>
      </c>
      <c r="D70">
        <v>18.29</v>
      </c>
      <c r="E70">
        <v>280.2</v>
      </c>
      <c r="F70">
        <v>414.1</v>
      </c>
      <c r="G70">
        <v>-0.47</v>
      </c>
      <c r="H70">
        <v>1.448</v>
      </c>
      <c r="I70">
        <v>237.7</v>
      </c>
      <c r="J70">
        <v>1240.4000000000001</v>
      </c>
      <c r="K70">
        <v>2.63</v>
      </c>
      <c r="L70">
        <v>28.5</v>
      </c>
      <c r="M70">
        <v>9314</v>
      </c>
      <c r="N70">
        <v>114244</v>
      </c>
      <c r="O70">
        <v>75.578999999999994</v>
      </c>
      <c r="P70">
        <v>1.3149999999999999</v>
      </c>
      <c r="Q70">
        <v>0</v>
      </c>
      <c r="R70">
        <v>1.4651000000000001</v>
      </c>
      <c r="S70">
        <v>5.7374999999999998</v>
      </c>
      <c r="T70">
        <v>4.4000000000000004</v>
      </c>
      <c r="V70" t="s">
        <v>38</v>
      </c>
    </row>
    <row r="71" spans="1:22">
      <c r="A71" s="2">
        <v>46298.875</v>
      </c>
      <c r="B71">
        <v>75.3</v>
      </c>
      <c r="C71">
        <v>1990</v>
      </c>
      <c r="D71">
        <v>18.27</v>
      </c>
      <c r="E71">
        <v>336.4</v>
      </c>
      <c r="F71">
        <v>429.9</v>
      </c>
      <c r="G71">
        <v>0.35</v>
      </c>
      <c r="H71">
        <v>1.4419999999999999</v>
      </c>
      <c r="I71">
        <v>255.5</v>
      </c>
      <c r="J71">
        <v>1253.5999999999999</v>
      </c>
      <c r="K71">
        <v>2.58</v>
      </c>
      <c r="L71">
        <v>32.5</v>
      </c>
      <c r="M71">
        <v>9274</v>
      </c>
      <c r="N71">
        <v>114878</v>
      </c>
      <c r="O71">
        <v>75.522999999999996</v>
      </c>
      <c r="P71">
        <v>1.2150000000000001</v>
      </c>
      <c r="Q71">
        <v>0</v>
      </c>
      <c r="R71">
        <v>1.4603999999999999</v>
      </c>
      <c r="S71">
        <v>4.7625000000000002</v>
      </c>
      <c r="T71">
        <v>4.875</v>
      </c>
    </row>
    <row r="72" spans="1:22">
      <c r="A72" s="2">
        <v>46298.916666666657</v>
      </c>
      <c r="B72">
        <v>75.38</v>
      </c>
      <c r="C72">
        <v>1892</v>
      </c>
      <c r="D72">
        <v>18.39</v>
      </c>
      <c r="E72">
        <v>338.7</v>
      </c>
      <c r="F72">
        <v>428.7</v>
      </c>
      <c r="G72">
        <v>-0.05</v>
      </c>
      <c r="H72">
        <v>1.569</v>
      </c>
      <c r="I72">
        <v>256.3</v>
      </c>
      <c r="J72">
        <v>1259.5999999999999</v>
      </c>
      <c r="K72">
        <v>2.46</v>
      </c>
      <c r="L72">
        <v>28.4</v>
      </c>
      <c r="M72">
        <v>9277</v>
      </c>
      <c r="N72">
        <v>115522</v>
      </c>
      <c r="O72">
        <v>75.495000000000005</v>
      </c>
      <c r="P72">
        <v>1.155</v>
      </c>
      <c r="Q72">
        <v>0</v>
      </c>
      <c r="R72">
        <v>1.4822</v>
      </c>
      <c r="S72">
        <v>5.375</v>
      </c>
      <c r="T72">
        <v>3.7625000000000002</v>
      </c>
      <c r="V72" t="s">
        <v>38</v>
      </c>
    </row>
    <row r="73" spans="1:22">
      <c r="A73" s="2">
        <v>46298.958333333343</v>
      </c>
      <c r="B73">
        <v>77.13</v>
      </c>
      <c r="C73">
        <v>1864</v>
      </c>
      <c r="D73">
        <v>17.579999999999998</v>
      </c>
      <c r="E73">
        <v>288.89999999999998</v>
      </c>
      <c r="F73">
        <v>424.9</v>
      </c>
      <c r="G73">
        <v>0.48</v>
      </c>
      <c r="H73">
        <v>1.4319999999999999</v>
      </c>
      <c r="I73">
        <v>243</v>
      </c>
      <c r="J73">
        <v>1245.0999999999999</v>
      </c>
      <c r="K73">
        <v>2.44</v>
      </c>
      <c r="L73">
        <v>33.700000000000003</v>
      </c>
      <c r="M73">
        <v>9299</v>
      </c>
      <c r="N73">
        <v>114269</v>
      </c>
      <c r="O73">
        <v>75.822000000000003</v>
      </c>
      <c r="P73">
        <v>1.97</v>
      </c>
      <c r="Q73">
        <v>0</v>
      </c>
      <c r="R73">
        <v>1.4721</v>
      </c>
      <c r="S73">
        <v>4.2750000000000004</v>
      </c>
      <c r="T73">
        <v>4.3624999999999998</v>
      </c>
    </row>
    <row r="74" spans="1:22">
      <c r="A74" s="2">
        <v>46299</v>
      </c>
      <c r="B74">
        <v>77.319999999999993</v>
      </c>
      <c r="C74">
        <v>1838</v>
      </c>
      <c r="D74">
        <v>17.89</v>
      </c>
      <c r="E74">
        <v>314.89999999999998</v>
      </c>
      <c r="F74">
        <v>411.3</v>
      </c>
      <c r="G74">
        <v>0.08</v>
      </c>
      <c r="H74">
        <v>1.7270000000000001</v>
      </c>
      <c r="I74">
        <v>255.8</v>
      </c>
      <c r="J74">
        <v>1248.9000000000001</v>
      </c>
      <c r="K74">
        <v>2.44</v>
      </c>
      <c r="L74">
        <v>33.200000000000003</v>
      </c>
      <c r="M74">
        <v>9207</v>
      </c>
      <c r="N74">
        <v>113986</v>
      </c>
      <c r="O74">
        <v>76.120999999999995</v>
      </c>
      <c r="P74">
        <v>2.88</v>
      </c>
      <c r="Q74">
        <v>0</v>
      </c>
      <c r="R74">
        <v>1.5230999999999999</v>
      </c>
      <c r="S74">
        <v>6.8624999999999998</v>
      </c>
      <c r="T74">
        <v>1.2749999999999999</v>
      </c>
      <c r="V74" t="s">
        <v>38</v>
      </c>
    </row>
    <row r="75" spans="1:22">
      <c r="A75" s="2">
        <v>46299.041666666657</v>
      </c>
      <c r="B75">
        <v>77.290000000000006</v>
      </c>
      <c r="C75">
        <v>1867</v>
      </c>
      <c r="D75">
        <v>19.05</v>
      </c>
      <c r="E75">
        <v>314.39999999999998</v>
      </c>
      <c r="F75">
        <v>417.5</v>
      </c>
      <c r="G75">
        <v>-1.28</v>
      </c>
      <c r="H75">
        <v>1.532</v>
      </c>
      <c r="I75">
        <v>252.6</v>
      </c>
      <c r="J75">
        <v>1250.0999999999999</v>
      </c>
      <c r="K75">
        <v>2.36</v>
      </c>
      <c r="L75">
        <v>39.700000000000003</v>
      </c>
      <c r="M75">
        <v>9216</v>
      </c>
      <c r="N75">
        <v>115051</v>
      </c>
      <c r="O75">
        <v>76.355000000000004</v>
      </c>
      <c r="P75">
        <v>3.7749999999999999</v>
      </c>
      <c r="Q75">
        <v>0</v>
      </c>
      <c r="R75">
        <v>1.5248999999999999</v>
      </c>
      <c r="S75">
        <v>7.0125000000000002</v>
      </c>
      <c r="T75">
        <v>0.625</v>
      </c>
      <c r="V75" t="s">
        <v>38</v>
      </c>
    </row>
    <row r="76" spans="1:22">
      <c r="A76" s="2">
        <v>46299.083333333343</v>
      </c>
      <c r="B76">
        <v>73.209999999999994</v>
      </c>
      <c r="C76">
        <v>1899</v>
      </c>
      <c r="D76">
        <v>19.16</v>
      </c>
      <c r="E76">
        <v>298.89999999999998</v>
      </c>
      <c r="F76">
        <v>429.7</v>
      </c>
      <c r="G76">
        <v>1</v>
      </c>
      <c r="H76">
        <v>1.3260000000000001</v>
      </c>
      <c r="I76">
        <v>244.6</v>
      </c>
      <c r="J76">
        <v>1243.7</v>
      </c>
      <c r="K76">
        <v>2.74</v>
      </c>
      <c r="L76">
        <v>42.9</v>
      </c>
      <c r="M76">
        <v>9151</v>
      </c>
      <c r="N76">
        <v>113369</v>
      </c>
      <c r="O76">
        <v>75.725999999999999</v>
      </c>
      <c r="P76">
        <v>2.63</v>
      </c>
      <c r="Q76">
        <v>0.64500000000000002</v>
      </c>
      <c r="R76">
        <v>1.4851000000000001</v>
      </c>
      <c r="S76">
        <v>4.5875000000000004</v>
      </c>
      <c r="T76">
        <v>2.5499999999999998</v>
      </c>
    </row>
    <row r="77" spans="1:22">
      <c r="A77" s="2">
        <v>46299.125</v>
      </c>
      <c r="B77">
        <v>74.91</v>
      </c>
      <c r="C77">
        <v>1981</v>
      </c>
      <c r="D77">
        <v>18.399999999999999</v>
      </c>
      <c r="E77">
        <v>308.3</v>
      </c>
      <c r="F77">
        <v>421.1</v>
      </c>
      <c r="G77">
        <v>-0.49</v>
      </c>
      <c r="H77">
        <v>1.573</v>
      </c>
      <c r="I77">
        <v>239.9</v>
      </c>
      <c r="J77">
        <v>1255.2</v>
      </c>
      <c r="K77">
        <v>2.4500000000000002</v>
      </c>
      <c r="L77">
        <v>43.4</v>
      </c>
      <c r="M77">
        <v>9175</v>
      </c>
      <c r="N77">
        <v>113371</v>
      </c>
      <c r="O77">
        <v>75.563000000000002</v>
      </c>
      <c r="P77">
        <v>2.335</v>
      </c>
      <c r="Q77">
        <v>0.44</v>
      </c>
      <c r="R77">
        <v>1.5026999999999999</v>
      </c>
      <c r="S77">
        <v>5.25</v>
      </c>
      <c r="T77">
        <v>1.3875</v>
      </c>
      <c r="V77" t="s">
        <v>38</v>
      </c>
    </row>
    <row r="78" spans="1:22">
      <c r="A78" s="2">
        <v>46299.166666666657</v>
      </c>
      <c r="B78">
        <v>75.39</v>
      </c>
      <c r="C78">
        <v>1877</v>
      </c>
      <c r="D78">
        <v>18.73</v>
      </c>
      <c r="E78">
        <v>303.3</v>
      </c>
      <c r="F78">
        <v>438.6</v>
      </c>
      <c r="G78">
        <v>-1.56</v>
      </c>
      <c r="H78">
        <v>1.6120000000000001</v>
      </c>
      <c r="I78">
        <v>230.4</v>
      </c>
      <c r="J78">
        <v>1249</v>
      </c>
      <c r="K78">
        <v>2.68</v>
      </c>
      <c r="L78">
        <v>31.6</v>
      </c>
      <c r="M78">
        <v>9249</v>
      </c>
      <c r="N78">
        <v>116019</v>
      </c>
      <c r="O78">
        <v>75.528000000000006</v>
      </c>
      <c r="P78">
        <v>2.2799999999999998</v>
      </c>
      <c r="Q78">
        <v>0</v>
      </c>
      <c r="R78">
        <v>1.5245</v>
      </c>
      <c r="S78">
        <v>6.4</v>
      </c>
      <c r="T78">
        <v>0</v>
      </c>
      <c r="V78" t="s">
        <v>38</v>
      </c>
    </row>
    <row r="79" spans="1:22">
      <c r="A79" s="2">
        <v>46299.208333333343</v>
      </c>
      <c r="B79">
        <v>74.83</v>
      </c>
      <c r="C79">
        <v>1910</v>
      </c>
      <c r="D79">
        <v>18.62</v>
      </c>
      <c r="E79">
        <v>346.3</v>
      </c>
      <c r="F79">
        <v>423.1</v>
      </c>
      <c r="G79">
        <v>-0.43</v>
      </c>
      <c r="H79">
        <v>1.403</v>
      </c>
      <c r="I79">
        <v>253.5</v>
      </c>
      <c r="J79">
        <v>1253.4000000000001</v>
      </c>
      <c r="K79">
        <v>2.73</v>
      </c>
      <c r="L79">
        <v>33.700000000000003</v>
      </c>
      <c r="M79">
        <v>9296</v>
      </c>
      <c r="N79">
        <v>113277</v>
      </c>
      <c r="O79">
        <v>75.388999999999996</v>
      </c>
      <c r="P79">
        <v>1.9450000000000001</v>
      </c>
      <c r="Q79">
        <v>0</v>
      </c>
      <c r="R79">
        <v>1.5002</v>
      </c>
      <c r="S79">
        <v>4.9375</v>
      </c>
      <c r="T79">
        <v>0.96250000000000002</v>
      </c>
    </row>
    <row r="80" spans="1:22">
      <c r="A80" s="2">
        <v>46299.25</v>
      </c>
      <c r="B80">
        <v>75.72</v>
      </c>
      <c r="C80">
        <v>1899</v>
      </c>
      <c r="D80">
        <v>19.73</v>
      </c>
      <c r="E80">
        <v>334</v>
      </c>
      <c r="F80">
        <v>421.5</v>
      </c>
      <c r="G80">
        <v>1.5</v>
      </c>
      <c r="H80">
        <v>1.4950000000000001</v>
      </c>
      <c r="I80">
        <v>234.4</v>
      </c>
      <c r="J80">
        <v>1242.9000000000001</v>
      </c>
      <c r="K80">
        <v>2.65</v>
      </c>
      <c r="L80">
        <v>24.9</v>
      </c>
      <c r="M80">
        <v>9189</v>
      </c>
      <c r="N80">
        <v>115999</v>
      </c>
      <c r="O80">
        <v>75.454999999999998</v>
      </c>
      <c r="P80">
        <v>2.0550000000000002</v>
      </c>
      <c r="Q80">
        <v>0</v>
      </c>
      <c r="R80">
        <v>1.4992000000000001</v>
      </c>
      <c r="S80">
        <v>4.625</v>
      </c>
      <c r="T80">
        <v>0.77500000000000002</v>
      </c>
    </row>
    <row r="81" spans="1:22">
      <c r="A81" s="2">
        <v>46299.291666666657</v>
      </c>
      <c r="B81">
        <v>72.94</v>
      </c>
      <c r="C81">
        <v>1953</v>
      </c>
      <c r="D81">
        <v>18.95</v>
      </c>
      <c r="E81">
        <v>339.1</v>
      </c>
      <c r="F81">
        <v>417.5</v>
      </c>
      <c r="G81">
        <v>0.85</v>
      </c>
      <c r="H81">
        <v>1.47</v>
      </c>
      <c r="I81">
        <v>251</v>
      </c>
      <c r="J81">
        <v>1246.5</v>
      </c>
      <c r="K81">
        <v>2.44</v>
      </c>
      <c r="L81">
        <v>30.2</v>
      </c>
      <c r="M81">
        <v>9164</v>
      </c>
      <c r="N81">
        <v>115694</v>
      </c>
      <c r="O81">
        <v>74.951999999999998</v>
      </c>
      <c r="P81">
        <v>0.77500000000000002</v>
      </c>
      <c r="Q81">
        <v>0.78</v>
      </c>
      <c r="R81">
        <v>1.4934000000000001</v>
      </c>
      <c r="S81">
        <v>4</v>
      </c>
      <c r="T81">
        <v>0.9</v>
      </c>
    </row>
    <row r="82" spans="1:22">
      <c r="A82" s="2">
        <v>46299.333333333343</v>
      </c>
      <c r="B82">
        <v>74.010000000000005</v>
      </c>
      <c r="C82">
        <v>2014</v>
      </c>
      <c r="D82">
        <v>18.45</v>
      </c>
      <c r="E82">
        <v>330.8</v>
      </c>
      <c r="F82">
        <v>421.1</v>
      </c>
      <c r="G82">
        <v>-0.35</v>
      </c>
      <c r="H82">
        <v>1.446</v>
      </c>
      <c r="I82">
        <v>247.4</v>
      </c>
      <c r="J82">
        <v>1255.8</v>
      </c>
      <c r="K82">
        <v>2.56</v>
      </c>
      <c r="L82">
        <v>40.799999999999997</v>
      </c>
      <c r="M82">
        <v>9200</v>
      </c>
      <c r="N82">
        <v>112411</v>
      </c>
      <c r="O82">
        <v>74.763999999999996</v>
      </c>
      <c r="P82">
        <v>0.03</v>
      </c>
      <c r="Q82">
        <v>1.0249999999999999</v>
      </c>
      <c r="R82">
        <v>1.4839</v>
      </c>
      <c r="S82">
        <v>3.0750000000000002</v>
      </c>
      <c r="T82">
        <v>1.325</v>
      </c>
    </row>
    <row r="83" spans="1:22">
      <c r="A83" s="2">
        <v>46299.375</v>
      </c>
      <c r="B83">
        <v>74.48</v>
      </c>
      <c r="C83">
        <v>1876</v>
      </c>
      <c r="D83">
        <v>18.12</v>
      </c>
      <c r="E83">
        <v>303.10000000000002</v>
      </c>
      <c r="F83">
        <v>418.8</v>
      </c>
      <c r="G83">
        <v>-0.35</v>
      </c>
      <c r="H83">
        <v>1.605</v>
      </c>
      <c r="I83">
        <v>256.8</v>
      </c>
      <c r="J83">
        <v>1247</v>
      </c>
      <c r="K83">
        <v>2.5</v>
      </c>
      <c r="L83">
        <v>44.7</v>
      </c>
      <c r="M83">
        <v>9248</v>
      </c>
      <c r="N83">
        <v>113984</v>
      </c>
      <c r="O83">
        <v>74.706999999999994</v>
      </c>
      <c r="P83">
        <v>0</v>
      </c>
      <c r="Q83">
        <v>1.0349999999999999</v>
      </c>
      <c r="R83">
        <v>1.5081</v>
      </c>
      <c r="S83">
        <v>4.1375000000000002</v>
      </c>
      <c r="T83">
        <v>0</v>
      </c>
    </row>
    <row r="84" spans="1:22">
      <c r="A84" s="2">
        <v>46299.416666666657</v>
      </c>
      <c r="B84">
        <v>76.900000000000006</v>
      </c>
      <c r="C84">
        <v>1878</v>
      </c>
      <c r="D84">
        <v>17.86</v>
      </c>
      <c r="E84">
        <v>312.10000000000002</v>
      </c>
      <c r="F84">
        <v>425.7</v>
      </c>
      <c r="G84">
        <v>-0.32</v>
      </c>
      <c r="H84">
        <v>1.617</v>
      </c>
      <c r="I84">
        <v>247</v>
      </c>
      <c r="J84">
        <v>1263.8</v>
      </c>
      <c r="K84">
        <v>2.36</v>
      </c>
      <c r="L84">
        <v>27.6</v>
      </c>
      <c r="M84">
        <v>9084</v>
      </c>
      <c r="N84">
        <v>116791</v>
      </c>
      <c r="O84">
        <v>75.144999999999996</v>
      </c>
      <c r="P84">
        <v>0.7</v>
      </c>
      <c r="Q84">
        <v>0</v>
      </c>
      <c r="R84">
        <v>1.5299</v>
      </c>
      <c r="S84">
        <v>5.35</v>
      </c>
      <c r="T84">
        <v>0</v>
      </c>
      <c r="V84" t="s">
        <v>38</v>
      </c>
    </row>
    <row r="85" spans="1:22">
      <c r="A85" s="2">
        <v>46299.458333333343</v>
      </c>
      <c r="B85">
        <v>76.58</v>
      </c>
      <c r="C85">
        <v>1947</v>
      </c>
      <c r="D85">
        <v>18.579999999999998</v>
      </c>
      <c r="E85">
        <v>327.3</v>
      </c>
      <c r="F85">
        <v>427.7</v>
      </c>
      <c r="G85">
        <v>2.08</v>
      </c>
      <c r="H85">
        <v>1.4350000000000001</v>
      </c>
      <c r="I85">
        <v>246.7</v>
      </c>
      <c r="J85">
        <v>1246.8</v>
      </c>
      <c r="K85">
        <v>2.5499999999999998</v>
      </c>
      <c r="L85">
        <v>31.4</v>
      </c>
      <c r="M85">
        <v>9016</v>
      </c>
      <c r="N85">
        <v>113528</v>
      </c>
      <c r="O85">
        <v>75.432000000000002</v>
      </c>
      <c r="P85">
        <v>1.24</v>
      </c>
      <c r="Q85">
        <v>0</v>
      </c>
      <c r="R85">
        <v>1.5108999999999999</v>
      </c>
      <c r="S85">
        <v>4.2874999999999996</v>
      </c>
      <c r="T85">
        <v>0.5625</v>
      </c>
    </row>
    <row r="86" spans="1:22">
      <c r="A86" s="2">
        <v>46299.5</v>
      </c>
      <c r="B86">
        <v>74.760000000000005</v>
      </c>
      <c r="C86">
        <v>1931</v>
      </c>
      <c r="D86">
        <v>18.2</v>
      </c>
      <c r="E86">
        <v>301.7</v>
      </c>
      <c r="F86">
        <v>413.7</v>
      </c>
      <c r="G86">
        <v>0.38</v>
      </c>
      <c r="H86">
        <v>1.6</v>
      </c>
      <c r="I86">
        <v>257.3</v>
      </c>
      <c r="J86">
        <v>1251.8</v>
      </c>
      <c r="K86">
        <v>2.3199999999999998</v>
      </c>
      <c r="L86">
        <v>34.799999999999997</v>
      </c>
      <c r="M86">
        <v>9156</v>
      </c>
      <c r="N86">
        <v>114303</v>
      </c>
      <c r="O86">
        <v>75.298000000000002</v>
      </c>
      <c r="P86">
        <v>0.87</v>
      </c>
      <c r="Q86">
        <v>0</v>
      </c>
      <c r="R86">
        <v>1.5286999999999999</v>
      </c>
      <c r="S86">
        <v>5.2874999999999996</v>
      </c>
      <c r="T86">
        <v>0</v>
      </c>
      <c r="V86" t="s">
        <v>38</v>
      </c>
    </row>
    <row r="87" spans="1:22">
      <c r="A87" s="2">
        <v>46299.541666666657</v>
      </c>
      <c r="B87">
        <v>74.14</v>
      </c>
      <c r="C87">
        <v>1983</v>
      </c>
      <c r="D87">
        <v>17.93</v>
      </c>
      <c r="E87">
        <v>330.7</v>
      </c>
      <c r="F87">
        <v>409.4</v>
      </c>
      <c r="G87">
        <v>0.43</v>
      </c>
      <c r="H87">
        <v>1.3089999999999999</v>
      </c>
      <c r="I87">
        <v>253.4</v>
      </c>
      <c r="J87">
        <v>1257.5</v>
      </c>
      <c r="K87">
        <v>2.68</v>
      </c>
      <c r="L87">
        <v>36.700000000000003</v>
      </c>
      <c r="M87">
        <v>9102</v>
      </c>
      <c r="N87">
        <v>115693</v>
      </c>
      <c r="O87">
        <v>75.066000000000003</v>
      </c>
      <c r="P87">
        <v>0.19</v>
      </c>
      <c r="Q87">
        <v>0.18</v>
      </c>
      <c r="R87">
        <v>1.4847999999999999</v>
      </c>
      <c r="S87">
        <v>2.65</v>
      </c>
      <c r="T87">
        <v>2.1375000000000002</v>
      </c>
    </row>
    <row r="88" spans="1:22">
      <c r="A88" s="2">
        <v>46299.583333333343</v>
      </c>
      <c r="B88">
        <v>75.78</v>
      </c>
      <c r="C88">
        <v>1926</v>
      </c>
      <c r="D88">
        <v>18.239999999999998</v>
      </c>
      <c r="E88">
        <v>316.39999999999998</v>
      </c>
      <c r="F88">
        <v>405.3</v>
      </c>
      <c r="G88">
        <v>1.03</v>
      </c>
      <c r="H88">
        <v>1.546</v>
      </c>
      <c r="I88">
        <v>253.2</v>
      </c>
      <c r="J88">
        <v>1238.7</v>
      </c>
      <c r="K88">
        <v>2.4300000000000002</v>
      </c>
      <c r="L88">
        <v>30.1</v>
      </c>
      <c r="M88">
        <v>9159</v>
      </c>
      <c r="N88">
        <v>116175</v>
      </c>
      <c r="O88">
        <v>75.209000000000003</v>
      </c>
      <c r="P88">
        <v>0.33</v>
      </c>
      <c r="Q88">
        <v>0</v>
      </c>
      <c r="R88">
        <v>1.4970000000000001</v>
      </c>
      <c r="S88">
        <v>2.9750000000000001</v>
      </c>
      <c r="T88">
        <v>1.3125</v>
      </c>
    </row>
    <row r="89" spans="1:22">
      <c r="A89" s="2">
        <v>46299.625</v>
      </c>
      <c r="B89">
        <v>75.53</v>
      </c>
      <c r="C89">
        <v>1884</v>
      </c>
      <c r="D89">
        <v>18.07</v>
      </c>
      <c r="E89">
        <v>314.39999999999998</v>
      </c>
      <c r="F89">
        <v>424.1</v>
      </c>
      <c r="G89">
        <v>0.24</v>
      </c>
      <c r="H89">
        <v>1.5169999999999999</v>
      </c>
      <c r="I89">
        <v>254.7</v>
      </c>
      <c r="J89">
        <v>1235.9000000000001</v>
      </c>
      <c r="K89">
        <v>2.5299999999999998</v>
      </c>
      <c r="L89">
        <v>37.5</v>
      </c>
      <c r="M89">
        <v>9188</v>
      </c>
      <c r="N89">
        <v>114623</v>
      </c>
      <c r="O89">
        <v>75.272999999999996</v>
      </c>
      <c r="P89">
        <v>0.34499999999999997</v>
      </c>
      <c r="Q89">
        <v>0</v>
      </c>
      <c r="R89">
        <v>1.5009999999999999</v>
      </c>
      <c r="S89">
        <v>2.9375</v>
      </c>
      <c r="T89">
        <v>0.85</v>
      </c>
    </row>
    <row r="90" spans="1:22">
      <c r="A90" s="2">
        <v>46299.666666666657</v>
      </c>
      <c r="B90">
        <v>74.790000000000006</v>
      </c>
      <c r="C90">
        <v>1927</v>
      </c>
      <c r="D90">
        <v>19.170000000000002</v>
      </c>
      <c r="E90">
        <v>330.7</v>
      </c>
      <c r="F90">
        <v>411.2</v>
      </c>
      <c r="G90">
        <v>-0.26</v>
      </c>
      <c r="H90">
        <v>1.661</v>
      </c>
      <c r="I90">
        <v>234.6</v>
      </c>
      <c r="J90">
        <v>1237.8</v>
      </c>
      <c r="K90">
        <v>2.54</v>
      </c>
      <c r="L90">
        <v>32.200000000000003</v>
      </c>
      <c r="M90">
        <v>9164</v>
      </c>
      <c r="N90">
        <v>114104</v>
      </c>
      <c r="O90">
        <v>75.177000000000007</v>
      </c>
      <c r="P90">
        <v>0</v>
      </c>
      <c r="Q90">
        <v>0</v>
      </c>
      <c r="R90">
        <v>1.5329999999999999</v>
      </c>
      <c r="S90">
        <v>4.7</v>
      </c>
      <c r="T90">
        <v>0</v>
      </c>
    </row>
    <row r="91" spans="1:22">
      <c r="A91" s="2">
        <v>46299.708333333343</v>
      </c>
      <c r="B91">
        <v>75.36</v>
      </c>
      <c r="C91">
        <v>1950</v>
      </c>
      <c r="D91">
        <v>18.850000000000001</v>
      </c>
      <c r="E91">
        <v>326.7</v>
      </c>
      <c r="F91">
        <v>402.8</v>
      </c>
      <c r="G91">
        <v>-0.2</v>
      </c>
      <c r="H91">
        <v>1.4179999999999999</v>
      </c>
      <c r="I91">
        <v>257.60000000000002</v>
      </c>
      <c r="J91">
        <v>1260.0999999999999</v>
      </c>
      <c r="K91">
        <v>2.46</v>
      </c>
      <c r="L91">
        <v>34.9</v>
      </c>
      <c r="M91">
        <v>9316</v>
      </c>
      <c r="N91">
        <v>117134</v>
      </c>
      <c r="O91">
        <v>75.212999999999994</v>
      </c>
      <c r="P91">
        <v>0</v>
      </c>
      <c r="Q91">
        <v>0</v>
      </c>
      <c r="R91">
        <v>1.51</v>
      </c>
      <c r="S91">
        <v>3.4249999999999998</v>
      </c>
      <c r="T91">
        <v>0.77500000000000002</v>
      </c>
    </row>
    <row r="92" spans="1:22">
      <c r="A92" s="2">
        <v>46299.75</v>
      </c>
      <c r="B92">
        <v>74.33</v>
      </c>
      <c r="C92">
        <v>1937</v>
      </c>
      <c r="D92">
        <v>18.5</v>
      </c>
      <c r="E92">
        <v>314.60000000000002</v>
      </c>
      <c r="F92">
        <v>423.1</v>
      </c>
      <c r="G92">
        <v>-7.0000000000000007E-2</v>
      </c>
      <c r="H92">
        <v>1.5009999999999999</v>
      </c>
      <c r="I92">
        <v>256.10000000000002</v>
      </c>
      <c r="J92">
        <v>1245.5999999999999</v>
      </c>
      <c r="K92">
        <v>2.59</v>
      </c>
      <c r="L92">
        <v>38.299999999999997</v>
      </c>
      <c r="M92">
        <v>9226</v>
      </c>
      <c r="N92">
        <v>117608</v>
      </c>
      <c r="O92">
        <v>75.037000000000006</v>
      </c>
      <c r="P92">
        <v>0</v>
      </c>
      <c r="Q92">
        <v>8.5000000000000006E-2</v>
      </c>
      <c r="R92">
        <v>1.5082</v>
      </c>
      <c r="S92">
        <v>3.1875</v>
      </c>
      <c r="T92">
        <v>0.51249999999999996</v>
      </c>
    </row>
    <row r="93" spans="1:22">
      <c r="A93" s="2">
        <v>46299.791666666657</v>
      </c>
      <c r="B93">
        <v>75.489999999999995</v>
      </c>
      <c r="C93">
        <v>1923</v>
      </c>
      <c r="D93">
        <v>19.09</v>
      </c>
      <c r="E93">
        <v>337.4</v>
      </c>
      <c r="F93">
        <v>439.9</v>
      </c>
      <c r="G93">
        <v>-0.04</v>
      </c>
      <c r="H93">
        <v>1.5349999999999999</v>
      </c>
      <c r="I93">
        <v>239.8</v>
      </c>
      <c r="J93">
        <v>1270.5</v>
      </c>
      <c r="K93">
        <v>2.4300000000000002</v>
      </c>
      <c r="L93">
        <v>35</v>
      </c>
      <c r="M93">
        <v>9224</v>
      </c>
      <c r="N93">
        <v>116468</v>
      </c>
      <c r="O93">
        <v>75.126999999999995</v>
      </c>
      <c r="P93">
        <v>0</v>
      </c>
      <c r="Q93">
        <v>0</v>
      </c>
      <c r="R93">
        <v>1.5136000000000001</v>
      </c>
      <c r="S93">
        <v>3.375</v>
      </c>
      <c r="T93">
        <v>0</v>
      </c>
    </row>
    <row r="94" spans="1:22">
      <c r="A94" s="2">
        <v>46299.833333333343</v>
      </c>
      <c r="B94">
        <v>74.3</v>
      </c>
      <c r="C94">
        <v>1948</v>
      </c>
      <c r="D94">
        <v>18.53</v>
      </c>
      <c r="E94">
        <v>303.8</v>
      </c>
      <c r="F94">
        <v>420</v>
      </c>
      <c r="G94">
        <v>0.73</v>
      </c>
      <c r="H94">
        <v>1.339</v>
      </c>
      <c r="I94">
        <v>247.6</v>
      </c>
      <c r="J94">
        <v>1245.5</v>
      </c>
      <c r="K94">
        <v>2.63</v>
      </c>
      <c r="L94">
        <v>32.4</v>
      </c>
      <c r="M94">
        <v>9250</v>
      </c>
      <c r="N94">
        <v>115128</v>
      </c>
      <c r="O94">
        <v>74.962000000000003</v>
      </c>
      <c r="P94">
        <v>0</v>
      </c>
      <c r="Q94">
        <v>0.1</v>
      </c>
      <c r="R94">
        <v>1.4786999999999999</v>
      </c>
      <c r="S94">
        <v>1.1125</v>
      </c>
      <c r="T94">
        <v>1.7625</v>
      </c>
    </row>
    <row r="95" spans="1:22">
      <c r="A95" s="2">
        <v>46299.875</v>
      </c>
      <c r="B95">
        <v>74.069999999999993</v>
      </c>
      <c r="C95">
        <v>1953</v>
      </c>
      <c r="D95">
        <v>18.16</v>
      </c>
      <c r="E95">
        <v>329.2</v>
      </c>
      <c r="F95">
        <v>426.7</v>
      </c>
      <c r="G95">
        <v>0.05</v>
      </c>
      <c r="H95">
        <v>1.427</v>
      </c>
      <c r="I95">
        <v>249.6</v>
      </c>
      <c r="J95">
        <v>1251.5</v>
      </c>
      <c r="K95">
        <v>2.2999999999999998</v>
      </c>
      <c r="L95">
        <v>34.299999999999997</v>
      </c>
      <c r="M95">
        <v>9109</v>
      </c>
      <c r="N95">
        <v>113788</v>
      </c>
      <c r="O95">
        <v>74.783000000000001</v>
      </c>
      <c r="P95">
        <v>0</v>
      </c>
      <c r="Q95">
        <v>0.315</v>
      </c>
      <c r="R95">
        <v>1.4682999999999999</v>
      </c>
      <c r="S95">
        <v>0</v>
      </c>
      <c r="T95">
        <v>2.4249999999999998</v>
      </c>
    </row>
    <row r="96" spans="1:22">
      <c r="A96" s="2">
        <v>46299.916666666657</v>
      </c>
      <c r="B96">
        <v>74.86</v>
      </c>
      <c r="C96">
        <v>1962</v>
      </c>
      <c r="D96">
        <v>19.11</v>
      </c>
      <c r="E96">
        <v>328.9</v>
      </c>
      <c r="F96">
        <v>420.7</v>
      </c>
      <c r="G96">
        <v>0.73</v>
      </c>
      <c r="H96">
        <v>1.407</v>
      </c>
      <c r="I96">
        <v>248.7</v>
      </c>
      <c r="J96">
        <v>1262.3</v>
      </c>
      <c r="K96">
        <v>2.52</v>
      </c>
      <c r="L96">
        <v>34.5</v>
      </c>
      <c r="M96">
        <v>9283</v>
      </c>
      <c r="N96">
        <v>113754</v>
      </c>
      <c r="O96">
        <v>74.799000000000007</v>
      </c>
      <c r="P96">
        <v>0</v>
      </c>
      <c r="Q96">
        <v>0.13500000000000001</v>
      </c>
      <c r="R96">
        <v>1.4560999999999999</v>
      </c>
      <c r="S96">
        <v>0</v>
      </c>
      <c r="T96">
        <v>3.3374999999999999</v>
      </c>
    </row>
    <row r="97" spans="1:22">
      <c r="A97" s="2">
        <v>46299.958333333343</v>
      </c>
      <c r="B97">
        <v>72.98</v>
      </c>
      <c r="C97">
        <v>1929</v>
      </c>
      <c r="D97">
        <v>18.72</v>
      </c>
      <c r="E97">
        <v>315.39999999999998</v>
      </c>
      <c r="F97">
        <v>419.2</v>
      </c>
      <c r="G97">
        <v>-0.08</v>
      </c>
      <c r="H97">
        <v>1.546</v>
      </c>
      <c r="I97">
        <v>253.3</v>
      </c>
      <c r="J97">
        <v>1266</v>
      </c>
      <c r="K97">
        <v>2.79</v>
      </c>
      <c r="L97">
        <v>32.799999999999997</v>
      </c>
      <c r="M97">
        <v>9194</v>
      </c>
      <c r="N97">
        <v>115784</v>
      </c>
      <c r="O97">
        <v>74.435000000000002</v>
      </c>
      <c r="P97">
        <v>0</v>
      </c>
      <c r="Q97">
        <v>0.89500000000000002</v>
      </c>
      <c r="R97">
        <v>1.474</v>
      </c>
      <c r="S97">
        <v>0.32500000000000001</v>
      </c>
      <c r="T97">
        <v>2.5125000000000002</v>
      </c>
    </row>
    <row r="98" spans="1:22">
      <c r="A98" s="2">
        <v>46300</v>
      </c>
      <c r="B98">
        <v>74.56</v>
      </c>
      <c r="C98">
        <v>1892</v>
      </c>
      <c r="D98">
        <v>18.09</v>
      </c>
      <c r="E98">
        <v>324.89999999999998</v>
      </c>
      <c r="F98">
        <v>427.4</v>
      </c>
      <c r="G98">
        <v>0.08</v>
      </c>
      <c r="H98">
        <v>1.528</v>
      </c>
      <c r="I98">
        <v>264.3</v>
      </c>
      <c r="J98">
        <v>1266.5</v>
      </c>
      <c r="K98">
        <v>2.35</v>
      </c>
      <c r="L98">
        <v>33.4</v>
      </c>
      <c r="M98">
        <v>9254</v>
      </c>
      <c r="N98">
        <v>115628</v>
      </c>
      <c r="O98">
        <v>74.459999999999994</v>
      </c>
      <c r="P98">
        <v>0</v>
      </c>
      <c r="Q98">
        <v>0.86499999999999999</v>
      </c>
      <c r="R98">
        <v>1.4847999999999999</v>
      </c>
      <c r="S98">
        <v>0.42499999999999999</v>
      </c>
      <c r="T98">
        <v>1.9125000000000001</v>
      </c>
    </row>
    <row r="99" spans="1:22">
      <c r="A99" s="2">
        <v>46300.041666666657</v>
      </c>
      <c r="B99">
        <v>74.849999999999994</v>
      </c>
      <c r="C99">
        <v>1907</v>
      </c>
      <c r="D99">
        <v>18.420000000000002</v>
      </c>
      <c r="E99">
        <v>301.2</v>
      </c>
      <c r="F99">
        <v>417.7</v>
      </c>
      <c r="G99">
        <v>-2</v>
      </c>
      <c r="H99">
        <v>1.7290000000000001</v>
      </c>
      <c r="I99">
        <v>260.8</v>
      </c>
      <c r="J99">
        <v>1259.7</v>
      </c>
      <c r="K99">
        <v>2.4</v>
      </c>
      <c r="L99">
        <v>44.6</v>
      </c>
      <c r="M99">
        <v>9114</v>
      </c>
      <c r="N99">
        <v>117102</v>
      </c>
      <c r="O99">
        <v>74.537999999999997</v>
      </c>
      <c r="P99">
        <v>0</v>
      </c>
      <c r="Q99">
        <v>0.69</v>
      </c>
      <c r="R99">
        <v>1.5337000000000001</v>
      </c>
      <c r="S99">
        <v>3.0375000000000001</v>
      </c>
      <c r="T99">
        <v>0</v>
      </c>
    </row>
    <row r="100" spans="1:22">
      <c r="A100" s="2">
        <v>46300.083333333343</v>
      </c>
      <c r="B100">
        <v>74.78</v>
      </c>
      <c r="C100">
        <v>1954</v>
      </c>
      <c r="D100">
        <v>18.149999999999999</v>
      </c>
      <c r="E100">
        <v>333.9</v>
      </c>
      <c r="F100">
        <v>422.1</v>
      </c>
      <c r="G100">
        <v>0.92</v>
      </c>
      <c r="H100">
        <v>1.52</v>
      </c>
      <c r="I100">
        <v>236.9</v>
      </c>
      <c r="J100">
        <v>1258.2</v>
      </c>
      <c r="K100">
        <v>2.58</v>
      </c>
      <c r="L100">
        <v>38.4</v>
      </c>
      <c r="M100">
        <v>9076</v>
      </c>
      <c r="N100">
        <v>115976</v>
      </c>
      <c r="O100">
        <v>74.585999999999999</v>
      </c>
      <c r="P100">
        <v>0</v>
      </c>
      <c r="Q100">
        <v>0.55000000000000004</v>
      </c>
      <c r="R100">
        <v>1.5308999999999999</v>
      </c>
      <c r="S100">
        <v>3.0375000000000001</v>
      </c>
      <c r="T100">
        <v>0</v>
      </c>
    </row>
    <row r="101" spans="1:22">
      <c r="A101" s="2">
        <v>46300.125</v>
      </c>
      <c r="B101">
        <v>75.069999999999993</v>
      </c>
      <c r="C101">
        <v>1863</v>
      </c>
      <c r="D101">
        <v>17.95</v>
      </c>
      <c r="E101">
        <v>317.2</v>
      </c>
      <c r="F101">
        <v>422.6</v>
      </c>
      <c r="G101">
        <v>0.35</v>
      </c>
      <c r="H101">
        <v>1.5649999999999999</v>
      </c>
      <c r="I101">
        <v>256.2</v>
      </c>
      <c r="J101">
        <v>1254.7</v>
      </c>
      <c r="K101">
        <v>2.5299999999999998</v>
      </c>
      <c r="L101">
        <v>33.200000000000003</v>
      </c>
      <c r="M101">
        <v>9265</v>
      </c>
      <c r="N101">
        <v>112745</v>
      </c>
      <c r="O101">
        <v>74.683000000000007</v>
      </c>
      <c r="P101">
        <v>0</v>
      </c>
      <c r="Q101">
        <v>0.26500000000000001</v>
      </c>
      <c r="R101">
        <v>1.5377000000000001</v>
      </c>
      <c r="S101">
        <v>3.6</v>
      </c>
      <c r="T101">
        <v>0</v>
      </c>
    </row>
    <row r="102" spans="1:22">
      <c r="A102" s="2">
        <v>46300.166666666657</v>
      </c>
      <c r="B102">
        <v>73.930000000000007</v>
      </c>
      <c r="C102">
        <v>1917</v>
      </c>
      <c r="D102">
        <v>18.87</v>
      </c>
      <c r="E102">
        <v>312.2</v>
      </c>
      <c r="F102">
        <v>414.7</v>
      </c>
      <c r="G102">
        <v>1</v>
      </c>
      <c r="H102">
        <v>1.857</v>
      </c>
      <c r="I102">
        <v>245.3</v>
      </c>
      <c r="J102">
        <v>1246.2</v>
      </c>
      <c r="K102">
        <v>2.95</v>
      </c>
      <c r="L102">
        <v>65.599999999999994</v>
      </c>
      <c r="M102">
        <v>9230</v>
      </c>
      <c r="N102">
        <v>116578</v>
      </c>
      <c r="O102">
        <v>74.533000000000001</v>
      </c>
      <c r="P102">
        <v>0</v>
      </c>
      <c r="Q102">
        <v>0.55000000000000004</v>
      </c>
      <c r="R102">
        <v>1.6015999999999999</v>
      </c>
      <c r="S102">
        <v>7.8125</v>
      </c>
      <c r="T102">
        <v>0</v>
      </c>
      <c r="V102" t="s">
        <v>38</v>
      </c>
    </row>
    <row r="103" spans="1:22">
      <c r="A103" s="2">
        <v>46300.208333333343</v>
      </c>
      <c r="B103">
        <v>74.34</v>
      </c>
      <c r="C103">
        <v>1881</v>
      </c>
      <c r="D103">
        <v>19.29</v>
      </c>
      <c r="E103">
        <v>335.1</v>
      </c>
      <c r="F103">
        <v>427.9</v>
      </c>
      <c r="G103">
        <v>-2.9</v>
      </c>
      <c r="H103">
        <v>1.9159999999999999</v>
      </c>
      <c r="I103">
        <v>235.9</v>
      </c>
      <c r="J103">
        <v>1235.5999999999999</v>
      </c>
      <c r="K103">
        <v>2.97</v>
      </c>
      <c r="L103">
        <v>57.3</v>
      </c>
      <c r="M103">
        <v>9128</v>
      </c>
      <c r="N103">
        <v>113503</v>
      </c>
      <c r="O103">
        <v>74.494</v>
      </c>
      <c r="P103">
        <v>0</v>
      </c>
      <c r="Q103">
        <v>0.63</v>
      </c>
      <c r="R103">
        <v>1.6645000000000001</v>
      </c>
      <c r="S103">
        <v>12.762499999999999</v>
      </c>
      <c r="T103">
        <v>0</v>
      </c>
      <c r="V103" t="s">
        <v>38</v>
      </c>
    </row>
    <row r="104" spans="1:22">
      <c r="A104" s="2">
        <v>46300.25</v>
      </c>
      <c r="B104">
        <v>74.86</v>
      </c>
      <c r="C104">
        <v>1900</v>
      </c>
      <c r="D104">
        <v>18</v>
      </c>
      <c r="E104">
        <v>308.2</v>
      </c>
      <c r="F104">
        <v>418.6</v>
      </c>
      <c r="G104">
        <v>2.09</v>
      </c>
      <c r="H104">
        <v>2.0249999999999999</v>
      </c>
      <c r="I104">
        <v>242.9</v>
      </c>
      <c r="J104">
        <v>1233.5</v>
      </c>
      <c r="K104">
        <v>3</v>
      </c>
      <c r="L104">
        <v>69.400000000000006</v>
      </c>
      <c r="M104">
        <v>9130</v>
      </c>
      <c r="N104">
        <v>114424</v>
      </c>
      <c r="O104">
        <v>74.566999999999993</v>
      </c>
      <c r="P104">
        <v>0</v>
      </c>
      <c r="Q104">
        <v>0.45</v>
      </c>
      <c r="R104">
        <v>1.7365999999999999</v>
      </c>
      <c r="S104">
        <v>19.074999999999999</v>
      </c>
      <c r="T104">
        <v>0</v>
      </c>
      <c r="V104" t="s">
        <v>38</v>
      </c>
    </row>
    <row r="105" spans="1:22">
      <c r="A105" s="2">
        <v>46300.291666666657</v>
      </c>
      <c r="B105">
        <v>74.099999999999994</v>
      </c>
      <c r="C105">
        <v>1955</v>
      </c>
      <c r="D105">
        <v>18.82</v>
      </c>
      <c r="E105">
        <v>297.10000000000002</v>
      </c>
      <c r="F105">
        <v>414</v>
      </c>
      <c r="G105">
        <v>-0.14000000000000001</v>
      </c>
      <c r="H105">
        <v>1.9450000000000001</v>
      </c>
      <c r="I105">
        <v>252.1</v>
      </c>
      <c r="J105">
        <v>1240</v>
      </c>
      <c r="K105">
        <v>3.07</v>
      </c>
      <c r="L105">
        <v>63</v>
      </c>
      <c r="M105">
        <v>9290</v>
      </c>
      <c r="N105">
        <v>115375</v>
      </c>
      <c r="O105">
        <v>74.474000000000004</v>
      </c>
      <c r="P105">
        <v>0</v>
      </c>
      <c r="Q105">
        <v>0.65</v>
      </c>
      <c r="R105">
        <v>1.7783</v>
      </c>
      <c r="S105">
        <v>24.387499999999999</v>
      </c>
      <c r="T105">
        <v>0</v>
      </c>
      <c r="V105" t="s">
        <v>38</v>
      </c>
    </row>
    <row r="106" spans="1:22">
      <c r="A106" s="2">
        <v>46300.333333333343</v>
      </c>
      <c r="B106">
        <v>74.150000000000006</v>
      </c>
      <c r="C106">
        <v>1905</v>
      </c>
      <c r="D106">
        <v>18.36</v>
      </c>
      <c r="E106">
        <v>294.3</v>
      </c>
      <c r="F106">
        <v>424.3</v>
      </c>
      <c r="G106">
        <v>1.1100000000000001</v>
      </c>
      <c r="H106">
        <v>1.88</v>
      </c>
      <c r="I106">
        <v>242.2</v>
      </c>
      <c r="J106">
        <v>1238.5999999999999</v>
      </c>
      <c r="K106">
        <v>2.96</v>
      </c>
      <c r="L106">
        <v>59.1</v>
      </c>
      <c r="M106">
        <v>9105</v>
      </c>
      <c r="N106">
        <v>117994</v>
      </c>
      <c r="O106">
        <v>74.409000000000006</v>
      </c>
      <c r="P106">
        <v>0</v>
      </c>
      <c r="Q106">
        <v>0.82499999999999996</v>
      </c>
      <c r="R106">
        <v>1.7986</v>
      </c>
      <c r="S106">
        <v>28.887499999999999</v>
      </c>
      <c r="T106">
        <v>0</v>
      </c>
      <c r="V106" t="s">
        <v>38</v>
      </c>
    </row>
    <row r="107" spans="1:22">
      <c r="A107" s="2">
        <v>46300.375</v>
      </c>
      <c r="B107">
        <v>74.47</v>
      </c>
      <c r="C107">
        <v>1898</v>
      </c>
      <c r="D107">
        <v>18.46</v>
      </c>
      <c r="E107">
        <v>326.10000000000002</v>
      </c>
      <c r="F107">
        <v>412.8</v>
      </c>
      <c r="G107">
        <v>-1.04</v>
      </c>
      <c r="H107">
        <v>1.857</v>
      </c>
      <c r="I107">
        <v>234.5</v>
      </c>
      <c r="J107">
        <v>1236.4000000000001</v>
      </c>
      <c r="K107">
        <v>2.86</v>
      </c>
      <c r="L107">
        <v>63.6</v>
      </c>
      <c r="M107">
        <v>9331</v>
      </c>
      <c r="N107">
        <v>119665</v>
      </c>
      <c r="O107">
        <v>74.421000000000006</v>
      </c>
      <c r="P107">
        <v>0</v>
      </c>
      <c r="Q107">
        <v>0.84</v>
      </c>
      <c r="R107">
        <v>1.8103</v>
      </c>
      <c r="S107">
        <v>33.1</v>
      </c>
      <c r="T107">
        <v>0</v>
      </c>
      <c r="V107" t="s">
        <v>38</v>
      </c>
    </row>
    <row r="108" spans="1:22">
      <c r="A108" s="2">
        <v>46300.416666666657</v>
      </c>
      <c r="B108">
        <v>76.13</v>
      </c>
      <c r="C108">
        <v>1834</v>
      </c>
      <c r="D108">
        <v>18.440000000000001</v>
      </c>
      <c r="E108">
        <v>297.2</v>
      </c>
      <c r="F108">
        <v>420.2</v>
      </c>
      <c r="G108">
        <v>0.61</v>
      </c>
      <c r="H108">
        <v>1.8640000000000001</v>
      </c>
      <c r="I108">
        <v>242.5</v>
      </c>
      <c r="J108">
        <v>1245.5999999999999</v>
      </c>
      <c r="K108">
        <v>3</v>
      </c>
      <c r="L108">
        <v>47.4</v>
      </c>
      <c r="M108">
        <v>9128</v>
      </c>
      <c r="N108">
        <v>115910</v>
      </c>
      <c r="O108">
        <v>74.763000000000005</v>
      </c>
      <c r="P108">
        <v>0.315</v>
      </c>
      <c r="Q108">
        <v>2.5000000000000001E-2</v>
      </c>
      <c r="R108">
        <v>1.821</v>
      </c>
      <c r="S108">
        <v>37.4</v>
      </c>
      <c r="T108">
        <v>0</v>
      </c>
      <c r="V108" t="s">
        <v>38</v>
      </c>
    </row>
    <row r="109" spans="1:22">
      <c r="A109" s="2">
        <v>46300.458333333343</v>
      </c>
      <c r="B109">
        <v>77.41</v>
      </c>
      <c r="C109">
        <v>1928</v>
      </c>
      <c r="D109">
        <v>18.36</v>
      </c>
      <c r="E109">
        <v>342.1</v>
      </c>
      <c r="F109">
        <v>419.9</v>
      </c>
      <c r="G109">
        <v>-1.05</v>
      </c>
      <c r="H109">
        <v>1.609</v>
      </c>
      <c r="I109">
        <v>233.4</v>
      </c>
      <c r="J109">
        <v>1247.5999999999999</v>
      </c>
      <c r="K109">
        <v>3.18</v>
      </c>
      <c r="L109">
        <v>51</v>
      </c>
      <c r="M109">
        <v>9251</v>
      </c>
      <c r="N109">
        <v>114725</v>
      </c>
      <c r="O109">
        <v>75.292000000000002</v>
      </c>
      <c r="P109">
        <v>1.27</v>
      </c>
      <c r="Q109">
        <v>0</v>
      </c>
      <c r="R109">
        <v>1.7786</v>
      </c>
      <c r="S109">
        <v>38.512500000000003</v>
      </c>
      <c r="T109">
        <v>0</v>
      </c>
      <c r="V109" t="s">
        <v>38</v>
      </c>
    </row>
    <row r="110" spans="1:22">
      <c r="A110" s="2">
        <v>46300.5</v>
      </c>
      <c r="B110">
        <v>77.36</v>
      </c>
      <c r="C110">
        <v>1923</v>
      </c>
      <c r="D110">
        <v>18.760000000000002</v>
      </c>
      <c r="E110">
        <v>284</v>
      </c>
      <c r="F110">
        <v>428.7</v>
      </c>
      <c r="G110">
        <v>-0.62</v>
      </c>
      <c r="H110">
        <v>1.6779999999999999</v>
      </c>
      <c r="I110">
        <v>232.2</v>
      </c>
      <c r="J110">
        <v>1240.7</v>
      </c>
      <c r="K110">
        <v>2.88</v>
      </c>
      <c r="L110">
        <v>50.4</v>
      </c>
      <c r="M110">
        <v>9174</v>
      </c>
      <c r="N110">
        <v>115802</v>
      </c>
      <c r="O110">
        <v>75.706000000000003</v>
      </c>
      <c r="P110">
        <v>2.2000000000000002</v>
      </c>
      <c r="Q110">
        <v>0</v>
      </c>
      <c r="R110">
        <v>1.7585</v>
      </c>
      <c r="S110">
        <v>40.487499999999997</v>
      </c>
      <c r="T110">
        <v>0</v>
      </c>
      <c r="V110" t="s">
        <v>38</v>
      </c>
    </row>
    <row r="111" spans="1:22">
      <c r="A111" s="2">
        <v>46300.541666666657</v>
      </c>
      <c r="B111">
        <v>75.760000000000005</v>
      </c>
      <c r="C111">
        <v>1990</v>
      </c>
      <c r="D111">
        <v>18.440000000000001</v>
      </c>
      <c r="E111">
        <v>340</v>
      </c>
      <c r="F111">
        <v>423.8</v>
      </c>
      <c r="G111">
        <v>1.91</v>
      </c>
      <c r="H111">
        <v>1.6839999999999999</v>
      </c>
      <c r="I111">
        <v>228.5</v>
      </c>
      <c r="J111">
        <v>1251.8</v>
      </c>
      <c r="K111">
        <v>2.75</v>
      </c>
      <c r="L111">
        <v>61.1</v>
      </c>
      <c r="M111">
        <v>9248</v>
      </c>
      <c r="N111">
        <v>116331</v>
      </c>
      <c r="O111">
        <v>75.716999999999999</v>
      </c>
      <c r="P111">
        <v>2.33</v>
      </c>
      <c r="Q111">
        <v>0</v>
      </c>
      <c r="R111">
        <v>1.7436</v>
      </c>
      <c r="S111">
        <v>42.537500000000001</v>
      </c>
      <c r="T111">
        <v>0</v>
      </c>
      <c r="V111" t="s">
        <v>38</v>
      </c>
    </row>
    <row r="112" spans="1:22">
      <c r="A112" s="2">
        <v>46300.583333333343</v>
      </c>
      <c r="B112">
        <v>73.260000000000005</v>
      </c>
      <c r="C112">
        <v>1878</v>
      </c>
      <c r="D112">
        <v>18.91</v>
      </c>
      <c r="E112">
        <v>317.2</v>
      </c>
      <c r="F112">
        <v>419.8</v>
      </c>
      <c r="G112">
        <v>-0.19</v>
      </c>
      <c r="H112">
        <v>1.669</v>
      </c>
      <c r="I112">
        <v>247.6</v>
      </c>
      <c r="J112">
        <v>1230.9000000000001</v>
      </c>
      <c r="K112">
        <v>3.07</v>
      </c>
      <c r="L112">
        <v>73.900000000000006</v>
      </c>
      <c r="M112">
        <v>9156</v>
      </c>
      <c r="N112">
        <v>114519</v>
      </c>
      <c r="O112">
        <v>75.224999999999994</v>
      </c>
      <c r="P112">
        <v>1.21</v>
      </c>
      <c r="Q112">
        <v>0.62</v>
      </c>
      <c r="R112">
        <v>1.7286999999999999</v>
      </c>
      <c r="S112">
        <v>44.4</v>
      </c>
      <c r="T112">
        <v>0</v>
      </c>
      <c r="V112" t="s">
        <v>38</v>
      </c>
    </row>
    <row r="113" spans="1:22">
      <c r="A113" s="2">
        <v>46300.625</v>
      </c>
      <c r="B113">
        <v>74.510000000000005</v>
      </c>
      <c r="C113">
        <v>1901</v>
      </c>
      <c r="D113">
        <v>18.809999999999999</v>
      </c>
      <c r="E113">
        <v>311.89999999999998</v>
      </c>
      <c r="F113">
        <v>426.5</v>
      </c>
      <c r="G113">
        <v>0.22</v>
      </c>
      <c r="H113">
        <v>1.752</v>
      </c>
      <c r="I113">
        <v>223.8</v>
      </c>
      <c r="J113">
        <v>1238.5</v>
      </c>
      <c r="K113">
        <v>2.88</v>
      </c>
      <c r="L113">
        <v>77.900000000000006</v>
      </c>
      <c r="M113">
        <v>9187</v>
      </c>
      <c r="N113">
        <v>117693</v>
      </c>
      <c r="O113">
        <v>75.081999999999994</v>
      </c>
      <c r="P113">
        <v>0.71499999999999997</v>
      </c>
      <c r="Q113">
        <v>0.61499999999999999</v>
      </c>
      <c r="R113">
        <v>1.7333000000000001</v>
      </c>
      <c r="S113">
        <v>47.3</v>
      </c>
      <c r="T113">
        <v>0</v>
      </c>
      <c r="V113" t="s">
        <v>38</v>
      </c>
    </row>
    <row r="114" spans="1:22">
      <c r="A114" s="2">
        <v>46300.666666666657</v>
      </c>
      <c r="B114">
        <v>75.33</v>
      </c>
      <c r="C114">
        <v>1902</v>
      </c>
      <c r="D114">
        <v>18.760000000000002</v>
      </c>
      <c r="E114">
        <v>304.60000000000002</v>
      </c>
      <c r="F114">
        <v>431.1</v>
      </c>
      <c r="G114">
        <v>0.87</v>
      </c>
      <c r="H114">
        <v>1.8220000000000001</v>
      </c>
      <c r="I114">
        <v>247.3</v>
      </c>
      <c r="J114">
        <v>1234.3</v>
      </c>
      <c r="K114">
        <v>2.57</v>
      </c>
      <c r="L114">
        <v>65.099999999999994</v>
      </c>
      <c r="M114">
        <v>9203</v>
      </c>
      <c r="N114">
        <v>115345</v>
      </c>
      <c r="O114">
        <v>75.132000000000005</v>
      </c>
      <c r="P114">
        <v>0.63</v>
      </c>
      <c r="Q114">
        <v>0.2</v>
      </c>
      <c r="R114">
        <v>1.7511000000000001</v>
      </c>
      <c r="S114">
        <v>51.075000000000003</v>
      </c>
      <c r="T114">
        <v>0</v>
      </c>
      <c r="V114" t="s">
        <v>38</v>
      </c>
    </row>
    <row r="115" spans="1:22">
      <c r="A115" s="2">
        <v>46300.708333333343</v>
      </c>
      <c r="B115">
        <v>77.97</v>
      </c>
      <c r="C115">
        <v>1961</v>
      </c>
      <c r="D115">
        <v>18.53</v>
      </c>
      <c r="E115">
        <v>318.2</v>
      </c>
      <c r="F115">
        <v>424.5</v>
      </c>
      <c r="G115">
        <v>0.5</v>
      </c>
      <c r="H115">
        <v>1.8420000000000001</v>
      </c>
      <c r="I115">
        <v>237</v>
      </c>
      <c r="J115">
        <v>1225.0999999999999</v>
      </c>
      <c r="K115">
        <v>3.03</v>
      </c>
      <c r="L115">
        <v>64</v>
      </c>
      <c r="M115">
        <v>9120</v>
      </c>
      <c r="N115">
        <v>115747</v>
      </c>
      <c r="O115">
        <v>75.698999999999998</v>
      </c>
      <c r="P115">
        <v>1.865</v>
      </c>
      <c r="Q115">
        <v>0</v>
      </c>
      <c r="R115">
        <v>1.7693000000000001</v>
      </c>
      <c r="S115">
        <v>55.1</v>
      </c>
      <c r="T115">
        <v>0</v>
      </c>
      <c r="V115" t="s">
        <v>38</v>
      </c>
    </row>
    <row r="116" spans="1:22">
      <c r="A116" s="2">
        <v>46300.75</v>
      </c>
      <c r="B116">
        <v>76.650000000000006</v>
      </c>
      <c r="C116">
        <v>1885</v>
      </c>
      <c r="D116">
        <v>18.690000000000001</v>
      </c>
      <c r="E116">
        <v>311</v>
      </c>
      <c r="F116">
        <v>420.1</v>
      </c>
      <c r="G116">
        <v>0.15</v>
      </c>
      <c r="H116">
        <v>1.8120000000000001</v>
      </c>
      <c r="I116">
        <v>218</v>
      </c>
      <c r="J116">
        <v>1239.3</v>
      </c>
      <c r="K116">
        <v>2.82</v>
      </c>
      <c r="L116">
        <v>45.6</v>
      </c>
      <c r="M116">
        <v>9259</v>
      </c>
      <c r="N116">
        <v>115999</v>
      </c>
      <c r="O116">
        <v>75.89</v>
      </c>
      <c r="P116">
        <v>2.44</v>
      </c>
      <c r="Q116">
        <v>0</v>
      </c>
      <c r="R116">
        <v>1.7778</v>
      </c>
      <c r="S116">
        <v>58.75</v>
      </c>
      <c r="T116">
        <v>0</v>
      </c>
      <c r="V116" t="s">
        <v>38</v>
      </c>
    </row>
    <row r="117" spans="1:22">
      <c r="A117" s="2">
        <v>46300.791666666657</v>
      </c>
      <c r="B117">
        <v>76.459999999999994</v>
      </c>
      <c r="C117">
        <v>1901</v>
      </c>
      <c r="D117">
        <v>19.25</v>
      </c>
      <c r="E117">
        <v>327.5</v>
      </c>
      <c r="F117">
        <v>409.5</v>
      </c>
      <c r="G117">
        <v>0.36</v>
      </c>
      <c r="H117">
        <v>1.82</v>
      </c>
      <c r="I117">
        <v>235.7</v>
      </c>
      <c r="J117">
        <v>1239</v>
      </c>
      <c r="K117">
        <v>2.89</v>
      </c>
      <c r="L117">
        <v>55.7</v>
      </c>
      <c r="M117">
        <v>9159</v>
      </c>
      <c r="N117">
        <v>115632</v>
      </c>
      <c r="O117">
        <v>76.004000000000005</v>
      </c>
      <c r="P117">
        <v>2.92</v>
      </c>
      <c r="Q117">
        <v>0</v>
      </c>
      <c r="R117">
        <v>1.7862</v>
      </c>
      <c r="S117">
        <v>62.5</v>
      </c>
      <c r="T117">
        <v>0</v>
      </c>
      <c r="V117" t="s">
        <v>38</v>
      </c>
    </row>
    <row r="118" spans="1:22">
      <c r="A118" s="2">
        <v>46300.833333333343</v>
      </c>
      <c r="B118">
        <v>76.3</v>
      </c>
      <c r="C118">
        <v>1915</v>
      </c>
      <c r="D118">
        <v>19.18</v>
      </c>
      <c r="E118">
        <v>312.10000000000002</v>
      </c>
      <c r="F118">
        <v>411.5</v>
      </c>
      <c r="G118">
        <v>2.4</v>
      </c>
      <c r="H118">
        <v>1.663</v>
      </c>
      <c r="I118">
        <v>211</v>
      </c>
      <c r="J118">
        <v>1252.0999999999999</v>
      </c>
      <c r="K118">
        <v>2.95</v>
      </c>
      <c r="L118">
        <v>53.7</v>
      </c>
      <c r="M118">
        <v>9182</v>
      </c>
      <c r="N118">
        <v>116258</v>
      </c>
      <c r="O118">
        <v>76.063000000000002</v>
      </c>
      <c r="P118">
        <v>3.32</v>
      </c>
      <c r="Q118">
        <v>0</v>
      </c>
      <c r="R118">
        <v>1.7616000000000001</v>
      </c>
      <c r="S118">
        <v>64.287499999999994</v>
      </c>
      <c r="T118">
        <v>0</v>
      </c>
      <c r="V118" t="s">
        <v>38</v>
      </c>
    </row>
    <row r="119" spans="1:22">
      <c r="A119" s="2">
        <v>46300.875</v>
      </c>
      <c r="B119">
        <v>75.09</v>
      </c>
      <c r="C119">
        <v>1895</v>
      </c>
      <c r="D119">
        <v>18.62</v>
      </c>
      <c r="E119">
        <v>312.10000000000002</v>
      </c>
      <c r="F119">
        <v>417.6</v>
      </c>
      <c r="G119">
        <v>-0.06</v>
      </c>
      <c r="H119">
        <v>1.66</v>
      </c>
      <c r="I119">
        <v>238.3</v>
      </c>
      <c r="J119">
        <v>1245</v>
      </c>
      <c r="K119">
        <v>2.93</v>
      </c>
      <c r="L119">
        <v>55</v>
      </c>
      <c r="M119">
        <v>9120</v>
      </c>
      <c r="N119">
        <v>114074</v>
      </c>
      <c r="O119">
        <v>75.867999999999995</v>
      </c>
      <c r="P119">
        <v>3.1150000000000002</v>
      </c>
      <c r="Q119">
        <v>0</v>
      </c>
      <c r="R119">
        <v>1.7413000000000001</v>
      </c>
      <c r="S119">
        <v>66.037499999999994</v>
      </c>
      <c r="T119">
        <v>0</v>
      </c>
      <c r="V119" t="s">
        <v>38</v>
      </c>
    </row>
    <row r="120" spans="1:22">
      <c r="A120" s="2">
        <v>46300.916666666657</v>
      </c>
      <c r="B120">
        <v>75.38</v>
      </c>
      <c r="C120">
        <v>1866</v>
      </c>
      <c r="D120">
        <v>19.079999999999998</v>
      </c>
      <c r="E120">
        <v>303.7</v>
      </c>
      <c r="F120">
        <v>415.1</v>
      </c>
      <c r="G120">
        <v>0.2</v>
      </c>
      <c r="H120">
        <v>1.669</v>
      </c>
      <c r="I120">
        <v>240.9</v>
      </c>
      <c r="J120">
        <v>1231.8</v>
      </c>
      <c r="K120">
        <v>3.01</v>
      </c>
      <c r="L120">
        <v>58.7</v>
      </c>
      <c r="M120">
        <v>8995</v>
      </c>
      <c r="N120">
        <v>114163</v>
      </c>
      <c r="O120">
        <v>75.771000000000001</v>
      </c>
      <c r="P120">
        <v>3.0550000000000002</v>
      </c>
      <c r="Q120">
        <v>0</v>
      </c>
      <c r="R120">
        <v>1.7267999999999999</v>
      </c>
      <c r="S120">
        <v>67.900000000000006</v>
      </c>
      <c r="T120">
        <v>0</v>
      </c>
      <c r="V120" t="s">
        <v>38</v>
      </c>
    </row>
    <row r="121" spans="1:22">
      <c r="A121" s="2">
        <v>46300.958333333343</v>
      </c>
      <c r="B121">
        <v>76.2</v>
      </c>
      <c r="C121">
        <v>1894</v>
      </c>
      <c r="D121">
        <v>19.37</v>
      </c>
      <c r="E121">
        <v>307.7</v>
      </c>
      <c r="F121">
        <v>418.5</v>
      </c>
      <c r="G121">
        <v>1.05</v>
      </c>
      <c r="H121">
        <v>1.54</v>
      </c>
      <c r="I121">
        <v>226.1</v>
      </c>
      <c r="J121">
        <v>1254.8</v>
      </c>
      <c r="K121">
        <v>2.83</v>
      </c>
      <c r="L121">
        <v>56.2</v>
      </c>
      <c r="M121">
        <v>9185</v>
      </c>
      <c r="N121">
        <v>113350</v>
      </c>
      <c r="O121">
        <v>75.856999999999999</v>
      </c>
      <c r="P121">
        <v>3.4049999999999998</v>
      </c>
      <c r="Q121">
        <v>0</v>
      </c>
      <c r="R121">
        <v>1.6895</v>
      </c>
      <c r="S121">
        <v>68.150000000000006</v>
      </c>
      <c r="T121">
        <v>0</v>
      </c>
      <c r="V121" t="s">
        <v>38</v>
      </c>
    </row>
    <row r="122" spans="1:22">
      <c r="A122" s="2">
        <v>46301</v>
      </c>
      <c r="B122">
        <v>76.400000000000006</v>
      </c>
      <c r="C122">
        <v>1932</v>
      </c>
      <c r="D122">
        <v>18.43</v>
      </c>
      <c r="E122">
        <v>312.60000000000002</v>
      </c>
      <c r="F122">
        <v>420.5</v>
      </c>
      <c r="G122">
        <v>1.1100000000000001</v>
      </c>
      <c r="H122">
        <v>1.7010000000000001</v>
      </c>
      <c r="I122">
        <v>233.2</v>
      </c>
      <c r="J122">
        <v>1249.8</v>
      </c>
      <c r="K122">
        <v>2.98</v>
      </c>
      <c r="L122">
        <v>44.2</v>
      </c>
      <c r="M122">
        <v>9393</v>
      </c>
      <c r="N122">
        <v>115659</v>
      </c>
      <c r="O122">
        <v>75.965000000000003</v>
      </c>
      <c r="P122">
        <v>3.855</v>
      </c>
      <c r="Q122">
        <v>0</v>
      </c>
      <c r="R122">
        <v>1.6918</v>
      </c>
      <c r="S122">
        <v>70.412499999999994</v>
      </c>
      <c r="T122">
        <v>0</v>
      </c>
      <c r="V122" t="s">
        <v>38</v>
      </c>
    </row>
    <row r="123" spans="1:22">
      <c r="A123" s="2">
        <v>46301.041666666657</v>
      </c>
      <c r="B123">
        <v>75.52</v>
      </c>
      <c r="C123">
        <v>1837</v>
      </c>
      <c r="D123">
        <v>19.350000000000001</v>
      </c>
      <c r="E123">
        <v>281.7</v>
      </c>
      <c r="F123">
        <v>424.2</v>
      </c>
      <c r="G123">
        <v>1.19</v>
      </c>
      <c r="H123">
        <v>1.738</v>
      </c>
      <c r="I123">
        <v>251.5</v>
      </c>
      <c r="J123">
        <v>1244.7</v>
      </c>
      <c r="K123">
        <v>2.86</v>
      </c>
      <c r="L123">
        <v>66</v>
      </c>
      <c r="M123">
        <v>9263</v>
      </c>
      <c r="N123">
        <v>116168</v>
      </c>
      <c r="O123">
        <v>75.876000000000005</v>
      </c>
      <c r="P123">
        <v>3.8650000000000002</v>
      </c>
      <c r="Q123">
        <v>0</v>
      </c>
      <c r="R123">
        <v>1.7010000000000001</v>
      </c>
      <c r="S123">
        <v>73.137500000000003</v>
      </c>
      <c r="T123">
        <v>0</v>
      </c>
      <c r="V123" t="s">
        <v>38</v>
      </c>
    </row>
    <row r="124" spans="1:22">
      <c r="A124" s="2">
        <v>46301.083333333343</v>
      </c>
      <c r="B124">
        <v>78.540000000000006</v>
      </c>
      <c r="C124">
        <v>1888</v>
      </c>
      <c r="D124">
        <v>18.89</v>
      </c>
      <c r="E124">
        <v>286.60000000000002</v>
      </c>
      <c r="F124">
        <v>419.4</v>
      </c>
      <c r="G124">
        <v>0.64</v>
      </c>
      <c r="H124">
        <v>1.756</v>
      </c>
      <c r="I124">
        <v>226.9</v>
      </c>
      <c r="J124">
        <v>1238.2</v>
      </c>
      <c r="K124">
        <v>3.01</v>
      </c>
      <c r="L124">
        <v>51.4</v>
      </c>
      <c r="M124">
        <v>9198</v>
      </c>
      <c r="N124">
        <v>115687</v>
      </c>
      <c r="O124">
        <v>76.409000000000006</v>
      </c>
      <c r="P124">
        <v>5.3849999999999998</v>
      </c>
      <c r="Q124">
        <v>0</v>
      </c>
      <c r="R124">
        <v>1.712</v>
      </c>
      <c r="S124">
        <v>76.087500000000006</v>
      </c>
      <c r="T124">
        <v>0</v>
      </c>
      <c r="U124" t="s">
        <v>38</v>
      </c>
      <c r="V124" t="s">
        <v>38</v>
      </c>
    </row>
    <row r="125" spans="1:22">
      <c r="A125" s="2">
        <v>46301.125</v>
      </c>
      <c r="B125">
        <v>76.39</v>
      </c>
      <c r="C125">
        <v>1850</v>
      </c>
      <c r="D125">
        <v>19.420000000000002</v>
      </c>
      <c r="E125">
        <v>317.3</v>
      </c>
      <c r="F125">
        <v>423.9</v>
      </c>
      <c r="G125">
        <v>-1.1399999999999999</v>
      </c>
      <c r="H125">
        <v>1.9179999999999999</v>
      </c>
      <c r="I125">
        <v>221.4</v>
      </c>
      <c r="J125">
        <v>1232.3</v>
      </c>
      <c r="K125">
        <v>2.99</v>
      </c>
      <c r="L125">
        <v>61.9</v>
      </c>
      <c r="M125">
        <v>9179</v>
      </c>
      <c r="N125">
        <v>117512</v>
      </c>
      <c r="O125">
        <v>76.405000000000001</v>
      </c>
      <c r="P125">
        <v>5.83</v>
      </c>
      <c r="Q125">
        <v>0</v>
      </c>
      <c r="R125">
        <v>1.7532000000000001</v>
      </c>
      <c r="S125">
        <v>81.0625</v>
      </c>
      <c r="T125">
        <v>0</v>
      </c>
      <c r="U125" t="s">
        <v>38</v>
      </c>
      <c r="V125" t="s">
        <v>38</v>
      </c>
    </row>
    <row r="126" spans="1:22">
      <c r="A126" s="2">
        <v>46301.166666666657</v>
      </c>
      <c r="B126">
        <v>76.680000000000007</v>
      </c>
      <c r="C126">
        <v>1935</v>
      </c>
      <c r="D126">
        <v>18.91</v>
      </c>
      <c r="E126">
        <v>308.2</v>
      </c>
      <c r="F126">
        <v>420.5</v>
      </c>
      <c r="G126">
        <v>1.63</v>
      </c>
      <c r="H126">
        <v>1.538</v>
      </c>
      <c r="I126">
        <v>246.8</v>
      </c>
      <c r="J126">
        <v>1237</v>
      </c>
      <c r="K126">
        <v>2.76</v>
      </c>
      <c r="L126">
        <v>76.599999999999994</v>
      </c>
      <c r="M126">
        <v>9202</v>
      </c>
      <c r="N126">
        <v>114992</v>
      </c>
      <c r="O126">
        <v>76.459999999999994</v>
      </c>
      <c r="P126">
        <v>6.42</v>
      </c>
      <c r="Q126">
        <v>0</v>
      </c>
      <c r="R126">
        <v>1.7101999999999999</v>
      </c>
      <c r="S126">
        <v>81.287499999999994</v>
      </c>
      <c r="T126">
        <v>0</v>
      </c>
      <c r="U126" t="s">
        <v>38</v>
      </c>
      <c r="V126" t="s">
        <v>38</v>
      </c>
    </row>
    <row r="127" spans="1:22">
      <c r="A127" s="2">
        <v>46301.208333333343</v>
      </c>
      <c r="B127">
        <v>78.930000000000007</v>
      </c>
      <c r="C127">
        <v>1811</v>
      </c>
      <c r="D127">
        <v>18.53</v>
      </c>
      <c r="E127">
        <v>302.2</v>
      </c>
      <c r="F127">
        <v>404.2</v>
      </c>
      <c r="G127">
        <v>-1.1499999999999999</v>
      </c>
      <c r="H127">
        <v>1.7509999999999999</v>
      </c>
      <c r="I127">
        <v>251.6</v>
      </c>
      <c r="J127">
        <v>1248.7</v>
      </c>
      <c r="K127">
        <v>3.06</v>
      </c>
      <c r="L127">
        <v>52.6</v>
      </c>
      <c r="M127">
        <v>9244</v>
      </c>
      <c r="N127">
        <v>116003</v>
      </c>
      <c r="O127">
        <v>76.953999999999994</v>
      </c>
      <c r="P127">
        <v>8.1349999999999998</v>
      </c>
      <c r="Q127">
        <v>0</v>
      </c>
      <c r="R127">
        <v>1.7182999999999999</v>
      </c>
      <c r="S127">
        <v>84.174999999999997</v>
      </c>
      <c r="T127">
        <v>0</v>
      </c>
      <c r="U127" t="s">
        <v>38</v>
      </c>
      <c r="V127" t="s">
        <v>38</v>
      </c>
    </row>
    <row r="128" spans="1:22">
      <c r="A128" s="2">
        <v>46301.25</v>
      </c>
      <c r="B128">
        <v>77.099999999999994</v>
      </c>
      <c r="C128">
        <v>1854</v>
      </c>
      <c r="D128">
        <v>18.63</v>
      </c>
      <c r="E128">
        <v>304.7</v>
      </c>
      <c r="F128">
        <v>412.5</v>
      </c>
      <c r="G128">
        <v>0.3</v>
      </c>
      <c r="H128">
        <v>1.89</v>
      </c>
      <c r="I128">
        <v>232</v>
      </c>
      <c r="J128">
        <v>1255.0999999999999</v>
      </c>
      <c r="K128">
        <v>2.82</v>
      </c>
      <c r="L128">
        <v>39.799999999999997</v>
      </c>
      <c r="M128">
        <v>9106</v>
      </c>
      <c r="N128">
        <v>113362</v>
      </c>
      <c r="O128">
        <v>76.983000000000004</v>
      </c>
      <c r="P128">
        <v>8.9350000000000005</v>
      </c>
      <c r="Q128">
        <v>0</v>
      </c>
      <c r="R128">
        <v>1.7526999999999999</v>
      </c>
      <c r="S128">
        <v>88.8</v>
      </c>
      <c r="T128">
        <v>0</v>
      </c>
      <c r="U128" t="s">
        <v>38</v>
      </c>
      <c r="V128" t="s">
        <v>38</v>
      </c>
    </row>
    <row r="129" spans="1:22">
      <c r="A129" s="2">
        <v>46301.291666666657</v>
      </c>
      <c r="B129">
        <v>76.47</v>
      </c>
      <c r="C129">
        <v>1895</v>
      </c>
      <c r="D129">
        <v>19.329999999999998</v>
      </c>
      <c r="E129">
        <v>309</v>
      </c>
      <c r="F129">
        <v>418.8</v>
      </c>
      <c r="G129">
        <v>-0.75</v>
      </c>
      <c r="H129">
        <v>1.81</v>
      </c>
      <c r="I129">
        <v>242.1</v>
      </c>
      <c r="J129">
        <v>1252.3</v>
      </c>
      <c r="K129">
        <v>3.02</v>
      </c>
      <c r="L129">
        <v>57.7</v>
      </c>
      <c r="M129">
        <v>9289</v>
      </c>
      <c r="N129">
        <v>114419</v>
      </c>
      <c r="O129">
        <v>76.881</v>
      </c>
      <c r="P129">
        <v>9.42</v>
      </c>
      <c r="Q129">
        <v>0</v>
      </c>
      <c r="R129">
        <v>1.7641</v>
      </c>
      <c r="S129">
        <v>92.424999999999997</v>
      </c>
      <c r="T129">
        <v>0</v>
      </c>
      <c r="U129" t="s">
        <v>38</v>
      </c>
      <c r="V129" t="s">
        <v>38</v>
      </c>
    </row>
    <row r="130" spans="1:22">
      <c r="A130" s="2">
        <v>46301.333333333343</v>
      </c>
      <c r="B130">
        <v>76.84</v>
      </c>
      <c r="C130">
        <v>1948</v>
      </c>
      <c r="D130">
        <v>19.440000000000001</v>
      </c>
      <c r="E130">
        <v>295.10000000000002</v>
      </c>
      <c r="F130">
        <v>410.3</v>
      </c>
      <c r="G130">
        <v>-0.06</v>
      </c>
      <c r="H130">
        <v>1.732</v>
      </c>
      <c r="I130">
        <v>245.4</v>
      </c>
      <c r="J130">
        <v>1236.0999999999999</v>
      </c>
      <c r="K130">
        <v>2.96</v>
      </c>
      <c r="L130">
        <v>68.8</v>
      </c>
      <c r="M130">
        <v>9257</v>
      </c>
      <c r="N130">
        <v>116043</v>
      </c>
      <c r="O130">
        <v>76.873000000000005</v>
      </c>
      <c r="P130">
        <v>10.09</v>
      </c>
      <c r="Q130">
        <v>0</v>
      </c>
      <c r="R130">
        <v>1.7577</v>
      </c>
      <c r="S130">
        <v>95.075000000000003</v>
      </c>
      <c r="T130">
        <v>0</v>
      </c>
      <c r="U130" t="s">
        <v>38</v>
      </c>
      <c r="V130" t="s">
        <v>38</v>
      </c>
    </row>
    <row r="131" spans="1:22">
      <c r="A131" s="2">
        <v>46301.375</v>
      </c>
      <c r="B131">
        <v>77.239999999999995</v>
      </c>
      <c r="C131">
        <v>1874</v>
      </c>
      <c r="D131">
        <v>19.010000000000002</v>
      </c>
      <c r="E131">
        <v>290.89999999999998</v>
      </c>
      <c r="F131">
        <v>424.8</v>
      </c>
      <c r="G131">
        <v>0.33</v>
      </c>
      <c r="H131">
        <v>1.6739999999999999</v>
      </c>
      <c r="I131">
        <v>224.6</v>
      </c>
      <c r="J131">
        <v>1231</v>
      </c>
      <c r="K131">
        <v>3.18</v>
      </c>
      <c r="L131">
        <v>75.7</v>
      </c>
      <c r="M131">
        <v>9257</v>
      </c>
      <c r="N131">
        <v>116274</v>
      </c>
      <c r="O131">
        <v>76.945999999999998</v>
      </c>
      <c r="P131">
        <v>10.96</v>
      </c>
      <c r="Q131">
        <v>0</v>
      </c>
      <c r="R131">
        <v>1.7410000000000001</v>
      </c>
      <c r="S131">
        <v>97</v>
      </c>
      <c r="T131">
        <v>0</v>
      </c>
      <c r="U131" t="s">
        <v>38</v>
      </c>
      <c r="V131" t="s">
        <v>38</v>
      </c>
    </row>
    <row r="132" spans="1:22">
      <c r="A132" s="2">
        <v>46301.416666666657</v>
      </c>
      <c r="B132">
        <v>74.959999999999994</v>
      </c>
      <c r="C132">
        <v>1851</v>
      </c>
      <c r="D132">
        <v>19.66</v>
      </c>
      <c r="E132">
        <v>304.89999999999998</v>
      </c>
      <c r="F132">
        <v>432.2</v>
      </c>
      <c r="G132">
        <v>0.32</v>
      </c>
      <c r="H132">
        <v>1.669</v>
      </c>
      <c r="I132">
        <v>227.1</v>
      </c>
      <c r="J132">
        <v>1241.0999999999999</v>
      </c>
      <c r="K132">
        <v>2.87</v>
      </c>
      <c r="L132">
        <v>50.2</v>
      </c>
      <c r="M132">
        <v>9235</v>
      </c>
      <c r="N132">
        <v>114559</v>
      </c>
      <c r="O132">
        <v>76.549000000000007</v>
      </c>
      <c r="P132">
        <v>10.69</v>
      </c>
      <c r="Q132">
        <v>0</v>
      </c>
      <c r="R132">
        <v>1.7265999999999999</v>
      </c>
      <c r="S132">
        <v>98.862499999999997</v>
      </c>
      <c r="T132">
        <v>0</v>
      </c>
      <c r="U132" t="s">
        <v>38</v>
      </c>
      <c r="V132" t="s">
        <v>38</v>
      </c>
    </row>
    <row r="133" spans="1:22">
      <c r="A133" s="2">
        <v>46301.458333333343</v>
      </c>
      <c r="B133">
        <v>75.98</v>
      </c>
      <c r="C133">
        <v>1960</v>
      </c>
      <c r="D133">
        <v>18.77</v>
      </c>
      <c r="E133">
        <v>286.7</v>
      </c>
      <c r="F133">
        <v>429.8</v>
      </c>
      <c r="G133">
        <v>0.42</v>
      </c>
      <c r="H133">
        <v>1.7150000000000001</v>
      </c>
      <c r="I133">
        <v>244.3</v>
      </c>
      <c r="J133">
        <v>1225.9000000000001</v>
      </c>
      <c r="K133">
        <v>2.85</v>
      </c>
      <c r="L133">
        <v>64</v>
      </c>
      <c r="M133">
        <v>9202</v>
      </c>
      <c r="N133">
        <v>114893</v>
      </c>
      <c r="O133">
        <v>76.435000000000002</v>
      </c>
      <c r="P133">
        <v>10.93</v>
      </c>
      <c r="Q133">
        <v>0</v>
      </c>
      <c r="R133">
        <v>1.7242999999999999</v>
      </c>
      <c r="S133">
        <v>101.3</v>
      </c>
      <c r="T133">
        <v>0</v>
      </c>
      <c r="U133" t="s">
        <v>38</v>
      </c>
      <c r="V133" t="s">
        <v>38</v>
      </c>
    </row>
    <row r="134" spans="1:22">
      <c r="A134" s="2">
        <v>46301.5</v>
      </c>
      <c r="B134">
        <v>74.849999999999994</v>
      </c>
      <c r="C134">
        <v>1809</v>
      </c>
      <c r="D134">
        <v>19.43</v>
      </c>
      <c r="E134">
        <v>306.89999999999998</v>
      </c>
      <c r="F134">
        <v>418.3</v>
      </c>
      <c r="G134">
        <v>1.61</v>
      </c>
      <c r="H134">
        <v>1.857</v>
      </c>
      <c r="I134">
        <v>248.9</v>
      </c>
      <c r="J134">
        <v>1242.5999999999999</v>
      </c>
      <c r="K134">
        <v>2.9</v>
      </c>
      <c r="L134">
        <v>56.3</v>
      </c>
      <c r="M134">
        <v>9254</v>
      </c>
      <c r="N134">
        <v>112723</v>
      </c>
      <c r="O134">
        <v>76.117999999999995</v>
      </c>
      <c r="P134">
        <v>10.605</v>
      </c>
      <c r="Q134">
        <v>0</v>
      </c>
      <c r="R134">
        <v>1.7507999999999999</v>
      </c>
      <c r="S134">
        <v>105.5125</v>
      </c>
      <c r="T134">
        <v>0</v>
      </c>
      <c r="U134" t="s">
        <v>38</v>
      </c>
      <c r="V134" t="s">
        <v>38</v>
      </c>
    </row>
    <row r="135" spans="1:22">
      <c r="A135" s="2">
        <v>46301.541666666657</v>
      </c>
      <c r="B135">
        <v>76.37</v>
      </c>
      <c r="C135">
        <v>1775</v>
      </c>
      <c r="D135">
        <v>19.010000000000002</v>
      </c>
      <c r="E135">
        <v>274.7</v>
      </c>
      <c r="F135">
        <v>431.9</v>
      </c>
      <c r="G135">
        <v>0.45</v>
      </c>
      <c r="H135">
        <v>1.7689999999999999</v>
      </c>
      <c r="I135">
        <v>237.6</v>
      </c>
      <c r="J135">
        <v>1238.8</v>
      </c>
      <c r="K135">
        <v>2.85</v>
      </c>
      <c r="L135">
        <v>59.2</v>
      </c>
      <c r="M135">
        <v>9247</v>
      </c>
      <c r="N135">
        <v>114464</v>
      </c>
      <c r="O135">
        <v>76.168000000000006</v>
      </c>
      <c r="P135">
        <v>11.04</v>
      </c>
      <c r="Q135">
        <v>0</v>
      </c>
      <c r="R135">
        <v>1.7544</v>
      </c>
      <c r="S135">
        <v>108.625</v>
      </c>
      <c r="T135">
        <v>0</v>
      </c>
      <c r="U135" t="s">
        <v>38</v>
      </c>
      <c r="V135" t="s">
        <v>38</v>
      </c>
    </row>
    <row r="136" spans="1:22">
      <c r="A136" s="2">
        <v>46301.583333333343</v>
      </c>
      <c r="B136">
        <v>75.239999999999995</v>
      </c>
      <c r="C136">
        <v>1893</v>
      </c>
      <c r="D136">
        <v>19.260000000000002</v>
      </c>
      <c r="E136">
        <v>315</v>
      </c>
      <c r="F136">
        <v>421.2</v>
      </c>
      <c r="G136">
        <v>-0.24</v>
      </c>
      <c r="H136">
        <v>1.7390000000000001</v>
      </c>
      <c r="I136">
        <v>223.2</v>
      </c>
      <c r="J136">
        <v>1236.3</v>
      </c>
      <c r="K136">
        <v>3.02</v>
      </c>
      <c r="L136">
        <v>81.2</v>
      </c>
      <c r="M136">
        <v>9172</v>
      </c>
      <c r="N136">
        <v>116336</v>
      </c>
      <c r="O136">
        <v>75.983000000000004</v>
      </c>
      <c r="P136">
        <v>10.91</v>
      </c>
      <c r="Q136">
        <v>0</v>
      </c>
      <c r="R136">
        <v>1.7514000000000001</v>
      </c>
      <c r="S136">
        <v>111.3625</v>
      </c>
      <c r="T136">
        <v>0</v>
      </c>
      <c r="U136" t="s">
        <v>38</v>
      </c>
      <c r="V136" t="s">
        <v>38</v>
      </c>
    </row>
    <row r="137" spans="1:22">
      <c r="A137" s="2">
        <v>46301.625</v>
      </c>
      <c r="B137">
        <v>77.11</v>
      </c>
      <c r="C137">
        <v>1849</v>
      </c>
      <c r="D137">
        <v>19.57</v>
      </c>
      <c r="E137">
        <v>306.10000000000002</v>
      </c>
      <c r="F137">
        <v>417.3</v>
      </c>
      <c r="G137">
        <v>0.96</v>
      </c>
      <c r="H137">
        <v>1.599</v>
      </c>
      <c r="I137">
        <v>251.9</v>
      </c>
      <c r="J137">
        <v>1227.2</v>
      </c>
      <c r="K137">
        <v>2.66</v>
      </c>
      <c r="L137">
        <v>48</v>
      </c>
      <c r="M137">
        <v>9154</v>
      </c>
      <c r="N137">
        <v>115863</v>
      </c>
      <c r="O137">
        <v>76.207999999999998</v>
      </c>
      <c r="P137">
        <v>11.715</v>
      </c>
      <c r="Q137">
        <v>0</v>
      </c>
      <c r="R137">
        <v>1.7209000000000001</v>
      </c>
      <c r="S137">
        <v>112.35</v>
      </c>
      <c r="T137">
        <v>0</v>
      </c>
      <c r="U137" t="s">
        <v>38</v>
      </c>
      <c r="V137" t="s">
        <v>38</v>
      </c>
    </row>
    <row r="138" spans="1:22">
      <c r="A138" s="2">
        <v>46301.666666666657</v>
      </c>
      <c r="B138">
        <v>76.13</v>
      </c>
      <c r="C138">
        <v>1825</v>
      </c>
      <c r="D138">
        <v>19.239999999999998</v>
      </c>
      <c r="E138">
        <v>302.2</v>
      </c>
      <c r="F138">
        <v>415.1</v>
      </c>
      <c r="G138">
        <v>1.19</v>
      </c>
      <c r="H138">
        <v>1.645</v>
      </c>
      <c r="I138">
        <v>226.7</v>
      </c>
      <c r="J138">
        <v>1244.0999999999999</v>
      </c>
      <c r="K138">
        <v>2.74</v>
      </c>
      <c r="L138">
        <v>62</v>
      </c>
      <c r="M138">
        <v>9208</v>
      </c>
      <c r="N138">
        <v>115751</v>
      </c>
      <c r="O138">
        <v>76.192999999999998</v>
      </c>
      <c r="P138">
        <v>12.03</v>
      </c>
      <c r="Q138">
        <v>0</v>
      </c>
      <c r="R138">
        <v>1.7057</v>
      </c>
      <c r="S138">
        <v>113.91249999999999</v>
      </c>
      <c r="T138">
        <v>0</v>
      </c>
      <c r="U138" t="s">
        <v>38</v>
      </c>
      <c r="V138" t="s">
        <v>38</v>
      </c>
    </row>
    <row r="139" spans="1:22">
      <c r="A139" s="2">
        <v>46301.708333333343</v>
      </c>
      <c r="B139">
        <v>76.66</v>
      </c>
      <c r="C139">
        <v>1902</v>
      </c>
      <c r="D139">
        <v>19.46</v>
      </c>
      <c r="E139">
        <v>312.5</v>
      </c>
      <c r="F139">
        <v>417.6</v>
      </c>
      <c r="G139">
        <v>-1.23</v>
      </c>
      <c r="H139">
        <v>1.5329999999999999</v>
      </c>
      <c r="I139">
        <v>228.6</v>
      </c>
      <c r="J139">
        <v>1235.7</v>
      </c>
      <c r="K139">
        <v>2.74</v>
      </c>
      <c r="L139">
        <v>63.7</v>
      </c>
      <c r="M139">
        <v>9324</v>
      </c>
      <c r="N139">
        <v>115075</v>
      </c>
      <c r="O139">
        <v>76.286000000000001</v>
      </c>
      <c r="P139">
        <v>12.61</v>
      </c>
      <c r="Q139">
        <v>0</v>
      </c>
      <c r="R139">
        <v>1.6712</v>
      </c>
      <c r="S139">
        <v>114.075</v>
      </c>
      <c r="T139">
        <v>0</v>
      </c>
      <c r="U139" t="s">
        <v>38</v>
      </c>
      <c r="V139" t="s">
        <v>38</v>
      </c>
    </row>
    <row r="140" spans="1:22">
      <c r="A140" s="2">
        <v>46301.75</v>
      </c>
      <c r="B140">
        <v>77.97</v>
      </c>
      <c r="C140">
        <v>1881</v>
      </c>
      <c r="D140">
        <v>20.04</v>
      </c>
      <c r="E140">
        <v>322.2</v>
      </c>
      <c r="F140">
        <v>416.9</v>
      </c>
      <c r="G140">
        <v>0.6</v>
      </c>
      <c r="H140">
        <v>1.7589999999999999</v>
      </c>
      <c r="I140">
        <v>235.4</v>
      </c>
      <c r="J140">
        <v>1230.5999999999999</v>
      </c>
      <c r="K140">
        <v>3.04</v>
      </c>
      <c r="L140">
        <v>68.7</v>
      </c>
      <c r="M140">
        <v>9101</v>
      </c>
      <c r="N140">
        <v>115011</v>
      </c>
      <c r="O140">
        <v>76.623000000000005</v>
      </c>
      <c r="P140">
        <v>13.845000000000001</v>
      </c>
      <c r="Q140">
        <v>0</v>
      </c>
      <c r="R140">
        <v>1.6887000000000001</v>
      </c>
      <c r="S140">
        <v>117.0625</v>
      </c>
      <c r="T140">
        <v>0</v>
      </c>
      <c r="U140" t="s">
        <v>38</v>
      </c>
      <c r="V140" t="s">
        <v>38</v>
      </c>
    </row>
    <row r="141" spans="1:22">
      <c r="A141" s="2">
        <v>46301.791666666657</v>
      </c>
      <c r="B141">
        <v>75.790000000000006</v>
      </c>
      <c r="C141">
        <v>1843</v>
      </c>
      <c r="D141">
        <v>19.440000000000001</v>
      </c>
      <c r="E141">
        <v>311.8</v>
      </c>
      <c r="F141">
        <v>421.4</v>
      </c>
      <c r="G141">
        <v>0.7</v>
      </c>
      <c r="H141">
        <v>1.643</v>
      </c>
      <c r="I141">
        <v>247.5</v>
      </c>
      <c r="J141">
        <v>1217</v>
      </c>
      <c r="K141">
        <v>3.16</v>
      </c>
      <c r="L141">
        <v>60.8</v>
      </c>
      <c r="M141">
        <v>9083</v>
      </c>
      <c r="N141">
        <v>114010</v>
      </c>
      <c r="O141">
        <v>76.456000000000003</v>
      </c>
      <c r="P141">
        <v>13.99</v>
      </c>
      <c r="Q141">
        <v>0</v>
      </c>
      <c r="R141">
        <v>1.6796</v>
      </c>
      <c r="S141">
        <v>118.6</v>
      </c>
      <c r="T141">
        <v>0</v>
      </c>
      <c r="U141" t="s">
        <v>38</v>
      </c>
      <c r="V141" t="s">
        <v>38</v>
      </c>
    </row>
    <row r="142" spans="1:22">
      <c r="A142" s="2">
        <v>46301.833333333343</v>
      </c>
      <c r="B142">
        <v>76.569999999999993</v>
      </c>
      <c r="C142">
        <v>1810</v>
      </c>
      <c r="D142">
        <v>20.03</v>
      </c>
      <c r="E142">
        <v>268.39999999999998</v>
      </c>
      <c r="F142">
        <v>421.3</v>
      </c>
      <c r="G142">
        <v>-0.3</v>
      </c>
      <c r="H142">
        <v>1.597</v>
      </c>
      <c r="I142">
        <v>240.5</v>
      </c>
      <c r="J142">
        <v>1239.8</v>
      </c>
      <c r="K142">
        <v>2.88</v>
      </c>
      <c r="L142">
        <v>62.5</v>
      </c>
      <c r="M142">
        <v>9213</v>
      </c>
      <c r="N142">
        <v>116048</v>
      </c>
      <c r="O142">
        <v>76.478999999999999</v>
      </c>
      <c r="P142">
        <v>14.525</v>
      </c>
      <c r="Q142">
        <v>0</v>
      </c>
      <c r="R142">
        <v>1.6631</v>
      </c>
      <c r="S142">
        <v>119.5625</v>
      </c>
      <c r="T142">
        <v>0</v>
      </c>
      <c r="U142" t="s">
        <v>38</v>
      </c>
      <c r="V142" t="s">
        <v>38</v>
      </c>
    </row>
    <row r="143" spans="1:22">
      <c r="A143" s="2">
        <v>46301.875</v>
      </c>
      <c r="B143">
        <v>77.62</v>
      </c>
      <c r="C143">
        <v>1906</v>
      </c>
      <c r="D143">
        <v>19.28</v>
      </c>
      <c r="E143">
        <v>276.2</v>
      </c>
      <c r="F143">
        <v>420</v>
      </c>
      <c r="G143">
        <v>1.38</v>
      </c>
      <c r="H143">
        <v>1.5920000000000001</v>
      </c>
      <c r="I143">
        <v>236.1</v>
      </c>
      <c r="J143">
        <v>1254.2</v>
      </c>
      <c r="K143">
        <v>2.87</v>
      </c>
      <c r="L143">
        <v>56.9</v>
      </c>
      <c r="M143">
        <v>9204</v>
      </c>
      <c r="N143">
        <v>115631</v>
      </c>
      <c r="O143">
        <v>76.706999999999994</v>
      </c>
      <c r="P143">
        <v>15.585000000000001</v>
      </c>
      <c r="Q143">
        <v>0</v>
      </c>
      <c r="R143">
        <v>1.6489</v>
      </c>
      <c r="S143">
        <v>120.46250000000001</v>
      </c>
      <c r="T143">
        <v>0</v>
      </c>
      <c r="U143" t="s">
        <v>38</v>
      </c>
      <c r="V143" t="s">
        <v>38</v>
      </c>
    </row>
    <row r="144" spans="1:22">
      <c r="A144" s="2">
        <v>46301.916666666657</v>
      </c>
      <c r="B144">
        <v>75.319999999999993</v>
      </c>
      <c r="C144">
        <v>1896</v>
      </c>
      <c r="D144">
        <v>19.97</v>
      </c>
      <c r="E144">
        <v>285.39999999999998</v>
      </c>
      <c r="F144">
        <v>423.5</v>
      </c>
      <c r="G144">
        <v>-0.15</v>
      </c>
      <c r="H144">
        <v>1.7609999999999999</v>
      </c>
      <c r="I144">
        <v>236.6</v>
      </c>
      <c r="J144">
        <v>1253.3</v>
      </c>
      <c r="K144">
        <v>2.91</v>
      </c>
      <c r="L144">
        <v>62.2</v>
      </c>
      <c r="M144">
        <v>9214</v>
      </c>
      <c r="N144">
        <v>115738</v>
      </c>
      <c r="O144">
        <v>76.430000000000007</v>
      </c>
      <c r="P144">
        <v>15.494999999999999</v>
      </c>
      <c r="Q144">
        <v>0</v>
      </c>
      <c r="R144">
        <v>1.6713</v>
      </c>
      <c r="S144">
        <v>123.47499999999999</v>
      </c>
      <c r="T144">
        <v>0</v>
      </c>
      <c r="U144" t="s">
        <v>38</v>
      </c>
      <c r="V144" t="s">
        <v>38</v>
      </c>
    </row>
    <row r="145" spans="1:22">
      <c r="A145" s="2">
        <v>46301.958333333343</v>
      </c>
      <c r="B145">
        <v>76.209999999999994</v>
      </c>
      <c r="C145">
        <v>1861</v>
      </c>
      <c r="D145">
        <v>20.37</v>
      </c>
      <c r="E145">
        <v>294.60000000000002</v>
      </c>
      <c r="F145">
        <v>429.5</v>
      </c>
      <c r="G145">
        <v>0.13</v>
      </c>
      <c r="H145">
        <v>1.617</v>
      </c>
      <c r="I145">
        <v>232.4</v>
      </c>
      <c r="J145">
        <v>1236.3</v>
      </c>
      <c r="K145">
        <v>3.07</v>
      </c>
      <c r="L145">
        <v>57.3</v>
      </c>
      <c r="M145">
        <v>9220</v>
      </c>
      <c r="N145">
        <v>114211</v>
      </c>
      <c r="O145">
        <v>76.385999999999996</v>
      </c>
      <c r="P145">
        <v>15.85</v>
      </c>
      <c r="Q145">
        <v>0</v>
      </c>
      <c r="R145">
        <v>1.6604000000000001</v>
      </c>
      <c r="S145">
        <v>124.6875</v>
      </c>
      <c r="T145">
        <v>0</v>
      </c>
      <c r="U145" t="s">
        <v>38</v>
      </c>
      <c r="V145" t="s">
        <v>38</v>
      </c>
    </row>
    <row r="146" spans="1:22">
      <c r="A146" s="2">
        <v>46302</v>
      </c>
      <c r="B146">
        <v>76.75</v>
      </c>
      <c r="C146">
        <v>1948</v>
      </c>
      <c r="D146">
        <v>18.829999999999998</v>
      </c>
      <c r="E146">
        <v>301.39999999999998</v>
      </c>
      <c r="F146">
        <v>427.6</v>
      </c>
      <c r="G146">
        <v>-0.17</v>
      </c>
      <c r="H146">
        <v>1.569</v>
      </c>
      <c r="I146">
        <v>237.6</v>
      </c>
      <c r="J146">
        <v>1235.2</v>
      </c>
      <c r="K146">
        <v>2.76</v>
      </c>
      <c r="L146">
        <v>65</v>
      </c>
      <c r="M146">
        <v>9182</v>
      </c>
      <c r="N146">
        <v>111770</v>
      </c>
      <c r="O146">
        <v>76.459000000000003</v>
      </c>
      <c r="P146">
        <v>16.475000000000001</v>
      </c>
      <c r="Q146">
        <v>0</v>
      </c>
      <c r="R146">
        <v>1.6420999999999999</v>
      </c>
      <c r="S146">
        <v>125.3</v>
      </c>
      <c r="T146">
        <v>0</v>
      </c>
      <c r="U146" t="s">
        <v>38</v>
      </c>
      <c r="V146" t="s">
        <v>38</v>
      </c>
    </row>
    <row r="147" spans="1:22">
      <c r="A147" s="2">
        <v>46302.041666666657</v>
      </c>
      <c r="B147">
        <v>78.900000000000006</v>
      </c>
      <c r="C147">
        <v>1816</v>
      </c>
      <c r="D147">
        <v>19.53</v>
      </c>
      <c r="E147">
        <v>282.10000000000002</v>
      </c>
      <c r="F147">
        <v>408.1</v>
      </c>
      <c r="G147">
        <v>0.02</v>
      </c>
      <c r="H147">
        <v>1.4890000000000001</v>
      </c>
      <c r="I147">
        <v>206.7</v>
      </c>
      <c r="J147">
        <v>1243.8</v>
      </c>
      <c r="K147">
        <v>2.94</v>
      </c>
      <c r="L147">
        <v>57</v>
      </c>
      <c r="M147">
        <v>9319</v>
      </c>
      <c r="N147">
        <v>116646</v>
      </c>
      <c r="O147">
        <v>76.947000000000003</v>
      </c>
      <c r="P147">
        <v>18.175000000000001</v>
      </c>
      <c r="Q147">
        <v>0</v>
      </c>
      <c r="R147">
        <v>1.6114999999999999</v>
      </c>
      <c r="S147">
        <v>124.91249999999999</v>
      </c>
      <c r="T147">
        <v>0</v>
      </c>
      <c r="U147" t="s">
        <v>38</v>
      </c>
      <c r="V147" t="s">
        <v>38</v>
      </c>
    </row>
    <row r="148" spans="1:22">
      <c r="A148" s="2">
        <v>46302.083333333343</v>
      </c>
      <c r="B148">
        <v>77.290000000000006</v>
      </c>
      <c r="C148">
        <v>1795</v>
      </c>
      <c r="D148">
        <v>20.11</v>
      </c>
      <c r="E148">
        <v>295.2</v>
      </c>
      <c r="F148">
        <v>399.6</v>
      </c>
      <c r="G148">
        <v>-1.1000000000000001</v>
      </c>
      <c r="H148">
        <v>1.5820000000000001</v>
      </c>
      <c r="I148">
        <v>229</v>
      </c>
      <c r="J148">
        <v>1232</v>
      </c>
      <c r="K148">
        <v>3.05</v>
      </c>
      <c r="L148">
        <v>63</v>
      </c>
      <c r="M148">
        <v>9072</v>
      </c>
      <c r="N148">
        <v>114282</v>
      </c>
      <c r="O148">
        <v>77.016000000000005</v>
      </c>
      <c r="P148">
        <v>19.07</v>
      </c>
      <c r="Q148">
        <v>0</v>
      </c>
      <c r="R148">
        <v>1.6055999999999999</v>
      </c>
      <c r="S148">
        <v>125.6875</v>
      </c>
      <c r="T148">
        <v>0</v>
      </c>
      <c r="U148" t="s">
        <v>38</v>
      </c>
      <c r="V148" t="s">
        <v>38</v>
      </c>
    </row>
    <row r="149" spans="1:22">
      <c r="A149" s="2">
        <v>46302.125</v>
      </c>
      <c r="B149">
        <v>75.45</v>
      </c>
      <c r="C149">
        <v>1831</v>
      </c>
      <c r="D149">
        <v>19.829999999999998</v>
      </c>
      <c r="E149">
        <v>280.5</v>
      </c>
      <c r="F149">
        <v>427.5</v>
      </c>
      <c r="G149">
        <v>-1.44</v>
      </c>
      <c r="H149">
        <v>1.7290000000000001</v>
      </c>
      <c r="I149">
        <v>234.4</v>
      </c>
      <c r="J149">
        <v>1242.4000000000001</v>
      </c>
      <c r="K149">
        <v>2.98</v>
      </c>
      <c r="L149">
        <v>59.8</v>
      </c>
      <c r="M149">
        <v>9134</v>
      </c>
      <c r="N149">
        <v>113706</v>
      </c>
      <c r="O149">
        <v>76.701999999999998</v>
      </c>
      <c r="P149">
        <v>19.045000000000002</v>
      </c>
      <c r="Q149">
        <v>0</v>
      </c>
      <c r="R149">
        <v>1.6303000000000001</v>
      </c>
      <c r="S149">
        <v>128.30000000000001</v>
      </c>
      <c r="T149">
        <v>0</v>
      </c>
      <c r="U149" t="s">
        <v>38</v>
      </c>
      <c r="V149" t="s">
        <v>38</v>
      </c>
    </row>
    <row r="150" spans="1:22">
      <c r="A150" s="2">
        <v>46302.166666666657</v>
      </c>
      <c r="B150">
        <v>76.53</v>
      </c>
      <c r="C150">
        <v>1860</v>
      </c>
      <c r="D150">
        <v>20.09</v>
      </c>
      <c r="E150">
        <v>282</v>
      </c>
      <c r="F150">
        <v>409.1</v>
      </c>
      <c r="G150">
        <v>1.59</v>
      </c>
      <c r="H150">
        <v>1.7749999999999999</v>
      </c>
      <c r="I150">
        <v>220.5</v>
      </c>
      <c r="J150">
        <v>1246.0999999999999</v>
      </c>
      <c r="K150">
        <v>2.93</v>
      </c>
      <c r="L150">
        <v>69</v>
      </c>
      <c r="M150">
        <v>9192</v>
      </c>
      <c r="N150">
        <v>116040</v>
      </c>
      <c r="O150">
        <v>76.668000000000006</v>
      </c>
      <c r="P150">
        <v>19.559999999999999</v>
      </c>
      <c r="Q150">
        <v>0</v>
      </c>
      <c r="R150">
        <v>1.6592</v>
      </c>
      <c r="S150">
        <v>131.48750000000001</v>
      </c>
      <c r="T150">
        <v>0</v>
      </c>
      <c r="U150" t="s">
        <v>38</v>
      </c>
      <c r="V150" t="s">
        <v>38</v>
      </c>
    </row>
    <row r="151" spans="1:22">
      <c r="A151" s="2">
        <v>46302.208333333343</v>
      </c>
      <c r="B151">
        <v>77.73</v>
      </c>
      <c r="C151">
        <v>1872</v>
      </c>
      <c r="D151">
        <v>19.73</v>
      </c>
      <c r="E151">
        <v>269.5</v>
      </c>
      <c r="F151">
        <v>418.2</v>
      </c>
      <c r="G151">
        <v>-0.85</v>
      </c>
      <c r="H151">
        <v>1.6459999999999999</v>
      </c>
      <c r="I151">
        <v>235.9</v>
      </c>
      <c r="J151">
        <v>1249.8</v>
      </c>
      <c r="K151">
        <v>3.05</v>
      </c>
      <c r="L151">
        <v>59.6</v>
      </c>
      <c r="M151">
        <v>9069</v>
      </c>
      <c r="N151">
        <v>114412</v>
      </c>
      <c r="O151">
        <v>76.88</v>
      </c>
      <c r="P151">
        <v>20.675000000000001</v>
      </c>
      <c r="Q151">
        <v>0</v>
      </c>
      <c r="R151">
        <v>1.6566000000000001</v>
      </c>
      <c r="S151">
        <v>133.0625</v>
      </c>
      <c r="T151">
        <v>0</v>
      </c>
      <c r="U151" t="s">
        <v>38</v>
      </c>
      <c r="V151" t="s">
        <v>38</v>
      </c>
    </row>
    <row r="152" spans="1:22">
      <c r="A152" s="2">
        <v>46302.25</v>
      </c>
      <c r="B152">
        <v>78.91</v>
      </c>
      <c r="C152">
        <v>1849</v>
      </c>
      <c r="D152">
        <v>20.03</v>
      </c>
      <c r="E152">
        <v>276.2</v>
      </c>
      <c r="F152">
        <v>410.6</v>
      </c>
      <c r="G152">
        <v>-0.99</v>
      </c>
      <c r="H152">
        <v>1.677</v>
      </c>
      <c r="I152">
        <v>230</v>
      </c>
      <c r="J152">
        <v>1239.2</v>
      </c>
      <c r="K152">
        <v>2.4900000000000002</v>
      </c>
      <c r="L152">
        <v>45.8</v>
      </c>
      <c r="M152">
        <v>9186</v>
      </c>
      <c r="N152">
        <v>116590</v>
      </c>
      <c r="O152">
        <v>77.286000000000001</v>
      </c>
      <c r="P152">
        <v>22.38</v>
      </c>
      <c r="Q152">
        <v>0</v>
      </c>
      <c r="R152">
        <v>1.6607000000000001</v>
      </c>
      <c r="S152">
        <v>135.02500000000001</v>
      </c>
      <c r="T152">
        <v>0</v>
      </c>
      <c r="U152" t="s">
        <v>38</v>
      </c>
      <c r="V152" t="s">
        <v>38</v>
      </c>
    </row>
    <row r="153" spans="1:22">
      <c r="A153" s="2">
        <v>46302.291666666657</v>
      </c>
      <c r="B153">
        <v>77.83</v>
      </c>
      <c r="C153">
        <v>1875</v>
      </c>
      <c r="D153">
        <v>19.97</v>
      </c>
      <c r="E153">
        <v>269.10000000000002</v>
      </c>
      <c r="F153">
        <v>405.6</v>
      </c>
      <c r="G153">
        <v>-2.15</v>
      </c>
      <c r="H153">
        <v>1.8560000000000001</v>
      </c>
      <c r="I153">
        <v>249.6</v>
      </c>
      <c r="J153">
        <v>1238.4000000000001</v>
      </c>
      <c r="K153">
        <v>3</v>
      </c>
      <c r="L153">
        <v>70.099999999999994</v>
      </c>
      <c r="M153">
        <v>9333</v>
      </c>
      <c r="N153">
        <v>115926</v>
      </c>
      <c r="O153">
        <v>77.394999999999996</v>
      </c>
      <c r="P153">
        <v>23.545000000000002</v>
      </c>
      <c r="Q153">
        <v>0</v>
      </c>
      <c r="R153">
        <v>1.6997</v>
      </c>
      <c r="S153">
        <v>139.22499999999999</v>
      </c>
      <c r="T153">
        <v>0</v>
      </c>
      <c r="U153" t="s">
        <v>38</v>
      </c>
      <c r="V153" t="s">
        <v>38</v>
      </c>
    </row>
    <row r="154" spans="1:22">
      <c r="A154" s="2">
        <v>46302.333333333343</v>
      </c>
      <c r="B154">
        <v>76.180000000000007</v>
      </c>
      <c r="C154">
        <v>1802</v>
      </c>
      <c r="D154">
        <v>20.53</v>
      </c>
      <c r="E154">
        <v>274.2</v>
      </c>
      <c r="F154">
        <v>424.3</v>
      </c>
      <c r="G154">
        <v>-0.64</v>
      </c>
      <c r="H154">
        <v>1.6890000000000001</v>
      </c>
      <c r="I154">
        <v>247.7</v>
      </c>
      <c r="J154">
        <v>1233</v>
      </c>
      <c r="K154">
        <v>2.8</v>
      </c>
      <c r="L154">
        <v>52.8</v>
      </c>
      <c r="M154">
        <v>9202</v>
      </c>
      <c r="N154">
        <v>116025</v>
      </c>
      <c r="O154">
        <v>77.152000000000001</v>
      </c>
      <c r="P154">
        <v>23.885000000000002</v>
      </c>
      <c r="Q154">
        <v>0</v>
      </c>
      <c r="R154">
        <v>1.6976</v>
      </c>
      <c r="S154">
        <v>141.33750000000001</v>
      </c>
      <c r="T154">
        <v>0</v>
      </c>
      <c r="U154" t="s">
        <v>38</v>
      </c>
      <c r="V154" t="s">
        <v>38</v>
      </c>
    </row>
    <row r="155" spans="1:22">
      <c r="A155" s="2">
        <v>46302.375</v>
      </c>
      <c r="B155">
        <v>78</v>
      </c>
      <c r="C155">
        <v>1923</v>
      </c>
      <c r="D155">
        <v>20.190000000000001</v>
      </c>
      <c r="E155">
        <v>304</v>
      </c>
      <c r="F155">
        <v>426.1</v>
      </c>
      <c r="G155">
        <v>-1.32</v>
      </c>
      <c r="H155">
        <v>1.7110000000000001</v>
      </c>
      <c r="I155">
        <v>227.3</v>
      </c>
      <c r="J155">
        <v>1233.4000000000001</v>
      </c>
      <c r="K155">
        <v>2.63</v>
      </c>
      <c r="L155">
        <v>54.8</v>
      </c>
      <c r="M155">
        <v>9218</v>
      </c>
      <c r="N155">
        <v>112951</v>
      </c>
      <c r="O155">
        <v>77.322000000000003</v>
      </c>
      <c r="P155">
        <v>25.135000000000002</v>
      </c>
      <c r="Q155">
        <v>0</v>
      </c>
      <c r="R155">
        <v>1.7002999999999999</v>
      </c>
      <c r="S155">
        <v>143.72499999999999</v>
      </c>
      <c r="T155">
        <v>0</v>
      </c>
      <c r="U155" t="s">
        <v>38</v>
      </c>
      <c r="V155" t="s">
        <v>38</v>
      </c>
    </row>
    <row r="156" spans="1:22">
      <c r="A156" s="2">
        <v>46302.416666666657</v>
      </c>
      <c r="B156">
        <v>78.34</v>
      </c>
      <c r="C156">
        <v>1853</v>
      </c>
      <c r="D156">
        <v>20.260000000000002</v>
      </c>
      <c r="E156">
        <v>273.39999999999998</v>
      </c>
      <c r="F156">
        <v>415.4</v>
      </c>
      <c r="G156">
        <v>1.64</v>
      </c>
      <c r="H156">
        <v>1.76</v>
      </c>
      <c r="I156">
        <v>230.5</v>
      </c>
      <c r="J156">
        <v>1238.2</v>
      </c>
      <c r="K156">
        <v>2.98</v>
      </c>
      <c r="L156">
        <v>55.2</v>
      </c>
      <c r="M156">
        <v>9099</v>
      </c>
      <c r="N156">
        <v>116818</v>
      </c>
      <c r="O156">
        <v>77.525000000000006</v>
      </c>
      <c r="P156">
        <v>26.555</v>
      </c>
      <c r="Q156">
        <v>0</v>
      </c>
      <c r="R156">
        <v>1.7121999999999999</v>
      </c>
      <c r="S156">
        <v>146.72499999999999</v>
      </c>
      <c r="T156">
        <v>0</v>
      </c>
      <c r="U156" t="s">
        <v>38</v>
      </c>
      <c r="V156" t="s">
        <v>38</v>
      </c>
    </row>
    <row r="157" spans="1:22">
      <c r="A157" s="2">
        <v>46302.458333333343</v>
      </c>
      <c r="B157">
        <v>77.010000000000005</v>
      </c>
      <c r="C157">
        <v>1906</v>
      </c>
      <c r="D157">
        <v>19.989999999999998</v>
      </c>
      <c r="E157">
        <v>326.5</v>
      </c>
      <c r="F157">
        <v>399.3</v>
      </c>
      <c r="G157">
        <v>1.01</v>
      </c>
      <c r="H157">
        <v>1.718</v>
      </c>
      <c r="I157">
        <v>231.3</v>
      </c>
      <c r="J157">
        <v>1242.9000000000001</v>
      </c>
      <c r="K157">
        <v>3.11</v>
      </c>
      <c r="L157">
        <v>71</v>
      </c>
      <c r="M157">
        <v>9151</v>
      </c>
      <c r="N157">
        <v>115392</v>
      </c>
      <c r="O157">
        <v>77.421999999999997</v>
      </c>
      <c r="P157">
        <v>27.31</v>
      </c>
      <c r="Q157">
        <v>0</v>
      </c>
      <c r="R157">
        <v>1.7134</v>
      </c>
      <c r="S157">
        <v>149.19999999999999</v>
      </c>
      <c r="T157">
        <v>0</v>
      </c>
      <c r="U157" t="s">
        <v>38</v>
      </c>
      <c r="V157" t="s">
        <v>38</v>
      </c>
    </row>
    <row r="158" spans="1:22">
      <c r="A158" s="2">
        <v>46302.5</v>
      </c>
      <c r="B158">
        <v>79.319999999999993</v>
      </c>
      <c r="C158">
        <v>1871</v>
      </c>
      <c r="D158">
        <v>19.98</v>
      </c>
      <c r="E158">
        <v>293.8</v>
      </c>
      <c r="F158">
        <v>415.6</v>
      </c>
      <c r="G158">
        <v>-0.69</v>
      </c>
      <c r="H158">
        <v>1.6910000000000001</v>
      </c>
      <c r="I158">
        <v>227.5</v>
      </c>
      <c r="J158">
        <v>1247.3</v>
      </c>
      <c r="K158">
        <v>2.88</v>
      </c>
      <c r="L158">
        <v>42.9</v>
      </c>
      <c r="M158">
        <v>9170</v>
      </c>
      <c r="N158">
        <v>114446</v>
      </c>
      <c r="O158">
        <v>77.802000000000007</v>
      </c>
      <c r="P158">
        <v>29.22</v>
      </c>
      <c r="Q158">
        <v>0</v>
      </c>
      <c r="R158">
        <v>1.7089000000000001</v>
      </c>
      <c r="S158">
        <v>151.33750000000001</v>
      </c>
      <c r="T158">
        <v>0</v>
      </c>
      <c r="U158" t="s">
        <v>38</v>
      </c>
      <c r="V158" t="s">
        <v>38</v>
      </c>
    </row>
    <row r="159" spans="1:22">
      <c r="A159" s="2">
        <v>46302.541666666657</v>
      </c>
      <c r="B159">
        <v>77.78</v>
      </c>
      <c r="C159">
        <v>1875</v>
      </c>
      <c r="D159">
        <v>20.04</v>
      </c>
      <c r="E159">
        <v>288.60000000000002</v>
      </c>
      <c r="F159">
        <v>423.1</v>
      </c>
      <c r="G159">
        <v>2.25</v>
      </c>
      <c r="H159">
        <v>1.661</v>
      </c>
      <c r="I159">
        <v>234</v>
      </c>
      <c r="J159">
        <v>1233.5999999999999</v>
      </c>
      <c r="K159">
        <v>3.04</v>
      </c>
      <c r="L159">
        <v>85.1</v>
      </c>
      <c r="M159">
        <v>9175</v>
      </c>
      <c r="N159">
        <v>115215</v>
      </c>
      <c r="O159">
        <v>77.796999999999997</v>
      </c>
      <c r="P159">
        <v>30.36</v>
      </c>
      <c r="Q159">
        <v>0</v>
      </c>
      <c r="R159">
        <v>1.6993</v>
      </c>
      <c r="S159">
        <v>153.1</v>
      </c>
      <c r="T159">
        <v>0</v>
      </c>
      <c r="U159" t="s">
        <v>38</v>
      </c>
      <c r="V159" t="s">
        <v>38</v>
      </c>
    </row>
    <row r="160" spans="1:22">
      <c r="A160" s="2">
        <v>46302.583333333343</v>
      </c>
      <c r="B160">
        <v>76.78</v>
      </c>
      <c r="C160">
        <v>1879</v>
      </c>
      <c r="D160">
        <v>20.399999999999999</v>
      </c>
      <c r="E160">
        <v>272.3</v>
      </c>
      <c r="F160">
        <v>408.2</v>
      </c>
      <c r="G160">
        <v>0.98</v>
      </c>
      <c r="H160">
        <v>1.6559999999999999</v>
      </c>
      <c r="I160">
        <v>224.4</v>
      </c>
      <c r="J160">
        <v>1251.9000000000001</v>
      </c>
      <c r="K160">
        <v>3.14</v>
      </c>
      <c r="L160">
        <v>68.400000000000006</v>
      </c>
      <c r="M160">
        <v>9303</v>
      </c>
      <c r="N160">
        <v>112336</v>
      </c>
      <c r="O160">
        <v>77.593999999999994</v>
      </c>
      <c r="P160">
        <v>31</v>
      </c>
      <c r="Q160">
        <v>0</v>
      </c>
      <c r="R160">
        <v>1.6907000000000001</v>
      </c>
      <c r="S160">
        <v>154.80000000000001</v>
      </c>
      <c r="T160">
        <v>0</v>
      </c>
      <c r="U160" t="s">
        <v>38</v>
      </c>
      <c r="V160" t="s">
        <v>38</v>
      </c>
    </row>
    <row r="161" spans="1:22">
      <c r="A161" s="2">
        <v>46302.625</v>
      </c>
      <c r="B161">
        <v>78.069999999999993</v>
      </c>
      <c r="C161">
        <v>1873</v>
      </c>
      <c r="D161">
        <v>20.100000000000001</v>
      </c>
      <c r="E161">
        <v>295.10000000000002</v>
      </c>
      <c r="F161">
        <v>421.5</v>
      </c>
      <c r="G161">
        <v>-0.32</v>
      </c>
      <c r="H161">
        <v>1.5680000000000001</v>
      </c>
      <c r="I161">
        <v>220.7</v>
      </c>
      <c r="J161">
        <v>1237.8</v>
      </c>
      <c r="K161">
        <v>3.1</v>
      </c>
      <c r="L161">
        <v>61.8</v>
      </c>
      <c r="M161">
        <v>9245</v>
      </c>
      <c r="N161">
        <v>115613</v>
      </c>
      <c r="O161">
        <v>77.688999999999993</v>
      </c>
      <c r="P161">
        <v>32.284999999999997</v>
      </c>
      <c r="Q161">
        <v>0</v>
      </c>
      <c r="R161">
        <v>1.6660999999999999</v>
      </c>
      <c r="S161">
        <v>155.4</v>
      </c>
      <c r="T161">
        <v>0</v>
      </c>
      <c r="U161" t="s">
        <v>38</v>
      </c>
      <c r="V161" t="s">
        <v>38</v>
      </c>
    </row>
    <row r="162" spans="1:22">
      <c r="A162" s="2">
        <v>46302.666666666657</v>
      </c>
      <c r="B162">
        <v>77.64</v>
      </c>
      <c r="C162">
        <v>1881</v>
      </c>
      <c r="D162">
        <v>20.420000000000002</v>
      </c>
      <c r="E162">
        <v>275.39999999999998</v>
      </c>
      <c r="F162">
        <v>419.9</v>
      </c>
      <c r="G162">
        <v>-2.5</v>
      </c>
      <c r="H162">
        <v>1.7230000000000001</v>
      </c>
      <c r="I162">
        <v>238.2</v>
      </c>
      <c r="J162">
        <v>1239.8</v>
      </c>
      <c r="K162">
        <v>3.15</v>
      </c>
      <c r="L162">
        <v>59.6</v>
      </c>
      <c r="M162">
        <v>9111</v>
      </c>
      <c r="N162">
        <v>113456</v>
      </c>
      <c r="O162">
        <v>77.679000000000002</v>
      </c>
      <c r="P162">
        <v>33.354999999999997</v>
      </c>
      <c r="Q162">
        <v>0</v>
      </c>
      <c r="R162">
        <v>1.6775</v>
      </c>
      <c r="S162">
        <v>157.9375</v>
      </c>
      <c r="T162">
        <v>0</v>
      </c>
      <c r="U162" t="s">
        <v>38</v>
      </c>
      <c r="V162" t="s">
        <v>38</v>
      </c>
    </row>
    <row r="163" spans="1:22">
      <c r="A163" s="2">
        <v>46302.708333333343</v>
      </c>
      <c r="B163">
        <v>78.040000000000006</v>
      </c>
      <c r="C163">
        <v>1911</v>
      </c>
      <c r="D163">
        <v>21.16</v>
      </c>
      <c r="E163">
        <v>285.2</v>
      </c>
      <c r="F163">
        <v>424.6</v>
      </c>
      <c r="G163">
        <v>2.29</v>
      </c>
      <c r="H163">
        <v>1.8520000000000001</v>
      </c>
      <c r="I163">
        <v>238.3</v>
      </c>
      <c r="J163">
        <v>1234</v>
      </c>
      <c r="K163">
        <v>3.01</v>
      </c>
      <c r="L163">
        <v>62.3</v>
      </c>
      <c r="M163">
        <v>9220</v>
      </c>
      <c r="N163">
        <v>112971</v>
      </c>
      <c r="O163">
        <v>77.751000000000005</v>
      </c>
      <c r="P163">
        <v>34.625</v>
      </c>
      <c r="Q163">
        <v>0</v>
      </c>
      <c r="R163">
        <v>1.7123999999999999</v>
      </c>
      <c r="S163">
        <v>162.08750000000001</v>
      </c>
      <c r="T163">
        <v>0</v>
      </c>
      <c r="U163" t="s">
        <v>38</v>
      </c>
      <c r="V163" t="s">
        <v>38</v>
      </c>
    </row>
    <row r="164" spans="1:22">
      <c r="A164" s="2">
        <v>46302.75</v>
      </c>
      <c r="B164">
        <v>79.17</v>
      </c>
      <c r="C164">
        <v>1859</v>
      </c>
      <c r="D164">
        <v>20.71</v>
      </c>
      <c r="E164">
        <v>321.2</v>
      </c>
      <c r="F164">
        <v>421</v>
      </c>
      <c r="G164">
        <v>-1.39</v>
      </c>
      <c r="H164">
        <v>1.764</v>
      </c>
      <c r="I164">
        <v>224</v>
      </c>
      <c r="J164">
        <v>1220.5999999999999</v>
      </c>
      <c r="K164">
        <v>2.91</v>
      </c>
      <c r="L164">
        <v>64.2</v>
      </c>
      <c r="M164">
        <v>9240</v>
      </c>
      <c r="N164">
        <v>112716</v>
      </c>
      <c r="O164">
        <v>78.034999999999997</v>
      </c>
      <c r="P164">
        <v>36.46</v>
      </c>
      <c r="Q164">
        <v>0</v>
      </c>
      <c r="R164">
        <v>1.7226999999999999</v>
      </c>
      <c r="S164">
        <v>165.13749999999999</v>
      </c>
      <c r="T164">
        <v>0</v>
      </c>
      <c r="U164" t="s">
        <v>38</v>
      </c>
      <c r="V164" t="s">
        <v>38</v>
      </c>
    </row>
    <row r="165" spans="1:22">
      <c r="A165" s="2">
        <v>46302.791666666657</v>
      </c>
      <c r="B165">
        <v>77.52</v>
      </c>
      <c r="C165">
        <v>1882</v>
      </c>
      <c r="D165">
        <v>20.260000000000002</v>
      </c>
      <c r="E165">
        <v>280.8</v>
      </c>
      <c r="F165">
        <v>412.2</v>
      </c>
      <c r="G165">
        <v>-1.65</v>
      </c>
      <c r="H165">
        <v>1.6679999999999999</v>
      </c>
      <c r="I165">
        <v>241</v>
      </c>
      <c r="J165">
        <v>1247.0999999999999</v>
      </c>
      <c r="K165">
        <v>2.66</v>
      </c>
      <c r="L165">
        <v>65.2</v>
      </c>
      <c r="M165">
        <v>9291</v>
      </c>
      <c r="N165">
        <v>116669</v>
      </c>
      <c r="O165">
        <v>77.932000000000002</v>
      </c>
      <c r="P165">
        <v>37.47</v>
      </c>
      <c r="Q165">
        <v>0</v>
      </c>
      <c r="R165">
        <v>1.7118</v>
      </c>
      <c r="S165">
        <v>166.98750000000001</v>
      </c>
      <c r="T165">
        <v>0</v>
      </c>
      <c r="U165" t="s">
        <v>38</v>
      </c>
      <c r="V165" t="s">
        <v>38</v>
      </c>
    </row>
    <row r="166" spans="1:22">
      <c r="A166" s="2">
        <v>46302.833333333343</v>
      </c>
      <c r="B166">
        <v>78.84</v>
      </c>
      <c r="C166">
        <v>1845</v>
      </c>
      <c r="D166">
        <v>20.9</v>
      </c>
      <c r="E166">
        <v>298.8</v>
      </c>
      <c r="F166">
        <v>429.6</v>
      </c>
      <c r="G166">
        <v>1.02</v>
      </c>
      <c r="H166">
        <v>1.875</v>
      </c>
      <c r="I166">
        <v>225.7</v>
      </c>
      <c r="J166">
        <v>1245.9000000000001</v>
      </c>
      <c r="K166">
        <v>2.86</v>
      </c>
      <c r="L166">
        <v>64.400000000000006</v>
      </c>
      <c r="M166">
        <v>9326</v>
      </c>
      <c r="N166">
        <v>114056</v>
      </c>
      <c r="O166">
        <v>78.114000000000004</v>
      </c>
      <c r="P166">
        <v>39.14</v>
      </c>
      <c r="Q166">
        <v>0</v>
      </c>
      <c r="R166">
        <v>1.7444</v>
      </c>
      <c r="S166">
        <v>171.42500000000001</v>
      </c>
      <c r="T166">
        <v>0</v>
      </c>
      <c r="U166" t="s">
        <v>38</v>
      </c>
      <c r="V166" t="s">
        <v>38</v>
      </c>
    </row>
    <row r="167" spans="1:22">
      <c r="A167" s="2">
        <v>46302.875</v>
      </c>
      <c r="B167">
        <v>78.510000000000005</v>
      </c>
      <c r="C167">
        <v>1913</v>
      </c>
      <c r="D167">
        <v>20.29</v>
      </c>
      <c r="E167">
        <v>270.5</v>
      </c>
      <c r="F167">
        <v>418.7</v>
      </c>
      <c r="G167">
        <v>2.44</v>
      </c>
      <c r="H167">
        <v>1.6459999999999999</v>
      </c>
      <c r="I167">
        <v>234.5</v>
      </c>
      <c r="J167">
        <v>1237.7</v>
      </c>
      <c r="K167">
        <v>2.77</v>
      </c>
      <c r="L167">
        <v>60.7</v>
      </c>
      <c r="M167">
        <v>9119</v>
      </c>
      <c r="N167">
        <v>117301</v>
      </c>
      <c r="O167">
        <v>78.192999999999998</v>
      </c>
      <c r="P167">
        <v>40.645000000000003</v>
      </c>
      <c r="Q167">
        <v>0</v>
      </c>
      <c r="R167">
        <v>1.7246999999999999</v>
      </c>
      <c r="S167">
        <v>173</v>
      </c>
      <c r="T167">
        <v>0</v>
      </c>
      <c r="U167" t="s">
        <v>38</v>
      </c>
      <c r="V167" t="s">
        <v>38</v>
      </c>
    </row>
    <row r="168" spans="1:22">
      <c r="A168" s="2">
        <v>46302.916666666657</v>
      </c>
      <c r="B168">
        <v>78.97</v>
      </c>
      <c r="C168">
        <v>1817</v>
      </c>
      <c r="D168">
        <v>19.66</v>
      </c>
      <c r="E168">
        <v>279.89999999999998</v>
      </c>
      <c r="F168">
        <v>419.8</v>
      </c>
      <c r="G168">
        <v>1.38</v>
      </c>
      <c r="H168">
        <v>1.716</v>
      </c>
      <c r="I168">
        <v>240.2</v>
      </c>
      <c r="J168">
        <v>1240.5</v>
      </c>
      <c r="K168">
        <v>3.23</v>
      </c>
      <c r="L168">
        <v>58.4</v>
      </c>
      <c r="M168">
        <v>9135</v>
      </c>
      <c r="N168">
        <v>114196</v>
      </c>
      <c r="O168">
        <v>78.347999999999999</v>
      </c>
      <c r="P168">
        <v>42.38</v>
      </c>
      <c r="Q168">
        <v>0</v>
      </c>
      <c r="R168">
        <v>1.7230000000000001</v>
      </c>
      <c r="S168">
        <v>175.45</v>
      </c>
      <c r="T168">
        <v>0</v>
      </c>
      <c r="U168" t="s">
        <v>38</v>
      </c>
      <c r="V168" t="s">
        <v>38</v>
      </c>
    </row>
    <row r="169" spans="1:22">
      <c r="A169" s="2">
        <v>46302.958333333343</v>
      </c>
      <c r="B169">
        <v>79.91</v>
      </c>
      <c r="C169">
        <v>1927</v>
      </c>
      <c r="D169">
        <v>20.11</v>
      </c>
      <c r="E169">
        <v>306.39999999999998</v>
      </c>
      <c r="F169">
        <v>412.5</v>
      </c>
      <c r="G169">
        <v>0.56000000000000005</v>
      </c>
      <c r="H169">
        <v>1.641</v>
      </c>
      <c r="I169">
        <v>231.7</v>
      </c>
      <c r="J169">
        <v>1244.0999999999999</v>
      </c>
      <c r="K169">
        <v>2.87</v>
      </c>
      <c r="L169">
        <v>58.8</v>
      </c>
      <c r="M169">
        <v>9099</v>
      </c>
      <c r="N169">
        <v>112439</v>
      </c>
      <c r="O169">
        <v>78.661000000000001</v>
      </c>
      <c r="P169">
        <v>44.585000000000001</v>
      </c>
      <c r="Q169">
        <v>0</v>
      </c>
      <c r="R169">
        <v>1.7065999999999999</v>
      </c>
      <c r="S169">
        <v>176.96250000000001</v>
      </c>
      <c r="T169">
        <v>0</v>
      </c>
      <c r="U169" t="s">
        <v>38</v>
      </c>
      <c r="V169" t="s">
        <v>38</v>
      </c>
    </row>
    <row r="170" spans="1:22">
      <c r="A170" s="2">
        <v>46303</v>
      </c>
      <c r="B170">
        <v>79.349999999999994</v>
      </c>
      <c r="C170">
        <v>1844</v>
      </c>
      <c r="D170">
        <v>19.79</v>
      </c>
      <c r="E170">
        <v>269.8</v>
      </c>
      <c r="F170">
        <v>416.5</v>
      </c>
      <c r="G170">
        <v>0.59</v>
      </c>
      <c r="H170">
        <v>1.514</v>
      </c>
      <c r="I170">
        <v>236.5</v>
      </c>
      <c r="J170">
        <v>1227.5</v>
      </c>
      <c r="K170">
        <v>2.92</v>
      </c>
      <c r="L170">
        <v>58.4</v>
      </c>
      <c r="M170">
        <v>9181</v>
      </c>
      <c r="N170">
        <v>113325</v>
      </c>
      <c r="O170">
        <v>78.799000000000007</v>
      </c>
      <c r="P170">
        <v>46.51</v>
      </c>
      <c r="Q170">
        <v>0</v>
      </c>
      <c r="R170">
        <v>1.6680999999999999</v>
      </c>
      <c r="S170">
        <v>176.88749999999999</v>
      </c>
      <c r="T170">
        <v>0</v>
      </c>
      <c r="U170" t="s">
        <v>38</v>
      </c>
      <c r="V170" t="s">
        <v>38</v>
      </c>
    </row>
    <row r="171" spans="1:22">
      <c r="A171" s="2">
        <v>46303.041666666657</v>
      </c>
      <c r="B171">
        <v>78.709999999999994</v>
      </c>
      <c r="C171">
        <v>1780</v>
      </c>
      <c r="D171">
        <v>20.43</v>
      </c>
      <c r="E171">
        <v>305.8</v>
      </c>
      <c r="F171">
        <v>412.9</v>
      </c>
      <c r="G171">
        <v>0.85</v>
      </c>
      <c r="H171">
        <v>1.7090000000000001</v>
      </c>
      <c r="I171">
        <v>226.8</v>
      </c>
      <c r="J171">
        <v>1235.8</v>
      </c>
      <c r="K171">
        <v>2.98</v>
      </c>
      <c r="L171">
        <v>69.099999999999994</v>
      </c>
      <c r="M171">
        <v>9237</v>
      </c>
      <c r="N171">
        <v>116854</v>
      </c>
      <c r="O171">
        <v>78.781000000000006</v>
      </c>
      <c r="P171">
        <v>48.115000000000002</v>
      </c>
      <c r="Q171">
        <v>0</v>
      </c>
      <c r="R171">
        <v>1.6762999999999999</v>
      </c>
      <c r="S171">
        <v>179.25</v>
      </c>
      <c r="T171">
        <v>0</v>
      </c>
      <c r="U171" t="s">
        <v>38</v>
      </c>
      <c r="V171" t="s">
        <v>38</v>
      </c>
    </row>
    <row r="172" spans="1:22">
      <c r="A172" s="2">
        <v>46303.083333333343</v>
      </c>
      <c r="B172">
        <v>77.72</v>
      </c>
      <c r="C172">
        <v>1850</v>
      </c>
      <c r="D172">
        <v>20.61</v>
      </c>
      <c r="E172">
        <v>288.60000000000002</v>
      </c>
      <c r="F172">
        <v>418.6</v>
      </c>
      <c r="G172">
        <v>0.76</v>
      </c>
      <c r="H172">
        <v>1.7609999999999999</v>
      </c>
      <c r="I172">
        <v>230</v>
      </c>
      <c r="J172">
        <v>1246.4000000000001</v>
      </c>
      <c r="K172">
        <v>2.91</v>
      </c>
      <c r="L172">
        <v>64.7</v>
      </c>
      <c r="M172">
        <v>9279</v>
      </c>
      <c r="N172">
        <v>114766</v>
      </c>
      <c r="O172">
        <v>78.569000000000003</v>
      </c>
      <c r="P172">
        <v>49.225000000000001</v>
      </c>
      <c r="Q172">
        <v>0</v>
      </c>
      <c r="R172">
        <v>1.6932</v>
      </c>
      <c r="S172">
        <v>182.26249999999999</v>
      </c>
      <c r="T172">
        <v>0</v>
      </c>
      <c r="U172" t="s">
        <v>38</v>
      </c>
      <c r="V172" t="s">
        <v>38</v>
      </c>
    </row>
    <row r="173" spans="1:22">
      <c r="A173" s="2">
        <v>46303.125</v>
      </c>
      <c r="B173">
        <v>77.39</v>
      </c>
      <c r="C173">
        <v>1813</v>
      </c>
      <c r="D173">
        <v>21.3</v>
      </c>
      <c r="E173">
        <v>269</v>
      </c>
      <c r="F173">
        <v>433.7</v>
      </c>
      <c r="G173">
        <v>0.28000000000000003</v>
      </c>
      <c r="H173">
        <v>1.7170000000000001</v>
      </c>
      <c r="I173">
        <v>229.9</v>
      </c>
      <c r="J173">
        <v>1230</v>
      </c>
      <c r="K173">
        <v>3.15</v>
      </c>
      <c r="L173">
        <v>36.5</v>
      </c>
      <c r="M173">
        <v>9194</v>
      </c>
      <c r="N173">
        <v>114178</v>
      </c>
      <c r="O173">
        <v>78.332999999999998</v>
      </c>
      <c r="P173">
        <v>50.17</v>
      </c>
      <c r="Q173">
        <v>0</v>
      </c>
      <c r="R173">
        <v>1.698</v>
      </c>
      <c r="S173">
        <v>184.72499999999999</v>
      </c>
      <c r="T173">
        <v>0</v>
      </c>
      <c r="U173" t="s">
        <v>38</v>
      </c>
      <c r="V173" t="s">
        <v>38</v>
      </c>
    </row>
    <row r="174" spans="1:22">
      <c r="A174" s="2">
        <v>46303.166666666657</v>
      </c>
      <c r="B174">
        <v>77.16</v>
      </c>
      <c r="C174">
        <v>1880</v>
      </c>
      <c r="D174">
        <v>20.79</v>
      </c>
      <c r="E174">
        <v>286.3</v>
      </c>
      <c r="F174">
        <v>409</v>
      </c>
      <c r="G174">
        <v>0.1</v>
      </c>
      <c r="H174">
        <v>1.821</v>
      </c>
      <c r="I174">
        <v>224.5</v>
      </c>
      <c r="J174">
        <v>1242.3</v>
      </c>
      <c r="K174">
        <v>2.81</v>
      </c>
      <c r="L174">
        <v>65.2</v>
      </c>
      <c r="M174">
        <v>9174</v>
      </c>
      <c r="N174">
        <v>115240</v>
      </c>
      <c r="O174">
        <v>78.097999999999999</v>
      </c>
      <c r="P174">
        <v>51</v>
      </c>
      <c r="Q174">
        <v>0</v>
      </c>
      <c r="R174">
        <v>1.7225999999999999</v>
      </c>
      <c r="S174">
        <v>188.48750000000001</v>
      </c>
      <c r="T174">
        <v>0</v>
      </c>
      <c r="U174" t="s">
        <v>38</v>
      </c>
      <c r="V174" t="s">
        <v>38</v>
      </c>
    </row>
    <row r="175" spans="1:22">
      <c r="A175" s="2">
        <v>46303.208333333343</v>
      </c>
      <c r="B175">
        <v>78</v>
      </c>
      <c r="C175">
        <v>1812</v>
      </c>
      <c r="D175">
        <v>20.6</v>
      </c>
      <c r="E175">
        <v>290.8</v>
      </c>
      <c r="F175">
        <v>407.1</v>
      </c>
      <c r="G175">
        <v>-0.06</v>
      </c>
      <c r="H175">
        <v>1.8180000000000001</v>
      </c>
      <c r="I175">
        <v>230.2</v>
      </c>
      <c r="J175">
        <v>1229.0999999999999</v>
      </c>
      <c r="K175">
        <v>2.93</v>
      </c>
      <c r="L175">
        <v>61.6</v>
      </c>
      <c r="M175">
        <v>9212</v>
      </c>
      <c r="N175">
        <v>115753</v>
      </c>
      <c r="O175">
        <v>78.078999999999994</v>
      </c>
      <c r="P175">
        <v>52.25</v>
      </c>
      <c r="Q175">
        <v>0</v>
      </c>
      <c r="R175">
        <v>1.7417</v>
      </c>
      <c r="S175">
        <v>192.21250000000001</v>
      </c>
      <c r="T175">
        <v>0</v>
      </c>
      <c r="U175" t="s">
        <v>38</v>
      </c>
      <c r="V175" t="s">
        <v>38</v>
      </c>
    </row>
    <row r="176" spans="1:22">
      <c r="A176" s="2">
        <v>46303.25</v>
      </c>
      <c r="B176">
        <v>78.56</v>
      </c>
      <c r="C176">
        <v>1821</v>
      </c>
      <c r="D176">
        <v>21.05</v>
      </c>
      <c r="E176">
        <v>284.89999999999998</v>
      </c>
      <c r="F176">
        <v>431.8</v>
      </c>
      <c r="G176">
        <v>-0.75</v>
      </c>
      <c r="H176">
        <v>1.7470000000000001</v>
      </c>
      <c r="I176">
        <v>216.5</v>
      </c>
      <c r="J176">
        <v>1243.7</v>
      </c>
      <c r="K176">
        <v>2.79</v>
      </c>
      <c r="L176">
        <v>59.9</v>
      </c>
      <c r="M176">
        <v>9133</v>
      </c>
      <c r="N176">
        <v>116676</v>
      </c>
      <c r="O176">
        <v>78.174999999999997</v>
      </c>
      <c r="P176">
        <v>53.78</v>
      </c>
      <c r="Q176">
        <v>0</v>
      </c>
      <c r="R176">
        <v>1.7426999999999999</v>
      </c>
      <c r="S176">
        <v>195.05</v>
      </c>
      <c r="T176">
        <v>0</v>
      </c>
      <c r="U176" t="s">
        <v>38</v>
      </c>
      <c r="V176" t="s">
        <v>38</v>
      </c>
    </row>
    <row r="177" spans="1:22">
      <c r="A177" s="2">
        <v>46303.291666666657</v>
      </c>
      <c r="B177">
        <v>80.72</v>
      </c>
      <c r="C177">
        <v>1755</v>
      </c>
      <c r="D177">
        <v>19.87</v>
      </c>
      <c r="E177">
        <v>251.4</v>
      </c>
      <c r="F177">
        <v>418.3</v>
      </c>
      <c r="G177">
        <v>-0.28000000000000003</v>
      </c>
      <c r="H177">
        <v>1.5960000000000001</v>
      </c>
      <c r="I177">
        <v>227.1</v>
      </c>
      <c r="J177">
        <v>1239.7</v>
      </c>
      <c r="K177">
        <v>2.7</v>
      </c>
      <c r="L177">
        <v>56.9</v>
      </c>
      <c r="M177">
        <v>9367</v>
      </c>
      <c r="N177">
        <v>117173</v>
      </c>
      <c r="O177">
        <v>78.683999999999997</v>
      </c>
      <c r="P177">
        <v>56.39</v>
      </c>
      <c r="Q177">
        <v>0</v>
      </c>
      <c r="R177">
        <v>1.7134</v>
      </c>
      <c r="S177">
        <v>196</v>
      </c>
      <c r="T177">
        <v>0</v>
      </c>
      <c r="U177" t="s">
        <v>38</v>
      </c>
      <c r="V177" t="s">
        <v>38</v>
      </c>
    </row>
    <row r="178" spans="1:22">
      <c r="A178" s="2">
        <v>46303.333333333343</v>
      </c>
      <c r="B178">
        <v>79.33</v>
      </c>
      <c r="C178">
        <v>1819</v>
      </c>
      <c r="D178">
        <v>20.87</v>
      </c>
      <c r="E178">
        <v>263.5</v>
      </c>
      <c r="F178">
        <v>414.6</v>
      </c>
      <c r="G178">
        <v>-1.69</v>
      </c>
      <c r="H178">
        <v>1.833</v>
      </c>
      <c r="I178">
        <v>229.2</v>
      </c>
      <c r="J178">
        <v>1227.0999999999999</v>
      </c>
      <c r="K178">
        <v>2.81</v>
      </c>
      <c r="L178">
        <v>69</v>
      </c>
      <c r="M178">
        <v>9071</v>
      </c>
      <c r="N178">
        <v>114460</v>
      </c>
      <c r="O178">
        <v>78.813000000000002</v>
      </c>
      <c r="P178">
        <v>58.305</v>
      </c>
      <c r="Q178">
        <v>0</v>
      </c>
      <c r="R178">
        <v>1.7373000000000001</v>
      </c>
      <c r="S178">
        <v>199.91249999999999</v>
      </c>
      <c r="T178">
        <v>0</v>
      </c>
      <c r="U178" t="s">
        <v>38</v>
      </c>
      <c r="V178" t="s">
        <v>38</v>
      </c>
    </row>
    <row r="179" spans="1:22">
      <c r="A179" s="2">
        <v>46303.375</v>
      </c>
      <c r="B179">
        <v>81.17</v>
      </c>
      <c r="C179">
        <v>1729</v>
      </c>
      <c r="D179">
        <v>21.12</v>
      </c>
      <c r="E179">
        <v>270.10000000000002</v>
      </c>
      <c r="F179">
        <v>428.3</v>
      </c>
      <c r="G179">
        <v>-0.1</v>
      </c>
      <c r="H179">
        <v>1.6140000000000001</v>
      </c>
      <c r="I179">
        <v>229.4</v>
      </c>
      <c r="J179">
        <v>1249.3</v>
      </c>
      <c r="K179">
        <v>2.89</v>
      </c>
      <c r="L179">
        <v>67.599999999999994</v>
      </c>
      <c r="M179">
        <v>9215</v>
      </c>
      <c r="N179">
        <v>113011</v>
      </c>
      <c r="O179">
        <v>79.284999999999997</v>
      </c>
      <c r="P179">
        <v>61.14</v>
      </c>
      <c r="Q179">
        <v>0</v>
      </c>
      <c r="R179">
        <v>1.7125999999999999</v>
      </c>
      <c r="S179">
        <v>201.08750000000001</v>
      </c>
      <c r="T179">
        <v>0</v>
      </c>
      <c r="U179" t="s">
        <v>38</v>
      </c>
      <c r="V179" t="s">
        <v>38</v>
      </c>
    </row>
    <row r="180" spans="1:22">
      <c r="A180" s="2">
        <v>46303.416666666657</v>
      </c>
      <c r="B180">
        <v>80.430000000000007</v>
      </c>
      <c r="C180">
        <v>1766</v>
      </c>
      <c r="D180">
        <v>20.25</v>
      </c>
      <c r="E180">
        <v>272.10000000000002</v>
      </c>
      <c r="F180">
        <v>415.2</v>
      </c>
      <c r="G180">
        <v>-0.99</v>
      </c>
      <c r="H180">
        <v>1.899</v>
      </c>
      <c r="I180">
        <v>229.6</v>
      </c>
      <c r="J180">
        <v>1234.0999999999999</v>
      </c>
      <c r="K180">
        <v>2.84</v>
      </c>
      <c r="L180">
        <v>53.8</v>
      </c>
      <c r="M180">
        <v>9362</v>
      </c>
      <c r="N180">
        <v>114380</v>
      </c>
      <c r="O180">
        <v>79.513999999999996</v>
      </c>
      <c r="P180">
        <v>63.604999999999997</v>
      </c>
      <c r="Q180">
        <v>0</v>
      </c>
      <c r="R180">
        <v>1.7499</v>
      </c>
      <c r="S180">
        <v>205.82499999999999</v>
      </c>
      <c r="T180">
        <v>0</v>
      </c>
      <c r="U180" t="s">
        <v>38</v>
      </c>
      <c r="V180" t="s">
        <v>38</v>
      </c>
    </row>
    <row r="181" spans="1:22">
      <c r="A181" s="2">
        <v>46303.458333333343</v>
      </c>
      <c r="B181">
        <v>82.37</v>
      </c>
      <c r="C181">
        <v>1871</v>
      </c>
      <c r="D181">
        <v>21.33</v>
      </c>
      <c r="E181">
        <v>281.89999999999998</v>
      </c>
      <c r="F181">
        <v>434.6</v>
      </c>
      <c r="G181">
        <v>-1.1000000000000001</v>
      </c>
      <c r="H181">
        <v>1.5269999999999999</v>
      </c>
      <c r="I181">
        <v>231.4</v>
      </c>
      <c r="J181">
        <v>1233.5</v>
      </c>
      <c r="K181">
        <v>2.8</v>
      </c>
      <c r="L181">
        <v>63.3</v>
      </c>
      <c r="M181">
        <v>9201</v>
      </c>
      <c r="N181">
        <v>115390</v>
      </c>
      <c r="O181">
        <v>80.084999999999994</v>
      </c>
      <c r="P181">
        <v>67.040000000000006</v>
      </c>
      <c r="Q181">
        <v>0</v>
      </c>
      <c r="R181">
        <v>1.7053</v>
      </c>
      <c r="S181">
        <v>205.91249999999999</v>
      </c>
      <c r="T181">
        <v>0</v>
      </c>
      <c r="U181" t="s">
        <v>38</v>
      </c>
      <c r="V181" t="s">
        <v>38</v>
      </c>
    </row>
    <row r="182" spans="1:22">
      <c r="A182" s="2">
        <v>46303.5</v>
      </c>
      <c r="B182">
        <v>82.31</v>
      </c>
      <c r="C182">
        <v>1871</v>
      </c>
      <c r="D182">
        <v>21.04</v>
      </c>
      <c r="E182">
        <v>274.7</v>
      </c>
      <c r="F182">
        <v>425.4</v>
      </c>
      <c r="G182">
        <v>0.18</v>
      </c>
      <c r="H182">
        <v>1.67</v>
      </c>
      <c r="I182">
        <v>236.8</v>
      </c>
      <c r="J182">
        <v>1241.5999999999999</v>
      </c>
      <c r="K182">
        <v>2.69</v>
      </c>
      <c r="L182">
        <v>52.2</v>
      </c>
      <c r="M182">
        <v>9185</v>
      </c>
      <c r="N182">
        <v>113554</v>
      </c>
      <c r="O182">
        <v>80.53</v>
      </c>
      <c r="P182">
        <v>70.444999999999993</v>
      </c>
      <c r="Q182">
        <v>0</v>
      </c>
      <c r="R182">
        <v>1.6982999999999999</v>
      </c>
      <c r="S182">
        <v>207.78749999999999</v>
      </c>
      <c r="T182">
        <v>0</v>
      </c>
      <c r="U182" t="s">
        <v>38</v>
      </c>
      <c r="V182" t="s">
        <v>38</v>
      </c>
    </row>
    <row r="183" spans="1:22">
      <c r="A183" s="2">
        <v>46303.541666666657</v>
      </c>
      <c r="B183">
        <v>80.28</v>
      </c>
      <c r="C183">
        <v>1854</v>
      </c>
      <c r="D183">
        <v>20.76</v>
      </c>
      <c r="E183">
        <v>251.4</v>
      </c>
      <c r="F183">
        <v>416.1</v>
      </c>
      <c r="G183">
        <v>1.39</v>
      </c>
      <c r="H183">
        <v>1.649</v>
      </c>
      <c r="I183">
        <v>240.7</v>
      </c>
      <c r="J183">
        <v>1249.2</v>
      </c>
      <c r="K183">
        <v>2.89</v>
      </c>
      <c r="L183">
        <v>49</v>
      </c>
      <c r="M183">
        <v>9171</v>
      </c>
      <c r="N183">
        <v>113564</v>
      </c>
      <c r="O183">
        <v>80.48</v>
      </c>
      <c r="P183">
        <v>72.834999999999994</v>
      </c>
      <c r="Q183">
        <v>0</v>
      </c>
      <c r="R183">
        <v>1.6883999999999999</v>
      </c>
      <c r="S183">
        <v>209.4</v>
      </c>
      <c r="T183">
        <v>0</v>
      </c>
      <c r="U183" t="s">
        <v>38</v>
      </c>
      <c r="V183" t="s">
        <v>38</v>
      </c>
    </row>
    <row r="184" spans="1:22">
      <c r="A184" s="2">
        <v>46303.583333333343</v>
      </c>
      <c r="B184">
        <v>79</v>
      </c>
      <c r="C184">
        <v>1791</v>
      </c>
      <c r="D184">
        <v>21.21</v>
      </c>
      <c r="E184">
        <v>276.5</v>
      </c>
      <c r="F184">
        <v>437.3</v>
      </c>
      <c r="G184">
        <v>0.92</v>
      </c>
      <c r="H184">
        <v>1.401</v>
      </c>
      <c r="I184">
        <v>225.5</v>
      </c>
      <c r="J184">
        <v>1231.9000000000001</v>
      </c>
      <c r="K184">
        <v>2.67</v>
      </c>
      <c r="L184">
        <v>55</v>
      </c>
      <c r="M184">
        <v>9186</v>
      </c>
      <c r="N184">
        <v>115516</v>
      </c>
      <c r="O184">
        <v>80.183999999999997</v>
      </c>
      <c r="P184">
        <v>74.584999999999994</v>
      </c>
      <c r="Q184">
        <v>0</v>
      </c>
      <c r="R184">
        <v>1.6309</v>
      </c>
      <c r="S184">
        <v>207.91249999999999</v>
      </c>
      <c r="T184">
        <v>0.98750000000000004</v>
      </c>
      <c r="U184" t="s">
        <v>38</v>
      </c>
      <c r="V184" t="s">
        <v>38</v>
      </c>
    </row>
    <row r="185" spans="1:22">
      <c r="A185" s="2">
        <v>46303.625</v>
      </c>
      <c r="B185">
        <v>79.489999999999995</v>
      </c>
      <c r="C185">
        <v>1831</v>
      </c>
      <c r="D185">
        <v>21.9</v>
      </c>
      <c r="E185">
        <v>279.39999999999998</v>
      </c>
      <c r="F185">
        <v>415.2</v>
      </c>
      <c r="G185">
        <v>-1.57</v>
      </c>
      <c r="H185">
        <v>1.7509999999999999</v>
      </c>
      <c r="I185">
        <v>220</v>
      </c>
      <c r="J185">
        <v>1240.5</v>
      </c>
      <c r="K185">
        <v>3.01</v>
      </c>
      <c r="L185">
        <v>66.900000000000006</v>
      </c>
      <c r="M185">
        <v>9310</v>
      </c>
      <c r="N185">
        <v>114927</v>
      </c>
      <c r="O185">
        <v>80.045000000000002</v>
      </c>
      <c r="P185">
        <v>76.58</v>
      </c>
      <c r="Q185">
        <v>0</v>
      </c>
      <c r="R185">
        <v>1.6549</v>
      </c>
      <c r="S185">
        <v>210.8</v>
      </c>
      <c r="T185">
        <v>0</v>
      </c>
      <c r="U185" t="s">
        <v>38</v>
      </c>
      <c r="V185" t="s">
        <v>38</v>
      </c>
    </row>
    <row r="186" spans="1:22">
      <c r="A186" s="2">
        <v>46303.666666666657</v>
      </c>
      <c r="B186">
        <v>79.790000000000006</v>
      </c>
      <c r="C186">
        <v>1833</v>
      </c>
      <c r="D186">
        <v>21.09</v>
      </c>
      <c r="E186">
        <v>278</v>
      </c>
      <c r="F186">
        <v>425.9</v>
      </c>
      <c r="G186">
        <v>-0.99</v>
      </c>
      <c r="H186">
        <v>1.581</v>
      </c>
      <c r="I186">
        <v>221.6</v>
      </c>
      <c r="J186">
        <v>1243.4000000000001</v>
      </c>
      <c r="K186">
        <v>2.91</v>
      </c>
      <c r="L186">
        <v>67.599999999999994</v>
      </c>
      <c r="M186">
        <v>9023</v>
      </c>
      <c r="N186">
        <v>115049</v>
      </c>
      <c r="O186">
        <v>79.994</v>
      </c>
      <c r="P186">
        <v>78.724999999999994</v>
      </c>
      <c r="Q186">
        <v>0</v>
      </c>
      <c r="R186">
        <v>1.6402000000000001</v>
      </c>
      <c r="S186">
        <v>211.5625</v>
      </c>
      <c r="T186">
        <v>0</v>
      </c>
      <c r="U186" t="s">
        <v>38</v>
      </c>
      <c r="V186" t="s">
        <v>38</v>
      </c>
    </row>
    <row r="187" spans="1:22">
      <c r="A187" s="2">
        <v>46303.708333333343</v>
      </c>
      <c r="B187">
        <v>80.760000000000005</v>
      </c>
      <c r="C187">
        <v>1780</v>
      </c>
      <c r="D187">
        <v>21.15</v>
      </c>
      <c r="E187">
        <v>285.2</v>
      </c>
      <c r="F187">
        <v>422.4</v>
      </c>
      <c r="G187">
        <v>0.94</v>
      </c>
      <c r="H187">
        <v>1.647</v>
      </c>
      <c r="I187">
        <v>227.1</v>
      </c>
      <c r="J187">
        <v>1245.5</v>
      </c>
      <c r="K187">
        <v>2.68</v>
      </c>
      <c r="L187">
        <v>64.099999999999994</v>
      </c>
      <c r="M187">
        <v>9323</v>
      </c>
      <c r="N187">
        <v>113862</v>
      </c>
      <c r="O187">
        <v>80.147000000000006</v>
      </c>
      <c r="P187">
        <v>81.355000000000004</v>
      </c>
      <c r="Q187">
        <v>0</v>
      </c>
      <c r="R187">
        <v>1.6415</v>
      </c>
      <c r="S187">
        <v>213.15</v>
      </c>
      <c r="T187">
        <v>0</v>
      </c>
      <c r="U187" t="s">
        <v>38</v>
      </c>
      <c r="V187" t="s">
        <v>38</v>
      </c>
    </row>
    <row r="188" spans="1:22">
      <c r="A188" s="2">
        <v>46303.75</v>
      </c>
      <c r="B188">
        <v>80.23</v>
      </c>
      <c r="C188">
        <v>1899</v>
      </c>
      <c r="D188">
        <v>20.9</v>
      </c>
      <c r="E188">
        <v>280.89999999999998</v>
      </c>
      <c r="F188">
        <v>430.4</v>
      </c>
      <c r="G188">
        <v>-0.98</v>
      </c>
      <c r="H188">
        <v>1.7430000000000001</v>
      </c>
      <c r="I188">
        <v>228.5</v>
      </c>
      <c r="J188">
        <v>1241.4000000000001</v>
      </c>
      <c r="K188">
        <v>2.85</v>
      </c>
      <c r="L188">
        <v>65.8</v>
      </c>
      <c r="M188">
        <v>9086</v>
      </c>
      <c r="N188">
        <v>114654</v>
      </c>
      <c r="O188">
        <v>80.164000000000001</v>
      </c>
      <c r="P188">
        <v>83.72</v>
      </c>
      <c r="Q188">
        <v>0</v>
      </c>
      <c r="R188">
        <v>1.6617999999999999</v>
      </c>
      <c r="S188">
        <v>215.9375</v>
      </c>
      <c r="T188">
        <v>0</v>
      </c>
      <c r="U188" t="s">
        <v>38</v>
      </c>
      <c r="V188" t="s">
        <v>38</v>
      </c>
    </row>
    <row r="189" spans="1:22">
      <c r="A189" s="2">
        <v>46303.791666666657</v>
      </c>
      <c r="B189">
        <v>79.13</v>
      </c>
      <c r="C189">
        <v>1870</v>
      </c>
      <c r="D189">
        <v>20.77</v>
      </c>
      <c r="E189">
        <v>274.7</v>
      </c>
      <c r="F189">
        <v>432.5</v>
      </c>
      <c r="G189">
        <v>-0.22</v>
      </c>
      <c r="H189">
        <v>1.9419999999999999</v>
      </c>
      <c r="I189">
        <v>224.3</v>
      </c>
      <c r="J189">
        <v>1237.0999999999999</v>
      </c>
      <c r="K189">
        <v>2.79</v>
      </c>
      <c r="L189">
        <v>64.099999999999994</v>
      </c>
      <c r="M189">
        <v>9179</v>
      </c>
      <c r="N189">
        <v>113614</v>
      </c>
      <c r="O189">
        <v>79.956999999999994</v>
      </c>
      <c r="P189">
        <v>85.534999999999997</v>
      </c>
      <c r="Q189">
        <v>0</v>
      </c>
      <c r="R189">
        <v>1.7179</v>
      </c>
      <c r="S189">
        <v>221.21250000000001</v>
      </c>
      <c r="T189">
        <v>0</v>
      </c>
      <c r="U189" t="s">
        <v>38</v>
      </c>
      <c r="V189" t="s">
        <v>38</v>
      </c>
    </row>
    <row r="190" spans="1:22">
      <c r="A190" s="2">
        <v>46303.833333333343</v>
      </c>
      <c r="B190">
        <v>78.41</v>
      </c>
      <c r="C190">
        <v>1820</v>
      </c>
      <c r="D190">
        <v>21.47</v>
      </c>
      <c r="E190">
        <v>266.10000000000002</v>
      </c>
      <c r="F190">
        <v>420.3</v>
      </c>
      <c r="G190">
        <v>0.55000000000000004</v>
      </c>
      <c r="H190">
        <v>1.6950000000000001</v>
      </c>
      <c r="I190">
        <v>219</v>
      </c>
      <c r="J190">
        <v>1233.4000000000001</v>
      </c>
      <c r="K190">
        <v>2.95</v>
      </c>
      <c r="L190">
        <v>54.9</v>
      </c>
      <c r="M190">
        <v>9166</v>
      </c>
      <c r="N190">
        <v>116335</v>
      </c>
      <c r="O190">
        <v>79.647999999999996</v>
      </c>
      <c r="P190">
        <v>86.99</v>
      </c>
      <c r="Q190">
        <v>0</v>
      </c>
      <c r="R190">
        <v>1.7133</v>
      </c>
      <c r="S190">
        <v>223.4</v>
      </c>
      <c r="T190">
        <v>0</v>
      </c>
      <c r="U190" t="s">
        <v>38</v>
      </c>
      <c r="V190" t="s">
        <v>38</v>
      </c>
    </row>
    <row r="191" spans="1:22">
      <c r="A191" s="2">
        <v>46303.875</v>
      </c>
      <c r="B191">
        <v>77.13</v>
      </c>
      <c r="C191">
        <v>1830</v>
      </c>
      <c r="D191">
        <v>20.83</v>
      </c>
      <c r="E191">
        <v>241.7</v>
      </c>
      <c r="F191">
        <v>414</v>
      </c>
      <c r="G191">
        <v>-0.97</v>
      </c>
      <c r="H191">
        <v>1.659</v>
      </c>
      <c r="I191">
        <v>227.4</v>
      </c>
      <c r="J191">
        <v>1240.7</v>
      </c>
      <c r="K191">
        <v>3.1</v>
      </c>
      <c r="L191">
        <v>63.5</v>
      </c>
      <c r="M191">
        <v>9247</v>
      </c>
      <c r="N191">
        <v>116553</v>
      </c>
      <c r="O191">
        <v>79.144000000000005</v>
      </c>
      <c r="P191">
        <v>87.805000000000007</v>
      </c>
      <c r="Q191">
        <v>0</v>
      </c>
      <c r="R191">
        <v>1.7023999999999999</v>
      </c>
      <c r="S191">
        <v>225.13749999999999</v>
      </c>
      <c r="T191">
        <v>0</v>
      </c>
      <c r="U191" t="s">
        <v>38</v>
      </c>
      <c r="V191" t="s">
        <v>38</v>
      </c>
    </row>
    <row r="192" spans="1:22">
      <c r="A192" s="2">
        <v>46303.916666666657</v>
      </c>
      <c r="B192">
        <v>77.790000000000006</v>
      </c>
      <c r="C192">
        <v>1837</v>
      </c>
      <c r="D192">
        <v>21.23</v>
      </c>
      <c r="E192">
        <v>272.39999999999998</v>
      </c>
      <c r="F192">
        <v>423.7</v>
      </c>
      <c r="G192">
        <v>0.11</v>
      </c>
      <c r="H192">
        <v>1.6619999999999999</v>
      </c>
      <c r="I192">
        <v>233.8</v>
      </c>
      <c r="J192">
        <v>1231.4000000000001</v>
      </c>
      <c r="K192">
        <v>2.62</v>
      </c>
      <c r="L192">
        <v>66.400000000000006</v>
      </c>
      <c r="M192">
        <v>9072</v>
      </c>
      <c r="N192">
        <v>112231</v>
      </c>
      <c r="O192">
        <v>78.873000000000005</v>
      </c>
      <c r="P192">
        <v>88.95</v>
      </c>
      <c r="Q192">
        <v>0</v>
      </c>
      <c r="R192">
        <v>1.6942999999999999</v>
      </c>
      <c r="S192">
        <v>226.91249999999999</v>
      </c>
      <c r="T192">
        <v>0</v>
      </c>
      <c r="U192" t="s">
        <v>38</v>
      </c>
      <c r="V192" t="s">
        <v>38</v>
      </c>
    </row>
    <row r="193" spans="1:22">
      <c r="A193" s="2">
        <v>46303.958333333343</v>
      </c>
      <c r="B193">
        <v>79.989999999999995</v>
      </c>
      <c r="C193">
        <v>1735</v>
      </c>
      <c r="D193">
        <v>21.04</v>
      </c>
      <c r="E193">
        <v>268.5</v>
      </c>
      <c r="F193">
        <v>414.6</v>
      </c>
      <c r="G193">
        <v>-1.33</v>
      </c>
      <c r="H193">
        <v>1.7949999999999999</v>
      </c>
      <c r="I193">
        <v>238</v>
      </c>
      <c r="J193">
        <v>1216.5999999999999</v>
      </c>
      <c r="K193">
        <v>2.92</v>
      </c>
      <c r="L193">
        <v>66</v>
      </c>
      <c r="M193">
        <v>9237</v>
      </c>
      <c r="N193">
        <v>113606</v>
      </c>
      <c r="O193">
        <v>79.096999999999994</v>
      </c>
      <c r="P193">
        <v>91.194999999999993</v>
      </c>
      <c r="Q193">
        <v>0</v>
      </c>
      <c r="R193">
        <v>1.7144999999999999</v>
      </c>
      <c r="S193">
        <v>230.35</v>
      </c>
      <c r="T193">
        <v>0</v>
      </c>
      <c r="U193" t="s">
        <v>38</v>
      </c>
      <c r="V193" t="s">
        <v>38</v>
      </c>
    </row>
    <row r="194" spans="1:22">
      <c r="A194" s="2">
        <v>46304</v>
      </c>
      <c r="B194">
        <v>79.8</v>
      </c>
      <c r="C194">
        <v>1815</v>
      </c>
      <c r="D194">
        <v>21.45</v>
      </c>
      <c r="E194">
        <v>268.89999999999998</v>
      </c>
      <c r="F194">
        <v>436.1</v>
      </c>
      <c r="G194">
        <v>-0.6</v>
      </c>
      <c r="H194">
        <v>1.6080000000000001</v>
      </c>
      <c r="I194">
        <v>226.4</v>
      </c>
      <c r="J194">
        <v>1243.5</v>
      </c>
      <c r="K194">
        <v>2.88</v>
      </c>
      <c r="L194">
        <v>69.5</v>
      </c>
      <c r="M194">
        <v>9362</v>
      </c>
      <c r="N194">
        <v>112755</v>
      </c>
      <c r="O194">
        <v>79.236999999999995</v>
      </c>
      <c r="P194">
        <v>93.344999999999999</v>
      </c>
      <c r="Q194">
        <v>0</v>
      </c>
      <c r="R194">
        <v>1.6932</v>
      </c>
      <c r="S194">
        <v>231.45</v>
      </c>
      <c r="T194">
        <v>0</v>
      </c>
      <c r="U194" t="s">
        <v>38</v>
      </c>
      <c r="V194" t="s">
        <v>38</v>
      </c>
    </row>
    <row r="195" spans="1:22">
      <c r="A195" s="2">
        <v>46304.041666666657</v>
      </c>
      <c r="B195">
        <v>78.61</v>
      </c>
      <c r="C195">
        <v>1795</v>
      </c>
      <c r="D195">
        <v>21.42</v>
      </c>
      <c r="E195">
        <v>245</v>
      </c>
      <c r="F195">
        <v>421.1</v>
      </c>
      <c r="G195">
        <v>0.32</v>
      </c>
      <c r="H195">
        <v>1.8169999999999999</v>
      </c>
      <c r="I195">
        <v>227.9</v>
      </c>
      <c r="J195">
        <v>1247.2</v>
      </c>
      <c r="K195">
        <v>3</v>
      </c>
      <c r="L195">
        <v>65.7</v>
      </c>
      <c r="M195">
        <v>9091</v>
      </c>
      <c r="N195">
        <v>114025</v>
      </c>
      <c r="O195">
        <v>79.111999999999995</v>
      </c>
      <c r="P195">
        <v>94.9</v>
      </c>
      <c r="Q195">
        <v>0</v>
      </c>
      <c r="R195">
        <v>1.7179</v>
      </c>
      <c r="S195">
        <v>235.16249999999999</v>
      </c>
      <c r="T195">
        <v>0</v>
      </c>
      <c r="U195" t="s">
        <v>38</v>
      </c>
      <c r="V195" t="s">
        <v>38</v>
      </c>
    </row>
    <row r="196" spans="1:22">
      <c r="A196" s="2">
        <v>46304.083333333343</v>
      </c>
      <c r="B196">
        <v>79.31</v>
      </c>
      <c r="C196">
        <v>1780</v>
      </c>
      <c r="D196">
        <v>21.74</v>
      </c>
      <c r="E196">
        <v>247.4</v>
      </c>
      <c r="F196">
        <v>417.1</v>
      </c>
      <c r="G196">
        <v>-1.59</v>
      </c>
      <c r="H196">
        <v>1.728</v>
      </c>
      <c r="I196">
        <v>222.7</v>
      </c>
      <c r="J196">
        <v>1221.0999999999999</v>
      </c>
      <c r="K196">
        <v>2.93</v>
      </c>
      <c r="L196">
        <v>62.8</v>
      </c>
      <c r="M196">
        <v>9215</v>
      </c>
      <c r="N196">
        <v>114875</v>
      </c>
      <c r="O196">
        <v>79.150999999999996</v>
      </c>
      <c r="P196">
        <v>96.805000000000007</v>
      </c>
      <c r="Q196">
        <v>0</v>
      </c>
      <c r="R196">
        <v>1.72</v>
      </c>
      <c r="S196">
        <v>237.76249999999999</v>
      </c>
      <c r="T196">
        <v>0</v>
      </c>
      <c r="U196" t="s">
        <v>38</v>
      </c>
      <c r="V196" t="s">
        <v>38</v>
      </c>
    </row>
    <row r="197" spans="1:22">
      <c r="A197" s="2">
        <v>46304.125</v>
      </c>
      <c r="B197">
        <v>80.3</v>
      </c>
      <c r="C197">
        <v>1811</v>
      </c>
      <c r="D197">
        <v>21.15</v>
      </c>
      <c r="E197">
        <v>278.8</v>
      </c>
      <c r="F197">
        <v>421.5</v>
      </c>
      <c r="G197">
        <v>0.44</v>
      </c>
      <c r="H197">
        <v>1.669</v>
      </c>
      <c r="I197">
        <v>231.7</v>
      </c>
      <c r="J197">
        <v>1231.9000000000001</v>
      </c>
      <c r="K197">
        <v>2.79</v>
      </c>
      <c r="L197">
        <v>68.599999999999994</v>
      </c>
      <c r="M197">
        <v>9147</v>
      </c>
      <c r="N197">
        <v>112826</v>
      </c>
      <c r="O197">
        <v>79.381</v>
      </c>
      <c r="P197">
        <v>99.204999999999998</v>
      </c>
      <c r="Q197">
        <v>0</v>
      </c>
      <c r="R197">
        <v>1.7098</v>
      </c>
      <c r="S197">
        <v>239.625</v>
      </c>
      <c r="T197">
        <v>0</v>
      </c>
      <c r="U197" t="s">
        <v>38</v>
      </c>
      <c r="V197" t="s">
        <v>38</v>
      </c>
    </row>
    <row r="198" spans="1:22">
      <c r="A198" s="2">
        <v>46304.166666666657</v>
      </c>
      <c r="B198">
        <v>78.180000000000007</v>
      </c>
      <c r="C198">
        <v>1904</v>
      </c>
      <c r="D198">
        <v>21.27</v>
      </c>
      <c r="E198">
        <v>261.8</v>
      </c>
      <c r="F198">
        <v>409.2</v>
      </c>
      <c r="G198">
        <v>-0.02</v>
      </c>
      <c r="H198">
        <v>1.4770000000000001</v>
      </c>
      <c r="I198">
        <v>223.5</v>
      </c>
      <c r="J198">
        <v>1245</v>
      </c>
      <c r="K198">
        <v>2.85</v>
      </c>
      <c r="L198">
        <v>59.8</v>
      </c>
      <c r="M198">
        <v>9234</v>
      </c>
      <c r="N198">
        <v>113617</v>
      </c>
      <c r="O198">
        <v>79.141000000000005</v>
      </c>
      <c r="P198">
        <v>100.545</v>
      </c>
      <c r="Q198">
        <v>0</v>
      </c>
      <c r="R198">
        <v>1.6632</v>
      </c>
      <c r="S198">
        <v>239.08750000000001</v>
      </c>
      <c r="T198">
        <v>3.7499999999999999E-2</v>
      </c>
      <c r="U198" t="s">
        <v>38</v>
      </c>
      <c r="V198" t="s">
        <v>38</v>
      </c>
    </row>
    <row r="199" spans="1:22">
      <c r="A199" s="2">
        <v>46304.208333333343</v>
      </c>
      <c r="B199">
        <v>78.790000000000006</v>
      </c>
      <c r="C199">
        <v>1851</v>
      </c>
      <c r="D199">
        <v>21.02</v>
      </c>
      <c r="E199">
        <v>272</v>
      </c>
      <c r="F199">
        <v>412.2</v>
      </c>
      <c r="G199">
        <v>0.55000000000000004</v>
      </c>
      <c r="H199">
        <v>1.575</v>
      </c>
      <c r="I199">
        <v>237.7</v>
      </c>
      <c r="J199">
        <v>1256.5</v>
      </c>
      <c r="K199">
        <v>2.78</v>
      </c>
      <c r="L199">
        <v>52.9</v>
      </c>
      <c r="M199">
        <v>9202</v>
      </c>
      <c r="N199">
        <v>113494</v>
      </c>
      <c r="O199">
        <v>79.070999999999998</v>
      </c>
      <c r="P199">
        <v>102.19</v>
      </c>
      <c r="Q199">
        <v>0</v>
      </c>
      <c r="R199">
        <v>1.6456</v>
      </c>
      <c r="S199">
        <v>239.77500000000001</v>
      </c>
      <c r="T199">
        <v>0</v>
      </c>
      <c r="U199" t="s">
        <v>38</v>
      </c>
      <c r="V199" t="s">
        <v>38</v>
      </c>
    </row>
    <row r="200" spans="1:22">
      <c r="A200" s="2">
        <v>46304.25</v>
      </c>
      <c r="B200">
        <v>79.47</v>
      </c>
      <c r="C200">
        <v>1796</v>
      </c>
      <c r="D200">
        <v>21.26</v>
      </c>
      <c r="E200">
        <v>261.60000000000002</v>
      </c>
      <c r="F200">
        <v>429.6</v>
      </c>
      <c r="G200">
        <v>0.22</v>
      </c>
      <c r="H200">
        <v>1.726</v>
      </c>
      <c r="I200">
        <v>214.1</v>
      </c>
      <c r="J200">
        <v>1240.2</v>
      </c>
      <c r="K200">
        <v>3.06</v>
      </c>
      <c r="L200">
        <v>58.7</v>
      </c>
      <c r="M200">
        <v>9149</v>
      </c>
      <c r="N200">
        <v>115311</v>
      </c>
      <c r="O200">
        <v>79.150999999999996</v>
      </c>
      <c r="P200">
        <v>104.175</v>
      </c>
      <c r="Q200">
        <v>0</v>
      </c>
      <c r="R200">
        <v>1.6617</v>
      </c>
      <c r="S200">
        <v>242.35</v>
      </c>
      <c r="T200">
        <v>0</v>
      </c>
      <c r="U200" t="s">
        <v>38</v>
      </c>
      <c r="V200" t="s">
        <v>38</v>
      </c>
    </row>
    <row r="201" spans="1:22">
      <c r="A201" s="2">
        <v>46304.291666666657</v>
      </c>
      <c r="B201">
        <v>79.28</v>
      </c>
      <c r="C201">
        <v>1847</v>
      </c>
      <c r="D201">
        <v>21.62</v>
      </c>
      <c r="E201">
        <v>261</v>
      </c>
      <c r="F201">
        <v>414.7</v>
      </c>
      <c r="G201">
        <v>1.36</v>
      </c>
      <c r="H201">
        <v>1.871</v>
      </c>
      <c r="I201">
        <v>228.4</v>
      </c>
      <c r="J201">
        <v>1234.2</v>
      </c>
      <c r="K201">
        <v>2.9</v>
      </c>
      <c r="L201">
        <v>54</v>
      </c>
      <c r="M201">
        <v>9239</v>
      </c>
      <c r="N201">
        <v>115104</v>
      </c>
      <c r="O201">
        <v>79.176000000000002</v>
      </c>
      <c r="P201">
        <v>106.065</v>
      </c>
      <c r="Q201">
        <v>0</v>
      </c>
      <c r="R201">
        <v>1.7035</v>
      </c>
      <c r="S201">
        <v>246.73750000000001</v>
      </c>
      <c r="T201">
        <v>0</v>
      </c>
      <c r="U201" t="s">
        <v>38</v>
      </c>
      <c r="V201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8A49-081F-4DF9-85EC-EC582F73827D}">
  <dimension ref="A1:T201"/>
  <sheetViews>
    <sheetView workbookViewId="0">
      <selection activeCellId="1" sqref="L1:M1048576 A1:A1048576"/>
    </sheetView>
  </sheetViews>
  <sheetFormatPr defaultRowHeight="14.4"/>
  <cols>
    <col min="1" max="1" width="18.109375" bestFit="1" customWidth="1"/>
    <col min="2" max="2" width="15.21875" bestFit="1" customWidth="1"/>
    <col min="3" max="3" width="10.77734375" bestFit="1" customWidth="1"/>
    <col min="4" max="4" width="18" bestFit="1" customWidth="1"/>
    <col min="5" max="5" width="13.21875" bestFit="1" customWidth="1"/>
    <col min="6" max="6" width="11.44140625" bestFit="1" customWidth="1"/>
    <col min="7" max="7" width="17.33203125" bestFit="1" customWidth="1"/>
    <col min="8" max="10" width="12" bestFit="1" customWidth="1"/>
    <col min="11" max="11" width="12.6640625" bestFit="1" customWidth="1"/>
    <col min="12" max="12" width="16.21875" bestFit="1" customWidth="1"/>
    <col min="13" max="13" width="16.21875" customWidth="1"/>
    <col min="14" max="14" width="17.88671875" bestFit="1" customWidth="1"/>
    <col min="15" max="15" width="26.21875" bestFit="1" customWidth="1"/>
    <col min="16" max="16" width="28.88671875" bestFit="1" customWidth="1"/>
    <col min="18" max="18" width="20.33203125" bestFit="1" customWidth="1"/>
    <col min="19" max="19" width="12.6640625" bestFit="1" customWidth="1"/>
    <col min="20" max="20" width="9.5546875" bestFit="1" customWidth="1"/>
    <col min="21" max="21" width="38.77734375" bestFit="1" customWidth="1"/>
  </cols>
  <sheetData>
    <row r="1" spans="1:20">
      <c r="A1" s="1" t="s">
        <v>14</v>
      </c>
      <c r="B1" t="s">
        <v>15</v>
      </c>
      <c r="C1" t="s">
        <v>16</v>
      </c>
      <c r="D1" t="s">
        <v>18</v>
      </c>
      <c r="E1" t="s">
        <v>19</v>
      </c>
      <c r="F1" t="s">
        <v>22</v>
      </c>
      <c r="G1" t="s">
        <v>24</v>
      </c>
      <c r="H1" s="3" t="s">
        <v>62</v>
      </c>
      <c r="I1" s="3" t="s">
        <v>64</v>
      </c>
      <c r="J1" s="3" t="s">
        <v>63</v>
      </c>
      <c r="K1" s="3" t="s">
        <v>65</v>
      </c>
      <c r="L1" s="3" t="s">
        <v>33</v>
      </c>
      <c r="M1" s="3"/>
      <c r="N1" s="3" t="s">
        <v>34</v>
      </c>
      <c r="O1" t="s">
        <v>66</v>
      </c>
      <c r="P1" t="s">
        <v>67</v>
      </c>
      <c r="Q1" t="s">
        <v>40</v>
      </c>
      <c r="R1" t="s">
        <v>41</v>
      </c>
      <c r="S1" t="s">
        <v>42</v>
      </c>
      <c r="T1" t="s">
        <v>43</v>
      </c>
    </row>
    <row r="2" spans="1:20">
      <c r="A2" s="2">
        <v>46296</v>
      </c>
      <c r="B2" t="s">
        <v>37</v>
      </c>
      <c r="C2">
        <v>75.989999999999995</v>
      </c>
      <c r="D2">
        <v>17.86</v>
      </c>
      <c r="E2">
        <v>331.4</v>
      </c>
      <c r="F2">
        <v>1.4450000000000001</v>
      </c>
      <c r="G2">
        <v>1241.5999999999999</v>
      </c>
      <c r="H2">
        <f>$R$4*C2 + (1-$R$4)*$R$2</f>
        <v>75.115679999999969</v>
      </c>
      <c r="I2">
        <f>$R$2 + $R$5*$R$3*SQRT(($R$4/(2-$R$4))*(1-(1-$R$4)^(2*ROWS($C$2:C2))))</f>
        <v>75.572147362648082</v>
      </c>
      <c r="J2">
        <f>$R$2 - $R$5*$R$3*SQRT(($R$4/(2-$R$4))*(1-(1-$R$4)^(2*ROWS($C$2:C2))))</f>
        <v>74.222052637351851</v>
      </c>
      <c r="K2">
        <f>(F2 - $R$6) / $R$7</f>
        <v>-0.69245165846438272</v>
      </c>
      <c r="L2">
        <f>MAX(0, K2 - $R$8)</f>
        <v>0</v>
      </c>
      <c r="M2">
        <v>0.5</v>
      </c>
      <c r="N2">
        <f>MAX(0, -K2 - $R$8)</f>
        <v>0.44245165846438272</v>
      </c>
      <c r="O2" t="str">
        <f>IF(H2&gt;I2, "ALARM: LINER WEAR", "NORMAL")</f>
        <v>NORMAL</v>
      </c>
      <c r="P2" t="str">
        <f>IF(L2&gt;$R$9, "ALARM: BURNER DRIFT", "NORMAL")</f>
        <v>NORMAL</v>
      </c>
      <c r="Q2" s="3" t="s">
        <v>54</v>
      </c>
      <c r="R2">
        <f>AVERAGE(C2:C101)</f>
        <v>74.897099999999966</v>
      </c>
      <c r="S2">
        <v>75</v>
      </c>
      <c r="T2" t="s">
        <v>44</v>
      </c>
    </row>
    <row r="3" spans="1:20">
      <c r="A3" s="2">
        <v>46296.041666666657</v>
      </c>
      <c r="B3" t="s">
        <v>37</v>
      </c>
      <c r="C3">
        <v>75.06</v>
      </c>
      <c r="D3">
        <v>18.260000000000002</v>
      </c>
      <c r="E3">
        <v>306.2</v>
      </c>
      <c r="F3">
        <v>1.5880000000000001</v>
      </c>
      <c r="G3">
        <v>1254.3</v>
      </c>
      <c r="H3">
        <f>$R$4*C3 + (1-$R$4)*H2</f>
        <v>75.104543999999976</v>
      </c>
      <c r="I3">
        <f>$R$2 + $R$5*$R$3*SQRT(($R$4/(2-$R$4))*(1-(1-$R$4)^(2*ROWS($C$2:C3))))</f>
        <v>75.761582425837432</v>
      </c>
      <c r="J3">
        <f>$R$2 - $R$5*$R$3*SQRT(($R$4/(2-$R$4))*(1-(1-$R$4)^(2*ROWS($C$2:C3))))</f>
        <v>74.032617574162501</v>
      </c>
      <c r="K3">
        <f t="shared" ref="K3:K66" si="0">(F3 - $R$6) / $R$7</f>
        <v>0.61113690341564997</v>
      </c>
      <c r="L3">
        <f t="shared" ref="L3:L34" si="1">MAX(0, L2 + K3 - $R$8)</f>
        <v>0.36113690341564997</v>
      </c>
      <c r="M3">
        <v>0.5</v>
      </c>
      <c r="N3">
        <f>MAX(0, N2 - K3 - $R$8)</f>
        <v>0</v>
      </c>
      <c r="O3" t="str">
        <f t="shared" ref="O3:O66" si="2">IF(H3&gt;I3, "ALARM: LINER WEAR", "NORMAL")</f>
        <v>NORMAL</v>
      </c>
      <c r="P3" t="str">
        <f t="shared" ref="P3:P66" si="3">IF(L3&gt;$R$9, "ALARM: BURNER DRIFT", "NORMAL")</f>
        <v>NORMAL</v>
      </c>
      <c r="Q3" s="3" t="s">
        <v>55</v>
      </c>
      <c r="R3">
        <f>_xlfn.STDEV.S(C2:C101)</f>
        <v>1.1250789377468662</v>
      </c>
      <c r="S3" t="s">
        <v>45</v>
      </c>
      <c r="T3" t="s">
        <v>46</v>
      </c>
    </row>
    <row r="4" spans="1:20">
      <c r="A4" s="2">
        <v>46296.083333333343</v>
      </c>
      <c r="B4" t="s">
        <v>37</v>
      </c>
      <c r="C4">
        <v>75.7</v>
      </c>
      <c r="D4">
        <v>18.5</v>
      </c>
      <c r="E4">
        <v>333</v>
      </c>
      <c r="F4">
        <v>1.6819999999999999</v>
      </c>
      <c r="G4">
        <v>1259.5</v>
      </c>
      <c r="H4">
        <f t="shared" ref="H4:H67" si="4">$R$4*C4 + (1-$R$4)*H3</f>
        <v>75.22363519999999</v>
      </c>
      <c r="I4">
        <f>$R$2 + $R$5*$R$3*SQRT(($R$4/(2-$R$4))*(1-(1-$R$4)^(2*ROWS($C$2:C4))))</f>
        <v>75.863526435457189</v>
      </c>
      <c r="J4">
        <f>$R$2 - $R$5*$R$3*SQRT(($R$4/(2-$R$4))*(1-(1-$R$4)^(2*ROWS($C$2:C4))))</f>
        <v>73.930673564542744</v>
      </c>
      <c r="K4">
        <f t="shared" si="0"/>
        <v>1.4680412727633625</v>
      </c>
      <c r="L4">
        <f t="shared" si="1"/>
        <v>1.5791781761790125</v>
      </c>
      <c r="M4">
        <v>0.5</v>
      </c>
      <c r="N4">
        <f t="shared" ref="N4:N67" si="5">MAX(0, N3 - K4 - $R$8)</f>
        <v>0</v>
      </c>
      <c r="O4" t="str">
        <f t="shared" si="2"/>
        <v>NORMAL</v>
      </c>
      <c r="P4" t="str">
        <f t="shared" si="3"/>
        <v>NORMAL</v>
      </c>
      <c r="Q4" s="3" t="s">
        <v>56</v>
      </c>
      <c r="R4">
        <v>0.2</v>
      </c>
      <c r="S4">
        <v>0.2</v>
      </c>
      <c r="T4" t="s">
        <v>47</v>
      </c>
    </row>
    <row r="5" spans="1:20">
      <c r="A5" s="2">
        <v>46296.125</v>
      </c>
      <c r="B5" t="s">
        <v>37</v>
      </c>
      <c r="C5">
        <v>76.489999999999995</v>
      </c>
      <c r="D5">
        <v>18.52</v>
      </c>
      <c r="E5">
        <v>340.3</v>
      </c>
      <c r="F5">
        <v>1.6419999999999999</v>
      </c>
      <c r="G5">
        <v>1255.8</v>
      </c>
      <c r="H5">
        <f t="shared" si="4"/>
        <v>75.476908159999994</v>
      </c>
      <c r="I5">
        <f>$R$2 + $R$5*$R$3*SQRT(($R$4/(2-$R$4))*(1-(1-$R$4)^(2*ROWS($C$2:C5))))</f>
        <v>75.923470389827401</v>
      </c>
      <c r="J5">
        <f>$R$2 - $R$5*$R$3*SQRT(($R$4/(2-$R$4))*(1-(1-$R$4)^(2*ROWS($C$2:C5))))</f>
        <v>73.870729610172532</v>
      </c>
      <c r="K5">
        <f t="shared" si="0"/>
        <v>1.1034011155941221</v>
      </c>
      <c r="L5">
        <f t="shared" si="1"/>
        <v>2.4325792917731346</v>
      </c>
      <c r="M5">
        <v>0.5</v>
      </c>
      <c r="N5">
        <f t="shared" si="5"/>
        <v>0</v>
      </c>
      <c r="O5" t="str">
        <f t="shared" si="2"/>
        <v>NORMAL</v>
      </c>
      <c r="P5" t="str">
        <f t="shared" si="3"/>
        <v>NORMAL</v>
      </c>
      <c r="Q5" s="3" t="s">
        <v>57</v>
      </c>
      <c r="R5">
        <v>3</v>
      </c>
      <c r="S5">
        <v>3</v>
      </c>
      <c r="T5" t="s">
        <v>48</v>
      </c>
    </row>
    <row r="6" spans="1:20">
      <c r="A6" s="2">
        <v>46296.166666666657</v>
      </c>
      <c r="B6" t="s">
        <v>37</v>
      </c>
      <c r="C6">
        <v>75.47</v>
      </c>
      <c r="D6">
        <v>18.32</v>
      </c>
      <c r="E6">
        <v>326.2</v>
      </c>
      <c r="F6">
        <v>1.4690000000000001</v>
      </c>
      <c r="G6">
        <v>1258</v>
      </c>
      <c r="H6">
        <f t="shared" si="4"/>
        <v>75.475526527999989</v>
      </c>
      <c r="I6">
        <f>$R$2 + $R$5*$R$3*SQRT(($R$4/(2-$R$4))*(1-(1-$R$4)^(2*ROWS($C$2:C6))))</f>
        <v>75.960061944366501</v>
      </c>
      <c r="J6">
        <f>$R$2 - $R$5*$R$3*SQRT(($R$4/(2-$R$4))*(1-(1-$R$4)^(2*ROWS($C$2:C6))))</f>
        <v>73.834138055633431</v>
      </c>
      <c r="K6">
        <f t="shared" si="0"/>
        <v>-0.47366756416283862</v>
      </c>
      <c r="L6">
        <f t="shared" si="1"/>
        <v>1.7089117276102961</v>
      </c>
      <c r="M6">
        <v>0.5</v>
      </c>
      <c r="N6">
        <f t="shared" si="5"/>
        <v>0.22366756416283862</v>
      </c>
      <c r="O6" t="str">
        <f t="shared" si="2"/>
        <v>NORMAL</v>
      </c>
      <c r="P6" t="str">
        <f t="shared" si="3"/>
        <v>NORMAL</v>
      </c>
      <c r="Q6" t="s">
        <v>58</v>
      </c>
      <c r="R6">
        <f>AVERAGE(F2:F101)</f>
        <v>1.5209599999999996</v>
      </c>
      <c r="S6">
        <v>1.5</v>
      </c>
      <c r="T6" t="s">
        <v>49</v>
      </c>
    </row>
    <row r="7" spans="1:20">
      <c r="A7" s="2">
        <v>46296.208333333343</v>
      </c>
      <c r="B7" t="s">
        <v>37</v>
      </c>
      <c r="C7">
        <v>75.88</v>
      </c>
      <c r="D7">
        <v>18.75</v>
      </c>
      <c r="E7">
        <v>348.2</v>
      </c>
      <c r="F7">
        <v>1.3640000000000001</v>
      </c>
      <c r="G7">
        <v>1243.9000000000001</v>
      </c>
      <c r="H7">
        <f t="shared" si="4"/>
        <v>75.55642122239999</v>
      </c>
      <c r="I7">
        <f>$R$2 + $R$5*$R$3*SQRT(($R$4/(2-$R$4))*(1-(1-$R$4)^(2*ROWS($C$2:C7))))</f>
        <v>75.982833541311066</v>
      </c>
      <c r="J7">
        <f>$R$2 - $R$5*$R$3*SQRT(($R$4/(2-$R$4))*(1-(1-$R$4)^(2*ROWS($C$2:C7))))</f>
        <v>73.811366458688866</v>
      </c>
      <c r="K7">
        <f t="shared" si="0"/>
        <v>-1.4308479767320932</v>
      </c>
      <c r="L7">
        <f t="shared" si="1"/>
        <v>2.8063750878202898E-2</v>
      </c>
      <c r="M7">
        <v>0.5</v>
      </c>
      <c r="N7">
        <f t="shared" si="5"/>
        <v>1.4045155408949319</v>
      </c>
      <c r="O7" t="str">
        <f t="shared" si="2"/>
        <v>NORMAL</v>
      </c>
      <c r="P7" t="str">
        <f t="shared" si="3"/>
        <v>NORMAL</v>
      </c>
      <c r="Q7" t="s">
        <v>59</v>
      </c>
      <c r="R7">
        <f>_xlfn.STDEV.S(F2:F101)</f>
        <v>0.10969718834734613</v>
      </c>
      <c r="S7" t="s">
        <v>50</v>
      </c>
      <c r="T7" t="s">
        <v>51</v>
      </c>
    </row>
    <row r="8" spans="1:20">
      <c r="A8" s="2">
        <v>46296.25</v>
      </c>
      <c r="B8" t="s">
        <v>37</v>
      </c>
      <c r="C8">
        <v>77.58</v>
      </c>
      <c r="D8">
        <v>18.07</v>
      </c>
      <c r="E8">
        <v>308.39999999999998</v>
      </c>
      <c r="F8">
        <v>1.4570000000000001</v>
      </c>
      <c r="G8">
        <v>1238.5999999999999</v>
      </c>
      <c r="H8">
        <f t="shared" si="4"/>
        <v>75.961136977919992</v>
      </c>
      <c r="I8">
        <f>$R$2 + $R$5*$R$3*SQRT(($R$4/(2-$R$4))*(1-(1-$R$4)^(2*ROWS($C$2:C8))))</f>
        <v>75.997160011255744</v>
      </c>
      <c r="J8">
        <f>$R$2 - $R$5*$R$3*SQRT(($R$4/(2-$R$4))*(1-(1-$R$4)^(2*ROWS($C$2:C8))))</f>
        <v>73.797039988744189</v>
      </c>
      <c r="K8">
        <f t="shared" si="0"/>
        <v>-0.58305961131361062</v>
      </c>
      <c r="L8">
        <f t="shared" si="1"/>
        <v>0</v>
      </c>
      <c r="M8">
        <v>0.5</v>
      </c>
      <c r="N8">
        <f t="shared" si="5"/>
        <v>1.7375751522085425</v>
      </c>
      <c r="O8" t="str">
        <f t="shared" si="2"/>
        <v>NORMAL</v>
      </c>
      <c r="P8" t="str">
        <f t="shared" si="3"/>
        <v>NORMAL</v>
      </c>
      <c r="Q8" t="s">
        <v>60</v>
      </c>
      <c r="R8">
        <v>0.25</v>
      </c>
      <c r="S8">
        <v>0.25</v>
      </c>
      <c r="T8" t="s">
        <v>52</v>
      </c>
    </row>
    <row r="9" spans="1:20">
      <c r="A9" s="2">
        <v>46296.291666666657</v>
      </c>
      <c r="B9" t="s">
        <v>37</v>
      </c>
      <c r="C9">
        <v>76.459999999999994</v>
      </c>
      <c r="D9">
        <v>18.440000000000001</v>
      </c>
      <c r="E9">
        <v>301.3</v>
      </c>
      <c r="F9">
        <v>1.5840000000000001</v>
      </c>
      <c r="G9">
        <v>1262</v>
      </c>
      <c r="H9">
        <f t="shared" si="4"/>
        <v>76.060909582335995</v>
      </c>
      <c r="I9">
        <f>$R$2 + $R$5*$R$3*SQRT(($R$4/(2-$R$4))*(1-(1-$R$4)^(2*ROWS($C$2:C9))))</f>
        <v>76.006231840662366</v>
      </c>
      <c r="J9">
        <f>$R$2 - $R$5*$R$3*SQRT(($R$4/(2-$R$4))*(1-(1-$R$4)^(2*ROWS($C$2:C9))))</f>
        <v>73.787968159337566</v>
      </c>
      <c r="K9">
        <f t="shared" si="0"/>
        <v>0.57467288769872593</v>
      </c>
      <c r="L9">
        <f t="shared" si="1"/>
        <v>0.32467288769872593</v>
      </c>
      <c r="M9">
        <v>0.5</v>
      </c>
      <c r="N9">
        <f t="shared" si="5"/>
        <v>0.9129022645098166</v>
      </c>
      <c r="O9" t="str">
        <f t="shared" si="2"/>
        <v>ALARM: LINER WEAR</v>
      </c>
      <c r="P9" t="str">
        <f t="shared" si="3"/>
        <v>NORMAL</v>
      </c>
      <c r="Q9" t="s">
        <v>61</v>
      </c>
      <c r="R9">
        <v>5</v>
      </c>
      <c r="S9">
        <v>5</v>
      </c>
      <c r="T9" t="s">
        <v>53</v>
      </c>
    </row>
    <row r="10" spans="1:20">
      <c r="A10" s="2">
        <v>46296.333333333343</v>
      </c>
      <c r="B10" t="s">
        <v>37</v>
      </c>
      <c r="C10">
        <v>75.790000000000006</v>
      </c>
      <c r="D10">
        <v>18.55</v>
      </c>
      <c r="E10">
        <v>293.3</v>
      </c>
      <c r="F10">
        <v>1.6359999999999999</v>
      </c>
      <c r="G10">
        <v>1247.4000000000001</v>
      </c>
      <c r="H10">
        <f t="shared" si="4"/>
        <v>76.006727665868794</v>
      </c>
      <c r="I10">
        <f>$R$2 + $R$5*$R$3*SQRT(($R$4/(2-$R$4))*(1-(1-$R$4)^(2*ROWS($C$2:C10))))</f>
        <v>76.011999073189884</v>
      </c>
      <c r="J10">
        <f>$R$2 - $R$5*$R$3*SQRT(($R$4/(2-$R$4))*(1-(1-$R$4)^(2*ROWS($C$2:C10))))</f>
        <v>73.782200926810049</v>
      </c>
      <c r="K10">
        <f t="shared" si="0"/>
        <v>1.0487050920187362</v>
      </c>
      <c r="L10">
        <f t="shared" si="1"/>
        <v>1.1233779797174621</v>
      </c>
      <c r="M10">
        <v>0.5</v>
      </c>
      <c r="N10">
        <f t="shared" si="5"/>
        <v>0</v>
      </c>
      <c r="O10" t="str">
        <f t="shared" si="2"/>
        <v>NORMAL</v>
      </c>
      <c r="P10" t="str">
        <f t="shared" si="3"/>
        <v>NORMAL</v>
      </c>
    </row>
    <row r="11" spans="1:20">
      <c r="A11" s="2">
        <v>46296.375</v>
      </c>
      <c r="B11" t="s">
        <v>37</v>
      </c>
      <c r="C11">
        <v>76.33</v>
      </c>
      <c r="D11">
        <v>18.71</v>
      </c>
      <c r="E11">
        <v>342.4</v>
      </c>
      <c r="F11">
        <v>1.8660000000000001</v>
      </c>
      <c r="G11">
        <v>1248</v>
      </c>
      <c r="H11">
        <f t="shared" si="4"/>
        <v>76.071382132695035</v>
      </c>
      <c r="I11">
        <f>$R$2 + $R$5*$R$3*SQRT(($R$4/(2-$R$4))*(1-(1-$R$4)^(2*ROWS($C$2:C11))))</f>
        <v>76.015674497114048</v>
      </c>
      <c r="J11">
        <f>$R$2 - $R$5*$R$3*SQRT(($R$4/(2-$R$4))*(1-(1-$R$4)^(2*ROWS($C$2:C11))))</f>
        <v>73.778525502885884</v>
      </c>
      <c r="K11">
        <f t="shared" si="0"/>
        <v>3.1453859957418673</v>
      </c>
      <c r="L11">
        <f t="shared" si="1"/>
        <v>4.0187639754593292</v>
      </c>
      <c r="M11">
        <v>0.5</v>
      </c>
      <c r="N11">
        <f t="shared" si="5"/>
        <v>0</v>
      </c>
      <c r="O11" t="str">
        <f t="shared" si="2"/>
        <v>ALARM: LINER WEAR</v>
      </c>
      <c r="P11" t="str">
        <f t="shared" si="3"/>
        <v>NORMAL</v>
      </c>
    </row>
    <row r="12" spans="1:20">
      <c r="A12" s="2">
        <v>46296.416666666657</v>
      </c>
      <c r="B12" t="s">
        <v>37</v>
      </c>
      <c r="C12">
        <v>74.739999999999995</v>
      </c>
      <c r="D12">
        <v>18.78</v>
      </c>
      <c r="E12">
        <v>329.8</v>
      </c>
      <c r="F12">
        <v>1.625</v>
      </c>
      <c r="G12">
        <v>1260.5999999999999</v>
      </c>
      <c r="H12">
        <f t="shared" si="4"/>
        <v>75.805105706156041</v>
      </c>
      <c r="I12">
        <f>$R$2 + $R$5*$R$3*SQRT(($R$4/(2-$R$4))*(1-(1-$R$4)^(2*ROWS($C$2:C12))))</f>
        <v>76.018020443830991</v>
      </c>
      <c r="J12">
        <f>$R$2 - $R$5*$R$3*SQRT(($R$4/(2-$R$4))*(1-(1-$R$4)^(2*ROWS($C$2:C12))))</f>
        <v>73.776179556168941</v>
      </c>
      <c r="K12">
        <f t="shared" si="0"/>
        <v>0.94842904879719614</v>
      </c>
      <c r="L12">
        <f t="shared" si="1"/>
        <v>4.7171930242565256</v>
      </c>
      <c r="M12">
        <v>0.5</v>
      </c>
      <c r="N12">
        <f t="shared" si="5"/>
        <v>0</v>
      </c>
      <c r="O12" t="str">
        <f t="shared" si="2"/>
        <v>NORMAL</v>
      </c>
      <c r="P12" t="str">
        <f t="shared" si="3"/>
        <v>NORMAL</v>
      </c>
    </row>
    <row r="13" spans="1:20">
      <c r="A13" s="2">
        <v>46296.458333333343</v>
      </c>
      <c r="B13" t="s">
        <v>37</v>
      </c>
      <c r="C13">
        <v>74.849999999999994</v>
      </c>
      <c r="D13">
        <v>18.05</v>
      </c>
      <c r="E13">
        <v>319.2</v>
      </c>
      <c r="F13">
        <v>1.53</v>
      </c>
      <c r="G13">
        <v>1254.4000000000001</v>
      </c>
      <c r="H13">
        <f t="shared" si="4"/>
        <v>75.614084564924838</v>
      </c>
      <c r="I13">
        <f>$R$2 + $R$5*$R$3*SQRT(($R$4/(2-$R$4))*(1-(1-$R$4)^(2*ROWS($C$2:C13))))</f>
        <v>76.019519276524179</v>
      </c>
      <c r="J13">
        <f>$R$2 - $R$5*$R$3*SQRT(($R$4/(2-$R$4))*(1-(1-$R$4)^(2*ROWS($C$2:C13))))</f>
        <v>73.774680723475754</v>
      </c>
      <c r="K13">
        <f t="shared" si="0"/>
        <v>8.240867552025169E-2</v>
      </c>
      <c r="L13">
        <f t="shared" si="1"/>
        <v>4.549601699776777</v>
      </c>
      <c r="M13">
        <v>0.5</v>
      </c>
      <c r="N13">
        <f t="shared" si="5"/>
        <v>0</v>
      </c>
      <c r="O13" t="str">
        <f t="shared" si="2"/>
        <v>NORMAL</v>
      </c>
      <c r="P13" t="str">
        <f t="shared" si="3"/>
        <v>NORMAL</v>
      </c>
    </row>
    <row r="14" spans="1:20">
      <c r="A14" s="2">
        <v>46296.5</v>
      </c>
      <c r="B14" t="s">
        <v>37</v>
      </c>
      <c r="C14">
        <v>75.900000000000006</v>
      </c>
      <c r="D14">
        <v>17.89</v>
      </c>
      <c r="E14">
        <v>324.2</v>
      </c>
      <c r="F14">
        <v>1.4630000000000001</v>
      </c>
      <c r="G14">
        <v>1253.5999999999999</v>
      </c>
      <c r="H14">
        <f t="shared" si="4"/>
        <v>75.671267651939871</v>
      </c>
      <c r="I14">
        <f>$R$2 + $R$5*$R$3*SQRT(($R$4/(2-$R$4))*(1-(1-$R$4)^(2*ROWS($C$2:C14))))</f>
        <v>76.020477479967667</v>
      </c>
      <c r="J14">
        <f>$R$2 - $R$5*$R$3*SQRT(($R$4/(2-$R$4))*(1-(1-$R$4)^(2*ROWS($C$2:C14))))</f>
        <v>73.773722520032265</v>
      </c>
      <c r="K14">
        <f t="shared" si="0"/>
        <v>-0.52836358773822467</v>
      </c>
      <c r="L14">
        <f t="shared" si="1"/>
        <v>3.7712381120385521</v>
      </c>
      <c r="M14">
        <v>0.5</v>
      </c>
      <c r="N14">
        <f t="shared" si="5"/>
        <v>0.27836358773822467</v>
      </c>
      <c r="O14" t="str">
        <f t="shared" si="2"/>
        <v>NORMAL</v>
      </c>
      <c r="P14" t="str">
        <f t="shared" si="3"/>
        <v>NORMAL</v>
      </c>
    </row>
    <row r="15" spans="1:20">
      <c r="A15" s="2">
        <v>46296.541666666657</v>
      </c>
      <c r="B15" t="s">
        <v>37</v>
      </c>
      <c r="C15">
        <v>73.209999999999994</v>
      </c>
      <c r="D15">
        <v>19.010000000000002</v>
      </c>
      <c r="E15">
        <v>303.10000000000002</v>
      </c>
      <c r="F15">
        <v>1.6719999999999999</v>
      </c>
      <c r="G15">
        <v>1267.3</v>
      </c>
      <c r="H15">
        <f t="shared" si="4"/>
        <v>75.179014121551901</v>
      </c>
      <c r="I15">
        <f>$R$2 + $R$5*$R$3*SQRT(($R$4/(2-$R$4))*(1-(1-$R$4)^(2*ROWS($C$2:C15))))</f>
        <v>76.021090301478267</v>
      </c>
      <c r="J15">
        <f>$R$2 - $R$5*$R$3*SQRT(($R$4/(2-$R$4))*(1-(1-$R$4)^(2*ROWS($C$2:C15))))</f>
        <v>73.773109698521665</v>
      </c>
      <c r="K15">
        <f t="shared" si="0"/>
        <v>1.3768812334710523</v>
      </c>
      <c r="L15">
        <f t="shared" si="1"/>
        <v>4.8981193455096044</v>
      </c>
      <c r="M15">
        <v>0.5</v>
      </c>
      <c r="N15">
        <f t="shared" si="5"/>
        <v>0</v>
      </c>
      <c r="O15" t="str">
        <f t="shared" si="2"/>
        <v>NORMAL</v>
      </c>
      <c r="P15" t="str">
        <f t="shared" si="3"/>
        <v>NORMAL</v>
      </c>
    </row>
    <row r="16" spans="1:20">
      <c r="A16" s="2">
        <v>46296.583333333343</v>
      </c>
      <c r="B16" t="s">
        <v>37</v>
      </c>
      <c r="C16">
        <v>72.010000000000005</v>
      </c>
      <c r="D16">
        <v>18.63</v>
      </c>
      <c r="E16">
        <v>356.7</v>
      </c>
      <c r="F16">
        <v>1.4490000000000001</v>
      </c>
      <c r="G16">
        <v>1244.9000000000001</v>
      </c>
      <c r="H16">
        <f t="shared" si="4"/>
        <v>74.545211297241522</v>
      </c>
      <c r="I16">
        <f>$R$2 + $R$5*$R$3*SQRT(($R$4/(2-$R$4))*(1-(1-$R$4)^(2*ROWS($C$2:C16))))</f>
        <v>76.021482331958822</v>
      </c>
      <c r="J16">
        <f>$R$2 - $R$5*$R$3*SQRT(($R$4/(2-$R$4))*(1-(1-$R$4)^(2*ROWS($C$2:C16))))</f>
        <v>73.772717668041111</v>
      </c>
      <c r="K16">
        <f t="shared" si="0"/>
        <v>-0.65598764274745869</v>
      </c>
      <c r="L16">
        <f t="shared" si="1"/>
        <v>3.9921317027621459</v>
      </c>
      <c r="M16">
        <v>0.5</v>
      </c>
      <c r="N16">
        <f t="shared" si="5"/>
        <v>0.40598764274745869</v>
      </c>
      <c r="O16" t="str">
        <f t="shared" si="2"/>
        <v>NORMAL</v>
      </c>
      <c r="P16" t="str">
        <f t="shared" si="3"/>
        <v>NORMAL</v>
      </c>
    </row>
    <row r="17" spans="1:16">
      <c r="A17" s="2">
        <v>46296.625</v>
      </c>
      <c r="B17" t="s">
        <v>37</v>
      </c>
      <c r="C17">
        <v>73.36</v>
      </c>
      <c r="D17">
        <v>18.2</v>
      </c>
      <c r="E17">
        <v>321.89999999999998</v>
      </c>
      <c r="F17">
        <v>1.5409999999999999</v>
      </c>
      <c r="G17">
        <v>1257.4000000000001</v>
      </c>
      <c r="H17">
        <f t="shared" si="4"/>
        <v>74.30816903779322</v>
      </c>
      <c r="I17">
        <f>$R$2 + $R$5*$R$3*SQRT(($R$4/(2-$R$4))*(1-(1-$R$4)^(2*ROWS($C$2:C17))))</f>
        <v>76.021733159749303</v>
      </c>
      <c r="J17">
        <f>$R$2 - $R$5*$R$3*SQRT(($R$4/(2-$R$4))*(1-(1-$R$4)^(2*ROWS($C$2:C17))))</f>
        <v>73.77246684025063</v>
      </c>
      <c r="K17">
        <f t="shared" si="0"/>
        <v>0.18268471874179174</v>
      </c>
      <c r="L17">
        <f t="shared" si="1"/>
        <v>3.9248164215039374</v>
      </c>
      <c r="M17">
        <v>0.5</v>
      </c>
      <c r="N17">
        <f t="shared" si="5"/>
        <v>0</v>
      </c>
      <c r="O17" t="str">
        <f t="shared" si="2"/>
        <v>NORMAL</v>
      </c>
      <c r="P17" t="str">
        <f t="shared" si="3"/>
        <v>NORMAL</v>
      </c>
    </row>
    <row r="18" spans="1:16">
      <c r="A18" s="2">
        <v>46296.666666666657</v>
      </c>
      <c r="B18" t="s">
        <v>37</v>
      </c>
      <c r="C18">
        <v>73.319999999999993</v>
      </c>
      <c r="D18">
        <v>19.12</v>
      </c>
      <c r="E18">
        <v>321.60000000000002</v>
      </c>
      <c r="F18">
        <v>1.544</v>
      </c>
      <c r="G18">
        <v>1250.5</v>
      </c>
      <c r="H18">
        <f t="shared" si="4"/>
        <v>74.110535230234575</v>
      </c>
      <c r="I18">
        <f>$R$2 + $R$5*$R$3*SQRT(($R$4/(2-$R$4))*(1-(1-$R$4)^(2*ROWS($C$2:C18))))</f>
        <v>76.021893660180865</v>
      </c>
      <c r="J18">
        <f>$R$2 - $R$5*$R$3*SQRT(($R$4/(2-$R$4))*(1-(1-$R$4)^(2*ROWS($C$2:C18))))</f>
        <v>73.772306339819067</v>
      </c>
      <c r="K18">
        <f t="shared" si="0"/>
        <v>0.21003273052948576</v>
      </c>
      <c r="L18">
        <f t="shared" si="1"/>
        <v>3.8848491520334232</v>
      </c>
      <c r="M18">
        <v>0.5</v>
      </c>
      <c r="N18">
        <f t="shared" si="5"/>
        <v>0</v>
      </c>
      <c r="O18" t="str">
        <f t="shared" si="2"/>
        <v>NORMAL</v>
      </c>
      <c r="P18" t="str">
        <f t="shared" si="3"/>
        <v>NORMAL</v>
      </c>
    </row>
    <row r="19" spans="1:16">
      <c r="A19" s="2">
        <v>46296.708333333343</v>
      </c>
      <c r="B19" t="s">
        <v>37</v>
      </c>
      <c r="C19">
        <v>74.63</v>
      </c>
      <c r="D19">
        <v>18.55</v>
      </c>
      <c r="E19">
        <v>330.9</v>
      </c>
      <c r="F19">
        <v>1.526</v>
      </c>
      <c r="G19">
        <v>1252.0999999999999</v>
      </c>
      <c r="H19">
        <f t="shared" si="4"/>
        <v>74.214428184187668</v>
      </c>
      <c r="I19">
        <f>$R$2 + $R$5*$R$3*SQRT(($R$4/(2-$R$4))*(1-(1-$R$4)^(2*ROWS($C$2:C19))))</f>
        <v>76.021996368439034</v>
      </c>
      <c r="J19">
        <f>$R$2 - $R$5*$R$3*SQRT(($R$4/(2-$R$4))*(1-(1-$R$4)^(2*ROWS($C$2:C19))))</f>
        <v>73.772203631560899</v>
      </c>
      <c r="K19">
        <f t="shared" si="0"/>
        <v>4.5944659803327667E-2</v>
      </c>
      <c r="L19">
        <f t="shared" si="1"/>
        <v>3.6807938118367507</v>
      </c>
      <c r="M19">
        <v>0.5</v>
      </c>
      <c r="N19">
        <f t="shared" si="5"/>
        <v>0</v>
      </c>
      <c r="O19" t="str">
        <f t="shared" si="2"/>
        <v>NORMAL</v>
      </c>
      <c r="P19" t="str">
        <f t="shared" si="3"/>
        <v>NORMAL</v>
      </c>
    </row>
    <row r="20" spans="1:16">
      <c r="A20" s="2">
        <v>46296.75</v>
      </c>
      <c r="B20" t="s">
        <v>37</v>
      </c>
      <c r="C20">
        <v>74.150000000000006</v>
      </c>
      <c r="D20">
        <v>18.97</v>
      </c>
      <c r="E20">
        <v>327.2</v>
      </c>
      <c r="F20">
        <v>1.498</v>
      </c>
      <c r="G20">
        <v>1262.2</v>
      </c>
      <c r="H20">
        <f t="shared" si="4"/>
        <v>74.201542547350144</v>
      </c>
      <c r="I20">
        <f>$R$2 + $R$5*$R$3*SQRT(($R$4/(2-$R$4))*(1-(1-$R$4)^(2*ROWS($C$2:C20))))</f>
        <v>76.022062096803111</v>
      </c>
      <c r="J20">
        <f>$R$2 - $R$5*$R$3*SQRT(($R$4/(2-$R$4))*(1-(1-$R$4)^(2*ROWS($C$2:C20))))</f>
        <v>73.772137903196821</v>
      </c>
      <c r="K20">
        <f t="shared" si="0"/>
        <v>-0.20930345021514046</v>
      </c>
      <c r="L20">
        <f t="shared" si="1"/>
        <v>3.2214903616216102</v>
      </c>
      <c r="M20">
        <v>0.5</v>
      </c>
      <c r="N20">
        <f t="shared" si="5"/>
        <v>0</v>
      </c>
      <c r="O20" t="str">
        <f t="shared" si="2"/>
        <v>NORMAL</v>
      </c>
      <c r="P20" t="str">
        <f t="shared" si="3"/>
        <v>NORMAL</v>
      </c>
    </row>
    <row r="21" spans="1:16">
      <c r="A21" s="2">
        <v>46296.791666666657</v>
      </c>
      <c r="B21" t="s">
        <v>37</v>
      </c>
      <c r="C21">
        <v>73.459999999999994</v>
      </c>
      <c r="D21">
        <v>18.53</v>
      </c>
      <c r="E21">
        <v>323.39999999999998</v>
      </c>
      <c r="F21">
        <v>1.68</v>
      </c>
      <c r="G21">
        <v>1254.0999999999999</v>
      </c>
      <c r="H21">
        <f t="shared" si="4"/>
        <v>74.053234037880117</v>
      </c>
      <c r="I21">
        <f>$R$2 + $R$5*$R$3*SQRT(($R$4/(2-$R$4))*(1-(1-$R$4)^(2*ROWS($C$2:C21))))</f>
        <v>76.022104160940785</v>
      </c>
      <c r="J21">
        <f>$R$2 - $R$5*$R$3*SQRT(($R$4/(2-$R$4))*(1-(1-$R$4)^(2*ROWS($C$2:C21))))</f>
        <v>73.772095839059148</v>
      </c>
      <c r="K21">
        <f t="shared" si="0"/>
        <v>1.4498092649049004</v>
      </c>
      <c r="L21">
        <f t="shared" si="1"/>
        <v>4.4212996265265101</v>
      </c>
      <c r="M21">
        <v>0.5</v>
      </c>
      <c r="N21">
        <f t="shared" si="5"/>
        <v>0</v>
      </c>
      <c r="O21" t="str">
        <f t="shared" si="2"/>
        <v>NORMAL</v>
      </c>
      <c r="P21" t="str">
        <f t="shared" si="3"/>
        <v>NORMAL</v>
      </c>
    </row>
    <row r="22" spans="1:16">
      <c r="A22" s="2">
        <v>46296.833333333343</v>
      </c>
      <c r="B22" t="s">
        <v>37</v>
      </c>
      <c r="C22">
        <v>74.81</v>
      </c>
      <c r="D22">
        <v>19.32</v>
      </c>
      <c r="E22">
        <v>308.10000000000002</v>
      </c>
      <c r="F22">
        <v>1.6339999999999999</v>
      </c>
      <c r="G22">
        <v>1254.3</v>
      </c>
      <c r="H22">
        <f t="shared" si="4"/>
        <v>74.204587230304099</v>
      </c>
      <c r="I22">
        <f>$R$2 + $R$5*$R$3*SQRT(($R$4/(2-$R$4))*(1-(1-$R$4)^(2*ROWS($C$2:C22))))</f>
        <v>76.022131081163522</v>
      </c>
      <c r="J22">
        <f>$R$2 - $R$5*$R$3*SQRT(($R$4/(2-$R$4))*(1-(1-$R$4)^(2*ROWS($C$2:C22))))</f>
        <v>73.77206891883641</v>
      </c>
      <c r="K22">
        <f t="shared" si="0"/>
        <v>1.0304730841602743</v>
      </c>
      <c r="L22">
        <f t="shared" si="1"/>
        <v>5.2017727106867842</v>
      </c>
      <c r="M22">
        <v>0.5</v>
      </c>
      <c r="N22">
        <f t="shared" si="5"/>
        <v>0</v>
      </c>
      <c r="O22" t="str">
        <f t="shared" si="2"/>
        <v>NORMAL</v>
      </c>
      <c r="P22" t="str">
        <f t="shared" si="3"/>
        <v>ALARM: BURNER DRIFT</v>
      </c>
    </row>
    <row r="23" spans="1:16">
      <c r="A23" s="2">
        <v>46296.875</v>
      </c>
      <c r="B23" t="s">
        <v>37</v>
      </c>
      <c r="C23">
        <v>75.209999999999994</v>
      </c>
      <c r="D23">
        <v>19.2</v>
      </c>
      <c r="E23">
        <v>327.10000000000002</v>
      </c>
      <c r="F23">
        <v>1.425</v>
      </c>
      <c r="G23">
        <v>1258.5999999999999</v>
      </c>
      <c r="H23">
        <f t="shared" si="4"/>
        <v>74.405669784243287</v>
      </c>
      <c r="I23">
        <f>$R$2 + $R$5*$R$3*SQRT(($R$4/(2-$R$4))*(1-(1-$R$4)^(2*ROWS($C$2:C23))))</f>
        <v>76.022148309768028</v>
      </c>
      <c r="J23">
        <f>$R$2 - $R$5*$R$3*SQRT(($R$4/(2-$R$4))*(1-(1-$R$4)^(2*ROWS($C$2:C23))))</f>
        <v>73.772051690231905</v>
      </c>
      <c r="K23">
        <f t="shared" si="0"/>
        <v>-0.8747717370490028</v>
      </c>
      <c r="L23">
        <f t="shared" si="1"/>
        <v>4.077000973637781</v>
      </c>
      <c r="M23">
        <v>0.5</v>
      </c>
      <c r="N23">
        <f t="shared" si="5"/>
        <v>0.6247717370490028</v>
      </c>
      <c r="O23" t="str">
        <f t="shared" si="2"/>
        <v>NORMAL</v>
      </c>
      <c r="P23" t="str">
        <f t="shared" si="3"/>
        <v>NORMAL</v>
      </c>
    </row>
    <row r="24" spans="1:16">
      <c r="A24" s="2">
        <v>46296.916666666657</v>
      </c>
      <c r="B24" t="s">
        <v>37</v>
      </c>
      <c r="C24">
        <v>75.760000000000005</v>
      </c>
      <c r="D24">
        <v>18.399999999999999</v>
      </c>
      <c r="E24">
        <v>348.2</v>
      </c>
      <c r="F24">
        <v>1.5589999999999999</v>
      </c>
      <c r="G24">
        <v>1247.0999999999999</v>
      </c>
      <c r="H24">
        <f t="shared" si="4"/>
        <v>74.67653582739463</v>
      </c>
      <c r="I24">
        <f>$R$2 + $R$5*$R$3*SQRT(($R$4/(2-$R$4))*(1-(1-$R$4)^(2*ROWS($C$2:C24))))</f>
        <v>76.02215933593645</v>
      </c>
      <c r="J24">
        <f>$R$2 - $R$5*$R$3*SQRT(($R$4/(2-$R$4))*(1-(1-$R$4)^(2*ROWS($C$2:C24))))</f>
        <v>73.772040664063482</v>
      </c>
      <c r="K24">
        <f t="shared" si="0"/>
        <v>0.34677278946794982</v>
      </c>
      <c r="L24">
        <f t="shared" si="1"/>
        <v>4.1737737631057312</v>
      </c>
      <c r="M24">
        <v>0.5</v>
      </c>
      <c r="N24">
        <f t="shared" si="5"/>
        <v>2.799894758105298E-2</v>
      </c>
      <c r="O24" t="str">
        <f t="shared" si="2"/>
        <v>NORMAL</v>
      </c>
      <c r="P24" t="str">
        <f t="shared" si="3"/>
        <v>NORMAL</v>
      </c>
    </row>
    <row r="25" spans="1:16">
      <c r="A25" s="2">
        <v>46296.958333333343</v>
      </c>
      <c r="B25" t="s">
        <v>37</v>
      </c>
      <c r="C25">
        <v>74.02</v>
      </c>
      <c r="D25">
        <v>18.89</v>
      </c>
      <c r="E25">
        <v>340.2</v>
      </c>
      <c r="F25">
        <v>1.3919999999999999</v>
      </c>
      <c r="G25">
        <v>1243.3</v>
      </c>
      <c r="H25">
        <f t="shared" si="4"/>
        <v>74.545228661915701</v>
      </c>
      <c r="I25">
        <f>$R$2 + $R$5*$R$3*SQRT(($R$4/(2-$R$4))*(1-(1-$R$4)^(2*ROWS($C$2:C25))))</f>
        <v>76.022166392627526</v>
      </c>
      <c r="J25">
        <f>$R$2 - $R$5*$R$3*SQRT(($R$4/(2-$R$4))*(1-(1-$R$4)^(2*ROWS($C$2:C25))))</f>
        <v>73.772033607372407</v>
      </c>
      <c r="K25">
        <f t="shared" si="0"/>
        <v>-1.1755998667136269</v>
      </c>
      <c r="L25">
        <f t="shared" si="1"/>
        <v>2.7481738963921041</v>
      </c>
      <c r="M25">
        <v>0.5</v>
      </c>
      <c r="N25">
        <f t="shared" si="5"/>
        <v>0.95359881429467985</v>
      </c>
      <c r="O25" t="str">
        <f t="shared" si="2"/>
        <v>NORMAL</v>
      </c>
      <c r="P25" t="str">
        <f t="shared" si="3"/>
        <v>NORMAL</v>
      </c>
    </row>
    <row r="26" spans="1:16">
      <c r="A26" s="2">
        <v>46297</v>
      </c>
      <c r="B26" t="s">
        <v>37</v>
      </c>
      <c r="C26">
        <v>73.95</v>
      </c>
      <c r="D26">
        <v>18.760000000000002</v>
      </c>
      <c r="E26">
        <v>343.9</v>
      </c>
      <c r="F26">
        <v>1.585</v>
      </c>
      <c r="G26">
        <v>1241.5999999999999</v>
      </c>
      <c r="H26">
        <f t="shared" si="4"/>
        <v>74.426182929532573</v>
      </c>
      <c r="I26">
        <f>$R$2 + $R$5*$R$3*SQRT(($R$4/(2-$R$4))*(1-(1-$R$4)^(2*ROWS($C$2:C26))))</f>
        <v>76.022170908886594</v>
      </c>
      <c r="J26">
        <f>$R$2 - $R$5*$R$3*SQRT(($R$4/(2-$R$4))*(1-(1-$R$4)^(2*ROWS($C$2:C26))))</f>
        <v>73.772029091113339</v>
      </c>
      <c r="K26">
        <f t="shared" si="0"/>
        <v>0.583788891627956</v>
      </c>
      <c r="L26">
        <f t="shared" si="1"/>
        <v>3.0819627880200602</v>
      </c>
      <c r="M26">
        <v>0.5</v>
      </c>
      <c r="N26">
        <f t="shared" si="5"/>
        <v>0.11980992266672386</v>
      </c>
      <c r="O26" t="str">
        <f t="shared" si="2"/>
        <v>NORMAL</v>
      </c>
      <c r="P26" t="str">
        <f t="shared" si="3"/>
        <v>NORMAL</v>
      </c>
    </row>
    <row r="27" spans="1:16">
      <c r="A27" s="2">
        <v>46297.041666666657</v>
      </c>
      <c r="B27" t="s">
        <v>37</v>
      </c>
      <c r="C27">
        <v>73.760000000000005</v>
      </c>
      <c r="D27">
        <v>19.05</v>
      </c>
      <c r="E27">
        <v>312.3</v>
      </c>
      <c r="F27">
        <v>1.6279999999999999</v>
      </c>
      <c r="G27">
        <v>1234.3</v>
      </c>
      <c r="H27">
        <f t="shared" si="4"/>
        <v>74.292946343626056</v>
      </c>
      <c r="I27">
        <f>$R$2 + $R$5*$R$3*SQRT(($R$4/(2-$R$4))*(1-(1-$R$4)^(2*ROWS($C$2:C27))))</f>
        <v>76.022173799282882</v>
      </c>
      <c r="J27">
        <f>$R$2 - $R$5*$R$3*SQRT(($R$4/(2-$R$4))*(1-(1-$R$4)^(2*ROWS($C$2:C27))))</f>
        <v>73.77202620071705</v>
      </c>
      <c r="K27">
        <f t="shared" si="0"/>
        <v>0.97577706058488811</v>
      </c>
      <c r="L27">
        <f t="shared" si="1"/>
        <v>3.8077398486049479</v>
      </c>
      <c r="M27">
        <v>0.5</v>
      </c>
      <c r="N27">
        <f t="shared" si="5"/>
        <v>0</v>
      </c>
      <c r="O27" t="str">
        <f t="shared" si="2"/>
        <v>NORMAL</v>
      </c>
      <c r="P27" t="str">
        <f t="shared" si="3"/>
        <v>NORMAL</v>
      </c>
    </row>
    <row r="28" spans="1:16">
      <c r="A28" s="2">
        <v>46297.083333333343</v>
      </c>
      <c r="B28" t="s">
        <v>37</v>
      </c>
      <c r="C28">
        <v>73.540000000000006</v>
      </c>
      <c r="D28">
        <v>18.11</v>
      </c>
      <c r="E28">
        <v>305.2</v>
      </c>
      <c r="F28">
        <v>1.548</v>
      </c>
      <c r="G28">
        <v>1266.4000000000001</v>
      </c>
      <c r="H28">
        <f t="shared" si="4"/>
        <v>74.142357074900843</v>
      </c>
      <c r="I28">
        <f>$R$2 + $R$5*$R$3*SQRT(($R$4/(2-$R$4))*(1-(1-$R$4)^(2*ROWS($C$2:C28))))</f>
        <v>76.022175649132606</v>
      </c>
      <c r="J28">
        <f>$R$2 - $R$5*$R$3*SQRT(($R$4/(2-$R$4))*(1-(1-$R$4)^(2*ROWS($C$2:C28))))</f>
        <v>73.772024350867326</v>
      </c>
      <c r="K28">
        <f t="shared" si="0"/>
        <v>0.24649674624640977</v>
      </c>
      <c r="L28">
        <f t="shared" si="1"/>
        <v>3.8042365948513579</v>
      </c>
      <c r="M28">
        <v>0.5</v>
      </c>
      <c r="N28">
        <f t="shared" si="5"/>
        <v>0</v>
      </c>
      <c r="O28" t="str">
        <f t="shared" si="2"/>
        <v>NORMAL</v>
      </c>
      <c r="P28" t="str">
        <f t="shared" si="3"/>
        <v>NORMAL</v>
      </c>
    </row>
    <row r="29" spans="1:16">
      <c r="A29" s="2">
        <v>46297.125</v>
      </c>
      <c r="B29" t="s">
        <v>37</v>
      </c>
      <c r="C29">
        <v>74.819999999999993</v>
      </c>
      <c r="D29">
        <v>18.77</v>
      </c>
      <c r="E29">
        <v>318.10000000000002</v>
      </c>
      <c r="F29">
        <v>1.5</v>
      </c>
      <c r="G29">
        <v>1241.2</v>
      </c>
      <c r="H29">
        <f t="shared" si="4"/>
        <v>74.277885659920685</v>
      </c>
      <c r="I29">
        <f>$R$2 + $R$5*$R$3*SQRT(($R$4/(2-$R$4))*(1-(1-$R$4)^(2*ROWS($C$2:C29))))</f>
        <v>76.022176833034834</v>
      </c>
      <c r="J29">
        <f>$R$2 - $R$5*$R$3*SQRT(($R$4/(2-$R$4))*(1-(1-$R$4)^(2*ROWS($C$2:C29))))</f>
        <v>73.772023166965099</v>
      </c>
      <c r="K29">
        <f t="shared" si="0"/>
        <v>-0.19107144235667847</v>
      </c>
      <c r="L29">
        <f t="shared" si="1"/>
        <v>3.3631651524946795</v>
      </c>
      <c r="M29">
        <v>0.5</v>
      </c>
      <c r="N29">
        <f t="shared" si="5"/>
        <v>0</v>
      </c>
      <c r="O29" t="str">
        <f t="shared" si="2"/>
        <v>NORMAL</v>
      </c>
      <c r="P29" t="str">
        <f t="shared" si="3"/>
        <v>NORMAL</v>
      </c>
    </row>
    <row r="30" spans="1:16">
      <c r="A30" s="2">
        <v>46297.166666666657</v>
      </c>
      <c r="B30" t="s">
        <v>37</v>
      </c>
      <c r="C30">
        <v>74.33</v>
      </c>
      <c r="D30">
        <v>18.920000000000002</v>
      </c>
      <c r="E30">
        <v>320.8</v>
      </c>
      <c r="F30">
        <v>1.4139999999999999</v>
      </c>
      <c r="G30">
        <v>1248.2</v>
      </c>
      <c r="H30">
        <f t="shared" si="4"/>
        <v>74.28830852793655</v>
      </c>
      <c r="I30">
        <f>$R$2 + $R$5*$R$3*SQRT(($R$4/(2-$R$4))*(1-(1-$R$4)^(2*ROWS($C$2:C30))))</f>
        <v>76.022177590731602</v>
      </c>
      <c r="J30">
        <f>$R$2 - $R$5*$R$3*SQRT(($R$4/(2-$R$4))*(1-(1-$R$4)^(2*ROWS($C$2:C30))))</f>
        <v>73.772022409268331</v>
      </c>
      <c r="K30">
        <f t="shared" si="0"/>
        <v>-0.97504778027054484</v>
      </c>
      <c r="L30">
        <f t="shared" si="1"/>
        <v>2.1381173722241344</v>
      </c>
      <c r="M30">
        <v>0.5</v>
      </c>
      <c r="N30">
        <f t="shared" si="5"/>
        <v>0.72504778027054484</v>
      </c>
      <c r="O30" t="str">
        <f t="shared" si="2"/>
        <v>NORMAL</v>
      </c>
      <c r="P30" t="str">
        <f t="shared" si="3"/>
        <v>NORMAL</v>
      </c>
    </row>
    <row r="31" spans="1:16">
      <c r="A31" s="2">
        <v>46297.208333333343</v>
      </c>
      <c r="B31" t="s">
        <v>37</v>
      </c>
      <c r="C31">
        <v>74.930000000000007</v>
      </c>
      <c r="D31">
        <v>17.8</v>
      </c>
      <c r="E31">
        <v>336.4</v>
      </c>
      <c r="F31">
        <v>1.4870000000000001</v>
      </c>
      <c r="G31">
        <v>1247.8</v>
      </c>
      <c r="H31">
        <f t="shared" si="4"/>
        <v>74.41664682234925</v>
      </c>
      <c r="I31">
        <f>$R$2 + $R$5*$R$3*SQRT(($R$4/(2-$R$4))*(1-(1-$R$4)^(2*ROWS($C$2:C31))))</f>
        <v>76.02217807565728</v>
      </c>
      <c r="J31">
        <f>$R$2 - $R$5*$R$3*SQRT(($R$4/(2-$R$4))*(1-(1-$R$4)^(2*ROWS($C$2:C31))))</f>
        <v>73.772021924342653</v>
      </c>
      <c r="K31">
        <f t="shared" si="0"/>
        <v>-0.30957949343668051</v>
      </c>
      <c r="L31">
        <f t="shared" si="1"/>
        <v>1.578537878787454</v>
      </c>
      <c r="M31">
        <v>0.5</v>
      </c>
      <c r="N31">
        <f t="shared" si="5"/>
        <v>0.78462727370722529</v>
      </c>
      <c r="O31" t="str">
        <f t="shared" si="2"/>
        <v>NORMAL</v>
      </c>
      <c r="P31" t="str">
        <f t="shared" si="3"/>
        <v>NORMAL</v>
      </c>
    </row>
    <row r="32" spans="1:16">
      <c r="A32" s="2">
        <v>46297.25</v>
      </c>
      <c r="B32" t="s">
        <v>37</v>
      </c>
      <c r="C32">
        <v>74.25</v>
      </c>
      <c r="D32">
        <v>18.03</v>
      </c>
      <c r="E32">
        <v>294.60000000000002</v>
      </c>
      <c r="F32">
        <v>1.3580000000000001</v>
      </c>
      <c r="G32">
        <v>1252.5</v>
      </c>
      <c r="H32">
        <f t="shared" si="4"/>
        <v>74.3833174578794</v>
      </c>
      <c r="I32">
        <f>$R$2 + $R$5*$R$3*SQRT(($R$4/(2-$R$4))*(1-(1-$R$4)^(2*ROWS($C$2:C32))))</f>
        <v>76.022178386009585</v>
      </c>
      <c r="J32">
        <f>$R$2 - $R$5*$R$3*SQRT(($R$4/(2-$R$4))*(1-(1-$R$4)^(2*ROWS($C$2:C32))))</f>
        <v>73.772021613990347</v>
      </c>
      <c r="K32">
        <f t="shared" si="0"/>
        <v>-1.4855440003074791</v>
      </c>
      <c r="L32">
        <f t="shared" si="1"/>
        <v>0</v>
      </c>
      <c r="M32">
        <v>0.5</v>
      </c>
      <c r="N32">
        <f t="shared" si="5"/>
        <v>2.0201712740147046</v>
      </c>
      <c r="O32" t="str">
        <f t="shared" si="2"/>
        <v>NORMAL</v>
      </c>
      <c r="P32" t="str">
        <f t="shared" si="3"/>
        <v>NORMAL</v>
      </c>
    </row>
    <row r="33" spans="1:16">
      <c r="A33" s="2">
        <v>46297.291666666657</v>
      </c>
      <c r="B33" t="s">
        <v>37</v>
      </c>
      <c r="C33">
        <v>76.540000000000006</v>
      </c>
      <c r="D33">
        <v>17.68</v>
      </c>
      <c r="E33">
        <v>342.9</v>
      </c>
      <c r="F33">
        <v>1.36</v>
      </c>
      <c r="G33">
        <v>1256.5</v>
      </c>
      <c r="H33">
        <f t="shared" si="4"/>
        <v>74.814653966303524</v>
      </c>
      <c r="I33">
        <f>$R$2 + $R$5*$R$3*SQRT(($R$4/(2-$R$4))*(1-(1-$R$4)^(2*ROWS($C$2:C33))))</f>
        <v>76.022178584635029</v>
      </c>
      <c r="J33">
        <f>$R$2 - $R$5*$R$3*SQRT(($R$4/(2-$R$4))*(1-(1-$R$4)^(2*ROWS($C$2:C33))))</f>
        <v>73.772021415364904</v>
      </c>
      <c r="K33">
        <f t="shared" si="0"/>
        <v>-1.4673119924490172</v>
      </c>
      <c r="L33">
        <f t="shared" si="1"/>
        <v>0</v>
      </c>
      <c r="M33">
        <v>0.5</v>
      </c>
      <c r="N33">
        <f t="shared" si="5"/>
        <v>3.2374832664637219</v>
      </c>
      <c r="O33" t="str">
        <f t="shared" si="2"/>
        <v>NORMAL</v>
      </c>
      <c r="P33" t="str">
        <f t="shared" si="3"/>
        <v>NORMAL</v>
      </c>
    </row>
    <row r="34" spans="1:16">
      <c r="A34" s="2">
        <v>46297.333333333343</v>
      </c>
      <c r="B34" t="s">
        <v>37</v>
      </c>
      <c r="C34">
        <v>75.319999999999993</v>
      </c>
      <c r="D34">
        <v>18.39</v>
      </c>
      <c r="E34">
        <v>317.60000000000002</v>
      </c>
      <c r="F34">
        <v>1.6679999999999999</v>
      </c>
      <c r="G34">
        <v>1256.9000000000001</v>
      </c>
      <c r="H34">
        <f t="shared" si="4"/>
        <v>74.915723173042821</v>
      </c>
      <c r="I34">
        <f>$R$2 + $R$5*$R$3*SQRT(($R$4/(2-$R$4))*(1-(1-$R$4)^(2*ROWS($C$2:C34))))</f>
        <v>76.022178711755288</v>
      </c>
      <c r="J34">
        <f>$R$2 - $R$5*$R$3*SQRT(($R$4/(2-$R$4))*(1-(1-$R$4)^(2*ROWS($C$2:C34))))</f>
        <v>73.772021288244645</v>
      </c>
      <c r="K34">
        <f t="shared" si="0"/>
        <v>1.3404172177541283</v>
      </c>
      <c r="L34">
        <f t="shared" si="1"/>
        <v>1.0904172177541283</v>
      </c>
      <c r="M34">
        <v>0.5</v>
      </c>
      <c r="N34">
        <f t="shared" si="5"/>
        <v>1.6470660487095936</v>
      </c>
      <c r="O34" t="str">
        <f t="shared" si="2"/>
        <v>NORMAL</v>
      </c>
      <c r="P34" t="str">
        <f t="shared" si="3"/>
        <v>NORMAL</v>
      </c>
    </row>
    <row r="35" spans="1:16">
      <c r="A35" s="2">
        <v>46297.375</v>
      </c>
      <c r="B35" t="s">
        <v>37</v>
      </c>
      <c r="C35">
        <v>74.209999999999994</v>
      </c>
      <c r="D35">
        <v>18.79</v>
      </c>
      <c r="E35">
        <v>313.60000000000002</v>
      </c>
      <c r="F35">
        <v>1.36</v>
      </c>
      <c r="G35">
        <v>1245.3</v>
      </c>
      <c r="H35">
        <f t="shared" si="4"/>
        <v>74.774578538434255</v>
      </c>
      <c r="I35">
        <f>$R$2 + $R$5*$R$3*SQRT(($R$4/(2-$R$4))*(1-(1-$R$4)^(2*ROWS($C$2:C35))))</f>
        <v>76.022178793112246</v>
      </c>
      <c r="J35">
        <f>$R$2 - $R$5*$R$3*SQRT(($R$4/(2-$R$4))*(1-(1-$R$4)^(2*ROWS($C$2:C35))))</f>
        <v>73.772021206887686</v>
      </c>
      <c r="K35">
        <f t="shared" si="0"/>
        <v>-1.4673119924490172</v>
      </c>
      <c r="L35">
        <f t="shared" ref="L35:L66" si="6">MAX(0, L34 + K35 - $R$8)</f>
        <v>0</v>
      </c>
      <c r="M35">
        <v>0.5</v>
      </c>
      <c r="N35">
        <f t="shared" si="5"/>
        <v>2.8643780411586111</v>
      </c>
      <c r="O35" t="str">
        <f t="shared" si="2"/>
        <v>NORMAL</v>
      </c>
      <c r="P35" t="str">
        <f t="shared" si="3"/>
        <v>NORMAL</v>
      </c>
    </row>
    <row r="36" spans="1:16">
      <c r="A36" s="2">
        <v>46297.416666666657</v>
      </c>
      <c r="B36" t="s">
        <v>37</v>
      </c>
      <c r="C36">
        <v>75.22</v>
      </c>
      <c r="D36">
        <v>19.100000000000001</v>
      </c>
      <c r="E36">
        <v>304.8</v>
      </c>
      <c r="F36">
        <v>1.6539999999999999</v>
      </c>
      <c r="G36">
        <v>1248.7</v>
      </c>
      <c r="H36">
        <f t="shared" si="4"/>
        <v>74.863662830747401</v>
      </c>
      <c r="I36">
        <f>$R$2 + $R$5*$R$3*SQRT(($R$4/(2-$R$4))*(1-(1-$R$4)^(2*ROWS($C$2:C36))))</f>
        <v>76.022178845180704</v>
      </c>
      <c r="J36">
        <f>$R$2 - $R$5*$R$3*SQRT(($R$4/(2-$R$4))*(1-(1-$R$4)^(2*ROWS($C$2:C36))))</f>
        <v>73.772021154819228</v>
      </c>
      <c r="K36">
        <f t="shared" si="0"/>
        <v>1.2127931627448942</v>
      </c>
      <c r="L36">
        <f t="shared" si="6"/>
        <v>0.96279316274489424</v>
      </c>
      <c r="M36">
        <v>0.5</v>
      </c>
      <c r="N36">
        <f t="shared" si="5"/>
        <v>1.4015848784137168</v>
      </c>
      <c r="O36" t="str">
        <f t="shared" si="2"/>
        <v>NORMAL</v>
      </c>
      <c r="P36" t="str">
        <f t="shared" si="3"/>
        <v>NORMAL</v>
      </c>
    </row>
    <row r="37" spans="1:16">
      <c r="A37" s="2">
        <v>46297.458333333343</v>
      </c>
      <c r="B37" t="s">
        <v>37</v>
      </c>
      <c r="C37">
        <v>74.14</v>
      </c>
      <c r="D37">
        <v>18.53</v>
      </c>
      <c r="E37">
        <v>295.2</v>
      </c>
      <c r="F37">
        <v>1.5289999999999999</v>
      </c>
      <c r="G37">
        <v>1252.3</v>
      </c>
      <c r="H37">
        <f t="shared" si="4"/>
        <v>74.71893026459793</v>
      </c>
      <c r="I37">
        <f>$R$2 + $R$5*$R$3*SQRT(($R$4/(2-$R$4))*(1-(1-$R$4)^(2*ROWS($C$2:C37))))</f>
        <v>76.022178878504505</v>
      </c>
      <c r="J37">
        <f>$R$2 - $R$5*$R$3*SQRT(($R$4/(2-$R$4))*(1-(1-$R$4)^(2*ROWS($C$2:C37))))</f>
        <v>73.772021121495428</v>
      </c>
      <c r="K37">
        <f t="shared" si="0"/>
        <v>7.3292671591019667E-2</v>
      </c>
      <c r="L37">
        <f t="shared" si="6"/>
        <v>0.78608583433591384</v>
      </c>
      <c r="M37">
        <v>0.5</v>
      </c>
      <c r="N37">
        <f t="shared" si="5"/>
        <v>1.0782922068226972</v>
      </c>
      <c r="O37" t="str">
        <f t="shared" si="2"/>
        <v>NORMAL</v>
      </c>
      <c r="P37" t="str">
        <f t="shared" si="3"/>
        <v>NORMAL</v>
      </c>
    </row>
    <row r="38" spans="1:16">
      <c r="A38" s="2">
        <v>46297.5</v>
      </c>
      <c r="B38" t="s">
        <v>37</v>
      </c>
      <c r="C38">
        <v>74.53</v>
      </c>
      <c r="D38">
        <v>19.149999999999999</v>
      </c>
      <c r="E38">
        <v>332.3</v>
      </c>
      <c r="F38">
        <v>1.363</v>
      </c>
      <c r="G38">
        <v>1248</v>
      </c>
      <c r="H38">
        <f t="shared" si="4"/>
        <v>74.681144211678344</v>
      </c>
      <c r="I38">
        <f>$R$2 + $R$5*$R$3*SQRT(($R$4/(2-$R$4))*(1-(1-$R$4)^(2*ROWS($C$2:C38))))</f>
        <v>76.022178899831744</v>
      </c>
      <c r="J38">
        <f>$R$2 - $R$5*$R$3*SQRT(($R$4/(2-$R$4))*(1-(1-$R$4)^(2*ROWS($C$2:C38))))</f>
        <v>73.772021100168189</v>
      </c>
      <c r="K38">
        <f t="shared" si="0"/>
        <v>-1.4399639806613251</v>
      </c>
      <c r="L38">
        <f t="shared" si="6"/>
        <v>0</v>
      </c>
      <c r="M38">
        <v>0.5</v>
      </c>
      <c r="N38">
        <f t="shared" si="5"/>
        <v>2.2682561874840221</v>
      </c>
      <c r="O38" t="str">
        <f t="shared" si="2"/>
        <v>NORMAL</v>
      </c>
      <c r="P38" t="str">
        <f t="shared" si="3"/>
        <v>NORMAL</v>
      </c>
    </row>
    <row r="39" spans="1:16">
      <c r="A39" s="2">
        <v>46297.541666666657</v>
      </c>
      <c r="B39" t="s">
        <v>37</v>
      </c>
      <c r="C39">
        <v>72.91</v>
      </c>
      <c r="D39">
        <v>17.95</v>
      </c>
      <c r="E39">
        <v>321.10000000000002</v>
      </c>
      <c r="F39">
        <v>1.58</v>
      </c>
      <c r="G39">
        <v>1262.9000000000001</v>
      </c>
      <c r="H39">
        <f t="shared" si="4"/>
        <v>74.326915369342686</v>
      </c>
      <c r="I39">
        <f>$R$2 + $R$5*$R$3*SQRT(($R$4/(2-$R$4))*(1-(1-$R$4)^(2*ROWS($C$2:C39))))</f>
        <v>76.022178913481184</v>
      </c>
      <c r="J39">
        <f>$R$2 - $R$5*$R$3*SQRT(($R$4/(2-$R$4))*(1-(1-$R$4)^(2*ROWS($C$2:C39))))</f>
        <v>73.772021086518748</v>
      </c>
      <c r="K39">
        <f t="shared" si="0"/>
        <v>0.5382088719818019</v>
      </c>
      <c r="L39">
        <f t="shared" si="6"/>
        <v>0.2882088719818019</v>
      </c>
      <c r="M39">
        <v>0.5</v>
      </c>
      <c r="N39">
        <f t="shared" si="5"/>
        <v>1.4800473155022202</v>
      </c>
      <c r="O39" t="str">
        <f t="shared" si="2"/>
        <v>NORMAL</v>
      </c>
      <c r="P39" t="str">
        <f t="shared" si="3"/>
        <v>NORMAL</v>
      </c>
    </row>
    <row r="40" spans="1:16">
      <c r="A40" s="2">
        <v>46297.583333333343</v>
      </c>
      <c r="B40" t="s">
        <v>37</v>
      </c>
      <c r="C40">
        <v>73.069999999999993</v>
      </c>
      <c r="D40">
        <v>17.82</v>
      </c>
      <c r="E40">
        <v>300.7</v>
      </c>
      <c r="F40">
        <v>1.516</v>
      </c>
      <c r="G40">
        <v>1253.9000000000001</v>
      </c>
      <c r="H40">
        <f t="shared" si="4"/>
        <v>74.075532295474147</v>
      </c>
      <c r="I40">
        <f>$R$2 + $R$5*$R$3*SQRT(($R$4/(2-$R$4))*(1-(1-$R$4)^(2*ROWS($C$2:C40))))</f>
        <v>76.02217892221681</v>
      </c>
      <c r="J40">
        <f>$R$2 - $R$5*$R$3*SQRT(($R$4/(2-$R$4))*(1-(1-$R$4)^(2*ROWS($C$2:C40))))</f>
        <v>73.772021077783123</v>
      </c>
      <c r="K40">
        <f t="shared" si="0"/>
        <v>-4.5215379488982382E-2</v>
      </c>
      <c r="L40">
        <f t="shared" si="6"/>
        <v>0</v>
      </c>
      <c r="M40">
        <v>0.5</v>
      </c>
      <c r="N40">
        <f t="shared" si="5"/>
        <v>1.2752626949912027</v>
      </c>
      <c r="O40" t="str">
        <f t="shared" si="2"/>
        <v>NORMAL</v>
      </c>
      <c r="P40" t="str">
        <f t="shared" si="3"/>
        <v>NORMAL</v>
      </c>
    </row>
    <row r="41" spans="1:16">
      <c r="A41" s="2">
        <v>46297.625</v>
      </c>
      <c r="B41" t="s">
        <v>37</v>
      </c>
      <c r="C41">
        <v>73.900000000000006</v>
      </c>
      <c r="D41">
        <v>18.48</v>
      </c>
      <c r="E41">
        <v>300.60000000000002</v>
      </c>
      <c r="F41">
        <v>1.522</v>
      </c>
      <c r="G41">
        <v>1255.9000000000001</v>
      </c>
      <c r="H41">
        <f t="shared" si="4"/>
        <v>74.040425836379313</v>
      </c>
      <c r="I41">
        <f>$R$2 + $R$5*$R$3*SQRT(($R$4/(2-$R$4))*(1-(1-$R$4)^(2*ROWS($C$2:C41))))</f>
        <v>76.022178927807616</v>
      </c>
      <c r="J41">
        <f>$R$2 - $R$5*$R$3*SQRT(($R$4/(2-$R$4))*(1-(1-$R$4)^(2*ROWS($C$2:C41))))</f>
        <v>73.772021072192317</v>
      </c>
      <c r="K41">
        <f t="shared" si="0"/>
        <v>9.4806440864036463E-3</v>
      </c>
      <c r="L41">
        <f t="shared" si="6"/>
        <v>0</v>
      </c>
      <c r="M41">
        <v>0.5</v>
      </c>
      <c r="N41">
        <f t="shared" si="5"/>
        <v>1.015782050904799</v>
      </c>
      <c r="O41" t="str">
        <f t="shared" si="2"/>
        <v>NORMAL</v>
      </c>
      <c r="P41" t="str">
        <f t="shared" si="3"/>
        <v>NORMAL</v>
      </c>
    </row>
    <row r="42" spans="1:16">
      <c r="A42" s="2">
        <v>46297.666666666657</v>
      </c>
      <c r="B42" t="s">
        <v>37</v>
      </c>
      <c r="C42">
        <v>74.25</v>
      </c>
      <c r="D42">
        <v>18.649999999999999</v>
      </c>
      <c r="E42">
        <v>315</v>
      </c>
      <c r="F42">
        <v>1.423</v>
      </c>
      <c r="G42">
        <v>1255.3</v>
      </c>
      <c r="H42">
        <f t="shared" si="4"/>
        <v>74.082340669103445</v>
      </c>
      <c r="I42">
        <f>$R$2 + $R$5*$R$3*SQRT(($R$4/(2-$R$4))*(1-(1-$R$4)^(2*ROWS($C$2:C42))))</f>
        <v>76.022178931385739</v>
      </c>
      <c r="J42">
        <f>$R$2 - $R$5*$R$3*SQRT(($R$4/(2-$R$4))*(1-(1-$R$4)^(2*ROWS($C$2:C42))))</f>
        <v>73.772021068614194</v>
      </c>
      <c r="K42">
        <f t="shared" si="0"/>
        <v>-0.89300374490746481</v>
      </c>
      <c r="L42">
        <f t="shared" si="6"/>
        <v>0</v>
      </c>
      <c r="M42">
        <v>0.5</v>
      </c>
      <c r="N42">
        <f t="shared" si="5"/>
        <v>1.6587857958122638</v>
      </c>
      <c r="O42" t="str">
        <f t="shared" si="2"/>
        <v>NORMAL</v>
      </c>
      <c r="P42" t="str">
        <f t="shared" si="3"/>
        <v>NORMAL</v>
      </c>
    </row>
    <row r="43" spans="1:16">
      <c r="A43" s="2">
        <v>46297.708333333343</v>
      </c>
      <c r="B43" t="s">
        <v>37</v>
      </c>
      <c r="C43">
        <v>75.62</v>
      </c>
      <c r="D43">
        <v>18.489999999999998</v>
      </c>
      <c r="E43">
        <v>345</v>
      </c>
      <c r="F43">
        <v>1.5129999999999999</v>
      </c>
      <c r="G43">
        <v>1259.4000000000001</v>
      </c>
      <c r="H43">
        <f t="shared" si="4"/>
        <v>74.389872535282763</v>
      </c>
      <c r="I43">
        <f>$R$2 + $R$5*$R$3*SQRT(($R$4/(2-$R$4))*(1-(1-$R$4)^(2*ROWS($C$2:C43))))</f>
        <v>76.022178933675733</v>
      </c>
      <c r="J43">
        <f>$R$2 - $R$5*$R$3*SQRT(($R$4/(2-$R$4))*(1-(1-$R$4)^(2*ROWS($C$2:C43))))</f>
        <v>73.7720210663242</v>
      </c>
      <c r="K43">
        <f t="shared" si="0"/>
        <v>-7.2563391276676409E-2</v>
      </c>
      <c r="L43">
        <f t="shared" si="6"/>
        <v>0</v>
      </c>
      <c r="M43">
        <v>0.5</v>
      </c>
      <c r="N43">
        <f t="shared" si="5"/>
        <v>1.4813491870889401</v>
      </c>
      <c r="O43" t="str">
        <f t="shared" si="2"/>
        <v>NORMAL</v>
      </c>
      <c r="P43" t="str">
        <f t="shared" si="3"/>
        <v>NORMAL</v>
      </c>
    </row>
    <row r="44" spans="1:16">
      <c r="A44" s="2">
        <v>46297.75</v>
      </c>
      <c r="B44" t="s">
        <v>37</v>
      </c>
      <c r="C44">
        <v>75.930000000000007</v>
      </c>
      <c r="D44">
        <v>17.670000000000002</v>
      </c>
      <c r="E44">
        <v>316.10000000000002</v>
      </c>
      <c r="F44">
        <v>1.5209999999999999</v>
      </c>
      <c r="G44">
        <v>1251.4000000000001</v>
      </c>
      <c r="H44">
        <f t="shared" si="4"/>
        <v>74.69789802822622</v>
      </c>
      <c r="I44">
        <f>$R$2 + $R$5*$R$3*SQRT(($R$4/(2-$R$4))*(1-(1-$R$4)^(2*ROWS($C$2:C44))))</f>
        <v>76.022178935141326</v>
      </c>
      <c r="J44">
        <f>$R$2 - $R$5*$R$3*SQRT(($R$4/(2-$R$4))*(1-(1-$R$4)^(2*ROWS($C$2:C44))))</f>
        <v>73.772021064858606</v>
      </c>
      <c r="K44">
        <f t="shared" si="0"/>
        <v>3.6464015717162869E-4</v>
      </c>
      <c r="L44">
        <f t="shared" si="6"/>
        <v>0</v>
      </c>
      <c r="M44">
        <v>0.5</v>
      </c>
      <c r="N44">
        <f t="shared" si="5"/>
        <v>1.2309845469317686</v>
      </c>
      <c r="O44" t="str">
        <f t="shared" si="2"/>
        <v>NORMAL</v>
      </c>
      <c r="P44" t="str">
        <f t="shared" si="3"/>
        <v>NORMAL</v>
      </c>
    </row>
    <row r="45" spans="1:16">
      <c r="A45" s="2">
        <v>46297.791666666657</v>
      </c>
      <c r="B45" t="s">
        <v>37</v>
      </c>
      <c r="C45">
        <v>74.59</v>
      </c>
      <c r="D45">
        <v>18.46</v>
      </c>
      <c r="E45">
        <v>297.5</v>
      </c>
      <c r="F45">
        <v>1.698</v>
      </c>
      <c r="G45">
        <v>1239.5999999999999</v>
      </c>
      <c r="H45">
        <f t="shared" si="4"/>
        <v>74.676318422580977</v>
      </c>
      <c r="I45">
        <f>$R$2 + $R$5*$R$3*SQRT(($R$4/(2-$R$4))*(1-(1-$R$4)^(2*ROWS($C$2:C45))))</f>
        <v>76.022178936079314</v>
      </c>
      <c r="J45">
        <f>$R$2 - $R$5*$R$3*SQRT(($R$4/(2-$R$4))*(1-(1-$R$4)^(2*ROWS($C$2:C45))))</f>
        <v>73.772021063920619</v>
      </c>
      <c r="K45">
        <f t="shared" si="0"/>
        <v>1.6138973356310584</v>
      </c>
      <c r="L45">
        <f t="shared" si="6"/>
        <v>1.3638973356310584</v>
      </c>
      <c r="M45">
        <v>0.5</v>
      </c>
      <c r="N45">
        <f t="shared" si="5"/>
        <v>0</v>
      </c>
      <c r="O45" t="str">
        <f t="shared" si="2"/>
        <v>NORMAL</v>
      </c>
      <c r="P45" t="str">
        <f t="shared" si="3"/>
        <v>NORMAL</v>
      </c>
    </row>
    <row r="46" spans="1:16">
      <c r="A46" s="2">
        <v>46297.833333333343</v>
      </c>
      <c r="B46" t="s">
        <v>37</v>
      </c>
      <c r="C46">
        <v>73.790000000000006</v>
      </c>
      <c r="D46">
        <v>17.98</v>
      </c>
      <c r="E46">
        <v>316.3</v>
      </c>
      <c r="F46">
        <v>1.4430000000000001</v>
      </c>
      <c r="G46">
        <v>1253.2</v>
      </c>
      <c r="H46">
        <f t="shared" si="4"/>
        <v>74.499054738064785</v>
      </c>
      <c r="I46">
        <f>$R$2 + $R$5*$R$3*SQRT(($R$4/(2-$R$4))*(1-(1-$R$4)^(2*ROWS($C$2:C46))))</f>
        <v>76.022178936679623</v>
      </c>
      <c r="J46">
        <f>$R$2 - $R$5*$R$3*SQRT(($R$4/(2-$R$4))*(1-(1-$R$4)^(2*ROWS($C$2:C46))))</f>
        <v>73.77202106332031</v>
      </c>
      <c r="K46">
        <f t="shared" si="0"/>
        <v>-0.71068366632284474</v>
      </c>
      <c r="L46">
        <f t="shared" si="6"/>
        <v>0.40321366930821367</v>
      </c>
      <c r="M46">
        <v>0.5</v>
      </c>
      <c r="N46">
        <f t="shared" si="5"/>
        <v>0.46068366632284474</v>
      </c>
      <c r="O46" t="str">
        <f t="shared" si="2"/>
        <v>NORMAL</v>
      </c>
      <c r="P46" t="str">
        <f t="shared" si="3"/>
        <v>NORMAL</v>
      </c>
    </row>
    <row r="47" spans="1:16">
      <c r="A47" s="2">
        <v>46297.875</v>
      </c>
      <c r="B47" t="s">
        <v>37</v>
      </c>
      <c r="C47">
        <v>73.44</v>
      </c>
      <c r="D47">
        <v>18.77</v>
      </c>
      <c r="E47">
        <v>315.89999999999998</v>
      </c>
      <c r="F47">
        <v>1.532</v>
      </c>
      <c r="G47">
        <v>1244.8</v>
      </c>
      <c r="H47">
        <f t="shared" si="4"/>
        <v>74.287243790451825</v>
      </c>
      <c r="I47">
        <f>$R$2 + $R$5*$R$3*SQRT(($R$4/(2-$R$4))*(1-(1-$R$4)^(2*ROWS($C$2:C47))))</f>
        <v>76.022178937063813</v>
      </c>
      <c r="J47">
        <f>$R$2 - $R$5*$R$3*SQRT(($R$4/(2-$R$4))*(1-(1-$R$4)^(2*ROWS($C$2:C47))))</f>
        <v>73.772021062936119</v>
      </c>
      <c r="K47">
        <f t="shared" si="0"/>
        <v>0.10064068337871369</v>
      </c>
      <c r="L47">
        <f t="shared" si="6"/>
        <v>0.25385435268692735</v>
      </c>
      <c r="M47">
        <v>0.5</v>
      </c>
      <c r="N47">
        <f t="shared" si="5"/>
        <v>0.11004298294413106</v>
      </c>
      <c r="O47" t="str">
        <f t="shared" si="2"/>
        <v>NORMAL</v>
      </c>
      <c r="P47" t="str">
        <f t="shared" si="3"/>
        <v>NORMAL</v>
      </c>
    </row>
    <row r="48" spans="1:16">
      <c r="A48" s="2">
        <v>46297.916666666657</v>
      </c>
      <c r="B48" t="s">
        <v>37</v>
      </c>
      <c r="C48">
        <v>73.86</v>
      </c>
      <c r="D48">
        <v>18.649999999999999</v>
      </c>
      <c r="E48">
        <v>279.5</v>
      </c>
      <c r="F48">
        <v>1.5149999999999999</v>
      </c>
      <c r="G48">
        <v>1245.8</v>
      </c>
      <c r="H48">
        <f t="shared" si="4"/>
        <v>74.20179503236146</v>
      </c>
      <c r="I48">
        <f>$R$2 + $R$5*$R$3*SQRT(($R$4/(2-$R$4))*(1-(1-$R$4)^(2*ROWS($C$2:C48))))</f>
        <v>76.022178937309704</v>
      </c>
      <c r="J48">
        <f>$R$2 - $R$5*$R$3*SQRT(($R$4/(2-$R$4))*(1-(1-$R$4)^(2*ROWS($C$2:C48))))</f>
        <v>73.772021062690229</v>
      </c>
      <c r="K48">
        <f t="shared" si="0"/>
        <v>-5.4331383418214405E-2</v>
      </c>
      <c r="L48">
        <f t="shared" si="6"/>
        <v>0</v>
      </c>
      <c r="M48">
        <v>0.5</v>
      </c>
      <c r="N48">
        <f t="shared" si="5"/>
        <v>0</v>
      </c>
      <c r="O48" t="str">
        <f t="shared" si="2"/>
        <v>NORMAL</v>
      </c>
      <c r="P48" t="str">
        <f t="shared" si="3"/>
        <v>NORMAL</v>
      </c>
    </row>
    <row r="49" spans="1:16">
      <c r="A49" s="2">
        <v>46297.958333333343</v>
      </c>
      <c r="B49" t="s">
        <v>37</v>
      </c>
      <c r="C49">
        <v>75.47</v>
      </c>
      <c r="D49">
        <v>18.12</v>
      </c>
      <c r="E49">
        <v>319.2</v>
      </c>
      <c r="F49">
        <v>1.542</v>
      </c>
      <c r="G49">
        <v>1254.7</v>
      </c>
      <c r="H49">
        <f t="shared" si="4"/>
        <v>74.455436025889171</v>
      </c>
      <c r="I49">
        <f>$R$2 + $R$5*$R$3*SQRT(($R$4/(2-$R$4))*(1-(1-$R$4)^(2*ROWS($C$2:C49))))</f>
        <v>76.022178937467075</v>
      </c>
      <c r="J49">
        <f>$R$2 - $R$5*$R$3*SQRT(($R$4/(2-$R$4))*(1-(1-$R$4)^(2*ROWS($C$2:C49))))</f>
        <v>73.772021062532858</v>
      </c>
      <c r="K49">
        <f t="shared" si="0"/>
        <v>0.19180072267102374</v>
      </c>
      <c r="L49">
        <f t="shared" si="6"/>
        <v>0</v>
      </c>
      <c r="M49">
        <v>0.5</v>
      </c>
      <c r="N49">
        <f t="shared" si="5"/>
        <v>0</v>
      </c>
      <c r="O49" t="str">
        <f t="shared" si="2"/>
        <v>NORMAL</v>
      </c>
      <c r="P49" t="str">
        <f t="shared" si="3"/>
        <v>NORMAL</v>
      </c>
    </row>
    <row r="50" spans="1:16">
      <c r="A50" s="2">
        <v>46298</v>
      </c>
      <c r="B50" t="s">
        <v>37</v>
      </c>
      <c r="C50">
        <v>75.45</v>
      </c>
      <c r="D50">
        <v>18.29</v>
      </c>
      <c r="E50">
        <v>316.5</v>
      </c>
      <c r="F50">
        <v>1.6559999999999999</v>
      </c>
      <c r="G50">
        <v>1259.9000000000001</v>
      </c>
      <c r="H50">
        <f t="shared" si="4"/>
        <v>74.654348820711334</v>
      </c>
      <c r="I50">
        <f>$R$2 + $R$5*$R$3*SQRT(($R$4/(2-$R$4))*(1-(1-$R$4)^(2*ROWS($C$2:C50))))</f>
        <v>76.022178937567787</v>
      </c>
      <c r="J50">
        <f>$R$2 - $R$5*$R$3*SQRT(($R$4/(2-$R$4))*(1-(1-$R$4)^(2*ROWS($C$2:C50))))</f>
        <v>73.772021062432145</v>
      </c>
      <c r="K50">
        <f t="shared" si="0"/>
        <v>1.2310251706033564</v>
      </c>
      <c r="L50">
        <f t="shared" si="6"/>
        <v>0.98102517060335637</v>
      </c>
      <c r="M50">
        <v>0.5</v>
      </c>
      <c r="N50">
        <f t="shared" si="5"/>
        <v>0</v>
      </c>
      <c r="O50" t="str">
        <f t="shared" si="2"/>
        <v>NORMAL</v>
      </c>
      <c r="P50" t="str">
        <f t="shared" si="3"/>
        <v>NORMAL</v>
      </c>
    </row>
    <row r="51" spans="1:16">
      <c r="A51" s="2">
        <v>46298.041666666657</v>
      </c>
      <c r="B51" t="s">
        <v>37</v>
      </c>
      <c r="C51">
        <v>73.27</v>
      </c>
      <c r="D51">
        <v>18.079999999999998</v>
      </c>
      <c r="E51">
        <v>330.4</v>
      </c>
      <c r="F51">
        <v>1.429</v>
      </c>
      <c r="G51">
        <v>1250.2</v>
      </c>
      <c r="H51">
        <f t="shared" si="4"/>
        <v>74.377479056569072</v>
      </c>
      <c r="I51">
        <f>$R$2 + $R$5*$R$3*SQRT(($R$4/(2-$R$4))*(1-(1-$R$4)^(2*ROWS($C$2:C51))))</f>
        <v>76.022178937632248</v>
      </c>
      <c r="J51">
        <f>$R$2 - $R$5*$R$3*SQRT(($R$4/(2-$R$4))*(1-(1-$R$4)^(2*ROWS($C$2:C51))))</f>
        <v>73.772021062367685</v>
      </c>
      <c r="K51">
        <f t="shared" si="0"/>
        <v>-0.83830772133207876</v>
      </c>
      <c r="L51">
        <f t="shared" si="6"/>
        <v>0</v>
      </c>
      <c r="M51">
        <v>0.5</v>
      </c>
      <c r="N51">
        <f t="shared" si="5"/>
        <v>0.58830772133207876</v>
      </c>
      <c r="O51" t="str">
        <f t="shared" si="2"/>
        <v>NORMAL</v>
      </c>
      <c r="P51" t="str">
        <f t="shared" si="3"/>
        <v>NORMAL</v>
      </c>
    </row>
    <row r="52" spans="1:16">
      <c r="A52" s="2">
        <v>46298.083333333343</v>
      </c>
      <c r="B52" t="s">
        <v>37</v>
      </c>
      <c r="C52">
        <v>73.989999999999995</v>
      </c>
      <c r="D52">
        <v>18.47</v>
      </c>
      <c r="E52">
        <v>347.7</v>
      </c>
      <c r="F52">
        <v>1.431</v>
      </c>
      <c r="G52">
        <v>1252.5</v>
      </c>
      <c r="H52">
        <f t="shared" si="4"/>
        <v>74.299983245255262</v>
      </c>
      <c r="I52">
        <f>$R$2 + $R$5*$R$3*SQRT(($R$4/(2-$R$4))*(1-(1-$R$4)^(2*ROWS($C$2:C52))))</f>
        <v>76.022178937673488</v>
      </c>
      <c r="J52">
        <f>$R$2 - $R$5*$R$3*SQRT(($R$4/(2-$R$4))*(1-(1-$R$4)^(2*ROWS($C$2:C52))))</f>
        <v>73.772021062326445</v>
      </c>
      <c r="K52">
        <f t="shared" si="0"/>
        <v>-0.82007571347361674</v>
      </c>
      <c r="L52">
        <f t="shared" si="6"/>
        <v>0</v>
      </c>
      <c r="M52">
        <v>0.5</v>
      </c>
      <c r="N52">
        <f t="shared" si="5"/>
        <v>1.1583834348056956</v>
      </c>
      <c r="O52" t="str">
        <f t="shared" si="2"/>
        <v>NORMAL</v>
      </c>
      <c r="P52" t="str">
        <f t="shared" si="3"/>
        <v>NORMAL</v>
      </c>
    </row>
    <row r="53" spans="1:16">
      <c r="A53" s="2">
        <v>46298.125</v>
      </c>
      <c r="B53" t="s">
        <v>37</v>
      </c>
      <c r="C53">
        <v>73.64</v>
      </c>
      <c r="D53">
        <v>18.88</v>
      </c>
      <c r="E53">
        <v>336.9</v>
      </c>
      <c r="F53">
        <v>1.5209999999999999</v>
      </c>
      <c r="G53">
        <v>1263.5999999999999</v>
      </c>
      <c r="H53">
        <f t="shared" si="4"/>
        <v>74.167986596204216</v>
      </c>
      <c r="I53">
        <f>$R$2 + $R$5*$R$3*SQRT(($R$4/(2-$R$4))*(1-(1-$R$4)^(2*ROWS($C$2:C53))))</f>
        <v>76.022178937699891</v>
      </c>
      <c r="J53">
        <f>$R$2 - $R$5*$R$3*SQRT(($R$4/(2-$R$4))*(1-(1-$R$4)^(2*ROWS($C$2:C53))))</f>
        <v>73.772021062300041</v>
      </c>
      <c r="K53">
        <f t="shared" si="0"/>
        <v>3.6464015717162869E-4</v>
      </c>
      <c r="L53">
        <f t="shared" si="6"/>
        <v>0</v>
      </c>
      <c r="M53">
        <v>0.5</v>
      </c>
      <c r="N53">
        <f t="shared" si="5"/>
        <v>0.90801879464852409</v>
      </c>
      <c r="O53" t="str">
        <f t="shared" si="2"/>
        <v>NORMAL</v>
      </c>
      <c r="P53" t="str">
        <f t="shared" si="3"/>
        <v>NORMAL</v>
      </c>
    </row>
    <row r="54" spans="1:16">
      <c r="A54" s="2">
        <v>46298.166666666657</v>
      </c>
      <c r="B54" t="s">
        <v>37</v>
      </c>
      <c r="C54">
        <v>73.23</v>
      </c>
      <c r="D54">
        <v>18.11</v>
      </c>
      <c r="E54">
        <v>316</v>
      </c>
      <c r="F54">
        <v>1.627</v>
      </c>
      <c r="G54">
        <v>1251.9000000000001</v>
      </c>
      <c r="H54">
        <f t="shared" si="4"/>
        <v>73.980389276963379</v>
      </c>
      <c r="I54">
        <f>$R$2 + $R$5*$R$3*SQRT(($R$4/(2-$R$4))*(1-(1-$R$4)^(2*ROWS($C$2:C54))))</f>
        <v>76.022178937716788</v>
      </c>
      <c r="J54">
        <f>$R$2 - $R$5*$R$3*SQRT(($R$4/(2-$R$4))*(1-(1-$R$4)^(2*ROWS($C$2:C54))))</f>
        <v>73.772021062283144</v>
      </c>
      <c r="K54">
        <f t="shared" si="0"/>
        <v>0.96666105665565816</v>
      </c>
      <c r="L54">
        <f t="shared" si="6"/>
        <v>0.71666105665565816</v>
      </c>
      <c r="M54">
        <v>0.5</v>
      </c>
      <c r="N54">
        <f t="shared" si="5"/>
        <v>0</v>
      </c>
      <c r="O54" t="str">
        <f t="shared" si="2"/>
        <v>NORMAL</v>
      </c>
      <c r="P54" t="str">
        <f t="shared" si="3"/>
        <v>NORMAL</v>
      </c>
    </row>
    <row r="55" spans="1:16">
      <c r="A55" s="2">
        <v>46298.208333333343</v>
      </c>
      <c r="B55" t="s">
        <v>37</v>
      </c>
      <c r="C55">
        <v>74.540000000000006</v>
      </c>
      <c r="D55">
        <v>18.7</v>
      </c>
      <c r="E55">
        <v>303.39999999999998</v>
      </c>
      <c r="F55">
        <v>1.63</v>
      </c>
      <c r="G55">
        <v>1270.8</v>
      </c>
      <c r="H55">
        <f t="shared" si="4"/>
        <v>74.092311421570713</v>
      </c>
      <c r="I55">
        <f>$R$2 + $R$5*$R$3*SQRT(($R$4/(2-$R$4))*(1-(1-$R$4)^(2*ROWS($C$2:C55))))</f>
        <v>76.022178937727602</v>
      </c>
      <c r="J55">
        <f>$R$2 - $R$5*$R$3*SQRT(($R$4/(2-$R$4))*(1-(1-$R$4)^(2*ROWS($C$2:C55))))</f>
        <v>73.77202106227233</v>
      </c>
      <c r="K55">
        <f t="shared" si="0"/>
        <v>0.99400906844335013</v>
      </c>
      <c r="L55">
        <f t="shared" si="6"/>
        <v>1.4606701250990084</v>
      </c>
      <c r="M55">
        <v>0.5</v>
      </c>
      <c r="N55">
        <f t="shared" si="5"/>
        <v>0</v>
      </c>
      <c r="O55" t="str">
        <f t="shared" si="2"/>
        <v>NORMAL</v>
      </c>
      <c r="P55" t="str">
        <f t="shared" si="3"/>
        <v>NORMAL</v>
      </c>
    </row>
    <row r="56" spans="1:16">
      <c r="A56" s="2">
        <v>46298.25</v>
      </c>
      <c r="B56" t="s">
        <v>37</v>
      </c>
      <c r="C56">
        <v>75.319999999999993</v>
      </c>
      <c r="D56">
        <v>18.29</v>
      </c>
      <c r="E56">
        <v>358.6</v>
      </c>
      <c r="F56">
        <v>1.478</v>
      </c>
      <c r="G56">
        <v>1254.5</v>
      </c>
      <c r="H56">
        <f t="shared" si="4"/>
        <v>74.337849137256569</v>
      </c>
      <c r="I56">
        <f>$R$2 + $R$5*$R$3*SQRT(($R$4/(2-$R$4))*(1-(1-$R$4)^(2*ROWS($C$2:C56))))</f>
        <v>76.022178937734523</v>
      </c>
      <c r="J56">
        <f>$R$2 - $R$5*$R$3*SQRT(($R$4/(2-$R$4))*(1-(1-$R$4)^(2*ROWS($C$2:C56))))</f>
        <v>73.772021062265409</v>
      </c>
      <c r="K56">
        <f t="shared" si="0"/>
        <v>-0.39162352879976059</v>
      </c>
      <c r="L56">
        <f t="shared" si="6"/>
        <v>0.81904659629924792</v>
      </c>
      <c r="M56">
        <v>0.5</v>
      </c>
      <c r="N56">
        <f t="shared" si="5"/>
        <v>0.14162352879976059</v>
      </c>
      <c r="O56" t="str">
        <f t="shared" si="2"/>
        <v>NORMAL</v>
      </c>
      <c r="P56" t="str">
        <f t="shared" si="3"/>
        <v>NORMAL</v>
      </c>
    </row>
    <row r="57" spans="1:16">
      <c r="A57" s="2">
        <v>46298.291666666657</v>
      </c>
      <c r="B57" t="s">
        <v>37</v>
      </c>
      <c r="C57">
        <v>76.349999999999994</v>
      </c>
      <c r="D57">
        <v>18.18</v>
      </c>
      <c r="E57">
        <v>320.89999999999998</v>
      </c>
      <c r="F57">
        <v>1.4630000000000001</v>
      </c>
      <c r="G57">
        <v>1235.9000000000001</v>
      </c>
      <c r="H57">
        <f t="shared" si="4"/>
        <v>74.74027930980526</v>
      </c>
      <c r="I57">
        <f>$R$2 + $R$5*$R$3*SQRT(($R$4/(2-$R$4))*(1-(1-$R$4)^(2*ROWS($C$2:C57))))</f>
        <v>76.022178937738957</v>
      </c>
      <c r="J57">
        <f>$R$2 - $R$5*$R$3*SQRT(($R$4/(2-$R$4))*(1-(1-$R$4)^(2*ROWS($C$2:C57))))</f>
        <v>73.772021062260976</v>
      </c>
      <c r="K57">
        <f t="shared" si="0"/>
        <v>-0.52836358773822467</v>
      </c>
      <c r="L57">
        <f t="shared" si="6"/>
        <v>4.0683008561023248E-2</v>
      </c>
      <c r="M57">
        <v>0.5</v>
      </c>
      <c r="N57">
        <f t="shared" si="5"/>
        <v>0.41998711653798526</v>
      </c>
      <c r="O57" t="str">
        <f t="shared" si="2"/>
        <v>NORMAL</v>
      </c>
      <c r="P57" t="str">
        <f t="shared" si="3"/>
        <v>NORMAL</v>
      </c>
    </row>
    <row r="58" spans="1:16">
      <c r="A58" s="2">
        <v>46298.333333333343</v>
      </c>
      <c r="B58" t="s">
        <v>37</v>
      </c>
      <c r="C58">
        <v>75.73</v>
      </c>
      <c r="D58">
        <v>18.46</v>
      </c>
      <c r="E58">
        <v>320.2</v>
      </c>
      <c r="F58">
        <v>1.6259999999999999</v>
      </c>
      <c r="G58">
        <v>1256</v>
      </c>
      <c r="H58">
        <f t="shared" si="4"/>
        <v>74.938223447844209</v>
      </c>
      <c r="I58">
        <f>$R$2 + $R$5*$R$3*SQRT(($R$4/(2-$R$4))*(1-(1-$R$4)^(2*ROWS($C$2:C58))))</f>
        <v>76.022178937741799</v>
      </c>
      <c r="J58">
        <f>$R$2 - $R$5*$R$3*SQRT(($R$4/(2-$R$4))*(1-(1-$R$4)^(2*ROWS($C$2:C58))))</f>
        <v>73.772021062258133</v>
      </c>
      <c r="K58">
        <f t="shared" si="0"/>
        <v>0.95754505272642609</v>
      </c>
      <c r="L58">
        <f t="shared" si="6"/>
        <v>0.74822806128744934</v>
      </c>
      <c r="M58">
        <v>0.5</v>
      </c>
      <c r="N58">
        <f t="shared" si="5"/>
        <v>0</v>
      </c>
      <c r="O58" t="str">
        <f t="shared" si="2"/>
        <v>NORMAL</v>
      </c>
      <c r="P58" t="str">
        <f t="shared" si="3"/>
        <v>NORMAL</v>
      </c>
    </row>
    <row r="59" spans="1:16">
      <c r="A59" s="2">
        <v>46298.375</v>
      </c>
      <c r="B59" t="s">
        <v>37</v>
      </c>
      <c r="C59">
        <v>74.83</v>
      </c>
      <c r="D59">
        <v>18.09</v>
      </c>
      <c r="E59">
        <v>319.60000000000002</v>
      </c>
      <c r="F59">
        <v>1.58</v>
      </c>
      <c r="G59">
        <v>1253</v>
      </c>
      <c r="H59">
        <f t="shared" si="4"/>
        <v>74.916578758275364</v>
      </c>
      <c r="I59">
        <f>$R$2 + $R$5*$R$3*SQRT(($R$4/(2-$R$4))*(1-(1-$R$4)^(2*ROWS($C$2:C59))))</f>
        <v>76.022178937743604</v>
      </c>
      <c r="J59">
        <f>$R$2 - $R$5*$R$3*SQRT(($R$4/(2-$R$4))*(1-(1-$R$4)^(2*ROWS($C$2:C59))))</f>
        <v>73.772021062256329</v>
      </c>
      <c r="K59">
        <f t="shared" si="0"/>
        <v>0.5382088719818019</v>
      </c>
      <c r="L59">
        <f t="shared" si="6"/>
        <v>1.0364369332692513</v>
      </c>
      <c r="M59">
        <v>0.5</v>
      </c>
      <c r="N59">
        <f t="shared" si="5"/>
        <v>0</v>
      </c>
      <c r="O59" t="str">
        <f t="shared" si="2"/>
        <v>NORMAL</v>
      </c>
      <c r="P59" t="str">
        <f t="shared" si="3"/>
        <v>NORMAL</v>
      </c>
    </row>
    <row r="60" spans="1:16">
      <c r="A60" s="2">
        <v>46298.416666666657</v>
      </c>
      <c r="B60" t="s">
        <v>37</v>
      </c>
      <c r="C60">
        <v>75.33</v>
      </c>
      <c r="D60">
        <v>18.28</v>
      </c>
      <c r="E60">
        <v>323</v>
      </c>
      <c r="F60">
        <v>1.5549999999999999</v>
      </c>
      <c r="G60">
        <v>1260.3</v>
      </c>
      <c r="H60">
        <f t="shared" si="4"/>
        <v>74.999263006620296</v>
      </c>
      <c r="I60">
        <f>$R$2 + $R$5*$R$3*SQRT(($R$4/(2-$R$4))*(1-(1-$R$4)^(2*ROWS($C$2:C60))))</f>
        <v>76.022178937744769</v>
      </c>
      <c r="J60">
        <f>$R$2 - $R$5*$R$3*SQRT(($R$4/(2-$R$4))*(1-(1-$R$4)^(2*ROWS($C$2:C60))))</f>
        <v>73.772021062255163</v>
      </c>
      <c r="K60">
        <f t="shared" si="0"/>
        <v>0.31030877375102578</v>
      </c>
      <c r="L60">
        <f t="shared" si="6"/>
        <v>1.0967457070202771</v>
      </c>
      <c r="M60">
        <v>0.5</v>
      </c>
      <c r="N60">
        <f t="shared" si="5"/>
        <v>0</v>
      </c>
      <c r="O60" t="str">
        <f t="shared" si="2"/>
        <v>NORMAL</v>
      </c>
      <c r="P60" t="str">
        <f t="shared" si="3"/>
        <v>NORMAL</v>
      </c>
    </row>
    <row r="61" spans="1:16">
      <c r="A61" s="2">
        <v>46298.458333333343</v>
      </c>
      <c r="B61" t="s">
        <v>37</v>
      </c>
      <c r="C61">
        <v>76.31</v>
      </c>
      <c r="D61">
        <v>18.02</v>
      </c>
      <c r="E61">
        <v>317.8</v>
      </c>
      <c r="F61">
        <v>1.77</v>
      </c>
      <c r="G61">
        <v>1255.4000000000001</v>
      </c>
      <c r="H61">
        <f t="shared" si="4"/>
        <v>75.261410405296232</v>
      </c>
      <c r="I61">
        <f>$R$2 + $R$5*$R$3*SQRT(($R$4/(2-$R$4))*(1-(1-$R$4)^(2*ROWS($C$2:C61))))</f>
        <v>76.022178937745508</v>
      </c>
      <c r="J61">
        <f>$R$2 - $R$5*$R$3*SQRT(($R$4/(2-$R$4))*(1-(1-$R$4)^(2*ROWS($C$2:C61))))</f>
        <v>73.772021062254424</v>
      </c>
      <c r="K61">
        <f t="shared" si="0"/>
        <v>2.2702496185356908</v>
      </c>
      <c r="L61">
        <f t="shared" si="6"/>
        <v>3.1169953255559681</v>
      </c>
      <c r="M61">
        <v>0.5</v>
      </c>
      <c r="N61">
        <f t="shared" si="5"/>
        <v>0</v>
      </c>
      <c r="O61" t="str">
        <f t="shared" si="2"/>
        <v>NORMAL</v>
      </c>
      <c r="P61" t="str">
        <f t="shared" si="3"/>
        <v>NORMAL</v>
      </c>
    </row>
    <row r="62" spans="1:16">
      <c r="A62" s="2">
        <v>46298.5</v>
      </c>
      <c r="B62" t="s">
        <v>37</v>
      </c>
      <c r="C62">
        <v>75.52</v>
      </c>
      <c r="D62">
        <v>19.29</v>
      </c>
      <c r="E62">
        <v>311.39999999999998</v>
      </c>
      <c r="F62">
        <v>1.4710000000000001</v>
      </c>
      <c r="G62">
        <v>1248.9000000000001</v>
      </c>
      <c r="H62">
        <f t="shared" si="4"/>
        <v>75.313128324236985</v>
      </c>
      <c r="I62">
        <f>$R$2 + $R$5*$R$3*SQRT(($R$4/(2-$R$4))*(1-(1-$R$4)^(2*ROWS($C$2:C62))))</f>
        <v>76.022178937745991</v>
      </c>
      <c r="J62">
        <f>$R$2 - $R$5*$R$3*SQRT(($R$4/(2-$R$4))*(1-(1-$R$4)^(2*ROWS($C$2:C62))))</f>
        <v>73.772021062253941</v>
      </c>
      <c r="K62">
        <f t="shared" si="0"/>
        <v>-0.4554355563043766</v>
      </c>
      <c r="L62">
        <f t="shared" si="6"/>
        <v>2.4115597692515918</v>
      </c>
      <c r="M62">
        <v>0.5</v>
      </c>
      <c r="N62">
        <f t="shared" si="5"/>
        <v>0.2054355563043766</v>
      </c>
      <c r="O62" t="str">
        <f t="shared" si="2"/>
        <v>NORMAL</v>
      </c>
      <c r="P62" t="str">
        <f t="shared" si="3"/>
        <v>NORMAL</v>
      </c>
    </row>
    <row r="63" spans="1:16">
      <c r="A63" s="2">
        <v>46298.541666666657</v>
      </c>
      <c r="B63" t="s">
        <v>37</v>
      </c>
      <c r="C63">
        <v>75.16</v>
      </c>
      <c r="D63">
        <v>18.510000000000002</v>
      </c>
      <c r="E63">
        <v>311.8</v>
      </c>
      <c r="F63">
        <v>1.3540000000000001</v>
      </c>
      <c r="G63">
        <v>1240.2</v>
      </c>
      <c r="H63">
        <f t="shared" si="4"/>
        <v>75.282502659389593</v>
      </c>
      <c r="I63">
        <f>$R$2 + $R$5*$R$3*SQRT(($R$4/(2-$R$4))*(1-(1-$R$4)^(2*ROWS($C$2:C63))))</f>
        <v>76.02217893774629</v>
      </c>
      <c r="J63">
        <f>$R$2 - $R$5*$R$3*SQRT(($R$4/(2-$R$4))*(1-(1-$R$4)^(2*ROWS($C$2:C63))))</f>
        <v>73.772021062253643</v>
      </c>
      <c r="K63">
        <f t="shared" si="0"/>
        <v>-1.5220080160244032</v>
      </c>
      <c r="L63">
        <f t="shared" si="6"/>
        <v>0.6395517532271886</v>
      </c>
      <c r="M63">
        <v>0.5</v>
      </c>
      <c r="N63">
        <f t="shared" si="5"/>
        <v>1.4774435723287798</v>
      </c>
      <c r="O63" t="str">
        <f t="shared" si="2"/>
        <v>NORMAL</v>
      </c>
      <c r="P63" t="str">
        <f t="shared" si="3"/>
        <v>NORMAL</v>
      </c>
    </row>
    <row r="64" spans="1:16">
      <c r="A64" s="2">
        <v>46298.583333333343</v>
      </c>
      <c r="B64" t="s">
        <v>37</v>
      </c>
      <c r="C64">
        <v>74.459999999999994</v>
      </c>
      <c r="D64">
        <v>18.22</v>
      </c>
      <c r="E64">
        <v>319.5</v>
      </c>
      <c r="F64">
        <v>1.3009999999999999</v>
      </c>
      <c r="G64">
        <v>1248.3</v>
      </c>
      <c r="H64">
        <f t="shared" si="4"/>
        <v>75.118002127511673</v>
      </c>
      <c r="I64">
        <f>$R$2 + $R$5*$R$3*SQRT(($R$4/(2-$R$4))*(1-(1-$R$4)^(2*ROWS($C$2:C64))))</f>
        <v>76.022178937746489</v>
      </c>
      <c r="J64">
        <f>$R$2 - $R$5*$R$3*SQRT(($R$4/(2-$R$4))*(1-(1-$R$4)^(2*ROWS($C$2:C64))))</f>
        <v>73.772021062253444</v>
      </c>
      <c r="K64">
        <f t="shared" si="0"/>
        <v>-2.0051562242736476</v>
      </c>
      <c r="L64">
        <f t="shared" si="6"/>
        <v>0</v>
      </c>
      <c r="M64">
        <v>0.5</v>
      </c>
      <c r="N64">
        <f t="shared" si="5"/>
        <v>3.2325997966024271</v>
      </c>
      <c r="O64" t="str">
        <f t="shared" si="2"/>
        <v>NORMAL</v>
      </c>
      <c r="P64" t="str">
        <f t="shared" si="3"/>
        <v>NORMAL</v>
      </c>
    </row>
    <row r="65" spans="1:16">
      <c r="A65" s="2">
        <v>46298.625</v>
      </c>
      <c r="B65" t="s">
        <v>37</v>
      </c>
      <c r="C65">
        <v>73.87</v>
      </c>
      <c r="D65">
        <v>18.59</v>
      </c>
      <c r="E65">
        <v>311.8</v>
      </c>
      <c r="F65">
        <v>1.4490000000000001</v>
      </c>
      <c r="G65">
        <v>1243.2</v>
      </c>
      <c r="H65">
        <f t="shared" si="4"/>
        <v>74.868401702009351</v>
      </c>
      <c r="I65">
        <f>$R$2 + $R$5*$R$3*SQRT(($R$4/(2-$R$4))*(1-(1-$R$4)^(2*ROWS($C$2:C65))))</f>
        <v>76.022178937746617</v>
      </c>
      <c r="J65">
        <f>$R$2 - $R$5*$R$3*SQRT(($R$4/(2-$R$4))*(1-(1-$R$4)^(2*ROWS($C$2:C65))))</f>
        <v>73.772021062253316</v>
      </c>
      <c r="K65">
        <f t="shared" si="0"/>
        <v>-0.65598764274745869</v>
      </c>
      <c r="L65">
        <f t="shared" si="6"/>
        <v>0</v>
      </c>
      <c r="M65">
        <v>0.5</v>
      </c>
      <c r="N65">
        <f t="shared" si="5"/>
        <v>3.6385874393498856</v>
      </c>
      <c r="O65" t="str">
        <f t="shared" si="2"/>
        <v>NORMAL</v>
      </c>
      <c r="P65" t="str">
        <f t="shared" si="3"/>
        <v>NORMAL</v>
      </c>
    </row>
    <row r="66" spans="1:16">
      <c r="A66" s="2">
        <v>46298.666666666657</v>
      </c>
      <c r="B66" t="s">
        <v>37</v>
      </c>
      <c r="C66">
        <v>74.489999999999995</v>
      </c>
      <c r="D66">
        <v>18.46</v>
      </c>
      <c r="E66">
        <v>309.3</v>
      </c>
      <c r="F66">
        <v>1.583</v>
      </c>
      <c r="G66">
        <v>1245.4000000000001</v>
      </c>
      <c r="H66">
        <f t="shared" si="4"/>
        <v>74.792721361607477</v>
      </c>
      <c r="I66">
        <f>$R$2 + $R$5*$R$3*SQRT(($R$4/(2-$R$4))*(1-(1-$R$4)^(2*ROWS($C$2:C66))))</f>
        <v>76.022178937746688</v>
      </c>
      <c r="J66">
        <f>$R$2 - $R$5*$R$3*SQRT(($R$4/(2-$R$4))*(1-(1-$R$4)^(2*ROWS($C$2:C66))))</f>
        <v>73.772021062253245</v>
      </c>
      <c r="K66">
        <f t="shared" si="0"/>
        <v>0.56555688376949398</v>
      </c>
      <c r="L66">
        <f t="shared" si="6"/>
        <v>0.31555688376949398</v>
      </c>
      <c r="M66">
        <v>0.5</v>
      </c>
      <c r="N66">
        <f t="shared" si="5"/>
        <v>2.8230305555803916</v>
      </c>
      <c r="O66" t="str">
        <f t="shared" si="2"/>
        <v>NORMAL</v>
      </c>
      <c r="P66" t="str">
        <f t="shared" si="3"/>
        <v>NORMAL</v>
      </c>
    </row>
    <row r="67" spans="1:16">
      <c r="A67" s="2">
        <v>46298.708333333343</v>
      </c>
      <c r="B67" t="s">
        <v>37</v>
      </c>
      <c r="C67">
        <v>76.37</v>
      </c>
      <c r="D67">
        <v>18.41</v>
      </c>
      <c r="E67">
        <v>321.60000000000002</v>
      </c>
      <c r="F67">
        <v>1.454</v>
      </c>
      <c r="G67">
        <v>1254.7</v>
      </c>
      <c r="H67">
        <f t="shared" si="4"/>
        <v>75.108177089285988</v>
      </c>
      <c r="I67">
        <f>$R$2 + $R$5*$R$3*SQRT(($R$4/(2-$R$4))*(1-(1-$R$4)^(2*ROWS($C$2:C67))))</f>
        <v>76.022178937746745</v>
      </c>
      <c r="J67">
        <f>$R$2 - $R$5*$R$3*SQRT(($R$4/(2-$R$4))*(1-(1-$R$4)^(2*ROWS($C$2:C67))))</f>
        <v>73.772021062253188</v>
      </c>
      <c r="K67">
        <f t="shared" ref="K67:K130" si="7">(F67 - $R$6) / $R$7</f>
        <v>-0.6104076231013047</v>
      </c>
      <c r="L67">
        <f t="shared" ref="L67:L98" si="8">MAX(0, L66 + K67 - $R$8)</f>
        <v>0</v>
      </c>
      <c r="M67">
        <v>0.5</v>
      </c>
      <c r="N67">
        <f t="shared" si="5"/>
        <v>3.1834381786816963</v>
      </c>
      <c r="O67" t="str">
        <f t="shared" ref="O67:O130" si="9">IF(H67&gt;I67, "ALARM: LINER WEAR", "NORMAL")</f>
        <v>NORMAL</v>
      </c>
      <c r="P67" t="str">
        <f t="shared" ref="P67:P130" si="10">IF(L67&gt;$R$9, "ALARM: BURNER DRIFT", "NORMAL")</f>
        <v>NORMAL</v>
      </c>
    </row>
    <row r="68" spans="1:16">
      <c r="A68" s="2">
        <v>46298.75</v>
      </c>
      <c r="B68" t="s">
        <v>37</v>
      </c>
      <c r="C68">
        <v>76.14</v>
      </c>
      <c r="D68">
        <v>18.75</v>
      </c>
      <c r="E68">
        <v>316.2</v>
      </c>
      <c r="F68">
        <v>1.62</v>
      </c>
      <c r="G68">
        <v>1263.4000000000001</v>
      </c>
      <c r="H68">
        <f t="shared" ref="H68:H131" si="11">$R$4*C68 + (1-$R$4)*H67</f>
        <v>75.314541671428799</v>
      </c>
      <c r="I68">
        <f>$R$2 + $R$5*$R$3*SQRT(($R$4/(2-$R$4))*(1-(1-$R$4)^(2*ROWS($C$2:C68))))</f>
        <v>76.022178937746773</v>
      </c>
      <c r="J68">
        <f>$R$2 - $R$5*$R$3*SQRT(($R$4/(2-$R$4))*(1-(1-$R$4)^(2*ROWS($C$2:C68))))</f>
        <v>73.77202106225316</v>
      </c>
      <c r="K68">
        <f t="shared" si="7"/>
        <v>0.90284902915104215</v>
      </c>
      <c r="L68">
        <f t="shared" ref="L68:L131" si="12">MAX(0, L67 + K68 - $R$8)</f>
        <v>0.65284902915104215</v>
      </c>
      <c r="M68">
        <v>0.5</v>
      </c>
      <c r="N68">
        <f t="shared" ref="N68:N131" si="13">MAX(0, N67 - K68 - $R$8)</f>
        <v>2.0305891495306541</v>
      </c>
      <c r="O68" t="str">
        <f t="shared" si="9"/>
        <v>NORMAL</v>
      </c>
      <c r="P68" t="str">
        <f t="shared" si="10"/>
        <v>NORMAL</v>
      </c>
    </row>
    <row r="69" spans="1:16">
      <c r="A69" s="2">
        <v>46298.791666666657</v>
      </c>
      <c r="B69" t="s">
        <v>37</v>
      </c>
      <c r="C69">
        <v>76.150000000000006</v>
      </c>
      <c r="D69">
        <v>18.8</v>
      </c>
      <c r="E69">
        <v>342.6</v>
      </c>
      <c r="F69">
        <v>1.288</v>
      </c>
      <c r="G69">
        <v>1253.2</v>
      </c>
      <c r="H69">
        <f t="shared" si="11"/>
        <v>75.481633337143037</v>
      </c>
      <c r="I69">
        <f>$R$2 + $R$5*$R$3*SQRT(($R$4/(2-$R$4))*(1-(1-$R$4)^(2*ROWS($C$2:C69))))</f>
        <v>76.022178937746801</v>
      </c>
      <c r="J69">
        <f>$R$2 - $R$5*$R$3*SQRT(($R$4/(2-$R$4))*(1-(1-$R$4)^(2*ROWS($C$2:C69))))</f>
        <v>73.772021062253131</v>
      </c>
      <c r="K69">
        <f t="shared" si="7"/>
        <v>-2.1236642753536494</v>
      </c>
      <c r="L69">
        <f t="shared" si="12"/>
        <v>0</v>
      </c>
      <c r="M69">
        <v>0.5</v>
      </c>
      <c r="N69">
        <f t="shared" si="13"/>
        <v>3.9042534248843035</v>
      </c>
      <c r="O69" t="str">
        <f t="shared" si="9"/>
        <v>NORMAL</v>
      </c>
      <c r="P69" t="str">
        <f t="shared" si="10"/>
        <v>NORMAL</v>
      </c>
    </row>
    <row r="70" spans="1:16">
      <c r="A70" s="2">
        <v>46298.833333333343</v>
      </c>
      <c r="B70" t="s">
        <v>37</v>
      </c>
      <c r="C70">
        <v>75.97</v>
      </c>
      <c r="D70">
        <v>18.29</v>
      </c>
      <c r="E70">
        <v>280.2</v>
      </c>
      <c r="F70">
        <v>1.448</v>
      </c>
      <c r="G70">
        <v>1240.4000000000001</v>
      </c>
      <c r="H70">
        <f t="shared" si="11"/>
        <v>75.579306669714427</v>
      </c>
      <c r="I70">
        <f>$R$2 + $R$5*$R$3*SQRT(($R$4/(2-$R$4))*(1-(1-$R$4)^(2*ROWS($C$2:C70))))</f>
        <v>76.022178937746816</v>
      </c>
      <c r="J70">
        <f>$R$2 - $R$5*$R$3*SQRT(($R$4/(2-$R$4))*(1-(1-$R$4)^(2*ROWS($C$2:C70))))</f>
        <v>73.772021062253117</v>
      </c>
      <c r="K70">
        <f t="shared" si="7"/>
        <v>-0.66510364667669075</v>
      </c>
      <c r="L70">
        <f t="shared" si="12"/>
        <v>0</v>
      </c>
      <c r="M70">
        <v>0.5</v>
      </c>
      <c r="N70">
        <f t="shared" si="13"/>
        <v>4.3193570715609946</v>
      </c>
      <c r="O70" t="str">
        <f t="shared" si="9"/>
        <v>NORMAL</v>
      </c>
      <c r="P70" t="str">
        <f t="shared" si="10"/>
        <v>NORMAL</v>
      </c>
    </row>
    <row r="71" spans="1:16">
      <c r="A71" s="2">
        <v>46298.875</v>
      </c>
      <c r="B71" t="s">
        <v>37</v>
      </c>
      <c r="C71">
        <v>75.3</v>
      </c>
      <c r="D71">
        <v>18.27</v>
      </c>
      <c r="E71">
        <v>336.4</v>
      </c>
      <c r="F71">
        <v>1.4419999999999999</v>
      </c>
      <c r="G71">
        <v>1253.5999999999999</v>
      </c>
      <c r="H71">
        <f t="shared" si="11"/>
        <v>75.523445335771541</v>
      </c>
      <c r="I71">
        <f>$R$2 + $R$5*$R$3*SQRT(($R$4/(2-$R$4))*(1-(1-$R$4)^(2*ROWS($C$2:C71))))</f>
        <v>76.022178937746816</v>
      </c>
      <c r="J71">
        <f>$R$2 - $R$5*$R$3*SQRT(($R$4/(2-$R$4))*(1-(1-$R$4)^(2*ROWS($C$2:C71))))</f>
        <v>73.772021062253117</v>
      </c>
      <c r="K71">
        <f t="shared" si="7"/>
        <v>-0.71979967025207681</v>
      </c>
      <c r="L71">
        <f t="shared" si="12"/>
        <v>0</v>
      </c>
      <c r="M71">
        <v>0.5</v>
      </c>
      <c r="N71">
        <f t="shared" si="13"/>
        <v>4.7891567418130716</v>
      </c>
      <c r="O71" t="str">
        <f t="shared" si="9"/>
        <v>NORMAL</v>
      </c>
      <c r="P71" t="str">
        <f t="shared" si="10"/>
        <v>NORMAL</v>
      </c>
    </row>
    <row r="72" spans="1:16">
      <c r="A72" s="2">
        <v>46298.916666666657</v>
      </c>
      <c r="B72" t="s">
        <v>37</v>
      </c>
      <c r="C72">
        <v>75.38</v>
      </c>
      <c r="D72">
        <v>18.39</v>
      </c>
      <c r="E72">
        <v>338.7</v>
      </c>
      <c r="F72">
        <v>1.569</v>
      </c>
      <c r="G72">
        <v>1259.5999999999999</v>
      </c>
      <c r="H72">
        <f t="shared" si="11"/>
        <v>75.494756268617238</v>
      </c>
      <c r="I72">
        <f>$R$2 + $R$5*$R$3*SQRT(($R$4/(2-$R$4))*(1-(1-$R$4)^(2*ROWS($C$2:C72))))</f>
        <v>76.022178937746816</v>
      </c>
      <c r="J72">
        <f>$R$2 - $R$5*$R$3*SQRT(($R$4/(2-$R$4))*(1-(1-$R$4)^(2*ROWS($C$2:C72))))</f>
        <v>73.772021062253117</v>
      </c>
      <c r="K72">
        <f t="shared" si="7"/>
        <v>0.43793282876025985</v>
      </c>
      <c r="L72">
        <f t="shared" si="12"/>
        <v>0.18793282876025985</v>
      </c>
      <c r="M72">
        <v>0.5</v>
      </c>
      <c r="N72">
        <f t="shared" si="13"/>
        <v>4.1012239130528121</v>
      </c>
      <c r="O72" t="str">
        <f t="shared" si="9"/>
        <v>NORMAL</v>
      </c>
      <c r="P72" t="str">
        <f t="shared" si="10"/>
        <v>NORMAL</v>
      </c>
    </row>
    <row r="73" spans="1:16">
      <c r="A73" s="2">
        <v>46298.958333333343</v>
      </c>
      <c r="B73" t="s">
        <v>37</v>
      </c>
      <c r="C73">
        <v>77.13</v>
      </c>
      <c r="D73">
        <v>17.579999999999998</v>
      </c>
      <c r="E73">
        <v>288.89999999999998</v>
      </c>
      <c r="F73">
        <v>1.4319999999999999</v>
      </c>
      <c r="G73">
        <v>1245.0999999999999</v>
      </c>
      <c r="H73">
        <f t="shared" si="11"/>
        <v>75.821805014893798</v>
      </c>
      <c r="I73">
        <f>$R$2 + $R$5*$R$3*SQRT(($R$4/(2-$R$4))*(1-(1-$R$4)^(2*ROWS($C$2:C73))))</f>
        <v>76.02217893774683</v>
      </c>
      <c r="J73">
        <f>$R$2 - $R$5*$R$3*SQRT(($R$4/(2-$R$4))*(1-(1-$R$4)^(2*ROWS($C$2:C73))))</f>
        <v>73.772021062253103</v>
      </c>
      <c r="K73">
        <f t="shared" si="7"/>
        <v>-0.81095970954438679</v>
      </c>
      <c r="L73">
        <f t="shared" si="12"/>
        <v>0</v>
      </c>
      <c r="M73">
        <v>0.5</v>
      </c>
      <c r="N73">
        <f t="shared" si="13"/>
        <v>4.6621836225971993</v>
      </c>
      <c r="O73" t="str">
        <f t="shared" si="9"/>
        <v>NORMAL</v>
      </c>
      <c r="P73" t="str">
        <f t="shared" si="10"/>
        <v>NORMAL</v>
      </c>
    </row>
    <row r="74" spans="1:16">
      <c r="A74" s="2">
        <v>46299</v>
      </c>
      <c r="B74" t="s">
        <v>37</v>
      </c>
      <c r="C74">
        <v>77.319999999999993</v>
      </c>
      <c r="D74">
        <v>17.89</v>
      </c>
      <c r="E74">
        <v>314.89999999999998</v>
      </c>
      <c r="F74">
        <v>1.7270000000000001</v>
      </c>
      <c r="G74">
        <v>1248.9000000000001</v>
      </c>
      <c r="H74">
        <f t="shared" si="11"/>
        <v>76.121444011915031</v>
      </c>
      <c r="I74">
        <f>$R$2 + $R$5*$R$3*SQRT(($R$4/(2-$R$4))*(1-(1-$R$4)^(2*ROWS($C$2:C74))))</f>
        <v>76.02217893774683</v>
      </c>
      <c r="J74">
        <f>$R$2 - $R$5*$R$3*SQRT(($R$4/(2-$R$4))*(1-(1-$R$4)^(2*ROWS($C$2:C74))))</f>
        <v>73.772021062253103</v>
      </c>
      <c r="K74">
        <f t="shared" si="7"/>
        <v>1.8782614495787586</v>
      </c>
      <c r="L74">
        <f t="shared" si="12"/>
        <v>1.6282614495787586</v>
      </c>
      <c r="M74">
        <v>0.5</v>
      </c>
      <c r="N74">
        <f t="shared" si="13"/>
        <v>2.5339221730184409</v>
      </c>
      <c r="O74" t="str">
        <f t="shared" si="9"/>
        <v>ALARM: LINER WEAR</v>
      </c>
      <c r="P74" t="str">
        <f t="shared" si="10"/>
        <v>NORMAL</v>
      </c>
    </row>
    <row r="75" spans="1:16">
      <c r="A75" s="2">
        <v>46299.041666666657</v>
      </c>
      <c r="B75" t="s">
        <v>37</v>
      </c>
      <c r="C75">
        <v>77.290000000000006</v>
      </c>
      <c r="D75">
        <v>19.05</v>
      </c>
      <c r="E75">
        <v>314.39999999999998</v>
      </c>
      <c r="F75">
        <v>1.532</v>
      </c>
      <c r="G75">
        <v>1250.0999999999999</v>
      </c>
      <c r="H75">
        <f t="shared" si="11"/>
        <v>76.355155209532029</v>
      </c>
      <c r="I75">
        <f>$R$2 + $R$5*$R$3*SQRT(($R$4/(2-$R$4))*(1-(1-$R$4)^(2*ROWS($C$2:C75))))</f>
        <v>76.02217893774683</v>
      </c>
      <c r="J75">
        <f>$R$2 - $R$5*$R$3*SQRT(($R$4/(2-$R$4))*(1-(1-$R$4)^(2*ROWS($C$2:C75))))</f>
        <v>73.772021062253103</v>
      </c>
      <c r="K75">
        <f t="shared" si="7"/>
        <v>0.10064068337871369</v>
      </c>
      <c r="L75">
        <f t="shared" si="12"/>
        <v>1.4789021329574723</v>
      </c>
      <c r="M75">
        <v>0.5</v>
      </c>
      <c r="N75">
        <f t="shared" si="13"/>
        <v>2.183281489639727</v>
      </c>
      <c r="O75" t="str">
        <f t="shared" si="9"/>
        <v>ALARM: LINER WEAR</v>
      </c>
      <c r="P75" t="str">
        <f t="shared" si="10"/>
        <v>NORMAL</v>
      </c>
    </row>
    <row r="76" spans="1:16">
      <c r="A76" s="2">
        <v>46299.083333333343</v>
      </c>
      <c r="B76" t="s">
        <v>37</v>
      </c>
      <c r="C76">
        <v>73.209999999999994</v>
      </c>
      <c r="D76">
        <v>19.16</v>
      </c>
      <c r="E76">
        <v>298.89999999999998</v>
      </c>
      <c r="F76">
        <v>1.3260000000000001</v>
      </c>
      <c r="G76">
        <v>1243.7</v>
      </c>
      <c r="H76">
        <f t="shared" si="11"/>
        <v>75.726124167625628</v>
      </c>
      <c r="I76">
        <f>$R$2 + $R$5*$R$3*SQRT(($R$4/(2-$R$4))*(1-(1-$R$4)^(2*ROWS($C$2:C76))))</f>
        <v>76.02217893774683</v>
      </c>
      <c r="J76">
        <f>$R$2 - $R$5*$R$3*SQRT(($R$4/(2-$R$4))*(1-(1-$R$4)^(2*ROWS($C$2:C76))))</f>
        <v>73.772021062253103</v>
      </c>
      <c r="K76">
        <f t="shared" si="7"/>
        <v>-1.7772561260428712</v>
      </c>
      <c r="L76">
        <f t="shared" si="12"/>
        <v>0</v>
      </c>
      <c r="M76">
        <v>0.5</v>
      </c>
      <c r="N76">
        <f t="shared" si="13"/>
        <v>3.7105376156825982</v>
      </c>
      <c r="O76" t="str">
        <f t="shared" si="9"/>
        <v>NORMAL</v>
      </c>
      <c r="P76" t="str">
        <f t="shared" si="10"/>
        <v>NORMAL</v>
      </c>
    </row>
    <row r="77" spans="1:16">
      <c r="A77" s="2">
        <v>46299.125</v>
      </c>
      <c r="B77" t="s">
        <v>37</v>
      </c>
      <c r="C77">
        <v>74.91</v>
      </c>
      <c r="D77">
        <v>18.399999999999999</v>
      </c>
      <c r="E77">
        <v>308.3</v>
      </c>
      <c r="F77">
        <v>1.573</v>
      </c>
      <c r="G77">
        <v>1255.2</v>
      </c>
      <c r="H77">
        <f t="shared" si="11"/>
        <v>75.562899334100507</v>
      </c>
      <c r="I77">
        <f>$R$2 + $R$5*$R$3*SQRT(($R$4/(2-$R$4))*(1-(1-$R$4)^(2*ROWS($C$2:C77))))</f>
        <v>76.02217893774683</v>
      </c>
      <c r="J77">
        <f>$R$2 - $R$5*$R$3*SQRT(($R$4/(2-$R$4))*(1-(1-$R$4)^(2*ROWS($C$2:C77))))</f>
        <v>73.772021062253103</v>
      </c>
      <c r="K77">
        <f t="shared" si="7"/>
        <v>0.47439684447718389</v>
      </c>
      <c r="L77">
        <f t="shared" si="12"/>
        <v>0.22439684447718389</v>
      </c>
      <c r="M77">
        <v>0.5</v>
      </c>
      <c r="N77">
        <f t="shared" si="13"/>
        <v>2.9861407712054144</v>
      </c>
      <c r="O77" t="str">
        <f t="shared" si="9"/>
        <v>NORMAL</v>
      </c>
      <c r="P77" t="str">
        <f t="shared" si="10"/>
        <v>NORMAL</v>
      </c>
    </row>
    <row r="78" spans="1:16">
      <c r="A78" s="2">
        <v>46299.166666666657</v>
      </c>
      <c r="B78" t="s">
        <v>37</v>
      </c>
      <c r="C78">
        <v>75.39</v>
      </c>
      <c r="D78">
        <v>18.73</v>
      </c>
      <c r="E78">
        <v>303.3</v>
      </c>
      <c r="F78">
        <v>1.6120000000000001</v>
      </c>
      <c r="G78">
        <v>1249</v>
      </c>
      <c r="H78">
        <f t="shared" si="11"/>
        <v>75.528319467280411</v>
      </c>
      <c r="I78">
        <f>$R$2 + $R$5*$R$3*SQRT(($R$4/(2-$R$4))*(1-(1-$R$4)^(2*ROWS($C$2:C78))))</f>
        <v>76.02217893774683</v>
      </c>
      <c r="J78">
        <f>$R$2 - $R$5*$R$3*SQRT(($R$4/(2-$R$4))*(1-(1-$R$4)^(2*ROWS($C$2:C78))))</f>
        <v>73.772021062253103</v>
      </c>
      <c r="K78">
        <f t="shared" si="7"/>
        <v>0.82992099771719408</v>
      </c>
      <c r="L78">
        <f t="shared" si="12"/>
        <v>0.80431784219437796</v>
      </c>
      <c r="M78">
        <v>0.5</v>
      </c>
      <c r="N78">
        <f t="shared" si="13"/>
        <v>1.9062197734882202</v>
      </c>
      <c r="O78" t="str">
        <f t="shared" si="9"/>
        <v>NORMAL</v>
      </c>
      <c r="P78" t="str">
        <f t="shared" si="10"/>
        <v>NORMAL</v>
      </c>
    </row>
    <row r="79" spans="1:16">
      <c r="A79" s="2">
        <v>46299.208333333343</v>
      </c>
      <c r="B79" t="s">
        <v>37</v>
      </c>
      <c r="C79">
        <v>74.83</v>
      </c>
      <c r="D79">
        <v>18.62</v>
      </c>
      <c r="E79">
        <v>346.3</v>
      </c>
      <c r="F79">
        <v>1.403</v>
      </c>
      <c r="G79">
        <v>1253.4000000000001</v>
      </c>
      <c r="H79">
        <f t="shared" si="11"/>
        <v>75.388655573824337</v>
      </c>
      <c r="I79">
        <f>$R$2 + $R$5*$R$3*SQRT(($R$4/(2-$R$4))*(1-(1-$R$4)^(2*ROWS($C$2:C79))))</f>
        <v>76.02217893774683</v>
      </c>
      <c r="J79">
        <f>$R$2 - $R$5*$R$3*SQRT(($R$4/(2-$R$4))*(1-(1-$R$4)^(2*ROWS($C$2:C79))))</f>
        <v>73.772021062253103</v>
      </c>
      <c r="K79">
        <f t="shared" si="7"/>
        <v>-1.075323823492085</v>
      </c>
      <c r="L79">
        <f t="shared" si="12"/>
        <v>0</v>
      </c>
      <c r="M79">
        <v>0.5</v>
      </c>
      <c r="N79">
        <f t="shared" si="13"/>
        <v>2.7315435969803055</v>
      </c>
      <c r="O79" t="str">
        <f t="shared" si="9"/>
        <v>NORMAL</v>
      </c>
      <c r="P79" t="str">
        <f t="shared" si="10"/>
        <v>NORMAL</v>
      </c>
    </row>
    <row r="80" spans="1:16">
      <c r="A80" s="2">
        <v>46299.25</v>
      </c>
      <c r="B80" t="s">
        <v>37</v>
      </c>
      <c r="C80">
        <v>75.72</v>
      </c>
      <c r="D80">
        <v>19.73</v>
      </c>
      <c r="E80">
        <v>334</v>
      </c>
      <c r="F80">
        <v>1.4950000000000001</v>
      </c>
      <c r="G80">
        <v>1242.9000000000001</v>
      </c>
      <c r="H80">
        <f t="shared" si="11"/>
        <v>75.45492445905947</v>
      </c>
      <c r="I80">
        <f>$R$2 + $R$5*$R$3*SQRT(($R$4/(2-$R$4))*(1-(1-$R$4)^(2*ROWS($C$2:C80))))</f>
        <v>76.02217893774683</v>
      </c>
      <c r="J80">
        <f>$R$2 - $R$5*$R$3*SQRT(($R$4/(2-$R$4))*(1-(1-$R$4)^(2*ROWS($C$2:C80))))</f>
        <v>73.772021062253103</v>
      </c>
      <c r="K80">
        <f t="shared" si="7"/>
        <v>-0.23665146200283246</v>
      </c>
      <c r="L80">
        <f t="shared" si="12"/>
        <v>0</v>
      </c>
      <c r="M80">
        <v>0.5</v>
      </c>
      <c r="N80">
        <f t="shared" si="13"/>
        <v>2.7181950589831381</v>
      </c>
      <c r="O80" t="str">
        <f t="shared" si="9"/>
        <v>NORMAL</v>
      </c>
      <c r="P80" t="str">
        <f t="shared" si="10"/>
        <v>NORMAL</v>
      </c>
    </row>
    <row r="81" spans="1:16">
      <c r="A81" s="2">
        <v>46299.291666666657</v>
      </c>
      <c r="B81" t="s">
        <v>37</v>
      </c>
      <c r="C81">
        <v>72.94</v>
      </c>
      <c r="D81">
        <v>18.95</v>
      </c>
      <c r="E81">
        <v>339.1</v>
      </c>
      <c r="F81">
        <v>1.47</v>
      </c>
      <c r="G81">
        <v>1246.5</v>
      </c>
      <c r="H81">
        <f t="shared" si="11"/>
        <v>74.951939567247578</v>
      </c>
      <c r="I81">
        <f>$R$2 + $R$5*$R$3*SQRT(($R$4/(2-$R$4))*(1-(1-$R$4)^(2*ROWS($C$2:C81))))</f>
        <v>76.02217893774683</v>
      </c>
      <c r="J81">
        <f>$R$2 - $R$5*$R$3*SQRT(($R$4/(2-$R$4))*(1-(1-$R$4)^(2*ROWS($C$2:C81))))</f>
        <v>73.772021062253103</v>
      </c>
      <c r="K81">
        <f t="shared" si="7"/>
        <v>-0.46455156023360861</v>
      </c>
      <c r="L81">
        <f t="shared" si="12"/>
        <v>0</v>
      </c>
      <c r="M81">
        <v>0.5</v>
      </c>
      <c r="N81">
        <f t="shared" si="13"/>
        <v>2.9327466192167466</v>
      </c>
      <c r="O81" t="str">
        <f t="shared" si="9"/>
        <v>NORMAL</v>
      </c>
      <c r="P81" t="str">
        <f t="shared" si="10"/>
        <v>NORMAL</v>
      </c>
    </row>
    <row r="82" spans="1:16">
      <c r="A82" s="2">
        <v>46299.333333333343</v>
      </c>
      <c r="B82" t="s">
        <v>37</v>
      </c>
      <c r="C82">
        <v>74.010000000000005</v>
      </c>
      <c r="D82">
        <v>18.45</v>
      </c>
      <c r="E82">
        <v>330.8</v>
      </c>
      <c r="F82">
        <v>1.446</v>
      </c>
      <c r="G82">
        <v>1255.8</v>
      </c>
      <c r="H82">
        <f t="shared" si="11"/>
        <v>74.763551653798075</v>
      </c>
      <c r="I82">
        <f>$R$2 + $R$5*$R$3*SQRT(($R$4/(2-$R$4))*(1-(1-$R$4)^(2*ROWS($C$2:C82))))</f>
        <v>76.02217893774683</v>
      </c>
      <c r="J82">
        <f>$R$2 - $R$5*$R$3*SQRT(($R$4/(2-$R$4))*(1-(1-$R$4)^(2*ROWS($C$2:C82))))</f>
        <v>73.772021062253103</v>
      </c>
      <c r="K82">
        <f t="shared" si="7"/>
        <v>-0.68333565453515277</v>
      </c>
      <c r="L82">
        <f t="shared" si="12"/>
        <v>0</v>
      </c>
      <c r="M82">
        <v>0.5</v>
      </c>
      <c r="N82">
        <f t="shared" si="13"/>
        <v>3.3660822737518994</v>
      </c>
      <c r="O82" t="str">
        <f t="shared" si="9"/>
        <v>NORMAL</v>
      </c>
      <c r="P82" t="str">
        <f t="shared" si="10"/>
        <v>NORMAL</v>
      </c>
    </row>
    <row r="83" spans="1:16">
      <c r="A83" s="2">
        <v>46299.375</v>
      </c>
      <c r="B83" t="s">
        <v>37</v>
      </c>
      <c r="C83">
        <v>74.48</v>
      </c>
      <c r="D83">
        <v>18.12</v>
      </c>
      <c r="E83">
        <v>303.10000000000002</v>
      </c>
      <c r="F83">
        <v>1.605</v>
      </c>
      <c r="G83">
        <v>1247</v>
      </c>
      <c r="H83">
        <f t="shared" si="11"/>
        <v>74.706841323038461</v>
      </c>
      <c r="I83">
        <f>$R$2 + $R$5*$R$3*SQRT(($R$4/(2-$R$4))*(1-(1-$R$4)^(2*ROWS($C$2:C83))))</f>
        <v>76.02217893774683</v>
      </c>
      <c r="J83">
        <f>$R$2 - $R$5*$R$3*SQRT(($R$4/(2-$R$4))*(1-(1-$R$4)^(2*ROWS($C$2:C83))))</f>
        <v>73.772021062253103</v>
      </c>
      <c r="K83">
        <f t="shared" si="7"/>
        <v>0.76610897021257607</v>
      </c>
      <c r="L83">
        <f t="shared" si="12"/>
        <v>0.51610897021257607</v>
      </c>
      <c r="M83">
        <v>0.5</v>
      </c>
      <c r="N83">
        <f t="shared" si="13"/>
        <v>2.3499733035393233</v>
      </c>
      <c r="O83" t="str">
        <f t="shared" si="9"/>
        <v>NORMAL</v>
      </c>
      <c r="P83" t="str">
        <f t="shared" si="10"/>
        <v>NORMAL</v>
      </c>
    </row>
    <row r="84" spans="1:16">
      <c r="A84" s="2">
        <v>46299.416666666657</v>
      </c>
      <c r="B84" t="s">
        <v>37</v>
      </c>
      <c r="C84">
        <v>76.900000000000006</v>
      </c>
      <c r="D84">
        <v>17.86</v>
      </c>
      <c r="E84">
        <v>312.10000000000002</v>
      </c>
      <c r="F84">
        <v>1.617</v>
      </c>
      <c r="G84">
        <v>1263.8</v>
      </c>
      <c r="H84">
        <f t="shared" si="11"/>
        <v>75.145473058430781</v>
      </c>
      <c r="I84">
        <f>$R$2 + $R$5*$R$3*SQRT(($R$4/(2-$R$4))*(1-(1-$R$4)^(2*ROWS($C$2:C84))))</f>
        <v>76.02217893774683</v>
      </c>
      <c r="J84">
        <f>$R$2 - $R$5*$R$3*SQRT(($R$4/(2-$R$4))*(1-(1-$R$4)^(2*ROWS($C$2:C84))))</f>
        <v>73.772021062253103</v>
      </c>
      <c r="K84">
        <f t="shared" si="7"/>
        <v>0.87550101736334807</v>
      </c>
      <c r="L84">
        <f t="shared" si="12"/>
        <v>1.141609987575924</v>
      </c>
      <c r="M84">
        <v>0.5</v>
      </c>
      <c r="N84">
        <f t="shared" si="13"/>
        <v>1.2244722861759754</v>
      </c>
      <c r="O84" t="str">
        <f t="shared" si="9"/>
        <v>NORMAL</v>
      </c>
      <c r="P84" t="str">
        <f t="shared" si="10"/>
        <v>NORMAL</v>
      </c>
    </row>
    <row r="85" spans="1:16">
      <c r="A85" s="2">
        <v>46299.458333333343</v>
      </c>
      <c r="B85" t="s">
        <v>37</v>
      </c>
      <c r="C85">
        <v>76.58</v>
      </c>
      <c r="D85">
        <v>18.579999999999998</v>
      </c>
      <c r="E85">
        <v>327.3</v>
      </c>
      <c r="F85">
        <v>1.4350000000000001</v>
      </c>
      <c r="G85">
        <v>1246.8</v>
      </c>
      <c r="H85">
        <f t="shared" si="11"/>
        <v>75.432378446744622</v>
      </c>
      <c r="I85">
        <f>$R$2 + $R$5*$R$3*SQRT(($R$4/(2-$R$4))*(1-(1-$R$4)^(2*ROWS($C$2:C85))))</f>
        <v>76.02217893774683</v>
      </c>
      <c r="J85">
        <f>$R$2 - $R$5*$R$3*SQRT(($R$4/(2-$R$4))*(1-(1-$R$4)^(2*ROWS($C$2:C85))))</f>
        <v>73.772021062253103</v>
      </c>
      <c r="K85">
        <f t="shared" si="7"/>
        <v>-0.78361169775669282</v>
      </c>
      <c r="L85">
        <f t="shared" si="12"/>
        <v>0.10799828981923121</v>
      </c>
      <c r="M85">
        <v>0.5</v>
      </c>
      <c r="N85">
        <f t="shared" si="13"/>
        <v>1.7580839839326683</v>
      </c>
      <c r="O85" t="str">
        <f t="shared" si="9"/>
        <v>NORMAL</v>
      </c>
      <c r="P85" t="str">
        <f t="shared" si="10"/>
        <v>NORMAL</v>
      </c>
    </row>
    <row r="86" spans="1:16">
      <c r="A86" s="2">
        <v>46299.5</v>
      </c>
      <c r="B86" t="s">
        <v>37</v>
      </c>
      <c r="C86">
        <v>74.760000000000005</v>
      </c>
      <c r="D86">
        <v>18.2</v>
      </c>
      <c r="E86">
        <v>301.7</v>
      </c>
      <c r="F86">
        <v>1.6</v>
      </c>
      <c r="G86">
        <v>1251.8</v>
      </c>
      <c r="H86">
        <f t="shared" si="11"/>
        <v>75.297902757395704</v>
      </c>
      <c r="I86">
        <f>$R$2 + $R$5*$R$3*SQRT(($R$4/(2-$R$4))*(1-(1-$R$4)^(2*ROWS($C$2:C86))))</f>
        <v>76.02217893774683</v>
      </c>
      <c r="J86">
        <f>$R$2 - $R$5*$R$3*SQRT(($R$4/(2-$R$4))*(1-(1-$R$4)^(2*ROWS($C$2:C86))))</f>
        <v>73.772021062253103</v>
      </c>
      <c r="K86">
        <f t="shared" si="7"/>
        <v>0.72052895056642208</v>
      </c>
      <c r="L86">
        <f t="shared" si="12"/>
        <v>0.57852724038565329</v>
      </c>
      <c r="M86">
        <v>0.5</v>
      </c>
      <c r="N86">
        <f t="shared" si="13"/>
        <v>0.78755503336624622</v>
      </c>
      <c r="O86" t="str">
        <f t="shared" si="9"/>
        <v>NORMAL</v>
      </c>
      <c r="P86" t="str">
        <f t="shared" si="10"/>
        <v>NORMAL</v>
      </c>
    </row>
    <row r="87" spans="1:16">
      <c r="A87" s="2">
        <v>46299.541666666657</v>
      </c>
      <c r="B87" t="s">
        <v>37</v>
      </c>
      <c r="C87">
        <v>74.14</v>
      </c>
      <c r="D87">
        <v>17.93</v>
      </c>
      <c r="E87">
        <v>330.7</v>
      </c>
      <c r="F87">
        <v>1.3089999999999999</v>
      </c>
      <c r="G87">
        <v>1257.5</v>
      </c>
      <c r="H87">
        <f t="shared" si="11"/>
        <v>75.066322205916563</v>
      </c>
      <c r="I87">
        <f>$R$2 + $R$5*$R$3*SQRT(($R$4/(2-$R$4))*(1-(1-$R$4)^(2*ROWS($C$2:C87))))</f>
        <v>76.02217893774683</v>
      </c>
      <c r="J87">
        <f>$R$2 - $R$5*$R$3*SQRT(($R$4/(2-$R$4))*(1-(1-$R$4)^(2*ROWS($C$2:C87))))</f>
        <v>73.772021062253103</v>
      </c>
      <c r="K87">
        <f t="shared" si="7"/>
        <v>-1.9322281928397993</v>
      </c>
      <c r="L87">
        <f t="shared" si="12"/>
        <v>0</v>
      </c>
      <c r="M87">
        <v>0.5</v>
      </c>
      <c r="N87">
        <f t="shared" si="13"/>
        <v>2.4697832262060455</v>
      </c>
      <c r="O87" t="str">
        <f t="shared" si="9"/>
        <v>NORMAL</v>
      </c>
      <c r="P87" t="str">
        <f t="shared" si="10"/>
        <v>NORMAL</v>
      </c>
    </row>
    <row r="88" spans="1:16">
      <c r="A88" s="2">
        <v>46299.583333333343</v>
      </c>
      <c r="B88" t="s">
        <v>37</v>
      </c>
      <c r="C88">
        <v>75.78</v>
      </c>
      <c r="D88">
        <v>18.239999999999998</v>
      </c>
      <c r="E88">
        <v>316.39999999999998</v>
      </c>
      <c r="F88">
        <v>1.546</v>
      </c>
      <c r="G88">
        <v>1238.7</v>
      </c>
      <c r="H88">
        <f t="shared" si="11"/>
        <v>75.209057764733259</v>
      </c>
      <c r="I88">
        <f>$R$2 + $R$5*$R$3*SQRT(($R$4/(2-$R$4))*(1-(1-$R$4)^(2*ROWS($C$2:C88))))</f>
        <v>76.02217893774683</v>
      </c>
      <c r="J88">
        <f>$R$2 - $R$5*$R$3*SQRT(($R$4/(2-$R$4))*(1-(1-$R$4)^(2*ROWS($C$2:C88))))</f>
        <v>73.772021062253103</v>
      </c>
      <c r="K88">
        <f t="shared" si="7"/>
        <v>0.22826473838794775</v>
      </c>
      <c r="L88">
        <f t="shared" si="12"/>
        <v>0</v>
      </c>
      <c r="M88">
        <v>0.5</v>
      </c>
      <c r="N88">
        <f t="shared" si="13"/>
        <v>1.9915184878180976</v>
      </c>
      <c r="O88" t="str">
        <f t="shared" si="9"/>
        <v>NORMAL</v>
      </c>
      <c r="P88" t="str">
        <f t="shared" si="10"/>
        <v>NORMAL</v>
      </c>
    </row>
    <row r="89" spans="1:16">
      <c r="A89" s="2">
        <v>46299.625</v>
      </c>
      <c r="B89" t="s">
        <v>37</v>
      </c>
      <c r="C89">
        <v>75.53</v>
      </c>
      <c r="D89">
        <v>18.07</v>
      </c>
      <c r="E89">
        <v>314.39999999999998</v>
      </c>
      <c r="F89">
        <v>1.5169999999999999</v>
      </c>
      <c r="G89">
        <v>1235.9000000000001</v>
      </c>
      <c r="H89">
        <f t="shared" si="11"/>
        <v>75.273246211786613</v>
      </c>
      <c r="I89">
        <f>$R$2 + $R$5*$R$3*SQRT(($R$4/(2-$R$4))*(1-(1-$R$4)^(2*ROWS($C$2:C89))))</f>
        <v>76.02217893774683</v>
      </c>
      <c r="J89">
        <f>$R$2 - $R$5*$R$3*SQRT(($R$4/(2-$R$4))*(1-(1-$R$4)^(2*ROWS($C$2:C89))))</f>
        <v>73.772021062253103</v>
      </c>
      <c r="K89">
        <f t="shared" si="7"/>
        <v>-3.6099375559752393E-2</v>
      </c>
      <c r="L89">
        <f t="shared" si="12"/>
        <v>0</v>
      </c>
      <c r="M89">
        <v>0.5</v>
      </c>
      <c r="N89">
        <f t="shared" si="13"/>
        <v>1.7776178633778499</v>
      </c>
      <c r="O89" t="str">
        <f t="shared" si="9"/>
        <v>NORMAL</v>
      </c>
      <c r="P89" t="str">
        <f t="shared" si="10"/>
        <v>NORMAL</v>
      </c>
    </row>
    <row r="90" spans="1:16">
      <c r="A90" s="2">
        <v>46299.666666666657</v>
      </c>
      <c r="B90" t="s">
        <v>37</v>
      </c>
      <c r="C90">
        <v>74.790000000000006</v>
      </c>
      <c r="D90">
        <v>19.170000000000002</v>
      </c>
      <c r="E90">
        <v>330.7</v>
      </c>
      <c r="F90">
        <v>1.661</v>
      </c>
      <c r="G90">
        <v>1237.8</v>
      </c>
      <c r="H90">
        <f t="shared" si="11"/>
        <v>75.176596969429298</v>
      </c>
      <c r="I90">
        <f>$R$2 + $R$5*$R$3*SQRT(($R$4/(2-$R$4))*(1-(1-$R$4)^(2*ROWS($C$2:C90))))</f>
        <v>76.02217893774683</v>
      </c>
      <c r="J90">
        <f>$R$2 - $R$5*$R$3*SQRT(($R$4/(2-$R$4))*(1-(1-$R$4)^(2*ROWS($C$2:C90))))</f>
        <v>73.772021062253103</v>
      </c>
      <c r="K90">
        <f t="shared" si="7"/>
        <v>1.2766051902495124</v>
      </c>
      <c r="L90">
        <f t="shared" si="12"/>
        <v>1.0266051902495124</v>
      </c>
      <c r="M90">
        <v>0.5</v>
      </c>
      <c r="N90">
        <f t="shared" si="13"/>
        <v>0.25101267312833753</v>
      </c>
      <c r="O90" t="str">
        <f t="shared" si="9"/>
        <v>NORMAL</v>
      </c>
      <c r="P90" t="str">
        <f t="shared" si="10"/>
        <v>NORMAL</v>
      </c>
    </row>
    <row r="91" spans="1:16">
      <c r="A91" s="2">
        <v>46299.708333333343</v>
      </c>
      <c r="B91" t="s">
        <v>37</v>
      </c>
      <c r="C91">
        <v>75.36</v>
      </c>
      <c r="D91">
        <v>18.850000000000001</v>
      </c>
      <c r="E91">
        <v>326.7</v>
      </c>
      <c r="F91">
        <v>1.4179999999999999</v>
      </c>
      <c r="G91">
        <v>1260.0999999999999</v>
      </c>
      <c r="H91">
        <f t="shared" si="11"/>
        <v>75.213277575543444</v>
      </c>
      <c r="I91">
        <f>$R$2 + $R$5*$R$3*SQRT(($R$4/(2-$R$4))*(1-(1-$R$4)^(2*ROWS($C$2:C91))))</f>
        <v>76.02217893774683</v>
      </c>
      <c r="J91">
        <f>$R$2 - $R$5*$R$3*SQRT(($R$4/(2-$R$4))*(1-(1-$R$4)^(2*ROWS($C$2:C91))))</f>
        <v>73.772021062253103</v>
      </c>
      <c r="K91">
        <f t="shared" si="7"/>
        <v>-0.93858376455362091</v>
      </c>
      <c r="L91">
        <f t="shared" si="12"/>
        <v>0</v>
      </c>
      <c r="M91">
        <v>0.5</v>
      </c>
      <c r="N91">
        <f t="shared" si="13"/>
        <v>0.93959643768195855</v>
      </c>
      <c r="O91" t="str">
        <f t="shared" si="9"/>
        <v>NORMAL</v>
      </c>
      <c r="P91" t="str">
        <f t="shared" si="10"/>
        <v>NORMAL</v>
      </c>
    </row>
    <row r="92" spans="1:16">
      <c r="A92" s="2">
        <v>46299.75</v>
      </c>
      <c r="B92" t="s">
        <v>37</v>
      </c>
      <c r="C92">
        <v>74.33</v>
      </c>
      <c r="D92">
        <v>18.5</v>
      </c>
      <c r="E92">
        <v>314.60000000000002</v>
      </c>
      <c r="F92">
        <v>1.5009999999999999</v>
      </c>
      <c r="G92">
        <v>1245.5999999999999</v>
      </c>
      <c r="H92">
        <f t="shared" si="11"/>
        <v>75.036622060434752</v>
      </c>
      <c r="I92">
        <f>$R$2 + $R$5*$R$3*SQRT(($R$4/(2-$R$4))*(1-(1-$R$4)^(2*ROWS($C$2:C92))))</f>
        <v>76.02217893774683</v>
      </c>
      <c r="J92">
        <f>$R$2 - $R$5*$R$3*SQRT(($R$4/(2-$R$4))*(1-(1-$R$4)^(2*ROWS($C$2:C92))))</f>
        <v>73.772021062253103</v>
      </c>
      <c r="K92">
        <f t="shared" si="7"/>
        <v>-0.18195543842744846</v>
      </c>
      <c r="L92">
        <f t="shared" si="12"/>
        <v>0</v>
      </c>
      <c r="M92">
        <v>0.5</v>
      </c>
      <c r="N92">
        <f t="shared" si="13"/>
        <v>0.87155187610940699</v>
      </c>
      <c r="O92" t="str">
        <f t="shared" si="9"/>
        <v>NORMAL</v>
      </c>
      <c r="P92" t="str">
        <f t="shared" si="10"/>
        <v>NORMAL</v>
      </c>
    </row>
    <row r="93" spans="1:16">
      <c r="A93" s="2">
        <v>46299.791666666657</v>
      </c>
      <c r="B93" t="s">
        <v>37</v>
      </c>
      <c r="C93">
        <v>75.489999999999995</v>
      </c>
      <c r="D93">
        <v>19.09</v>
      </c>
      <c r="E93">
        <v>337.4</v>
      </c>
      <c r="F93">
        <v>1.5349999999999999</v>
      </c>
      <c r="G93">
        <v>1270.5</v>
      </c>
      <c r="H93">
        <f t="shared" si="11"/>
        <v>75.127297648347806</v>
      </c>
      <c r="I93">
        <f>$R$2 + $R$5*$R$3*SQRT(($R$4/(2-$R$4))*(1-(1-$R$4)^(2*ROWS($C$2:C93))))</f>
        <v>76.02217893774683</v>
      </c>
      <c r="J93">
        <f>$R$2 - $R$5*$R$3*SQRT(($R$4/(2-$R$4))*(1-(1-$R$4)^(2*ROWS($C$2:C93))))</f>
        <v>73.772021062253103</v>
      </c>
      <c r="K93">
        <f t="shared" si="7"/>
        <v>0.12798869516640571</v>
      </c>
      <c r="L93">
        <f t="shared" si="12"/>
        <v>0</v>
      </c>
      <c r="M93">
        <v>0.5</v>
      </c>
      <c r="N93">
        <f t="shared" si="13"/>
        <v>0.49356318094300122</v>
      </c>
      <c r="O93" t="str">
        <f t="shared" si="9"/>
        <v>NORMAL</v>
      </c>
      <c r="P93" t="str">
        <f t="shared" si="10"/>
        <v>NORMAL</v>
      </c>
    </row>
    <row r="94" spans="1:16">
      <c r="A94" s="2">
        <v>46299.833333333343</v>
      </c>
      <c r="B94" t="s">
        <v>37</v>
      </c>
      <c r="C94">
        <v>74.3</v>
      </c>
      <c r="D94">
        <v>18.53</v>
      </c>
      <c r="E94">
        <v>303.8</v>
      </c>
      <c r="F94">
        <v>1.339</v>
      </c>
      <c r="G94">
        <v>1245.5</v>
      </c>
      <c r="H94">
        <f t="shared" si="11"/>
        <v>74.961838118678244</v>
      </c>
      <c r="I94">
        <f>$R$2 + $R$5*$R$3*SQRT(($R$4/(2-$R$4))*(1-(1-$R$4)^(2*ROWS($C$2:C94))))</f>
        <v>76.02217893774683</v>
      </c>
      <c r="J94">
        <f>$R$2 - $R$5*$R$3*SQRT(($R$4/(2-$R$4))*(1-(1-$R$4)^(2*ROWS($C$2:C94))))</f>
        <v>73.772021062253103</v>
      </c>
      <c r="K94">
        <f t="shared" si="7"/>
        <v>-1.6587480749628694</v>
      </c>
      <c r="L94">
        <f t="shared" si="12"/>
        <v>0</v>
      </c>
      <c r="M94">
        <v>0.5</v>
      </c>
      <c r="N94">
        <f t="shared" si="13"/>
        <v>1.9023112559058708</v>
      </c>
      <c r="O94" t="str">
        <f t="shared" si="9"/>
        <v>NORMAL</v>
      </c>
      <c r="P94" t="str">
        <f t="shared" si="10"/>
        <v>NORMAL</v>
      </c>
    </row>
    <row r="95" spans="1:16">
      <c r="A95" s="2">
        <v>46299.875</v>
      </c>
      <c r="B95" t="s">
        <v>37</v>
      </c>
      <c r="C95">
        <v>74.069999999999993</v>
      </c>
      <c r="D95">
        <v>18.16</v>
      </c>
      <c r="E95">
        <v>329.2</v>
      </c>
      <c r="F95">
        <v>1.427</v>
      </c>
      <c r="G95">
        <v>1251.5</v>
      </c>
      <c r="H95">
        <f t="shared" si="11"/>
        <v>74.783470494942605</v>
      </c>
      <c r="I95">
        <f>$R$2 + $R$5*$R$3*SQRT(($R$4/(2-$R$4))*(1-(1-$R$4)^(2*ROWS($C$2:C95))))</f>
        <v>76.02217893774683</v>
      </c>
      <c r="J95">
        <f>$R$2 - $R$5*$R$3*SQRT(($R$4/(2-$R$4))*(1-(1-$R$4)^(2*ROWS($C$2:C95))))</f>
        <v>73.772021062253103</v>
      </c>
      <c r="K95">
        <f t="shared" si="7"/>
        <v>-0.85653972919054078</v>
      </c>
      <c r="L95">
        <f t="shared" si="12"/>
        <v>0</v>
      </c>
      <c r="M95">
        <v>0.5</v>
      </c>
      <c r="N95">
        <f t="shared" si="13"/>
        <v>2.5088509850964114</v>
      </c>
      <c r="O95" t="str">
        <f t="shared" si="9"/>
        <v>NORMAL</v>
      </c>
      <c r="P95" t="str">
        <f t="shared" si="10"/>
        <v>NORMAL</v>
      </c>
    </row>
    <row r="96" spans="1:16">
      <c r="A96" s="2">
        <v>46299.916666666657</v>
      </c>
      <c r="B96" t="s">
        <v>37</v>
      </c>
      <c r="C96">
        <v>74.86</v>
      </c>
      <c r="D96">
        <v>19.11</v>
      </c>
      <c r="E96">
        <v>328.9</v>
      </c>
      <c r="F96">
        <v>1.407</v>
      </c>
      <c r="G96">
        <v>1262.3</v>
      </c>
      <c r="H96">
        <f t="shared" si="11"/>
        <v>74.798776395954093</v>
      </c>
      <c r="I96">
        <f>$R$2 + $R$5*$R$3*SQRT(($R$4/(2-$R$4))*(1-(1-$R$4)^(2*ROWS($C$2:C96))))</f>
        <v>76.02217893774683</v>
      </c>
      <c r="J96">
        <f>$R$2 - $R$5*$R$3*SQRT(($R$4/(2-$R$4))*(1-(1-$R$4)^(2*ROWS($C$2:C96))))</f>
        <v>73.772021062253103</v>
      </c>
      <c r="K96">
        <f t="shared" si="7"/>
        <v>-1.038859807775161</v>
      </c>
      <c r="L96">
        <f t="shared" si="12"/>
        <v>0</v>
      </c>
      <c r="M96">
        <v>0.5</v>
      </c>
      <c r="N96">
        <f t="shared" si="13"/>
        <v>3.2977107928715723</v>
      </c>
      <c r="O96" t="str">
        <f t="shared" si="9"/>
        <v>NORMAL</v>
      </c>
      <c r="P96" t="str">
        <f t="shared" si="10"/>
        <v>NORMAL</v>
      </c>
    </row>
    <row r="97" spans="1:16">
      <c r="A97" s="2">
        <v>46299.958333333343</v>
      </c>
      <c r="B97" t="s">
        <v>37</v>
      </c>
      <c r="C97">
        <v>72.98</v>
      </c>
      <c r="D97">
        <v>18.72</v>
      </c>
      <c r="E97">
        <v>315.39999999999998</v>
      </c>
      <c r="F97">
        <v>1.546</v>
      </c>
      <c r="G97">
        <v>1266</v>
      </c>
      <c r="H97">
        <f t="shared" si="11"/>
        <v>74.435021116763281</v>
      </c>
      <c r="I97">
        <f>$R$2 + $R$5*$R$3*SQRT(($R$4/(2-$R$4))*(1-(1-$R$4)^(2*ROWS($C$2:C97))))</f>
        <v>76.02217893774683</v>
      </c>
      <c r="J97">
        <f>$R$2 - $R$5*$R$3*SQRT(($R$4/(2-$R$4))*(1-(1-$R$4)^(2*ROWS($C$2:C97))))</f>
        <v>73.772021062253103</v>
      </c>
      <c r="K97">
        <f t="shared" si="7"/>
        <v>0.22826473838794775</v>
      </c>
      <c r="L97">
        <f t="shared" si="12"/>
        <v>0</v>
      </c>
      <c r="M97">
        <v>0.5</v>
      </c>
      <c r="N97">
        <f t="shared" si="13"/>
        <v>2.8194460544836244</v>
      </c>
      <c r="O97" t="str">
        <f t="shared" si="9"/>
        <v>NORMAL</v>
      </c>
      <c r="P97" t="str">
        <f t="shared" si="10"/>
        <v>NORMAL</v>
      </c>
    </row>
    <row r="98" spans="1:16">
      <c r="A98" s="2">
        <v>46300</v>
      </c>
      <c r="B98" t="s">
        <v>37</v>
      </c>
      <c r="C98">
        <v>74.56</v>
      </c>
      <c r="D98">
        <v>18.09</v>
      </c>
      <c r="E98">
        <v>324.89999999999998</v>
      </c>
      <c r="F98">
        <v>1.528</v>
      </c>
      <c r="G98">
        <v>1266.5</v>
      </c>
      <c r="H98">
        <f t="shared" si="11"/>
        <v>74.460016893410625</v>
      </c>
      <c r="I98">
        <f>$R$2 + $R$5*$R$3*SQRT(($R$4/(2-$R$4))*(1-(1-$R$4)^(2*ROWS($C$2:C98))))</f>
        <v>76.02217893774683</v>
      </c>
      <c r="J98">
        <f>$R$2 - $R$5*$R$3*SQRT(($R$4/(2-$R$4))*(1-(1-$R$4)^(2*ROWS($C$2:C98))))</f>
        <v>73.772021062253103</v>
      </c>
      <c r="K98">
        <f t="shared" si="7"/>
        <v>6.4176667661789671E-2</v>
      </c>
      <c r="L98">
        <f t="shared" si="12"/>
        <v>0</v>
      </c>
      <c r="M98">
        <v>0.5</v>
      </c>
      <c r="N98">
        <f t="shared" si="13"/>
        <v>2.5052693868218348</v>
      </c>
      <c r="O98" t="str">
        <f t="shared" si="9"/>
        <v>NORMAL</v>
      </c>
      <c r="P98" t="str">
        <f t="shared" si="10"/>
        <v>NORMAL</v>
      </c>
    </row>
    <row r="99" spans="1:16">
      <c r="A99" s="2">
        <v>46300.041666666657</v>
      </c>
      <c r="B99" t="s">
        <v>37</v>
      </c>
      <c r="C99">
        <v>74.849999999999994</v>
      </c>
      <c r="D99">
        <v>18.420000000000002</v>
      </c>
      <c r="E99">
        <v>301.2</v>
      </c>
      <c r="F99">
        <v>1.7290000000000001</v>
      </c>
      <c r="G99">
        <v>1259.7</v>
      </c>
      <c r="H99">
        <f t="shared" si="11"/>
        <v>74.538013514728505</v>
      </c>
      <c r="I99">
        <f>$R$2 + $R$5*$R$3*SQRT(($R$4/(2-$R$4))*(1-(1-$R$4)^(2*ROWS($C$2:C99))))</f>
        <v>76.02217893774683</v>
      </c>
      <c r="J99">
        <f>$R$2 - $R$5*$R$3*SQRT(($R$4/(2-$R$4))*(1-(1-$R$4)^(2*ROWS($C$2:C99))))</f>
        <v>73.772021062253103</v>
      </c>
      <c r="K99">
        <f t="shared" si="7"/>
        <v>1.8964934574372208</v>
      </c>
      <c r="L99">
        <f t="shared" si="12"/>
        <v>1.6464934574372208</v>
      </c>
      <c r="M99">
        <v>0.5</v>
      </c>
      <c r="N99">
        <f t="shared" si="13"/>
        <v>0.358775929384614</v>
      </c>
      <c r="O99" t="str">
        <f t="shared" si="9"/>
        <v>NORMAL</v>
      </c>
      <c r="P99" t="str">
        <f t="shared" si="10"/>
        <v>NORMAL</v>
      </c>
    </row>
    <row r="100" spans="1:16">
      <c r="A100" s="2">
        <v>46300.083333333343</v>
      </c>
      <c r="B100" t="s">
        <v>37</v>
      </c>
      <c r="C100">
        <v>74.78</v>
      </c>
      <c r="D100">
        <v>18.149999999999999</v>
      </c>
      <c r="E100">
        <v>333.9</v>
      </c>
      <c r="F100">
        <v>1.52</v>
      </c>
      <c r="G100">
        <v>1258.2</v>
      </c>
      <c r="H100">
        <f t="shared" si="11"/>
        <v>74.586410811782812</v>
      </c>
      <c r="I100">
        <f>$R$2 + $R$5*$R$3*SQRT(($R$4/(2-$R$4))*(1-(1-$R$4)^(2*ROWS($C$2:C100))))</f>
        <v>76.02217893774683</v>
      </c>
      <c r="J100">
        <f>$R$2 - $R$5*$R$3*SQRT(($R$4/(2-$R$4))*(1-(1-$R$4)^(2*ROWS($C$2:C100))))</f>
        <v>73.772021062253103</v>
      </c>
      <c r="K100">
        <f t="shared" si="7"/>
        <v>-8.751363772058365E-3</v>
      </c>
      <c r="L100">
        <f t="shared" si="12"/>
        <v>1.3877420936651623</v>
      </c>
      <c r="M100">
        <v>0.5</v>
      </c>
      <c r="N100">
        <f t="shared" si="13"/>
        <v>0.11752729315667237</v>
      </c>
      <c r="O100" t="str">
        <f t="shared" si="9"/>
        <v>NORMAL</v>
      </c>
      <c r="P100" t="str">
        <f t="shared" si="10"/>
        <v>NORMAL</v>
      </c>
    </row>
    <row r="101" spans="1:16">
      <c r="A101" s="2">
        <v>46300.125</v>
      </c>
      <c r="B101" t="s">
        <v>37</v>
      </c>
      <c r="C101">
        <v>75.069999999999993</v>
      </c>
      <c r="D101">
        <v>17.95</v>
      </c>
      <c r="E101">
        <v>317.2</v>
      </c>
      <c r="F101">
        <v>1.5649999999999999</v>
      </c>
      <c r="G101">
        <v>1254.7</v>
      </c>
      <c r="H101">
        <f t="shared" si="11"/>
        <v>74.683128649426251</v>
      </c>
      <c r="I101">
        <f>$R$2 + $R$5*$R$3*SQRT(($R$4/(2-$R$4))*(1-(1-$R$4)^(2*ROWS($C$2:C101))))</f>
        <v>76.02217893774683</v>
      </c>
      <c r="J101">
        <f>$R$2 - $R$5*$R$3*SQRT(($R$4/(2-$R$4))*(1-(1-$R$4)^(2*ROWS($C$2:C101))))</f>
        <v>73.772021062253103</v>
      </c>
      <c r="K101">
        <f t="shared" si="7"/>
        <v>0.40146881304333587</v>
      </c>
      <c r="L101">
        <f t="shared" si="12"/>
        <v>1.5392109067084982</v>
      </c>
      <c r="M101">
        <v>0.5</v>
      </c>
      <c r="N101">
        <f t="shared" si="13"/>
        <v>0</v>
      </c>
      <c r="O101" t="str">
        <f t="shared" si="9"/>
        <v>NORMAL</v>
      </c>
      <c r="P101" t="str">
        <f t="shared" si="10"/>
        <v>NORMAL</v>
      </c>
    </row>
    <row r="102" spans="1:16">
      <c r="A102" s="2">
        <v>46300.166666666657</v>
      </c>
      <c r="B102" t="s">
        <v>39</v>
      </c>
      <c r="C102">
        <v>73.930000000000007</v>
      </c>
      <c r="D102">
        <v>18.87</v>
      </c>
      <c r="E102">
        <v>312.2</v>
      </c>
      <c r="F102">
        <v>1.857</v>
      </c>
      <c r="G102">
        <v>1246.2</v>
      </c>
      <c r="H102">
        <f t="shared" si="11"/>
        <v>74.532502919541002</v>
      </c>
      <c r="I102">
        <f>$R$2 + $R$5*$R$3*SQRT(($R$4/(2-$R$4))*(1-(1-$R$4)^(2*ROWS($C$2:C102))))</f>
        <v>76.02217893774683</v>
      </c>
      <c r="J102">
        <f>$R$2 - $R$5*$R$3*SQRT(($R$4/(2-$R$4))*(1-(1-$R$4)^(2*ROWS($C$2:C102))))</f>
        <v>73.772021062253103</v>
      </c>
      <c r="K102">
        <f t="shared" si="7"/>
        <v>3.0633419603787875</v>
      </c>
      <c r="L102">
        <f t="shared" si="12"/>
        <v>4.3525528670872857</v>
      </c>
      <c r="M102">
        <v>0.5</v>
      </c>
      <c r="N102">
        <f t="shared" si="13"/>
        <v>0</v>
      </c>
      <c r="O102" t="str">
        <f t="shared" si="9"/>
        <v>NORMAL</v>
      </c>
      <c r="P102" t="str">
        <f t="shared" si="10"/>
        <v>NORMAL</v>
      </c>
    </row>
    <row r="103" spans="1:16">
      <c r="A103" s="2">
        <v>46300.208333333343</v>
      </c>
      <c r="B103" t="s">
        <v>39</v>
      </c>
      <c r="C103">
        <v>74.34</v>
      </c>
      <c r="D103">
        <v>19.29</v>
      </c>
      <c r="E103">
        <v>335.1</v>
      </c>
      <c r="F103">
        <v>1.9159999999999999</v>
      </c>
      <c r="G103">
        <v>1235.5999999999999</v>
      </c>
      <c r="H103">
        <f t="shared" si="11"/>
        <v>74.494002335632814</v>
      </c>
      <c r="I103">
        <f>$R$2 + $R$5*$R$3*SQRT(($R$4/(2-$R$4))*(1-(1-$R$4)^(2*ROWS($C$2:C103))))</f>
        <v>76.02217893774683</v>
      </c>
      <c r="J103">
        <f>$R$2 - $R$5*$R$3*SQRT(($R$4/(2-$R$4))*(1-(1-$R$4)^(2*ROWS($C$2:C103))))</f>
        <v>73.772021062253103</v>
      </c>
      <c r="K103">
        <f t="shared" si="7"/>
        <v>3.6011861922034156</v>
      </c>
      <c r="L103">
        <f t="shared" si="12"/>
        <v>7.7037390592907009</v>
      </c>
      <c r="M103">
        <v>0.5</v>
      </c>
      <c r="N103">
        <f t="shared" si="13"/>
        <v>0</v>
      </c>
      <c r="O103" t="str">
        <f t="shared" si="9"/>
        <v>NORMAL</v>
      </c>
      <c r="P103" t="str">
        <f t="shared" si="10"/>
        <v>ALARM: BURNER DRIFT</v>
      </c>
    </row>
    <row r="104" spans="1:16">
      <c r="A104" s="2">
        <v>46300.25</v>
      </c>
      <c r="B104" t="s">
        <v>39</v>
      </c>
      <c r="C104">
        <v>74.86</v>
      </c>
      <c r="D104">
        <v>18</v>
      </c>
      <c r="E104">
        <v>308.2</v>
      </c>
      <c r="F104">
        <v>2.0249999999999999</v>
      </c>
      <c r="G104">
        <v>1233.5</v>
      </c>
      <c r="H104">
        <f t="shared" si="11"/>
        <v>74.56720186850626</v>
      </c>
      <c r="I104">
        <f>$R$2 + $R$5*$R$3*SQRT(($R$4/(2-$R$4))*(1-(1-$R$4)^(2*ROWS($C$2:C104))))</f>
        <v>76.02217893774683</v>
      </c>
      <c r="J104">
        <f>$R$2 - $R$5*$R$3*SQRT(($R$4/(2-$R$4))*(1-(1-$R$4)^(2*ROWS($C$2:C104))))</f>
        <v>73.772021062253103</v>
      </c>
      <c r="K104">
        <f t="shared" si="7"/>
        <v>4.5948306204895939</v>
      </c>
      <c r="L104">
        <f t="shared" si="12"/>
        <v>12.048569679780295</v>
      </c>
      <c r="M104">
        <v>0.5</v>
      </c>
      <c r="N104">
        <f t="shared" si="13"/>
        <v>0</v>
      </c>
      <c r="O104" t="str">
        <f t="shared" si="9"/>
        <v>NORMAL</v>
      </c>
      <c r="P104" t="str">
        <f t="shared" si="10"/>
        <v>ALARM: BURNER DRIFT</v>
      </c>
    </row>
    <row r="105" spans="1:16">
      <c r="A105" s="2">
        <v>46300.291666666657</v>
      </c>
      <c r="B105" t="s">
        <v>39</v>
      </c>
      <c r="C105">
        <v>74.099999999999994</v>
      </c>
      <c r="D105">
        <v>18.82</v>
      </c>
      <c r="E105">
        <v>297.10000000000002</v>
      </c>
      <c r="F105">
        <v>1.9450000000000001</v>
      </c>
      <c r="G105">
        <v>1240</v>
      </c>
      <c r="H105">
        <f t="shared" si="11"/>
        <v>74.473761494805018</v>
      </c>
      <c r="I105">
        <f>$R$2 + $R$5*$R$3*SQRT(($R$4/(2-$R$4))*(1-(1-$R$4)^(2*ROWS($C$2:C105))))</f>
        <v>76.02217893774683</v>
      </c>
      <c r="J105">
        <f>$R$2 - $R$5*$R$3*SQRT(($R$4/(2-$R$4))*(1-(1-$R$4)^(2*ROWS($C$2:C105))))</f>
        <v>73.772021062253103</v>
      </c>
      <c r="K105">
        <f t="shared" si="7"/>
        <v>3.8655503061511158</v>
      </c>
      <c r="L105">
        <f t="shared" si="12"/>
        <v>15.664119985931411</v>
      </c>
      <c r="M105">
        <v>0.5</v>
      </c>
      <c r="N105">
        <f t="shared" si="13"/>
        <v>0</v>
      </c>
      <c r="O105" t="str">
        <f t="shared" si="9"/>
        <v>NORMAL</v>
      </c>
      <c r="P105" t="str">
        <f t="shared" si="10"/>
        <v>ALARM: BURNER DRIFT</v>
      </c>
    </row>
    <row r="106" spans="1:16">
      <c r="A106" s="2">
        <v>46300.333333333343</v>
      </c>
      <c r="B106" t="s">
        <v>39</v>
      </c>
      <c r="C106">
        <v>74.150000000000006</v>
      </c>
      <c r="D106">
        <v>18.36</v>
      </c>
      <c r="E106">
        <v>294.3</v>
      </c>
      <c r="F106">
        <v>1.88</v>
      </c>
      <c r="G106">
        <v>1238.5999999999999</v>
      </c>
      <c r="H106">
        <f t="shared" si="11"/>
        <v>74.409009195844021</v>
      </c>
      <c r="I106">
        <f>$R$2 + $R$5*$R$3*SQRT(($R$4/(2-$R$4))*(1-(1-$R$4)^(2*ROWS($C$2:C106))))</f>
        <v>76.02217893774683</v>
      </c>
      <c r="J106">
        <f>$R$2 - $R$5*$R$3*SQRT(($R$4/(2-$R$4))*(1-(1-$R$4)^(2*ROWS($C$2:C106))))</f>
        <v>73.772021062253103</v>
      </c>
      <c r="K106">
        <f t="shared" si="7"/>
        <v>3.2730100507510995</v>
      </c>
      <c r="L106">
        <f t="shared" si="12"/>
        <v>18.687130036682511</v>
      </c>
      <c r="M106">
        <v>0.5</v>
      </c>
      <c r="N106">
        <f t="shared" si="13"/>
        <v>0</v>
      </c>
      <c r="O106" t="str">
        <f t="shared" si="9"/>
        <v>NORMAL</v>
      </c>
      <c r="P106" t="str">
        <f t="shared" si="10"/>
        <v>ALARM: BURNER DRIFT</v>
      </c>
    </row>
    <row r="107" spans="1:16">
      <c r="A107" s="2">
        <v>46300.375</v>
      </c>
      <c r="B107" t="s">
        <v>39</v>
      </c>
      <c r="C107">
        <v>74.47</v>
      </c>
      <c r="D107">
        <v>18.46</v>
      </c>
      <c r="E107">
        <v>326.10000000000002</v>
      </c>
      <c r="F107">
        <v>1.857</v>
      </c>
      <c r="G107">
        <v>1236.4000000000001</v>
      </c>
      <c r="H107">
        <f t="shared" si="11"/>
        <v>74.421207356675225</v>
      </c>
      <c r="I107">
        <f>$R$2 + $R$5*$R$3*SQRT(($R$4/(2-$R$4))*(1-(1-$R$4)^(2*ROWS($C$2:C107))))</f>
        <v>76.02217893774683</v>
      </c>
      <c r="J107">
        <f>$R$2 - $R$5*$R$3*SQRT(($R$4/(2-$R$4))*(1-(1-$R$4)^(2*ROWS($C$2:C107))))</f>
        <v>73.772021062253103</v>
      </c>
      <c r="K107">
        <f t="shared" si="7"/>
        <v>3.0633419603787875</v>
      </c>
      <c r="L107">
        <f t="shared" si="12"/>
        <v>21.500471997061297</v>
      </c>
      <c r="M107">
        <v>0.5</v>
      </c>
      <c r="N107">
        <f t="shared" si="13"/>
        <v>0</v>
      </c>
      <c r="O107" t="str">
        <f t="shared" si="9"/>
        <v>NORMAL</v>
      </c>
      <c r="P107" t="str">
        <f t="shared" si="10"/>
        <v>ALARM: BURNER DRIFT</v>
      </c>
    </row>
    <row r="108" spans="1:16">
      <c r="A108" s="2">
        <v>46300.416666666657</v>
      </c>
      <c r="B108" t="s">
        <v>39</v>
      </c>
      <c r="C108">
        <v>76.13</v>
      </c>
      <c r="D108">
        <v>18.440000000000001</v>
      </c>
      <c r="E108">
        <v>297.2</v>
      </c>
      <c r="F108">
        <v>1.8640000000000001</v>
      </c>
      <c r="G108">
        <v>1245.5999999999999</v>
      </c>
      <c r="H108">
        <f t="shared" si="11"/>
        <v>74.762965885340179</v>
      </c>
      <c r="I108">
        <f>$R$2 + $R$5*$R$3*SQRT(($R$4/(2-$R$4))*(1-(1-$R$4)^(2*ROWS($C$2:C108))))</f>
        <v>76.02217893774683</v>
      </c>
      <c r="J108">
        <f>$R$2 - $R$5*$R$3*SQRT(($R$4/(2-$R$4))*(1-(1-$R$4)^(2*ROWS($C$2:C108))))</f>
        <v>73.772021062253103</v>
      </c>
      <c r="K108">
        <f t="shared" si="7"/>
        <v>3.1271539878834052</v>
      </c>
      <c r="L108">
        <f t="shared" si="12"/>
        <v>24.3776259849447</v>
      </c>
      <c r="M108">
        <v>0.5</v>
      </c>
      <c r="N108">
        <f t="shared" si="13"/>
        <v>0</v>
      </c>
      <c r="O108" t="str">
        <f t="shared" si="9"/>
        <v>NORMAL</v>
      </c>
      <c r="P108" t="str">
        <f t="shared" si="10"/>
        <v>ALARM: BURNER DRIFT</v>
      </c>
    </row>
    <row r="109" spans="1:16">
      <c r="A109" s="2">
        <v>46300.458333333343</v>
      </c>
      <c r="B109" t="s">
        <v>39</v>
      </c>
      <c r="C109">
        <v>77.41</v>
      </c>
      <c r="D109">
        <v>18.36</v>
      </c>
      <c r="E109">
        <v>342.1</v>
      </c>
      <c r="F109">
        <v>1.609</v>
      </c>
      <c r="G109">
        <v>1247.5999999999999</v>
      </c>
      <c r="H109">
        <f t="shared" si="11"/>
        <v>75.292372708272154</v>
      </c>
      <c r="I109">
        <f>$R$2 + $R$5*$R$3*SQRT(($R$4/(2-$R$4))*(1-(1-$R$4)^(2*ROWS($C$2:C109))))</f>
        <v>76.02217893774683</v>
      </c>
      <c r="J109">
        <f>$R$2 - $R$5*$R$3*SQRT(($R$4/(2-$R$4))*(1-(1-$R$4)^(2*ROWS($C$2:C109))))</f>
        <v>73.772021062253103</v>
      </c>
      <c r="K109">
        <f t="shared" si="7"/>
        <v>0.8025729859295001</v>
      </c>
      <c r="L109">
        <f t="shared" si="12"/>
        <v>24.930198970874201</v>
      </c>
      <c r="M109">
        <v>0.5</v>
      </c>
      <c r="N109">
        <f t="shared" si="13"/>
        <v>0</v>
      </c>
      <c r="O109" t="str">
        <f t="shared" si="9"/>
        <v>NORMAL</v>
      </c>
      <c r="P109" t="str">
        <f t="shared" si="10"/>
        <v>ALARM: BURNER DRIFT</v>
      </c>
    </row>
    <row r="110" spans="1:16">
      <c r="A110" s="2">
        <v>46300.5</v>
      </c>
      <c r="B110" t="s">
        <v>39</v>
      </c>
      <c r="C110">
        <v>77.36</v>
      </c>
      <c r="D110">
        <v>18.760000000000002</v>
      </c>
      <c r="E110">
        <v>284</v>
      </c>
      <c r="F110">
        <v>1.6779999999999999</v>
      </c>
      <c r="G110">
        <v>1240.7</v>
      </c>
      <c r="H110">
        <f t="shared" si="11"/>
        <v>75.705898166617729</v>
      </c>
      <c r="I110">
        <f>$R$2 + $R$5*$R$3*SQRT(($R$4/(2-$R$4))*(1-(1-$R$4)^(2*ROWS($C$2:C110))))</f>
        <v>76.02217893774683</v>
      </c>
      <c r="J110">
        <f>$R$2 - $R$5*$R$3*SQRT(($R$4/(2-$R$4))*(1-(1-$R$4)^(2*ROWS($C$2:C110))))</f>
        <v>73.772021062253103</v>
      </c>
      <c r="K110">
        <f t="shared" si="7"/>
        <v>1.4315772570464385</v>
      </c>
      <c r="L110">
        <f t="shared" si="12"/>
        <v>26.11177622792064</v>
      </c>
      <c r="M110">
        <v>0.5</v>
      </c>
      <c r="N110">
        <f t="shared" si="13"/>
        <v>0</v>
      </c>
      <c r="O110" t="str">
        <f t="shared" si="9"/>
        <v>NORMAL</v>
      </c>
      <c r="P110" t="str">
        <f t="shared" si="10"/>
        <v>ALARM: BURNER DRIFT</v>
      </c>
    </row>
    <row r="111" spans="1:16">
      <c r="A111" s="2">
        <v>46300.541666666657</v>
      </c>
      <c r="B111" t="s">
        <v>39</v>
      </c>
      <c r="C111">
        <v>75.760000000000005</v>
      </c>
      <c r="D111">
        <v>18.440000000000001</v>
      </c>
      <c r="E111">
        <v>340</v>
      </c>
      <c r="F111">
        <v>1.6839999999999999</v>
      </c>
      <c r="G111">
        <v>1251.8</v>
      </c>
      <c r="H111">
        <f t="shared" si="11"/>
        <v>75.716718533294184</v>
      </c>
      <c r="I111">
        <f>$R$2 + $R$5*$R$3*SQRT(($R$4/(2-$R$4))*(1-(1-$R$4)^(2*ROWS($C$2:C111))))</f>
        <v>76.02217893774683</v>
      </c>
      <c r="J111">
        <f>$R$2 - $R$5*$R$3*SQRT(($R$4/(2-$R$4))*(1-(1-$R$4)^(2*ROWS($C$2:C111))))</f>
        <v>73.772021062253103</v>
      </c>
      <c r="K111">
        <f t="shared" si="7"/>
        <v>1.4862732806218244</v>
      </c>
      <c r="L111">
        <f t="shared" si="12"/>
        <v>27.348049508542463</v>
      </c>
      <c r="M111">
        <v>0.5</v>
      </c>
      <c r="N111">
        <f t="shared" si="13"/>
        <v>0</v>
      </c>
      <c r="O111" t="str">
        <f t="shared" si="9"/>
        <v>NORMAL</v>
      </c>
      <c r="P111" t="str">
        <f t="shared" si="10"/>
        <v>ALARM: BURNER DRIFT</v>
      </c>
    </row>
    <row r="112" spans="1:16">
      <c r="A112" s="2">
        <v>46300.583333333343</v>
      </c>
      <c r="B112" t="s">
        <v>39</v>
      </c>
      <c r="C112">
        <v>73.260000000000005</v>
      </c>
      <c r="D112">
        <v>18.91</v>
      </c>
      <c r="E112">
        <v>317.2</v>
      </c>
      <c r="F112">
        <v>1.669</v>
      </c>
      <c r="G112">
        <v>1230.9000000000001</v>
      </c>
      <c r="H112">
        <f t="shared" si="11"/>
        <v>75.225374826635345</v>
      </c>
      <c r="I112">
        <f>$R$2 + $R$5*$R$3*SQRT(($R$4/(2-$R$4))*(1-(1-$R$4)^(2*ROWS($C$2:C112))))</f>
        <v>76.02217893774683</v>
      </c>
      <c r="J112">
        <f>$R$2 - $R$5*$R$3*SQRT(($R$4/(2-$R$4))*(1-(1-$R$4)^(2*ROWS($C$2:C112))))</f>
        <v>73.772021062253103</v>
      </c>
      <c r="K112">
        <f t="shared" si="7"/>
        <v>1.3495332216833604</v>
      </c>
      <c r="L112">
        <f t="shared" si="12"/>
        <v>28.447582730225822</v>
      </c>
      <c r="M112">
        <v>0.5</v>
      </c>
      <c r="N112">
        <f t="shared" si="13"/>
        <v>0</v>
      </c>
      <c r="O112" t="str">
        <f t="shared" si="9"/>
        <v>NORMAL</v>
      </c>
      <c r="P112" t="str">
        <f t="shared" si="10"/>
        <v>ALARM: BURNER DRIFT</v>
      </c>
    </row>
    <row r="113" spans="1:16">
      <c r="A113" s="2">
        <v>46300.625</v>
      </c>
      <c r="B113" t="s">
        <v>39</v>
      </c>
      <c r="C113">
        <v>74.510000000000005</v>
      </c>
      <c r="D113">
        <v>18.809999999999999</v>
      </c>
      <c r="E113">
        <v>311.89999999999998</v>
      </c>
      <c r="F113">
        <v>1.752</v>
      </c>
      <c r="G113">
        <v>1238.5</v>
      </c>
      <c r="H113">
        <f t="shared" si="11"/>
        <v>75.082299861308286</v>
      </c>
      <c r="I113">
        <f>$R$2 + $R$5*$R$3*SQRT(($R$4/(2-$R$4))*(1-(1-$R$4)^(2*ROWS($C$2:C113))))</f>
        <v>76.02217893774683</v>
      </c>
      <c r="J113">
        <f>$R$2 - $R$5*$R$3*SQRT(($R$4/(2-$R$4))*(1-(1-$R$4)^(2*ROWS($C$2:C113))))</f>
        <v>73.772021062253103</v>
      </c>
      <c r="K113">
        <f t="shared" si="7"/>
        <v>2.1061615478095326</v>
      </c>
      <c r="L113">
        <f t="shared" si="12"/>
        <v>30.303744278035353</v>
      </c>
      <c r="M113">
        <v>0.5</v>
      </c>
      <c r="N113">
        <f t="shared" si="13"/>
        <v>0</v>
      </c>
      <c r="O113" t="str">
        <f t="shared" si="9"/>
        <v>NORMAL</v>
      </c>
      <c r="P113" t="str">
        <f t="shared" si="10"/>
        <v>ALARM: BURNER DRIFT</v>
      </c>
    </row>
    <row r="114" spans="1:16">
      <c r="A114" s="2">
        <v>46300.666666666657</v>
      </c>
      <c r="B114" t="s">
        <v>39</v>
      </c>
      <c r="C114">
        <v>75.33</v>
      </c>
      <c r="D114">
        <v>18.760000000000002</v>
      </c>
      <c r="E114">
        <v>304.60000000000002</v>
      </c>
      <c r="F114">
        <v>1.8220000000000001</v>
      </c>
      <c r="G114">
        <v>1234.3</v>
      </c>
      <c r="H114">
        <f t="shared" si="11"/>
        <v>75.131839889046631</v>
      </c>
      <c r="I114">
        <f>$R$2 + $R$5*$R$3*SQRT(($R$4/(2-$R$4))*(1-(1-$R$4)^(2*ROWS($C$2:C114))))</f>
        <v>76.02217893774683</v>
      </c>
      <c r="J114">
        <f>$R$2 - $R$5*$R$3*SQRT(($R$4/(2-$R$4))*(1-(1-$R$4)^(2*ROWS($C$2:C114))))</f>
        <v>73.772021062253103</v>
      </c>
      <c r="K114">
        <f t="shared" si="7"/>
        <v>2.7442818228557031</v>
      </c>
      <c r="L114">
        <f t="shared" si="12"/>
        <v>32.798026100891057</v>
      </c>
      <c r="M114">
        <v>0.5</v>
      </c>
      <c r="N114">
        <f t="shared" si="13"/>
        <v>0</v>
      </c>
      <c r="O114" t="str">
        <f t="shared" si="9"/>
        <v>NORMAL</v>
      </c>
      <c r="P114" t="str">
        <f t="shared" si="10"/>
        <v>ALARM: BURNER DRIFT</v>
      </c>
    </row>
    <row r="115" spans="1:16">
      <c r="A115" s="2">
        <v>46300.708333333343</v>
      </c>
      <c r="B115" t="s">
        <v>39</v>
      </c>
      <c r="C115">
        <v>77.97</v>
      </c>
      <c r="D115">
        <v>18.53</v>
      </c>
      <c r="E115">
        <v>318.2</v>
      </c>
      <c r="F115">
        <v>1.8420000000000001</v>
      </c>
      <c r="G115">
        <v>1225.0999999999999</v>
      </c>
      <c r="H115">
        <f t="shared" si="11"/>
        <v>75.69947191123731</v>
      </c>
      <c r="I115">
        <f>$R$2 + $R$5*$R$3*SQRT(($R$4/(2-$R$4))*(1-(1-$R$4)^(2*ROWS($C$2:C115))))</f>
        <v>76.02217893774683</v>
      </c>
      <c r="J115">
        <f>$R$2 - $R$5*$R$3*SQRT(($R$4/(2-$R$4))*(1-(1-$R$4)^(2*ROWS($C$2:C115))))</f>
        <v>73.772021062253103</v>
      </c>
      <c r="K115">
        <f t="shared" si="7"/>
        <v>2.9266019014403231</v>
      </c>
      <c r="L115">
        <f t="shared" si="12"/>
        <v>35.474628002331379</v>
      </c>
      <c r="M115">
        <v>0.5</v>
      </c>
      <c r="N115">
        <f t="shared" si="13"/>
        <v>0</v>
      </c>
      <c r="O115" t="str">
        <f t="shared" si="9"/>
        <v>NORMAL</v>
      </c>
      <c r="P115" t="str">
        <f t="shared" si="10"/>
        <v>ALARM: BURNER DRIFT</v>
      </c>
    </row>
    <row r="116" spans="1:16">
      <c r="A116" s="2">
        <v>46300.75</v>
      </c>
      <c r="B116" t="s">
        <v>39</v>
      </c>
      <c r="C116">
        <v>76.650000000000006</v>
      </c>
      <c r="D116">
        <v>18.690000000000001</v>
      </c>
      <c r="E116">
        <v>311</v>
      </c>
      <c r="F116">
        <v>1.8120000000000001</v>
      </c>
      <c r="G116">
        <v>1239.3</v>
      </c>
      <c r="H116">
        <f t="shared" si="11"/>
        <v>75.889577528989847</v>
      </c>
      <c r="I116">
        <f>$R$2 + $R$5*$R$3*SQRT(($R$4/(2-$R$4))*(1-(1-$R$4)^(2*ROWS($C$2:C116))))</f>
        <v>76.02217893774683</v>
      </c>
      <c r="J116">
        <f>$R$2 - $R$5*$R$3*SQRT(($R$4/(2-$R$4))*(1-(1-$R$4)^(2*ROWS($C$2:C116))))</f>
        <v>73.772021062253103</v>
      </c>
      <c r="K116">
        <f t="shared" si="7"/>
        <v>2.6531217835633929</v>
      </c>
      <c r="L116">
        <f t="shared" si="12"/>
        <v>37.877749785894771</v>
      </c>
      <c r="M116">
        <v>0.5</v>
      </c>
      <c r="N116">
        <f t="shared" si="13"/>
        <v>0</v>
      </c>
      <c r="O116" t="str">
        <f t="shared" si="9"/>
        <v>NORMAL</v>
      </c>
      <c r="P116" t="str">
        <f t="shared" si="10"/>
        <v>ALARM: BURNER DRIFT</v>
      </c>
    </row>
    <row r="117" spans="1:16">
      <c r="A117" s="2">
        <v>46300.791666666657</v>
      </c>
      <c r="B117" t="s">
        <v>39</v>
      </c>
      <c r="C117">
        <v>76.459999999999994</v>
      </c>
      <c r="D117">
        <v>19.25</v>
      </c>
      <c r="E117">
        <v>327.5</v>
      </c>
      <c r="F117">
        <v>1.82</v>
      </c>
      <c r="G117">
        <v>1239</v>
      </c>
      <c r="H117">
        <f t="shared" si="11"/>
        <v>76.003662023191879</v>
      </c>
      <c r="I117">
        <f>$R$2 + $R$5*$R$3*SQRT(($R$4/(2-$R$4))*(1-(1-$R$4)^(2*ROWS($C$2:C117))))</f>
        <v>76.02217893774683</v>
      </c>
      <c r="J117">
        <f>$R$2 - $R$5*$R$3*SQRT(($R$4/(2-$R$4))*(1-(1-$R$4)^(2*ROWS($C$2:C117))))</f>
        <v>73.772021062253103</v>
      </c>
      <c r="K117">
        <f t="shared" si="7"/>
        <v>2.726049814997241</v>
      </c>
      <c r="L117">
        <f t="shared" si="12"/>
        <v>40.35379960089201</v>
      </c>
      <c r="M117">
        <v>0.5</v>
      </c>
      <c r="N117">
        <f t="shared" si="13"/>
        <v>0</v>
      </c>
      <c r="O117" t="str">
        <f t="shared" si="9"/>
        <v>NORMAL</v>
      </c>
      <c r="P117" t="str">
        <f t="shared" si="10"/>
        <v>ALARM: BURNER DRIFT</v>
      </c>
    </row>
    <row r="118" spans="1:16">
      <c r="A118" s="2">
        <v>46300.833333333343</v>
      </c>
      <c r="B118" t="s">
        <v>39</v>
      </c>
      <c r="C118">
        <v>76.3</v>
      </c>
      <c r="D118">
        <v>19.18</v>
      </c>
      <c r="E118">
        <v>312.10000000000002</v>
      </c>
      <c r="F118">
        <v>1.663</v>
      </c>
      <c r="G118">
        <v>1252.0999999999999</v>
      </c>
      <c r="H118">
        <f t="shared" si="11"/>
        <v>76.062929618553511</v>
      </c>
      <c r="I118">
        <f>$R$2 + $R$5*$R$3*SQRT(($R$4/(2-$R$4))*(1-(1-$R$4)^(2*ROWS($C$2:C118))))</f>
        <v>76.02217893774683</v>
      </c>
      <c r="J118">
        <f>$R$2 - $R$5*$R$3*SQRT(($R$4/(2-$R$4))*(1-(1-$R$4)^(2*ROWS($C$2:C118))))</f>
        <v>73.772021062253103</v>
      </c>
      <c r="K118">
        <f t="shared" si="7"/>
        <v>1.2948371981079743</v>
      </c>
      <c r="L118">
        <f t="shared" si="12"/>
        <v>41.398636798999988</v>
      </c>
      <c r="M118">
        <v>0.5</v>
      </c>
      <c r="N118">
        <f t="shared" si="13"/>
        <v>0</v>
      </c>
      <c r="O118" t="str">
        <f t="shared" si="9"/>
        <v>ALARM: LINER WEAR</v>
      </c>
      <c r="P118" t="str">
        <f t="shared" si="10"/>
        <v>ALARM: BURNER DRIFT</v>
      </c>
    </row>
    <row r="119" spans="1:16">
      <c r="A119" s="2">
        <v>46300.875</v>
      </c>
      <c r="B119" t="s">
        <v>39</v>
      </c>
      <c r="C119">
        <v>75.09</v>
      </c>
      <c r="D119">
        <v>18.62</v>
      </c>
      <c r="E119">
        <v>312.10000000000002</v>
      </c>
      <c r="F119">
        <v>1.66</v>
      </c>
      <c r="G119">
        <v>1245</v>
      </c>
      <c r="H119">
        <f t="shared" si="11"/>
        <v>75.868343694842821</v>
      </c>
      <c r="I119">
        <f>$R$2 + $R$5*$R$3*SQRT(($R$4/(2-$R$4))*(1-(1-$R$4)^(2*ROWS($C$2:C119))))</f>
        <v>76.02217893774683</v>
      </c>
      <c r="J119">
        <f>$R$2 - $R$5*$R$3*SQRT(($R$4/(2-$R$4))*(1-(1-$R$4)^(2*ROWS($C$2:C119))))</f>
        <v>73.772021062253103</v>
      </c>
      <c r="K119">
        <f t="shared" si="7"/>
        <v>1.2674891863202804</v>
      </c>
      <c r="L119">
        <f t="shared" si="12"/>
        <v>42.416125985320271</v>
      </c>
      <c r="M119">
        <v>0.5</v>
      </c>
      <c r="N119">
        <f t="shared" si="13"/>
        <v>0</v>
      </c>
      <c r="O119" t="str">
        <f t="shared" si="9"/>
        <v>NORMAL</v>
      </c>
      <c r="P119" t="str">
        <f t="shared" si="10"/>
        <v>ALARM: BURNER DRIFT</v>
      </c>
    </row>
    <row r="120" spans="1:16">
      <c r="A120" s="2">
        <v>46300.916666666657</v>
      </c>
      <c r="B120" t="s">
        <v>39</v>
      </c>
      <c r="C120">
        <v>75.38</v>
      </c>
      <c r="D120">
        <v>19.079999999999998</v>
      </c>
      <c r="E120">
        <v>303.7</v>
      </c>
      <c r="F120">
        <v>1.669</v>
      </c>
      <c r="G120">
        <v>1231.8</v>
      </c>
      <c r="H120">
        <f t="shared" si="11"/>
        <v>75.770674955874256</v>
      </c>
      <c r="I120">
        <f>$R$2 + $R$5*$R$3*SQRT(($R$4/(2-$R$4))*(1-(1-$R$4)^(2*ROWS($C$2:C120))))</f>
        <v>76.02217893774683</v>
      </c>
      <c r="J120">
        <f>$R$2 - $R$5*$R$3*SQRT(($R$4/(2-$R$4))*(1-(1-$R$4)^(2*ROWS($C$2:C120))))</f>
        <v>73.772021062253103</v>
      </c>
      <c r="K120">
        <f t="shared" si="7"/>
        <v>1.3495332216833604</v>
      </c>
      <c r="L120">
        <f t="shared" si="12"/>
        <v>43.51565920700363</v>
      </c>
      <c r="M120">
        <v>0.5</v>
      </c>
      <c r="N120">
        <f t="shared" si="13"/>
        <v>0</v>
      </c>
      <c r="O120" t="str">
        <f t="shared" si="9"/>
        <v>NORMAL</v>
      </c>
      <c r="P120" t="str">
        <f t="shared" si="10"/>
        <v>ALARM: BURNER DRIFT</v>
      </c>
    </row>
    <row r="121" spans="1:16">
      <c r="A121" s="2">
        <v>46300.958333333343</v>
      </c>
      <c r="B121" t="s">
        <v>39</v>
      </c>
      <c r="C121">
        <v>76.2</v>
      </c>
      <c r="D121">
        <v>19.37</v>
      </c>
      <c r="E121">
        <v>307.7</v>
      </c>
      <c r="F121">
        <v>1.54</v>
      </c>
      <c r="G121">
        <v>1254.8</v>
      </c>
      <c r="H121">
        <f t="shared" si="11"/>
        <v>75.856539964699408</v>
      </c>
      <c r="I121">
        <f>$R$2 + $R$5*$R$3*SQRT(($R$4/(2-$R$4))*(1-(1-$R$4)^(2*ROWS($C$2:C121))))</f>
        <v>76.02217893774683</v>
      </c>
      <c r="J121">
        <f>$R$2 - $R$5*$R$3*SQRT(($R$4/(2-$R$4))*(1-(1-$R$4)^(2*ROWS($C$2:C121))))</f>
        <v>73.772021062253103</v>
      </c>
      <c r="K121">
        <f t="shared" si="7"/>
        <v>0.17356871481256173</v>
      </c>
      <c r="L121">
        <f t="shared" si="12"/>
        <v>43.43922792181619</v>
      </c>
      <c r="M121">
        <v>0.5</v>
      </c>
      <c r="N121">
        <f t="shared" si="13"/>
        <v>0</v>
      </c>
      <c r="O121" t="str">
        <f t="shared" si="9"/>
        <v>NORMAL</v>
      </c>
      <c r="P121" t="str">
        <f t="shared" si="10"/>
        <v>ALARM: BURNER DRIFT</v>
      </c>
    </row>
    <row r="122" spans="1:16">
      <c r="A122" s="2">
        <v>46301</v>
      </c>
      <c r="B122" t="s">
        <v>39</v>
      </c>
      <c r="C122">
        <v>76.400000000000006</v>
      </c>
      <c r="D122">
        <v>18.43</v>
      </c>
      <c r="E122">
        <v>312.60000000000002</v>
      </c>
      <c r="F122">
        <v>1.7010000000000001</v>
      </c>
      <c r="G122">
        <v>1249.8</v>
      </c>
      <c r="H122">
        <f t="shared" si="11"/>
        <v>75.965231971759522</v>
      </c>
      <c r="I122">
        <f>$R$2 + $R$5*$R$3*SQRT(($R$4/(2-$R$4))*(1-(1-$R$4)^(2*ROWS($C$2:C122))))</f>
        <v>76.02217893774683</v>
      </c>
      <c r="J122">
        <f>$R$2 - $R$5*$R$3*SQRT(($R$4/(2-$R$4))*(1-(1-$R$4)^(2*ROWS($C$2:C122))))</f>
        <v>73.772021062253103</v>
      </c>
      <c r="K122">
        <f t="shared" si="7"/>
        <v>1.6412453474187525</v>
      </c>
      <c r="L122">
        <f t="shared" si="12"/>
        <v>44.830473269234943</v>
      </c>
      <c r="M122">
        <v>0.5</v>
      </c>
      <c r="N122">
        <f t="shared" si="13"/>
        <v>0</v>
      </c>
      <c r="O122" t="str">
        <f t="shared" si="9"/>
        <v>NORMAL</v>
      </c>
      <c r="P122" t="str">
        <f t="shared" si="10"/>
        <v>ALARM: BURNER DRIFT</v>
      </c>
    </row>
    <row r="123" spans="1:16">
      <c r="A123" s="2">
        <v>46301.041666666657</v>
      </c>
      <c r="B123" t="s">
        <v>39</v>
      </c>
      <c r="C123">
        <v>75.52</v>
      </c>
      <c r="D123">
        <v>19.350000000000001</v>
      </c>
      <c r="E123">
        <v>281.7</v>
      </c>
      <c r="F123">
        <v>1.738</v>
      </c>
      <c r="G123">
        <v>1244.7</v>
      </c>
      <c r="H123">
        <f t="shared" si="11"/>
        <v>75.876185577407625</v>
      </c>
      <c r="I123">
        <f>$R$2 + $R$5*$R$3*SQRT(($R$4/(2-$R$4))*(1-(1-$R$4)^(2*ROWS($C$2:C123))))</f>
        <v>76.02217893774683</v>
      </c>
      <c r="J123">
        <f>$R$2 - $R$5*$R$3*SQRT(($R$4/(2-$R$4))*(1-(1-$R$4)^(2*ROWS($C$2:C123))))</f>
        <v>73.772021062253103</v>
      </c>
      <c r="K123">
        <f t="shared" si="7"/>
        <v>1.9785374928002988</v>
      </c>
      <c r="L123">
        <f t="shared" si="12"/>
        <v>46.559010762035243</v>
      </c>
      <c r="M123">
        <v>0.5</v>
      </c>
      <c r="N123">
        <f t="shared" si="13"/>
        <v>0</v>
      </c>
      <c r="O123" t="str">
        <f t="shared" si="9"/>
        <v>NORMAL</v>
      </c>
      <c r="P123" t="str">
        <f t="shared" si="10"/>
        <v>ALARM: BURNER DRIFT</v>
      </c>
    </row>
    <row r="124" spans="1:16">
      <c r="A124" s="2">
        <v>46301.083333333343</v>
      </c>
      <c r="B124" t="s">
        <v>39</v>
      </c>
      <c r="C124">
        <v>78.540000000000006</v>
      </c>
      <c r="D124">
        <v>18.89</v>
      </c>
      <c r="E124">
        <v>286.60000000000002</v>
      </c>
      <c r="F124">
        <v>1.756</v>
      </c>
      <c r="G124">
        <v>1238.2</v>
      </c>
      <c r="H124">
        <f t="shared" si="11"/>
        <v>76.408948461926101</v>
      </c>
      <c r="I124">
        <f>$R$2 + $R$5*$R$3*SQRT(($R$4/(2-$R$4))*(1-(1-$R$4)^(2*ROWS($C$2:C124))))</f>
        <v>76.02217893774683</v>
      </c>
      <c r="J124">
        <f>$R$2 - $R$5*$R$3*SQRT(($R$4/(2-$R$4))*(1-(1-$R$4)^(2*ROWS($C$2:C124))))</f>
        <v>73.772021062253103</v>
      </c>
      <c r="K124">
        <f t="shared" si="7"/>
        <v>2.1426255635264568</v>
      </c>
      <c r="L124">
        <f t="shared" si="12"/>
        <v>48.451636325561701</v>
      </c>
      <c r="M124">
        <v>0.5</v>
      </c>
      <c r="N124">
        <f t="shared" si="13"/>
        <v>0</v>
      </c>
      <c r="O124" t="str">
        <f t="shared" si="9"/>
        <v>ALARM: LINER WEAR</v>
      </c>
      <c r="P124" t="str">
        <f t="shared" si="10"/>
        <v>ALARM: BURNER DRIFT</v>
      </c>
    </row>
    <row r="125" spans="1:16">
      <c r="A125" s="2">
        <v>46301.125</v>
      </c>
      <c r="B125" t="s">
        <v>39</v>
      </c>
      <c r="C125">
        <v>76.39</v>
      </c>
      <c r="D125">
        <v>19.420000000000002</v>
      </c>
      <c r="E125">
        <v>317.3</v>
      </c>
      <c r="F125">
        <v>1.9179999999999999</v>
      </c>
      <c r="G125">
        <v>1232.3</v>
      </c>
      <c r="H125">
        <f t="shared" si="11"/>
        <v>76.40515876954089</v>
      </c>
      <c r="I125">
        <f>$R$2 + $R$5*$R$3*SQRT(($R$4/(2-$R$4))*(1-(1-$R$4)^(2*ROWS($C$2:C125))))</f>
        <v>76.02217893774683</v>
      </c>
      <c r="J125">
        <f>$R$2 - $R$5*$R$3*SQRT(($R$4/(2-$R$4))*(1-(1-$R$4)^(2*ROWS($C$2:C125))))</f>
        <v>73.772021062253103</v>
      </c>
      <c r="K125">
        <f t="shared" si="7"/>
        <v>3.6194182000618778</v>
      </c>
      <c r="L125">
        <f t="shared" si="12"/>
        <v>51.82105452562358</v>
      </c>
      <c r="M125">
        <v>0.5</v>
      </c>
      <c r="N125">
        <f t="shared" si="13"/>
        <v>0</v>
      </c>
      <c r="O125" t="str">
        <f t="shared" si="9"/>
        <v>ALARM: LINER WEAR</v>
      </c>
      <c r="P125" t="str">
        <f t="shared" si="10"/>
        <v>ALARM: BURNER DRIFT</v>
      </c>
    </row>
    <row r="126" spans="1:16">
      <c r="A126" s="2">
        <v>46301.166666666657</v>
      </c>
      <c r="B126" t="s">
        <v>39</v>
      </c>
      <c r="C126">
        <v>76.680000000000007</v>
      </c>
      <c r="D126">
        <v>18.91</v>
      </c>
      <c r="E126">
        <v>308.2</v>
      </c>
      <c r="F126">
        <v>1.538</v>
      </c>
      <c r="G126">
        <v>1237</v>
      </c>
      <c r="H126">
        <f t="shared" si="11"/>
        <v>76.460127015632722</v>
      </c>
      <c r="I126">
        <f>$R$2 + $R$5*$R$3*SQRT(($R$4/(2-$R$4))*(1-(1-$R$4)^(2*ROWS($C$2:C126))))</f>
        <v>76.02217893774683</v>
      </c>
      <c r="J126">
        <f>$R$2 - $R$5*$R$3*SQRT(($R$4/(2-$R$4))*(1-(1-$R$4)^(2*ROWS($C$2:C126))))</f>
        <v>73.772021062253103</v>
      </c>
      <c r="K126">
        <f t="shared" si="7"/>
        <v>0.15533670695409973</v>
      </c>
      <c r="L126">
        <f t="shared" si="12"/>
        <v>51.726391232577683</v>
      </c>
      <c r="M126">
        <v>0.5</v>
      </c>
      <c r="N126">
        <f t="shared" si="13"/>
        <v>0</v>
      </c>
      <c r="O126" t="str">
        <f t="shared" si="9"/>
        <v>ALARM: LINER WEAR</v>
      </c>
      <c r="P126" t="str">
        <f t="shared" si="10"/>
        <v>ALARM: BURNER DRIFT</v>
      </c>
    </row>
    <row r="127" spans="1:16">
      <c r="A127" s="2">
        <v>46301.208333333343</v>
      </c>
      <c r="B127" t="s">
        <v>39</v>
      </c>
      <c r="C127">
        <v>78.930000000000007</v>
      </c>
      <c r="D127">
        <v>18.53</v>
      </c>
      <c r="E127">
        <v>302.2</v>
      </c>
      <c r="F127">
        <v>1.7509999999999999</v>
      </c>
      <c r="G127">
        <v>1248.7</v>
      </c>
      <c r="H127">
        <f t="shared" si="11"/>
        <v>76.954101612506179</v>
      </c>
      <c r="I127">
        <f>$R$2 + $R$5*$R$3*SQRT(($R$4/(2-$R$4))*(1-(1-$R$4)^(2*ROWS($C$2:C127))))</f>
        <v>76.02217893774683</v>
      </c>
      <c r="J127">
        <f>$R$2 - $R$5*$R$3*SQRT(($R$4/(2-$R$4))*(1-(1-$R$4)^(2*ROWS($C$2:C127))))</f>
        <v>73.772021062253103</v>
      </c>
      <c r="K127">
        <f t="shared" si="7"/>
        <v>2.0970455438803008</v>
      </c>
      <c r="L127">
        <f t="shared" si="12"/>
        <v>53.573436776457982</v>
      </c>
      <c r="M127">
        <v>0.5</v>
      </c>
      <c r="N127">
        <f t="shared" si="13"/>
        <v>0</v>
      </c>
      <c r="O127" t="str">
        <f t="shared" si="9"/>
        <v>ALARM: LINER WEAR</v>
      </c>
      <c r="P127" t="str">
        <f t="shared" si="10"/>
        <v>ALARM: BURNER DRIFT</v>
      </c>
    </row>
    <row r="128" spans="1:16">
      <c r="A128" s="2">
        <v>46301.25</v>
      </c>
      <c r="B128" t="s">
        <v>39</v>
      </c>
      <c r="C128">
        <v>77.099999999999994</v>
      </c>
      <c r="D128">
        <v>18.63</v>
      </c>
      <c r="E128">
        <v>304.7</v>
      </c>
      <c r="F128">
        <v>1.89</v>
      </c>
      <c r="G128">
        <v>1255.0999999999999</v>
      </c>
      <c r="H128">
        <f t="shared" si="11"/>
        <v>76.983281290004939</v>
      </c>
      <c r="I128">
        <f>$R$2 + $R$5*$R$3*SQRT(($R$4/(2-$R$4))*(1-(1-$R$4)^(2*ROWS($C$2:C128))))</f>
        <v>76.02217893774683</v>
      </c>
      <c r="J128">
        <f>$R$2 - $R$5*$R$3*SQRT(($R$4/(2-$R$4))*(1-(1-$R$4)^(2*ROWS($C$2:C128))))</f>
        <v>73.772021062253103</v>
      </c>
      <c r="K128">
        <f t="shared" si="7"/>
        <v>3.3641700900434093</v>
      </c>
      <c r="L128">
        <f t="shared" si="12"/>
        <v>56.68760686650139</v>
      </c>
      <c r="M128">
        <v>0.5</v>
      </c>
      <c r="N128">
        <f t="shared" si="13"/>
        <v>0</v>
      </c>
      <c r="O128" t="str">
        <f t="shared" si="9"/>
        <v>ALARM: LINER WEAR</v>
      </c>
      <c r="P128" t="str">
        <f t="shared" si="10"/>
        <v>ALARM: BURNER DRIFT</v>
      </c>
    </row>
    <row r="129" spans="1:16">
      <c r="A129" s="2">
        <v>46301.291666666657</v>
      </c>
      <c r="B129" t="s">
        <v>39</v>
      </c>
      <c r="C129">
        <v>76.47</v>
      </c>
      <c r="D129">
        <v>19.329999999999998</v>
      </c>
      <c r="E129">
        <v>309</v>
      </c>
      <c r="F129">
        <v>1.81</v>
      </c>
      <c r="G129">
        <v>1252.3</v>
      </c>
      <c r="H129">
        <f t="shared" si="11"/>
        <v>76.880625032003948</v>
      </c>
      <c r="I129">
        <f>$R$2 + $R$5*$R$3*SQRT(($R$4/(2-$R$4))*(1-(1-$R$4)^(2*ROWS($C$2:C129))))</f>
        <v>76.02217893774683</v>
      </c>
      <c r="J129">
        <f>$R$2 - $R$5*$R$3*SQRT(($R$4/(2-$R$4))*(1-(1-$R$4)^(2*ROWS($C$2:C129))))</f>
        <v>73.772021062253103</v>
      </c>
      <c r="K129">
        <f t="shared" si="7"/>
        <v>2.6348897757049312</v>
      </c>
      <c r="L129">
        <f t="shared" si="12"/>
        <v>59.072496642206325</v>
      </c>
      <c r="M129">
        <v>0.5</v>
      </c>
      <c r="N129">
        <f t="shared" si="13"/>
        <v>0</v>
      </c>
      <c r="O129" t="str">
        <f t="shared" si="9"/>
        <v>ALARM: LINER WEAR</v>
      </c>
      <c r="P129" t="str">
        <f t="shared" si="10"/>
        <v>ALARM: BURNER DRIFT</v>
      </c>
    </row>
    <row r="130" spans="1:16">
      <c r="A130" s="2">
        <v>46301.333333333343</v>
      </c>
      <c r="B130" t="s">
        <v>39</v>
      </c>
      <c r="C130">
        <v>76.84</v>
      </c>
      <c r="D130">
        <v>19.440000000000001</v>
      </c>
      <c r="E130">
        <v>295.10000000000002</v>
      </c>
      <c r="F130">
        <v>1.732</v>
      </c>
      <c r="G130">
        <v>1236.0999999999999</v>
      </c>
      <c r="H130">
        <f t="shared" si="11"/>
        <v>76.872500025603159</v>
      </c>
      <c r="I130">
        <f>$R$2 + $R$5*$R$3*SQRT(($R$4/(2-$R$4))*(1-(1-$R$4)^(2*ROWS($C$2:C130))))</f>
        <v>76.02217893774683</v>
      </c>
      <c r="J130">
        <f>$R$2 - $R$5*$R$3*SQRT(($R$4/(2-$R$4))*(1-(1-$R$4)^(2*ROWS($C$2:C130))))</f>
        <v>73.772021062253103</v>
      </c>
      <c r="K130">
        <f t="shared" si="7"/>
        <v>1.9238414692249126</v>
      </c>
      <c r="L130">
        <f t="shared" si="12"/>
        <v>60.746338111431236</v>
      </c>
      <c r="M130">
        <v>0.5</v>
      </c>
      <c r="N130">
        <f t="shared" si="13"/>
        <v>0</v>
      </c>
      <c r="O130" t="str">
        <f t="shared" si="9"/>
        <v>ALARM: LINER WEAR</v>
      </c>
      <c r="P130" t="str">
        <f t="shared" si="10"/>
        <v>ALARM: BURNER DRIFT</v>
      </c>
    </row>
    <row r="131" spans="1:16">
      <c r="A131" s="2">
        <v>46301.375</v>
      </c>
      <c r="B131" t="s">
        <v>39</v>
      </c>
      <c r="C131">
        <v>77.239999999999995</v>
      </c>
      <c r="D131">
        <v>19.010000000000002</v>
      </c>
      <c r="E131">
        <v>290.89999999999998</v>
      </c>
      <c r="F131">
        <v>1.6739999999999999</v>
      </c>
      <c r="G131">
        <v>1231</v>
      </c>
      <c r="H131">
        <f t="shared" si="11"/>
        <v>76.946000020482529</v>
      </c>
      <c r="I131">
        <f>$R$2 + $R$5*$R$3*SQRT(($R$4/(2-$R$4))*(1-(1-$R$4)^(2*ROWS($C$2:C131))))</f>
        <v>76.02217893774683</v>
      </c>
      <c r="J131">
        <f>$R$2 - $R$5*$R$3*SQRT(($R$4/(2-$R$4))*(1-(1-$R$4)^(2*ROWS($C$2:C131))))</f>
        <v>73.772021062253103</v>
      </c>
      <c r="K131">
        <f t="shared" ref="K131:K194" si="14">(F131 - $R$6) / $R$7</f>
        <v>1.3951132413295144</v>
      </c>
      <c r="L131">
        <f t="shared" si="12"/>
        <v>61.891451352760747</v>
      </c>
      <c r="M131">
        <v>0.5</v>
      </c>
      <c r="N131">
        <f t="shared" si="13"/>
        <v>0</v>
      </c>
      <c r="O131" t="str">
        <f t="shared" ref="O131:O194" si="15">IF(H131&gt;I131, "ALARM: LINER WEAR", "NORMAL")</f>
        <v>ALARM: LINER WEAR</v>
      </c>
      <c r="P131" t="str">
        <f t="shared" ref="P131:P194" si="16">IF(L131&gt;$R$9, "ALARM: BURNER DRIFT", "NORMAL")</f>
        <v>ALARM: BURNER DRIFT</v>
      </c>
    </row>
    <row r="132" spans="1:16">
      <c r="A132" s="2">
        <v>46301.416666666657</v>
      </c>
      <c r="B132" t="s">
        <v>39</v>
      </c>
      <c r="C132">
        <v>74.959999999999994</v>
      </c>
      <c r="D132">
        <v>19.66</v>
      </c>
      <c r="E132">
        <v>304.89999999999998</v>
      </c>
      <c r="F132">
        <v>1.669</v>
      </c>
      <c r="G132">
        <v>1241.0999999999999</v>
      </c>
      <c r="H132">
        <f t="shared" ref="H132:H195" si="17">$R$4*C132 + (1-$R$4)*H131</f>
        <v>76.548800016386025</v>
      </c>
      <c r="I132">
        <f>$R$2 + $R$5*$R$3*SQRT(($R$4/(2-$R$4))*(1-(1-$R$4)^(2*ROWS($C$2:C132))))</f>
        <v>76.02217893774683</v>
      </c>
      <c r="J132">
        <f>$R$2 - $R$5*$R$3*SQRT(($R$4/(2-$R$4))*(1-(1-$R$4)^(2*ROWS($C$2:C132))))</f>
        <v>73.772021062253103</v>
      </c>
      <c r="K132">
        <f t="shared" si="14"/>
        <v>1.3495332216833604</v>
      </c>
      <c r="L132">
        <f t="shared" ref="L132:L195" si="18">MAX(0, L131 + K132 - $R$8)</f>
        <v>62.990984574444106</v>
      </c>
      <c r="M132">
        <v>0.5</v>
      </c>
      <c r="N132">
        <f t="shared" ref="N132:N195" si="19">MAX(0, N131 - K132 - $R$8)</f>
        <v>0</v>
      </c>
      <c r="O132" t="str">
        <f t="shared" si="15"/>
        <v>ALARM: LINER WEAR</v>
      </c>
      <c r="P132" t="str">
        <f t="shared" si="16"/>
        <v>ALARM: BURNER DRIFT</v>
      </c>
    </row>
    <row r="133" spans="1:16">
      <c r="A133" s="2">
        <v>46301.458333333343</v>
      </c>
      <c r="B133" t="s">
        <v>39</v>
      </c>
      <c r="C133">
        <v>75.98</v>
      </c>
      <c r="D133">
        <v>18.77</v>
      </c>
      <c r="E133">
        <v>286.7</v>
      </c>
      <c r="F133">
        <v>1.7150000000000001</v>
      </c>
      <c r="G133">
        <v>1225.9000000000001</v>
      </c>
      <c r="H133">
        <f t="shared" si="17"/>
        <v>76.435040013108818</v>
      </c>
      <c r="I133">
        <f>$R$2 + $R$5*$R$3*SQRT(($R$4/(2-$R$4))*(1-(1-$R$4)^(2*ROWS($C$2:C133))))</f>
        <v>76.02217893774683</v>
      </c>
      <c r="J133">
        <f>$R$2 - $R$5*$R$3*SQRT(($R$4/(2-$R$4))*(1-(1-$R$4)^(2*ROWS($C$2:C133))))</f>
        <v>73.772021062253103</v>
      </c>
      <c r="K133">
        <f t="shared" si="14"/>
        <v>1.7688694024279865</v>
      </c>
      <c r="L133">
        <f t="shared" si="18"/>
        <v>64.509853976872094</v>
      </c>
      <c r="M133">
        <v>0.5</v>
      </c>
      <c r="N133">
        <f t="shared" si="19"/>
        <v>0</v>
      </c>
      <c r="O133" t="str">
        <f t="shared" si="15"/>
        <v>ALARM: LINER WEAR</v>
      </c>
      <c r="P133" t="str">
        <f t="shared" si="16"/>
        <v>ALARM: BURNER DRIFT</v>
      </c>
    </row>
    <row r="134" spans="1:16">
      <c r="A134" s="2">
        <v>46301.5</v>
      </c>
      <c r="B134" t="s">
        <v>39</v>
      </c>
      <c r="C134">
        <v>74.849999999999994</v>
      </c>
      <c r="D134">
        <v>19.43</v>
      </c>
      <c r="E134">
        <v>306.89999999999998</v>
      </c>
      <c r="F134">
        <v>1.857</v>
      </c>
      <c r="G134">
        <v>1242.5999999999999</v>
      </c>
      <c r="H134">
        <f t="shared" si="17"/>
        <v>76.118032010487056</v>
      </c>
      <c r="I134">
        <f>$R$2 + $R$5*$R$3*SQRT(($R$4/(2-$R$4))*(1-(1-$R$4)^(2*ROWS($C$2:C134))))</f>
        <v>76.02217893774683</v>
      </c>
      <c r="J134">
        <f>$R$2 - $R$5*$R$3*SQRT(($R$4/(2-$R$4))*(1-(1-$R$4)^(2*ROWS($C$2:C134))))</f>
        <v>73.772021062253103</v>
      </c>
      <c r="K134">
        <f t="shared" si="14"/>
        <v>3.0633419603787875</v>
      </c>
      <c r="L134">
        <f t="shared" si="18"/>
        <v>67.323195937250887</v>
      </c>
      <c r="M134">
        <v>0.5</v>
      </c>
      <c r="N134">
        <f t="shared" si="19"/>
        <v>0</v>
      </c>
      <c r="O134" t="str">
        <f t="shared" si="15"/>
        <v>ALARM: LINER WEAR</v>
      </c>
      <c r="P134" t="str">
        <f t="shared" si="16"/>
        <v>ALARM: BURNER DRIFT</v>
      </c>
    </row>
    <row r="135" spans="1:16">
      <c r="A135" s="2">
        <v>46301.541666666657</v>
      </c>
      <c r="B135" t="s">
        <v>39</v>
      </c>
      <c r="C135">
        <v>76.37</v>
      </c>
      <c r="D135">
        <v>19.010000000000002</v>
      </c>
      <c r="E135">
        <v>274.7</v>
      </c>
      <c r="F135">
        <v>1.7689999999999999</v>
      </c>
      <c r="G135">
        <v>1238.8</v>
      </c>
      <c r="H135">
        <f t="shared" si="17"/>
        <v>76.16842560838964</v>
      </c>
      <c r="I135">
        <f>$R$2 + $R$5*$R$3*SQRT(($R$4/(2-$R$4))*(1-(1-$R$4)^(2*ROWS($C$2:C135))))</f>
        <v>76.02217893774683</v>
      </c>
      <c r="J135">
        <f>$R$2 - $R$5*$R$3*SQRT(($R$4/(2-$R$4))*(1-(1-$R$4)^(2*ROWS($C$2:C135))))</f>
        <v>73.772021062253103</v>
      </c>
      <c r="K135">
        <f t="shared" si="14"/>
        <v>2.2611336146064587</v>
      </c>
      <c r="L135">
        <f t="shared" si="18"/>
        <v>69.334329551857351</v>
      </c>
      <c r="M135">
        <v>0.5</v>
      </c>
      <c r="N135">
        <f t="shared" si="19"/>
        <v>0</v>
      </c>
      <c r="O135" t="str">
        <f t="shared" si="15"/>
        <v>ALARM: LINER WEAR</v>
      </c>
      <c r="P135" t="str">
        <f t="shared" si="16"/>
        <v>ALARM: BURNER DRIFT</v>
      </c>
    </row>
    <row r="136" spans="1:16">
      <c r="A136" s="2">
        <v>46301.583333333343</v>
      </c>
      <c r="B136" t="s">
        <v>39</v>
      </c>
      <c r="C136">
        <v>75.239999999999995</v>
      </c>
      <c r="D136">
        <v>19.260000000000002</v>
      </c>
      <c r="E136">
        <v>315</v>
      </c>
      <c r="F136">
        <v>1.7390000000000001</v>
      </c>
      <c r="G136">
        <v>1236.3</v>
      </c>
      <c r="H136">
        <f t="shared" si="17"/>
        <v>75.98274048671172</v>
      </c>
      <c r="I136">
        <f>$R$2 + $R$5*$R$3*SQRT(($R$4/(2-$R$4))*(1-(1-$R$4)^(2*ROWS($C$2:C136))))</f>
        <v>76.02217893774683</v>
      </c>
      <c r="J136">
        <f>$R$2 - $R$5*$R$3*SQRT(($R$4/(2-$R$4))*(1-(1-$R$4)^(2*ROWS($C$2:C136))))</f>
        <v>73.772021062253103</v>
      </c>
      <c r="K136">
        <f t="shared" si="14"/>
        <v>1.9876534967295307</v>
      </c>
      <c r="L136">
        <f t="shared" si="18"/>
        <v>71.071983048586887</v>
      </c>
      <c r="M136">
        <v>0.5</v>
      </c>
      <c r="N136">
        <f t="shared" si="19"/>
        <v>0</v>
      </c>
      <c r="O136" t="str">
        <f t="shared" si="15"/>
        <v>NORMAL</v>
      </c>
      <c r="P136" t="str">
        <f t="shared" si="16"/>
        <v>ALARM: BURNER DRIFT</v>
      </c>
    </row>
    <row r="137" spans="1:16">
      <c r="A137" s="2">
        <v>46301.625</v>
      </c>
      <c r="B137" t="s">
        <v>39</v>
      </c>
      <c r="C137">
        <v>77.11</v>
      </c>
      <c r="D137">
        <v>19.57</v>
      </c>
      <c r="E137">
        <v>306.10000000000002</v>
      </c>
      <c r="F137">
        <v>1.599</v>
      </c>
      <c r="G137">
        <v>1227.2</v>
      </c>
      <c r="H137">
        <f t="shared" si="17"/>
        <v>76.208192389369373</v>
      </c>
      <c r="I137">
        <f>$R$2 + $R$5*$R$3*SQRT(($R$4/(2-$R$4))*(1-(1-$R$4)^(2*ROWS($C$2:C137))))</f>
        <v>76.02217893774683</v>
      </c>
      <c r="J137">
        <f>$R$2 - $R$5*$R$3*SQRT(($R$4/(2-$R$4))*(1-(1-$R$4)^(2*ROWS($C$2:C137))))</f>
        <v>73.772021062253103</v>
      </c>
      <c r="K137">
        <f t="shared" si="14"/>
        <v>0.71141294663719001</v>
      </c>
      <c r="L137">
        <f t="shared" si="18"/>
        <v>71.533395995224083</v>
      </c>
      <c r="M137">
        <v>0.5</v>
      </c>
      <c r="N137">
        <f t="shared" si="19"/>
        <v>0</v>
      </c>
      <c r="O137" t="str">
        <f t="shared" si="15"/>
        <v>ALARM: LINER WEAR</v>
      </c>
      <c r="P137" t="str">
        <f t="shared" si="16"/>
        <v>ALARM: BURNER DRIFT</v>
      </c>
    </row>
    <row r="138" spans="1:16">
      <c r="A138" s="2">
        <v>46301.666666666657</v>
      </c>
      <c r="B138" t="s">
        <v>39</v>
      </c>
      <c r="C138">
        <v>76.13</v>
      </c>
      <c r="D138">
        <v>19.239999999999998</v>
      </c>
      <c r="E138">
        <v>302.2</v>
      </c>
      <c r="F138">
        <v>1.645</v>
      </c>
      <c r="G138">
        <v>1244.0999999999999</v>
      </c>
      <c r="H138">
        <f t="shared" si="17"/>
        <v>76.192553911495509</v>
      </c>
      <c r="I138">
        <f>$R$2 + $R$5*$R$3*SQRT(($R$4/(2-$R$4))*(1-(1-$R$4)^(2*ROWS($C$2:C138))))</f>
        <v>76.02217893774683</v>
      </c>
      <c r="J138">
        <f>$R$2 - $R$5*$R$3*SQRT(($R$4/(2-$R$4))*(1-(1-$R$4)^(2*ROWS($C$2:C138))))</f>
        <v>73.772021062253103</v>
      </c>
      <c r="K138">
        <f t="shared" si="14"/>
        <v>1.1307491273818162</v>
      </c>
      <c r="L138">
        <f t="shared" si="18"/>
        <v>72.414145122605902</v>
      </c>
      <c r="M138">
        <v>0.5</v>
      </c>
      <c r="N138">
        <f t="shared" si="19"/>
        <v>0</v>
      </c>
      <c r="O138" t="str">
        <f t="shared" si="15"/>
        <v>ALARM: LINER WEAR</v>
      </c>
      <c r="P138" t="str">
        <f t="shared" si="16"/>
        <v>ALARM: BURNER DRIFT</v>
      </c>
    </row>
    <row r="139" spans="1:16">
      <c r="A139" s="2">
        <v>46301.708333333343</v>
      </c>
      <c r="B139" t="s">
        <v>39</v>
      </c>
      <c r="C139">
        <v>76.66</v>
      </c>
      <c r="D139">
        <v>19.46</v>
      </c>
      <c r="E139">
        <v>312.5</v>
      </c>
      <c r="F139">
        <v>1.5329999999999999</v>
      </c>
      <c r="G139">
        <v>1235.7</v>
      </c>
      <c r="H139">
        <f t="shared" si="17"/>
        <v>76.286043129196401</v>
      </c>
      <c r="I139">
        <f>$R$2 + $R$5*$R$3*SQRT(($R$4/(2-$R$4))*(1-(1-$R$4)^(2*ROWS($C$2:C139))))</f>
        <v>76.02217893774683</v>
      </c>
      <c r="J139">
        <f>$R$2 - $R$5*$R$3*SQRT(($R$4/(2-$R$4))*(1-(1-$R$4)^(2*ROWS($C$2:C139))))</f>
        <v>73.772021062253103</v>
      </c>
      <c r="K139">
        <f t="shared" si="14"/>
        <v>0.10975668730794369</v>
      </c>
      <c r="L139">
        <f t="shared" si="18"/>
        <v>72.273901809913852</v>
      </c>
      <c r="M139">
        <v>0.5</v>
      </c>
      <c r="N139">
        <f t="shared" si="19"/>
        <v>0</v>
      </c>
      <c r="O139" t="str">
        <f t="shared" si="15"/>
        <v>ALARM: LINER WEAR</v>
      </c>
      <c r="P139" t="str">
        <f t="shared" si="16"/>
        <v>ALARM: BURNER DRIFT</v>
      </c>
    </row>
    <row r="140" spans="1:16">
      <c r="A140" s="2">
        <v>46301.75</v>
      </c>
      <c r="B140" t="s">
        <v>39</v>
      </c>
      <c r="C140">
        <v>77.97</v>
      </c>
      <c r="D140">
        <v>20.04</v>
      </c>
      <c r="E140">
        <v>322.2</v>
      </c>
      <c r="F140">
        <v>1.7589999999999999</v>
      </c>
      <c r="G140">
        <v>1230.5999999999999</v>
      </c>
      <c r="H140">
        <f t="shared" si="17"/>
        <v>76.622834503357126</v>
      </c>
      <c r="I140">
        <f>$R$2 + $R$5*$R$3*SQRT(($R$4/(2-$R$4))*(1-(1-$R$4)^(2*ROWS($C$2:C140))))</f>
        <v>76.02217893774683</v>
      </c>
      <c r="J140">
        <f>$R$2 - $R$5*$R$3*SQRT(($R$4/(2-$R$4))*(1-(1-$R$4)^(2*ROWS($C$2:C140))))</f>
        <v>73.772021062253103</v>
      </c>
      <c r="K140">
        <f t="shared" si="14"/>
        <v>2.1699735753141489</v>
      </c>
      <c r="L140">
        <f t="shared" si="18"/>
        <v>74.193875385227997</v>
      </c>
      <c r="M140">
        <v>0.5</v>
      </c>
      <c r="N140">
        <f t="shared" si="19"/>
        <v>0</v>
      </c>
      <c r="O140" t="str">
        <f t="shared" si="15"/>
        <v>ALARM: LINER WEAR</v>
      </c>
      <c r="P140" t="str">
        <f t="shared" si="16"/>
        <v>ALARM: BURNER DRIFT</v>
      </c>
    </row>
    <row r="141" spans="1:16">
      <c r="A141" s="2">
        <v>46301.791666666657</v>
      </c>
      <c r="B141" t="s">
        <v>39</v>
      </c>
      <c r="C141">
        <v>75.790000000000006</v>
      </c>
      <c r="D141">
        <v>19.440000000000001</v>
      </c>
      <c r="E141">
        <v>311.8</v>
      </c>
      <c r="F141">
        <v>1.643</v>
      </c>
      <c r="G141">
        <v>1217</v>
      </c>
      <c r="H141">
        <f t="shared" si="17"/>
        <v>76.456267602685699</v>
      </c>
      <c r="I141">
        <f>$R$2 + $R$5*$R$3*SQRT(($R$4/(2-$R$4))*(1-(1-$R$4)^(2*ROWS($C$2:C141))))</f>
        <v>76.02217893774683</v>
      </c>
      <c r="J141">
        <f>$R$2 - $R$5*$R$3*SQRT(($R$4/(2-$R$4))*(1-(1-$R$4)^(2*ROWS($C$2:C141))))</f>
        <v>73.772021062253103</v>
      </c>
      <c r="K141">
        <f t="shared" si="14"/>
        <v>1.1125171195233543</v>
      </c>
      <c r="L141">
        <f t="shared" si="18"/>
        <v>75.056392504751358</v>
      </c>
      <c r="M141">
        <v>0.5</v>
      </c>
      <c r="N141">
        <f t="shared" si="19"/>
        <v>0</v>
      </c>
      <c r="O141" t="str">
        <f t="shared" si="15"/>
        <v>ALARM: LINER WEAR</v>
      </c>
      <c r="P141" t="str">
        <f t="shared" si="16"/>
        <v>ALARM: BURNER DRIFT</v>
      </c>
    </row>
    <row r="142" spans="1:16">
      <c r="A142" s="2">
        <v>46301.833333333343</v>
      </c>
      <c r="B142" t="s">
        <v>39</v>
      </c>
      <c r="C142">
        <v>76.569999999999993</v>
      </c>
      <c r="D142">
        <v>20.03</v>
      </c>
      <c r="E142">
        <v>268.39999999999998</v>
      </c>
      <c r="F142">
        <v>1.597</v>
      </c>
      <c r="G142">
        <v>1239.8</v>
      </c>
      <c r="H142">
        <f t="shared" si="17"/>
        <v>76.479014082148552</v>
      </c>
      <c r="I142">
        <f>$R$2 + $R$5*$R$3*SQRT(($R$4/(2-$R$4))*(1-(1-$R$4)^(2*ROWS($C$2:C142))))</f>
        <v>76.02217893774683</v>
      </c>
      <c r="J142">
        <f>$R$2 - $R$5*$R$3*SQRT(($R$4/(2-$R$4))*(1-(1-$R$4)^(2*ROWS($C$2:C142))))</f>
        <v>73.772021062253103</v>
      </c>
      <c r="K142">
        <f t="shared" si="14"/>
        <v>0.693180938778728</v>
      </c>
      <c r="L142">
        <f t="shared" si="18"/>
        <v>75.499573443530082</v>
      </c>
      <c r="M142">
        <v>0.5</v>
      </c>
      <c r="N142">
        <f t="shared" si="19"/>
        <v>0</v>
      </c>
      <c r="O142" t="str">
        <f t="shared" si="15"/>
        <v>ALARM: LINER WEAR</v>
      </c>
      <c r="P142" t="str">
        <f t="shared" si="16"/>
        <v>ALARM: BURNER DRIFT</v>
      </c>
    </row>
    <row r="143" spans="1:16">
      <c r="A143" s="2">
        <v>46301.875</v>
      </c>
      <c r="B143" t="s">
        <v>39</v>
      </c>
      <c r="C143">
        <v>77.62</v>
      </c>
      <c r="D143">
        <v>19.28</v>
      </c>
      <c r="E143">
        <v>276.2</v>
      </c>
      <c r="F143">
        <v>1.5920000000000001</v>
      </c>
      <c r="G143">
        <v>1254.2</v>
      </c>
      <c r="H143">
        <f t="shared" si="17"/>
        <v>76.707211265718854</v>
      </c>
      <c r="I143">
        <f>$R$2 + $R$5*$R$3*SQRT(($R$4/(2-$R$4))*(1-(1-$R$4)^(2*ROWS($C$2:C143))))</f>
        <v>76.02217893774683</v>
      </c>
      <c r="J143">
        <f>$R$2 - $R$5*$R$3*SQRT(($R$4/(2-$R$4))*(1-(1-$R$4)^(2*ROWS($C$2:C143))))</f>
        <v>73.772021062253103</v>
      </c>
      <c r="K143">
        <f t="shared" si="14"/>
        <v>0.647600919132574</v>
      </c>
      <c r="L143">
        <f t="shared" si="18"/>
        <v>75.897174362662653</v>
      </c>
      <c r="M143">
        <v>0.5</v>
      </c>
      <c r="N143">
        <f t="shared" si="19"/>
        <v>0</v>
      </c>
      <c r="O143" t="str">
        <f t="shared" si="15"/>
        <v>ALARM: LINER WEAR</v>
      </c>
      <c r="P143" t="str">
        <f t="shared" si="16"/>
        <v>ALARM: BURNER DRIFT</v>
      </c>
    </row>
    <row r="144" spans="1:16">
      <c r="A144" s="2">
        <v>46301.916666666657</v>
      </c>
      <c r="B144" t="s">
        <v>39</v>
      </c>
      <c r="C144">
        <v>75.319999999999993</v>
      </c>
      <c r="D144">
        <v>19.97</v>
      </c>
      <c r="E144">
        <v>285.39999999999998</v>
      </c>
      <c r="F144">
        <v>1.7609999999999999</v>
      </c>
      <c r="G144">
        <v>1253.3</v>
      </c>
      <c r="H144">
        <f t="shared" si="17"/>
        <v>76.429769012575093</v>
      </c>
      <c r="I144">
        <f>$R$2 + $R$5*$R$3*SQRT(($R$4/(2-$R$4))*(1-(1-$R$4)^(2*ROWS($C$2:C144))))</f>
        <v>76.02217893774683</v>
      </c>
      <c r="J144">
        <f>$R$2 - $R$5*$R$3*SQRT(($R$4/(2-$R$4))*(1-(1-$R$4)^(2*ROWS($C$2:C144))))</f>
        <v>73.772021062253103</v>
      </c>
      <c r="K144">
        <f t="shared" si="14"/>
        <v>2.1882055831726106</v>
      </c>
      <c r="L144">
        <f t="shared" si="18"/>
        <v>77.835379945835257</v>
      </c>
      <c r="M144">
        <v>0.5</v>
      </c>
      <c r="N144">
        <f t="shared" si="19"/>
        <v>0</v>
      </c>
      <c r="O144" t="str">
        <f t="shared" si="15"/>
        <v>ALARM: LINER WEAR</v>
      </c>
      <c r="P144" t="str">
        <f t="shared" si="16"/>
        <v>ALARM: BURNER DRIFT</v>
      </c>
    </row>
    <row r="145" spans="1:16">
      <c r="A145" s="2">
        <v>46301.958333333343</v>
      </c>
      <c r="B145" t="s">
        <v>39</v>
      </c>
      <c r="C145">
        <v>76.209999999999994</v>
      </c>
      <c r="D145">
        <v>20.37</v>
      </c>
      <c r="E145">
        <v>294.60000000000002</v>
      </c>
      <c r="F145">
        <v>1.617</v>
      </c>
      <c r="G145">
        <v>1236.3</v>
      </c>
      <c r="H145">
        <f t="shared" si="17"/>
        <v>76.385815210060073</v>
      </c>
      <c r="I145">
        <f>$R$2 + $R$5*$R$3*SQRT(($R$4/(2-$R$4))*(1-(1-$R$4)^(2*ROWS($C$2:C145))))</f>
        <v>76.02217893774683</v>
      </c>
      <c r="J145">
        <f>$R$2 - $R$5*$R$3*SQRT(($R$4/(2-$R$4))*(1-(1-$R$4)^(2*ROWS($C$2:C145))))</f>
        <v>73.772021062253103</v>
      </c>
      <c r="K145">
        <f t="shared" si="14"/>
        <v>0.87550101736334807</v>
      </c>
      <c r="L145">
        <f t="shared" si="18"/>
        <v>78.460880963198605</v>
      </c>
      <c r="M145">
        <v>0.5</v>
      </c>
      <c r="N145">
        <f t="shared" si="19"/>
        <v>0</v>
      </c>
      <c r="O145" t="str">
        <f t="shared" si="15"/>
        <v>ALARM: LINER WEAR</v>
      </c>
      <c r="P145" t="str">
        <f t="shared" si="16"/>
        <v>ALARM: BURNER DRIFT</v>
      </c>
    </row>
    <row r="146" spans="1:16">
      <c r="A146" s="2">
        <v>46302</v>
      </c>
      <c r="B146" t="s">
        <v>39</v>
      </c>
      <c r="C146">
        <v>76.75</v>
      </c>
      <c r="D146">
        <v>18.829999999999998</v>
      </c>
      <c r="E146">
        <v>301.39999999999998</v>
      </c>
      <c r="F146">
        <v>1.569</v>
      </c>
      <c r="G146">
        <v>1235.2</v>
      </c>
      <c r="H146">
        <f t="shared" si="17"/>
        <v>76.458652168048062</v>
      </c>
      <c r="I146">
        <f>$R$2 + $R$5*$R$3*SQRT(($R$4/(2-$R$4))*(1-(1-$R$4)^(2*ROWS($C$2:C146))))</f>
        <v>76.02217893774683</v>
      </c>
      <c r="J146">
        <f>$R$2 - $R$5*$R$3*SQRT(($R$4/(2-$R$4))*(1-(1-$R$4)^(2*ROWS($C$2:C146))))</f>
        <v>73.772021062253103</v>
      </c>
      <c r="K146">
        <f t="shared" si="14"/>
        <v>0.43793282876025985</v>
      </c>
      <c r="L146">
        <f t="shared" si="18"/>
        <v>78.648813791958858</v>
      </c>
      <c r="M146">
        <v>0.5</v>
      </c>
      <c r="N146">
        <f t="shared" si="19"/>
        <v>0</v>
      </c>
      <c r="O146" t="str">
        <f t="shared" si="15"/>
        <v>ALARM: LINER WEAR</v>
      </c>
      <c r="P146" t="str">
        <f t="shared" si="16"/>
        <v>ALARM: BURNER DRIFT</v>
      </c>
    </row>
    <row r="147" spans="1:16">
      <c r="A147" s="2">
        <v>46302.041666666657</v>
      </c>
      <c r="B147" t="s">
        <v>39</v>
      </c>
      <c r="C147">
        <v>78.900000000000006</v>
      </c>
      <c r="D147">
        <v>19.53</v>
      </c>
      <c r="E147">
        <v>282.10000000000002</v>
      </c>
      <c r="F147">
        <v>1.4890000000000001</v>
      </c>
      <c r="G147">
        <v>1243.8</v>
      </c>
      <c r="H147">
        <f t="shared" si="17"/>
        <v>76.946921734438462</v>
      </c>
      <c r="I147">
        <f>$R$2 + $R$5*$R$3*SQRT(($R$4/(2-$R$4))*(1-(1-$R$4)^(2*ROWS($C$2:C147))))</f>
        <v>76.02217893774683</v>
      </c>
      <c r="J147">
        <f>$R$2 - $R$5*$R$3*SQRT(($R$4/(2-$R$4))*(1-(1-$R$4)^(2*ROWS($C$2:C147))))</f>
        <v>73.772021062253103</v>
      </c>
      <c r="K147">
        <f t="shared" si="14"/>
        <v>-0.29134748557821849</v>
      </c>
      <c r="L147">
        <f t="shared" si="18"/>
        <v>78.107466306380644</v>
      </c>
      <c r="M147">
        <v>0.5</v>
      </c>
      <c r="N147">
        <f t="shared" si="19"/>
        <v>4.134748557821849E-2</v>
      </c>
      <c r="O147" t="str">
        <f t="shared" si="15"/>
        <v>ALARM: LINER WEAR</v>
      </c>
      <c r="P147" t="str">
        <f t="shared" si="16"/>
        <v>ALARM: BURNER DRIFT</v>
      </c>
    </row>
    <row r="148" spans="1:16">
      <c r="A148" s="2">
        <v>46302.083333333343</v>
      </c>
      <c r="B148" t="s">
        <v>39</v>
      </c>
      <c r="C148">
        <v>77.290000000000006</v>
      </c>
      <c r="D148">
        <v>20.11</v>
      </c>
      <c r="E148">
        <v>295.2</v>
      </c>
      <c r="F148">
        <v>1.5820000000000001</v>
      </c>
      <c r="G148">
        <v>1232</v>
      </c>
      <c r="H148">
        <f t="shared" si="17"/>
        <v>77.015537387550779</v>
      </c>
      <c r="I148">
        <f>$R$2 + $R$5*$R$3*SQRT(($R$4/(2-$R$4))*(1-(1-$R$4)^(2*ROWS($C$2:C148))))</f>
        <v>76.02217893774683</v>
      </c>
      <c r="J148">
        <f>$R$2 - $R$5*$R$3*SQRT(($R$4/(2-$R$4))*(1-(1-$R$4)^(2*ROWS($C$2:C148))))</f>
        <v>73.772021062253103</v>
      </c>
      <c r="K148">
        <f t="shared" si="14"/>
        <v>0.55644087984026391</v>
      </c>
      <c r="L148">
        <f t="shared" si="18"/>
        <v>78.413907186220911</v>
      </c>
      <c r="M148">
        <v>0.5</v>
      </c>
      <c r="N148">
        <f t="shared" si="19"/>
        <v>0</v>
      </c>
      <c r="O148" t="str">
        <f t="shared" si="15"/>
        <v>ALARM: LINER WEAR</v>
      </c>
      <c r="P148" t="str">
        <f t="shared" si="16"/>
        <v>ALARM: BURNER DRIFT</v>
      </c>
    </row>
    <row r="149" spans="1:16">
      <c r="A149" s="2">
        <v>46302.125</v>
      </c>
      <c r="B149" t="s">
        <v>39</v>
      </c>
      <c r="C149">
        <v>75.45</v>
      </c>
      <c r="D149">
        <v>19.829999999999998</v>
      </c>
      <c r="E149">
        <v>280.5</v>
      </c>
      <c r="F149">
        <v>1.7290000000000001</v>
      </c>
      <c r="G149">
        <v>1242.4000000000001</v>
      </c>
      <c r="H149">
        <f t="shared" si="17"/>
        <v>76.702429910040621</v>
      </c>
      <c r="I149">
        <f>$R$2 + $R$5*$R$3*SQRT(($R$4/(2-$R$4))*(1-(1-$R$4)^(2*ROWS($C$2:C149))))</f>
        <v>76.02217893774683</v>
      </c>
      <c r="J149">
        <f>$R$2 - $R$5*$R$3*SQRT(($R$4/(2-$R$4))*(1-(1-$R$4)^(2*ROWS($C$2:C149))))</f>
        <v>73.772021062253103</v>
      </c>
      <c r="K149">
        <f t="shared" si="14"/>
        <v>1.8964934574372208</v>
      </c>
      <c r="L149">
        <f t="shared" si="18"/>
        <v>80.060400643658127</v>
      </c>
      <c r="M149">
        <v>0.5</v>
      </c>
      <c r="N149">
        <f t="shared" si="19"/>
        <v>0</v>
      </c>
      <c r="O149" t="str">
        <f t="shared" si="15"/>
        <v>ALARM: LINER WEAR</v>
      </c>
      <c r="P149" t="str">
        <f t="shared" si="16"/>
        <v>ALARM: BURNER DRIFT</v>
      </c>
    </row>
    <row r="150" spans="1:16">
      <c r="A150" s="2">
        <v>46302.166666666657</v>
      </c>
      <c r="B150" t="s">
        <v>39</v>
      </c>
      <c r="C150">
        <v>76.53</v>
      </c>
      <c r="D150">
        <v>20.09</v>
      </c>
      <c r="E150">
        <v>282</v>
      </c>
      <c r="F150">
        <v>1.7749999999999999</v>
      </c>
      <c r="G150">
        <v>1246.0999999999999</v>
      </c>
      <c r="H150">
        <f t="shared" si="17"/>
        <v>76.6679439280325</v>
      </c>
      <c r="I150">
        <f>$R$2 + $R$5*$R$3*SQRT(($R$4/(2-$R$4))*(1-(1-$R$4)^(2*ROWS($C$2:C150))))</f>
        <v>76.02217893774683</v>
      </c>
      <c r="J150">
        <f>$R$2 - $R$5*$R$3*SQRT(($R$4/(2-$R$4))*(1-(1-$R$4)^(2*ROWS($C$2:C150))))</f>
        <v>73.772021062253103</v>
      </c>
      <c r="K150">
        <f t="shared" si="14"/>
        <v>2.3158296381818451</v>
      </c>
      <c r="L150">
        <f t="shared" si="18"/>
        <v>82.126230281839966</v>
      </c>
      <c r="M150">
        <v>0.5</v>
      </c>
      <c r="N150">
        <f t="shared" si="19"/>
        <v>0</v>
      </c>
      <c r="O150" t="str">
        <f t="shared" si="15"/>
        <v>ALARM: LINER WEAR</v>
      </c>
      <c r="P150" t="str">
        <f t="shared" si="16"/>
        <v>ALARM: BURNER DRIFT</v>
      </c>
    </row>
    <row r="151" spans="1:16">
      <c r="A151" s="2">
        <v>46302.208333333343</v>
      </c>
      <c r="B151" t="s">
        <v>39</v>
      </c>
      <c r="C151">
        <v>77.73</v>
      </c>
      <c r="D151">
        <v>19.73</v>
      </c>
      <c r="E151">
        <v>269.5</v>
      </c>
      <c r="F151">
        <v>1.6459999999999999</v>
      </c>
      <c r="G151">
        <v>1249.8</v>
      </c>
      <c r="H151">
        <f t="shared" si="17"/>
        <v>76.880355142426012</v>
      </c>
      <c r="I151">
        <f>$R$2 + $R$5*$R$3*SQRT(($R$4/(2-$R$4))*(1-(1-$R$4)^(2*ROWS($C$2:C151))))</f>
        <v>76.02217893774683</v>
      </c>
      <c r="J151">
        <f>$R$2 - $R$5*$R$3*SQRT(($R$4/(2-$R$4))*(1-(1-$R$4)^(2*ROWS($C$2:C151))))</f>
        <v>73.772021062253103</v>
      </c>
      <c r="K151">
        <f t="shared" si="14"/>
        <v>1.1398651313110462</v>
      </c>
      <c r="L151">
        <f t="shared" si="18"/>
        <v>83.016095413151007</v>
      </c>
      <c r="M151">
        <v>0.5</v>
      </c>
      <c r="N151">
        <f t="shared" si="19"/>
        <v>0</v>
      </c>
      <c r="O151" t="str">
        <f t="shared" si="15"/>
        <v>ALARM: LINER WEAR</v>
      </c>
      <c r="P151" t="str">
        <f t="shared" si="16"/>
        <v>ALARM: BURNER DRIFT</v>
      </c>
    </row>
    <row r="152" spans="1:16">
      <c r="A152" s="2">
        <v>46302.25</v>
      </c>
      <c r="B152" t="s">
        <v>39</v>
      </c>
      <c r="C152">
        <v>78.91</v>
      </c>
      <c r="D152">
        <v>20.03</v>
      </c>
      <c r="E152">
        <v>276.2</v>
      </c>
      <c r="F152">
        <v>1.677</v>
      </c>
      <c r="G152">
        <v>1239.2</v>
      </c>
      <c r="H152">
        <f t="shared" si="17"/>
        <v>77.286284113940809</v>
      </c>
      <c r="I152">
        <f>$R$2 + $R$5*$R$3*SQRT(($R$4/(2-$R$4))*(1-(1-$R$4)^(2*ROWS($C$2:C152))))</f>
        <v>76.02217893774683</v>
      </c>
      <c r="J152">
        <f>$R$2 - $R$5*$R$3*SQRT(($R$4/(2-$R$4))*(1-(1-$R$4)^(2*ROWS($C$2:C152))))</f>
        <v>73.772021062253103</v>
      </c>
      <c r="K152">
        <f t="shared" si="14"/>
        <v>1.4224612531172085</v>
      </c>
      <c r="L152">
        <f t="shared" si="18"/>
        <v>84.188556666268212</v>
      </c>
      <c r="M152">
        <v>0.5</v>
      </c>
      <c r="N152">
        <f t="shared" si="19"/>
        <v>0</v>
      </c>
      <c r="O152" t="str">
        <f t="shared" si="15"/>
        <v>ALARM: LINER WEAR</v>
      </c>
      <c r="P152" t="str">
        <f t="shared" si="16"/>
        <v>ALARM: BURNER DRIFT</v>
      </c>
    </row>
    <row r="153" spans="1:16">
      <c r="A153" s="2">
        <v>46302.291666666657</v>
      </c>
      <c r="B153" t="s">
        <v>39</v>
      </c>
      <c r="C153">
        <v>77.83</v>
      </c>
      <c r="D153">
        <v>19.97</v>
      </c>
      <c r="E153">
        <v>269.10000000000002</v>
      </c>
      <c r="F153">
        <v>1.8560000000000001</v>
      </c>
      <c r="G153">
        <v>1238.4000000000001</v>
      </c>
      <c r="H153">
        <f t="shared" si="17"/>
        <v>77.395027291152644</v>
      </c>
      <c r="I153">
        <f>$R$2 + $R$5*$R$3*SQRT(($R$4/(2-$R$4))*(1-(1-$R$4)^(2*ROWS($C$2:C153))))</f>
        <v>76.02217893774683</v>
      </c>
      <c r="J153">
        <f>$R$2 - $R$5*$R$3*SQRT(($R$4/(2-$R$4))*(1-(1-$R$4)^(2*ROWS($C$2:C153))))</f>
        <v>73.772021062253103</v>
      </c>
      <c r="K153">
        <f t="shared" si="14"/>
        <v>3.0542259564495571</v>
      </c>
      <c r="L153">
        <f t="shared" si="18"/>
        <v>86.992782622717769</v>
      </c>
      <c r="M153">
        <v>0.5</v>
      </c>
      <c r="N153">
        <f t="shared" si="19"/>
        <v>0</v>
      </c>
      <c r="O153" t="str">
        <f t="shared" si="15"/>
        <v>ALARM: LINER WEAR</v>
      </c>
      <c r="P153" t="str">
        <f t="shared" si="16"/>
        <v>ALARM: BURNER DRIFT</v>
      </c>
    </row>
    <row r="154" spans="1:16">
      <c r="A154" s="2">
        <v>46302.333333333343</v>
      </c>
      <c r="B154" t="s">
        <v>39</v>
      </c>
      <c r="C154">
        <v>76.180000000000007</v>
      </c>
      <c r="D154">
        <v>20.53</v>
      </c>
      <c r="E154">
        <v>274.2</v>
      </c>
      <c r="F154">
        <v>1.6890000000000001</v>
      </c>
      <c r="G154">
        <v>1233</v>
      </c>
      <c r="H154">
        <f t="shared" si="17"/>
        <v>77.152021832922117</v>
      </c>
      <c r="I154">
        <f>$R$2 + $R$5*$R$3*SQRT(($R$4/(2-$R$4))*(1-(1-$R$4)^(2*ROWS($C$2:C154))))</f>
        <v>76.02217893774683</v>
      </c>
      <c r="J154">
        <f>$R$2 - $R$5*$R$3*SQRT(($R$4/(2-$R$4))*(1-(1-$R$4)^(2*ROWS($C$2:C154))))</f>
        <v>73.772021062253103</v>
      </c>
      <c r="K154">
        <f t="shared" si="14"/>
        <v>1.5318533002679804</v>
      </c>
      <c r="L154">
        <f t="shared" si="18"/>
        <v>88.274635922985752</v>
      </c>
      <c r="M154">
        <v>0.5</v>
      </c>
      <c r="N154">
        <f t="shared" si="19"/>
        <v>0</v>
      </c>
      <c r="O154" t="str">
        <f t="shared" si="15"/>
        <v>ALARM: LINER WEAR</v>
      </c>
      <c r="P154" t="str">
        <f t="shared" si="16"/>
        <v>ALARM: BURNER DRIFT</v>
      </c>
    </row>
    <row r="155" spans="1:16">
      <c r="A155" s="2">
        <v>46302.375</v>
      </c>
      <c r="B155" t="s">
        <v>39</v>
      </c>
      <c r="C155">
        <v>78</v>
      </c>
      <c r="D155">
        <v>20.190000000000001</v>
      </c>
      <c r="E155">
        <v>304</v>
      </c>
      <c r="F155">
        <v>1.7110000000000001</v>
      </c>
      <c r="G155">
        <v>1233.4000000000001</v>
      </c>
      <c r="H155">
        <f t="shared" si="17"/>
        <v>77.321617466337699</v>
      </c>
      <c r="I155">
        <f>$R$2 + $R$5*$R$3*SQRT(($R$4/(2-$R$4))*(1-(1-$R$4)^(2*ROWS($C$2:C155))))</f>
        <v>76.02217893774683</v>
      </c>
      <c r="J155">
        <f>$R$2 - $R$5*$R$3*SQRT(($R$4/(2-$R$4))*(1-(1-$R$4)^(2*ROWS($C$2:C155))))</f>
        <v>73.772021062253103</v>
      </c>
      <c r="K155">
        <f t="shared" si="14"/>
        <v>1.7324053867110625</v>
      </c>
      <c r="L155">
        <f t="shared" si="18"/>
        <v>89.757041309696817</v>
      </c>
      <c r="M155">
        <v>0.5</v>
      </c>
      <c r="N155">
        <f t="shared" si="19"/>
        <v>0</v>
      </c>
      <c r="O155" t="str">
        <f t="shared" si="15"/>
        <v>ALARM: LINER WEAR</v>
      </c>
      <c r="P155" t="str">
        <f t="shared" si="16"/>
        <v>ALARM: BURNER DRIFT</v>
      </c>
    </row>
    <row r="156" spans="1:16">
      <c r="A156" s="2">
        <v>46302.416666666657</v>
      </c>
      <c r="B156" t="s">
        <v>39</v>
      </c>
      <c r="C156">
        <v>78.34</v>
      </c>
      <c r="D156">
        <v>20.260000000000002</v>
      </c>
      <c r="E156">
        <v>273.39999999999998</v>
      </c>
      <c r="F156">
        <v>1.76</v>
      </c>
      <c r="G156">
        <v>1238.2</v>
      </c>
      <c r="H156">
        <f t="shared" si="17"/>
        <v>77.525293973070163</v>
      </c>
      <c r="I156">
        <f>$R$2 + $R$5*$R$3*SQRT(($R$4/(2-$R$4))*(1-(1-$R$4)^(2*ROWS($C$2:C156))))</f>
        <v>76.02217893774683</v>
      </c>
      <c r="J156">
        <f>$R$2 - $R$5*$R$3*SQRT(($R$4/(2-$R$4))*(1-(1-$R$4)^(2*ROWS($C$2:C156))))</f>
        <v>73.772021062253103</v>
      </c>
      <c r="K156">
        <f t="shared" si="14"/>
        <v>2.1790895792433806</v>
      </c>
      <c r="L156">
        <f t="shared" si="18"/>
        <v>91.686130888940198</v>
      </c>
      <c r="M156">
        <v>0.5</v>
      </c>
      <c r="N156">
        <f t="shared" si="19"/>
        <v>0</v>
      </c>
      <c r="O156" t="str">
        <f t="shared" si="15"/>
        <v>ALARM: LINER WEAR</v>
      </c>
      <c r="P156" t="str">
        <f t="shared" si="16"/>
        <v>ALARM: BURNER DRIFT</v>
      </c>
    </row>
    <row r="157" spans="1:16">
      <c r="A157" s="2">
        <v>46302.458333333343</v>
      </c>
      <c r="B157" t="s">
        <v>39</v>
      </c>
      <c r="C157">
        <v>77.010000000000005</v>
      </c>
      <c r="D157">
        <v>19.989999999999998</v>
      </c>
      <c r="E157">
        <v>326.5</v>
      </c>
      <c r="F157">
        <v>1.718</v>
      </c>
      <c r="G157">
        <v>1242.9000000000001</v>
      </c>
      <c r="H157">
        <f t="shared" si="17"/>
        <v>77.422235178456134</v>
      </c>
      <c r="I157">
        <f>$R$2 + $R$5*$R$3*SQRT(($R$4/(2-$R$4))*(1-(1-$R$4)^(2*ROWS($C$2:C157))))</f>
        <v>76.02217893774683</v>
      </c>
      <c r="J157">
        <f>$R$2 - $R$5*$R$3*SQRT(($R$4/(2-$R$4))*(1-(1-$R$4)^(2*ROWS($C$2:C157))))</f>
        <v>73.772021062253103</v>
      </c>
      <c r="K157">
        <f t="shared" si="14"/>
        <v>1.7962174142156786</v>
      </c>
      <c r="L157">
        <f t="shared" si="18"/>
        <v>93.232348303155874</v>
      </c>
      <c r="M157">
        <v>0.5</v>
      </c>
      <c r="N157">
        <f t="shared" si="19"/>
        <v>0</v>
      </c>
      <c r="O157" t="str">
        <f t="shared" si="15"/>
        <v>ALARM: LINER WEAR</v>
      </c>
      <c r="P157" t="str">
        <f t="shared" si="16"/>
        <v>ALARM: BURNER DRIFT</v>
      </c>
    </row>
    <row r="158" spans="1:16">
      <c r="A158" s="2">
        <v>46302.5</v>
      </c>
      <c r="B158" t="s">
        <v>39</v>
      </c>
      <c r="C158">
        <v>79.319999999999993</v>
      </c>
      <c r="D158">
        <v>19.98</v>
      </c>
      <c r="E158">
        <v>293.8</v>
      </c>
      <c r="F158">
        <v>1.6910000000000001</v>
      </c>
      <c r="G158">
        <v>1247.3</v>
      </c>
      <c r="H158">
        <f t="shared" si="17"/>
        <v>77.801788142764906</v>
      </c>
      <c r="I158">
        <f>$R$2 + $R$5*$R$3*SQRT(($R$4/(2-$R$4))*(1-(1-$R$4)^(2*ROWS($C$2:C158))))</f>
        <v>76.02217893774683</v>
      </c>
      <c r="J158">
        <f>$R$2 - $R$5*$R$3*SQRT(($R$4/(2-$R$4))*(1-(1-$R$4)^(2*ROWS($C$2:C158))))</f>
        <v>73.772021062253103</v>
      </c>
      <c r="K158">
        <f t="shared" si="14"/>
        <v>1.5500853081264425</v>
      </c>
      <c r="L158">
        <f t="shared" si="18"/>
        <v>94.532433611282315</v>
      </c>
      <c r="M158">
        <v>0.5</v>
      </c>
      <c r="N158">
        <f t="shared" si="19"/>
        <v>0</v>
      </c>
      <c r="O158" t="str">
        <f t="shared" si="15"/>
        <v>ALARM: LINER WEAR</v>
      </c>
      <c r="P158" t="str">
        <f t="shared" si="16"/>
        <v>ALARM: BURNER DRIFT</v>
      </c>
    </row>
    <row r="159" spans="1:16">
      <c r="A159" s="2">
        <v>46302.541666666657</v>
      </c>
      <c r="B159" t="s">
        <v>39</v>
      </c>
      <c r="C159">
        <v>77.78</v>
      </c>
      <c r="D159">
        <v>20.04</v>
      </c>
      <c r="E159">
        <v>288.60000000000002</v>
      </c>
      <c r="F159">
        <v>1.661</v>
      </c>
      <c r="G159">
        <v>1233.5999999999999</v>
      </c>
      <c r="H159">
        <f t="shared" si="17"/>
        <v>77.797430514211925</v>
      </c>
      <c r="I159">
        <f>$R$2 + $R$5*$R$3*SQRT(($R$4/(2-$R$4))*(1-(1-$R$4)^(2*ROWS($C$2:C159))))</f>
        <v>76.02217893774683</v>
      </c>
      <c r="J159">
        <f>$R$2 - $R$5*$R$3*SQRT(($R$4/(2-$R$4))*(1-(1-$R$4)^(2*ROWS($C$2:C159))))</f>
        <v>73.772021062253103</v>
      </c>
      <c r="K159">
        <f t="shared" si="14"/>
        <v>1.2766051902495124</v>
      </c>
      <c r="L159">
        <f t="shared" si="18"/>
        <v>95.559038801531827</v>
      </c>
      <c r="M159">
        <v>0.5</v>
      </c>
      <c r="N159">
        <f t="shared" si="19"/>
        <v>0</v>
      </c>
      <c r="O159" t="str">
        <f t="shared" si="15"/>
        <v>ALARM: LINER WEAR</v>
      </c>
      <c r="P159" t="str">
        <f t="shared" si="16"/>
        <v>ALARM: BURNER DRIFT</v>
      </c>
    </row>
    <row r="160" spans="1:16">
      <c r="A160" s="2">
        <v>46302.583333333343</v>
      </c>
      <c r="B160" t="s">
        <v>39</v>
      </c>
      <c r="C160">
        <v>76.78</v>
      </c>
      <c r="D160">
        <v>20.399999999999999</v>
      </c>
      <c r="E160">
        <v>272.3</v>
      </c>
      <c r="F160">
        <v>1.6559999999999999</v>
      </c>
      <c r="G160">
        <v>1251.9000000000001</v>
      </c>
      <c r="H160">
        <f t="shared" si="17"/>
        <v>77.593944411369534</v>
      </c>
      <c r="I160">
        <f>$R$2 + $R$5*$R$3*SQRT(($R$4/(2-$R$4))*(1-(1-$R$4)^(2*ROWS($C$2:C160))))</f>
        <v>76.02217893774683</v>
      </c>
      <c r="J160">
        <f>$R$2 - $R$5*$R$3*SQRT(($R$4/(2-$R$4))*(1-(1-$R$4)^(2*ROWS($C$2:C160))))</f>
        <v>73.772021062253103</v>
      </c>
      <c r="K160">
        <f t="shared" si="14"/>
        <v>1.2310251706033564</v>
      </c>
      <c r="L160">
        <f t="shared" si="18"/>
        <v>96.540063972135187</v>
      </c>
      <c r="M160">
        <v>0.5</v>
      </c>
      <c r="N160">
        <f t="shared" si="19"/>
        <v>0</v>
      </c>
      <c r="O160" t="str">
        <f t="shared" si="15"/>
        <v>ALARM: LINER WEAR</v>
      </c>
      <c r="P160" t="str">
        <f t="shared" si="16"/>
        <v>ALARM: BURNER DRIFT</v>
      </c>
    </row>
    <row r="161" spans="1:16">
      <c r="A161" s="2">
        <v>46302.625</v>
      </c>
      <c r="B161" t="s">
        <v>39</v>
      </c>
      <c r="C161">
        <v>78.069999999999993</v>
      </c>
      <c r="D161">
        <v>20.100000000000001</v>
      </c>
      <c r="E161">
        <v>295.10000000000002</v>
      </c>
      <c r="F161">
        <v>1.5680000000000001</v>
      </c>
      <c r="G161">
        <v>1237.8</v>
      </c>
      <c r="H161">
        <f t="shared" si="17"/>
        <v>77.689155529095629</v>
      </c>
      <c r="I161">
        <f>$R$2 + $R$5*$R$3*SQRT(($R$4/(2-$R$4))*(1-(1-$R$4)^(2*ROWS($C$2:C161))))</f>
        <v>76.02217893774683</v>
      </c>
      <c r="J161">
        <f>$R$2 - $R$5*$R$3*SQRT(($R$4/(2-$R$4))*(1-(1-$R$4)^(2*ROWS($C$2:C161))))</f>
        <v>73.772021062253103</v>
      </c>
      <c r="K161">
        <f t="shared" si="14"/>
        <v>0.4288168248310299</v>
      </c>
      <c r="L161">
        <f t="shared" si="18"/>
        <v>96.718880796966218</v>
      </c>
      <c r="M161">
        <v>0.5</v>
      </c>
      <c r="N161">
        <f t="shared" si="19"/>
        <v>0</v>
      </c>
      <c r="O161" t="str">
        <f t="shared" si="15"/>
        <v>ALARM: LINER WEAR</v>
      </c>
      <c r="P161" t="str">
        <f t="shared" si="16"/>
        <v>ALARM: BURNER DRIFT</v>
      </c>
    </row>
    <row r="162" spans="1:16">
      <c r="A162" s="2">
        <v>46302.666666666657</v>
      </c>
      <c r="B162" t="s">
        <v>39</v>
      </c>
      <c r="C162">
        <v>77.64</v>
      </c>
      <c r="D162">
        <v>20.420000000000002</v>
      </c>
      <c r="E162">
        <v>275.39999999999998</v>
      </c>
      <c r="F162">
        <v>1.7230000000000001</v>
      </c>
      <c r="G162">
        <v>1239.8</v>
      </c>
      <c r="H162">
        <f t="shared" si="17"/>
        <v>77.679324423276512</v>
      </c>
      <c r="I162">
        <f>$R$2 + $R$5*$R$3*SQRT(($R$4/(2-$R$4))*(1-(1-$R$4)^(2*ROWS($C$2:C162))))</f>
        <v>76.02217893774683</v>
      </c>
      <c r="J162">
        <f>$R$2 - $R$5*$R$3*SQRT(($R$4/(2-$R$4))*(1-(1-$R$4)^(2*ROWS($C$2:C162))))</f>
        <v>73.772021062253103</v>
      </c>
      <c r="K162">
        <f t="shared" si="14"/>
        <v>1.8417974338618346</v>
      </c>
      <c r="L162">
        <f t="shared" si="18"/>
        <v>98.310678230828046</v>
      </c>
      <c r="M162">
        <v>0.5</v>
      </c>
      <c r="N162">
        <f t="shared" si="19"/>
        <v>0</v>
      </c>
      <c r="O162" t="str">
        <f t="shared" si="15"/>
        <v>ALARM: LINER WEAR</v>
      </c>
      <c r="P162" t="str">
        <f t="shared" si="16"/>
        <v>ALARM: BURNER DRIFT</v>
      </c>
    </row>
    <row r="163" spans="1:16">
      <c r="A163" s="2">
        <v>46302.708333333343</v>
      </c>
      <c r="B163" t="s">
        <v>39</v>
      </c>
      <c r="C163">
        <v>78.040000000000006</v>
      </c>
      <c r="D163">
        <v>21.16</v>
      </c>
      <c r="E163">
        <v>285.2</v>
      </c>
      <c r="F163">
        <v>1.8520000000000001</v>
      </c>
      <c r="G163">
        <v>1234</v>
      </c>
      <c r="H163">
        <f t="shared" si="17"/>
        <v>77.751459538621219</v>
      </c>
      <c r="I163">
        <f>$R$2 + $R$5*$R$3*SQRT(($R$4/(2-$R$4))*(1-(1-$R$4)^(2*ROWS($C$2:C163))))</f>
        <v>76.02217893774683</v>
      </c>
      <c r="J163">
        <f>$R$2 - $R$5*$R$3*SQRT(($R$4/(2-$R$4))*(1-(1-$R$4)^(2*ROWS($C$2:C163))))</f>
        <v>73.772021062253103</v>
      </c>
      <c r="K163">
        <f t="shared" si="14"/>
        <v>3.0177619407326333</v>
      </c>
      <c r="L163">
        <f t="shared" si="18"/>
        <v>101.07844017156069</v>
      </c>
      <c r="M163">
        <v>0.5</v>
      </c>
      <c r="N163">
        <f t="shared" si="19"/>
        <v>0</v>
      </c>
      <c r="O163" t="str">
        <f t="shared" si="15"/>
        <v>ALARM: LINER WEAR</v>
      </c>
      <c r="P163" t="str">
        <f t="shared" si="16"/>
        <v>ALARM: BURNER DRIFT</v>
      </c>
    </row>
    <row r="164" spans="1:16">
      <c r="A164" s="2">
        <v>46302.75</v>
      </c>
      <c r="B164" t="s">
        <v>39</v>
      </c>
      <c r="C164">
        <v>79.17</v>
      </c>
      <c r="D164">
        <v>20.71</v>
      </c>
      <c r="E164">
        <v>321.2</v>
      </c>
      <c r="F164">
        <v>1.764</v>
      </c>
      <c r="G164">
        <v>1220.5999999999999</v>
      </c>
      <c r="H164">
        <f t="shared" si="17"/>
        <v>78.035167630896979</v>
      </c>
      <c r="I164">
        <f>$R$2 + $R$5*$R$3*SQRT(($R$4/(2-$R$4))*(1-(1-$R$4)^(2*ROWS($C$2:C164))))</f>
        <v>76.02217893774683</v>
      </c>
      <c r="J164">
        <f>$R$2 - $R$5*$R$3*SQRT(($R$4/(2-$R$4))*(1-(1-$R$4)^(2*ROWS($C$2:C164))))</f>
        <v>73.772021062253103</v>
      </c>
      <c r="K164">
        <f t="shared" si="14"/>
        <v>2.2155535949603049</v>
      </c>
      <c r="L164">
        <f t="shared" si="18"/>
        <v>103.043993766521</v>
      </c>
      <c r="M164">
        <v>0.5</v>
      </c>
      <c r="N164">
        <f t="shared" si="19"/>
        <v>0</v>
      </c>
      <c r="O164" t="str">
        <f t="shared" si="15"/>
        <v>ALARM: LINER WEAR</v>
      </c>
      <c r="P164" t="str">
        <f t="shared" si="16"/>
        <v>ALARM: BURNER DRIFT</v>
      </c>
    </row>
    <row r="165" spans="1:16">
      <c r="A165" s="2">
        <v>46302.791666666657</v>
      </c>
      <c r="B165" t="s">
        <v>39</v>
      </c>
      <c r="C165">
        <v>77.52</v>
      </c>
      <c r="D165">
        <v>20.260000000000002</v>
      </c>
      <c r="E165">
        <v>280.8</v>
      </c>
      <c r="F165">
        <v>1.6679999999999999</v>
      </c>
      <c r="G165">
        <v>1247.0999999999999</v>
      </c>
      <c r="H165">
        <f t="shared" si="17"/>
        <v>77.932134104717591</v>
      </c>
      <c r="I165">
        <f>$R$2 + $R$5*$R$3*SQRT(($R$4/(2-$R$4))*(1-(1-$R$4)^(2*ROWS($C$2:C165))))</f>
        <v>76.02217893774683</v>
      </c>
      <c r="J165">
        <f>$R$2 - $R$5*$R$3*SQRT(($R$4/(2-$R$4))*(1-(1-$R$4)^(2*ROWS($C$2:C165))))</f>
        <v>73.772021062253103</v>
      </c>
      <c r="K165">
        <f t="shared" si="14"/>
        <v>1.3404172177541283</v>
      </c>
      <c r="L165">
        <f t="shared" si="18"/>
        <v>104.13441098427512</v>
      </c>
      <c r="M165">
        <v>0.5</v>
      </c>
      <c r="N165">
        <f t="shared" si="19"/>
        <v>0</v>
      </c>
      <c r="O165" t="str">
        <f t="shared" si="15"/>
        <v>ALARM: LINER WEAR</v>
      </c>
      <c r="P165" t="str">
        <f t="shared" si="16"/>
        <v>ALARM: BURNER DRIFT</v>
      </c>
    </row>
    <row r="166" spans="1:16">
      <c r="A166" s="2">
        <v>46302.833333333343</v>
      </c>
      <c r="B166" t="s">
        <v>39</v>
      </c>
      <c r="C166">
        <v>78.84</v>
      </c>
      <c r="D166">
        <v>20.9</v>
      </c>
      <c r="E166">
        <v>298.8</v>
      </c>
      <c r="F166">
        <v>1.875</v>
      </c>
      <c r="G166">
        <v>1245.9000000000001</v>
      </c>
      <c r="H166">
        <f t="shared" si="17"/>
        <v>78.113707283774076</v>
      </c>
      <c r="I166">
        <f>$R$2 + $R$5*$R$3*SQRT(($R$4/(2-$R$4))*(1-(1-$R$4)^(2*ROWS($C$2:C166))))</f>
        <v>76.02217893774683</v>
      </c>
      <c r="J166">
        <f>$R$2 - $R$5*$R$3*SQRT(($R$4/(2-$R$4))*(1-(1-$R$4)^(2*ROWS($C$2:C166))))</f>
        <v>73.772021062253103</v>
      </c>
      <c r="K166">
        <f t="shared" si="14"/>
        <v>3.2274300311049453</v>
      </c>
      <c r="L166">
        <f t="shared" si="18"/>
        <v>107.11184101538007</v>
      </c>
      <c r="M166">
        <v>0.5</v>
      </c>
      <c r="N166">
        <f t="shared" si="19"/>
        <v>0</v>
      </c>
      <c r="O166" t="str">
        <f t="shared" si="15"/>
        <v>ALARM: LINER WEAR</v>
      </c>
      <c r="P166" t="str">
        <f t="shared" si="16"/>
        <v>ALARM: BURNER DRIFT</v>
      </c>
    </row>
    <row r="167" spans="1:16">
      <c r="A167" s="2">
        <v>46302.875</v>
      </c>
      <c r="B167" t="s">
        <v>39</v>
      </c>
      <c r="C167">
        <v>78.510000000000005</v>
      </c>
      <c r="D167">
        <v>20.29</v>
      </c>
      <c r="E167">
        <v>270.5</v>
      </c>
      <c r="F167">
        <v>1.6459999999999999</v>
      </c>
      <c r="G167">
        <v>1237.7</v>
      </c>
      <c r="H167">
        <f t="shared" si="17"/>
        <v>78.192965827019265</v>
      </c>
      <c r="I167">
        <f>$R$2 + $R$5*$R$3*SQRT(($R$4/(2-$R$4))*(1-(1-$R$4)^(2*ROWS($C$2:C167))))</f>
        <v>76.02217893774683</v>
      </c>
      <c r="J167">
        <f>$R$2 - $R$5*$R$3*SQRT(($R$4/(2-$R$4))*(1-(1-$R$4)^(2*ROWS($C$2:C167))))</f>
        <v>73.772021062253103</v>
      </c>
      <c r="K167">
        <f t="shared" si="14"/>
        <v>1.1398651313110462</v>
      </c>
      <c r="L167">
        <f t="shared" si="18"/>
        <v>108.00170614669111</v>
      </c>
      <c r="M167">
        <v>0.5</v>
      </c>
      <c r="N167">
        <f t="shared" si="19"/>
        <v>0</v>
      </c>
      <c r="O167" t="str">
        <f t="shared" si="15"/>
        <v>ALARM: LINER WEAR</v>
      </c>
      <c r="P167" t="str">
        <f t="shared" si="16"/>
        <v>ALARM: BURNER DRIFT</v>
      </c>
    </row>
    <row r="168" spans="1:16">
      <c r="A168" s="2">
        <v>46302.916666666657</v>
      </c>
      <c r="B168" t="s">
        <v>39</v>
      </c>
      <c r="C168">
        <v>78.97</v>
      </c>
      <c r="D168">
        <v>19.66</v>
      </c>
      <c r="E168">
        <v>279.89999999999998</v>
      </c>
      <c r="F168">
        <v>1.716</v>
      </c>
      <c r="G168">
        <v>1240.5</v>
      </c>
      <c r="H168">
        <f t="shared" si="17"/>
        <v>78.348372661615414</v>
      </c>
      <c r="I168">
        <f>$R$2 + $R$5*$R$3*SQRT(($R$4/(2-$R$4))*(1-(1-$R$4)^(2*ROWS($C$2:C168))))</f>
        <v>76.02217893774683</v>
      </c>
      <c r="J168">
        <f>$R$2 - $R$5*$R$3*SQRT(($R$4/(2-$R$4))*(1-(1-$R$4)^(2*ROWS($C$2:C168))))</f>
        <v>73.772021062253103</v>
      </c>
      <c r="K168">
        <f t="shared" si="14"/>
        <v>1.7779854063572167</v>
      </c>
      <c r="L168">
        <f t="shared" si="18"/>
        <v>109.52969155304832</v>
      </c>
      <c r="M168">
        <v>0.5</v>
      </c>
      <c r="N168">
        <f t="shared" si="19"/>
        <v>0</v>
      </c>
      <c r="O168" t="str">
        <f t="shared" si="15"/>
        <v>ALARM: LINER WEAR</v>
      </c>
      <c r="P168" t="str">
        <f t="shared" si="16"/>
        <v>ALARM: BURNER DRIFT</v>
      </c>
    </row>
    <row r="169" spans="1:16">
      <c r="A169" s="2">
        <v>46302.958333333343</v>
      </c>
      <c r="B169" t="s">
        <v>39</v>
      </c>
      <c r="C169">
        <v>79.91</v>
      </c>
      <c r="D169">
        <v>20.11</v>
      </c>
      <c r="E169">
        <v>306.39999999999998</v>
      </c>
      <c r="F169">
        <v>1.641</v>
      </c>
      <c r="G169">
        <v>1244.0999999999999</v>
      </c>
      <c r="H169">
        <f t="shared" si="17"/>
        <v>78.660698129292342</v>
      </c>
      <c r="I169">
        <f>$R$2 + $R$5*$R$3*SQRT(($R$4/(2-$R$4))*(1-(1-$R$4)^(2*ROWS($C$2:C169))))</f>
        <v>76.02217893774683</v>
      </c>
      <c r="J169">
        <f>$R$2 - $R$5*$R$3*SQRT(($R$4/(2-$R$4))*(1-(1-$R$4)^(2*ROWS($C$2:C169))))</f>
        <v>73.772021062253103</v>
      </c>
      <c r="K169">
        <f t="shared" si="14"/>
        <v>1.0942851116648922</v>
      </c>
      <c r="L169">
        <f t="shared" si="18"/>
        <v>110.37397666471321</v>
      </c>
      <c r="M169">
        <v>0.5</v>
      </c>
      <c r="N169">
        <f t="shared" si="19"/>
        <v>0</v>
      </c>
      <c r="O169" t="str">
        <f t="shared" si="15"/>
        <v>ALARM: LINER WEAR</v>
      </c>
      <c r="P169" t="str">
        <f t="shared" si="16"/>
        <v>ALARM: BURNER DRIFT</v>
      </c>
    </row>
    <row r="170" spans="1:16">
      <c r="A170" s="2">
        <v>46303</v>
      </c>
      <c r="B170" t="s">
        <v>39</v>
      </c>
      <c r="C170">
        <v>79.349999999999994</v>
      </c>
      <c r="D170">
        <v>19.79</v>
      </c>
      <c r="E170">
        <v>269.8</v>
      </c>
      <c r="F170">
        <v>1.514</v>
      </c>
      <c r="G170">
        <v>1227.5</v>
      </c>
      <c r="H170">
        <f t="shared" si="17"/>
        <v>78.798558503433881</v>
      </c>
      <c r="I170">
        <f>$R$2 + $R$5*$R$3*SQRT(($R$4/(2-$R$4))*(1-(1-$R$4)^(2*ROWS($C$2:C170))))</f>
        <v>76.02217893774683</v>
      </c>
      <c r="J170">
        <f>$R$2 - $R$5*$R$3*SQRT(($R$4/(2-$R$4))*(1-(1-$R$4)^(2*ROWS($C$2:C170))))</f>
        <v>73.772021062253103</v>
      </c>
      <c r="K170">
        <f t="shared" si="14"/>
        <v>-6.3447387347444401E-2</v>
      </c>
      <c r="L170">
        <f t="shared" si="18"/>
        <v>110.06052927736577</v>
      </c>
      <c r="M170">
        <v>0.5</v>
      </c>
      <c r="N170">
        <f t="shared" si="19"/>
        <v>0</v>
      </c>
      <c r="O170" t="str">
        <f t="shared" si="15"/>
        <v>ALARM: LINER WEAR</v>
      </c>
      <c r="P170" t="str">
        <f t="shared" si="16"/>
        <v>ALARM: BURNER DRIFT</v>
      </c>
    </row>
    <row r="171" spans="1:16">
      <c r="A171" s="2">
        <v>46303.041666666657</v>
      </c>
      <c r="B171" t="s">
        <v>39</v>
      </c>
      <c r="C171">
        <v>78.709999999999994</v>
      </c>
      <c r="D171">
        <v>20.43</v>
      </c>
      <c r="E171">
        <v>305.8</v>
      </c>
      <c r="F171">
        <v>1.7090000000000001</v>
      </c>
      <c r="G171">
        <v>1235.8</v>
      </c>
      <c r="H171">
        <f t="shared" si="17"/>
        <v>78.780846802747106</v>
      </c>
      <c r="I171">
        <f>$R$2 + $R$5*$R$3*SQRT(($R$4/(2-$R$4))*(1-(1-$R$4)^(2*ROWS($C$2:C171))))</f>
        <v>76.02217893774683</v>
      </c>
      <c r="J171">
        <f>$R$2 - $R$5*$R$3*SQRT(($R$4/(2-$R$4))*(1-(1-$R$4)^(2*ROWS($C$2:C171))))</f>
        <v>73.772021062253103</v>
      </c>
      <c r="K171">
        <f t="shared" si="14"/>
        <v>1.7141733788526006</v>
      </c>
      <c r="L171">
        <f t="shared" si="18"/>
        <v>111.52470265621838</v>
      </c>
      <c r="M171">
        <v>0.5</v>
      </c>
      <c r="N171">
        <f t="shared" si="19"/>
        <v>0</v>
      </c>
      <c r="O171" t="str">
        <f t="shared" si="15"/>
        <v>ALARM: LINER WEAR</v>
      </c>
      <c r="P171" t="str">
        <f t="shared" si="16"/>
        <v>ALARM: BURNER DRIFT</v>
      </c>
    </row>
    <row r="172" spans="1:16">
      <c r="A172" s="2">
        <v>46303.083333333343</v>
      </c>
      <c r="B172" t="s">
        <v>39</v>
      </c>
      <c r="C172">
        <v>77.72</v>
      </c>
      <c r="D172">
        <v>20.61</v>
      </c>
      <c r="E172">
        <v>288.60000000000002</v>
      </c>
      <c r="F172">
        <v>1.7609999999999999</v>
      </c>
      <c r="G172">
        <v>1246.4000000000001</v>
      </c>
      <c r="H172">
        <f t="shared" si="17"/>
        <v>78.568677442197682</v>
      </c>
      <c r="I172">
        <f>$R$2 + $R$5*$R$3*SQRT(($R$4/(2-$R$4))*(1-(1-$R$4)^(2*ROWS($C$2:C172))))</f>
        <v>76.02217893774683</v>
      </c>
      <c r="J172">
        <f>$R$2 - $R$5*$R$3*SQRT(($R$4/(2-$R$4))*(1-(1-$R$4)^(2*ROWS($C$2:C172))))</f>
        <v>73.772021062253103</v>
      </c>
      <c r="K172">
        <f t="shared" si="14"/>
        <v>2.1882055831726106</v>
      </c>
      <c r="L172">
        <f t="shared" si="18"/>
        <v>113.462908239391</v>
      </c>
      <c r="M172">
        <v>0.5</v>
      </c>
      <c r="N172">
        <f t="shared" si="19"/>
        <v>0</v>
      </c>
      <c r="O172" t="str">
        <f t="shared" si="15"/>
        <v>ALARM: LINER WEAR</v>
      </c>
      <c r="P172" t="str">
        <f t="shared" si="16"/>
        <v>ALARM: BURNER DRIFT</v>
      </c>
    </row>
    <row r="173" spans="1:16">
      <c r="A173" s="2">
        <v>46303.125</v>
      </c>
      <c r="B173" t="s">
        <v>39</v>
      </c>
      <c r="C173">
        <v>77.39</v>
      </c>
      <c r="D173">
        <v>21.3</v>
      </c>
      <c r="E173">
        <v>269</v>
      </c>
      <c r="F173">
        <v>1.7170000000000001</v>
      </c>
      <c r="G173">
        <v>1230</v>
      </c>
      <c r="H173">
        <f t="shared" si="17"/>
        <v>78.332941953758151</v>
      </c>
      <c r="I173">
        <f>$R$2 + $R$5*$R$3*SQRT(($R$4/(2-$R$4))*(1-(1-$R$4)^(2*ROWS($C$2:C173))))</f>
        <v>76.02217893774683</v>
      </c>
      <c r="J173">
        <f>$R$2 - $R$5*$R$3*SQRT(($R$4/(2-$R$4))*(1-(1-$R$4)^(2*ROWS($C$2:C173))))</f>
        <v>73.772021062253103</v>
      </c>
      <c r="K173">
        <f t="shared" si="14"/>
        <v>1.7871014102864486</v>
      </c>
      <c r="L173">
        <f t="shared" si="18"/>
        <v>115.00000964967745</v>
      </c>
      <c r="M173">
        <v>0.5</v>
      </c>
      <c r="N173">
        <f t="shared" si="19"/>
        <v>0</v>
      </c>
      <c r="O173" t="str">
        <f t="shared" si="15"/>
        <v>ALARM: LINER WEAR</v>
      </c>
      <c r="P173" t="str">
        <f t="shared" si="16"/>
        <v>ALARM: BURNER DRIFT</v>
      </c>
    </row>
    <row r="174" spans="1:16">
      <c r="A174" s="2">
        <v>46303.166666666657</v>
      </c>
      <c r="B174" t="s">
        <v>39</v>
      </c>
      <c r="C174">
        <v>77.16</v>
      </c>
      <c r="D174">
        <v>20.79</v>
      </c>
      <c r="E174">
        <v>286.3</v>
      </c>
      <c r="F174">
        <v>1.821</v>
      </c>
      <c r="G174">
        <v>1242.3</v>
      </c>
      <c r="H174">
        <f t="shared" si="17"/>
        <v>78.098353563006526</v>
      </c>
      <c r="I174">
        <f>$R$2 + $R$5*$R$3*SQRT(($R$4/(2-$R$4))*(1-(1-$R$4)^(2*ROWS($C$2:C174))))</f>
        <v>76.02217893774683</v>
      </c>
      <c r="J174">
        <f>$R$2 - $R$5*$R$3*SQRT(($R$4/(2-$R$4))*(1-(1-$R$4)^(2*ROWS($C$2:C174))))</f>
        <v>73.772021062253103</v>
      </c>
      <c r="K174">
        <f t="shared" si="14"/>
        <v>2.7351658189264709</v>
      </c>
      <c r="L174">
        <f t="shared" si="18"/>
        <v>117.48517546860393</v>
      </c>
      <c r="M174">
        <v>0.5</v>
      </c>
      <c r="N174">
        <f t="shared" si="19"/>
        <v>0</v>
      </c>
      <c r="O174" t="str">
        <f t="shared" si="15"/>
        <v>ALARM: LINER WEAR</v>
      </c>
      <c r="P174" t="str">
        <f t="shared" si="16"/>
        <v>ALARM: BURNER DRIFT</v>
      </c>
    </row>
    <row r="175" spans="1:16">
      <c r="A175" s="2">
        <v>46303.208333333343</v>
      </c>
      <c r="B175" t="s">
        <v>39</v>
      </c>
      <c r="C175">
        <v>78</v>
      </c>
      <c r="D175">
        <v>20.6</v>
      </c>
      <c r="E175">
        <v>290.8</v>
      </c>
      <c r="F175">
        <v>1.8180000000000001</v>
      </c>
      <c r="G175">
        <v>1229.0999999999999</v>
      </c>
      <c r="H175">
        <f t="shared" si="17"/>
        <v>78.078682850405215</v>
      </c>
      <c r="I175">
        <f>$R$2 + $R$5*$R$3*SQRT(($R$4/(2-$R$4))*(1-(1-$R$4)^(2*ROWS($C$2:C175))))</f>
        <v>76.02217893774683</v>
      </c>
      <c r="J175">
        <f>$R$2 - $R$5*$R$3*SQRT(($R$4/(2-$R$4))*(1-(1-$R$4)^(2*ROWS($C$2:C175))))</f>
        <v>73.772021062253103</v>
      </c>
      <c r="K175">
        <f t="shared" si="14"/>
        <v>2.7078178071387793</v>
      </c>
      <c r="L175">
        <f t="shared" si="18"/>
        <v>119.94299327574271</v>
      </c>
      <c r="M175">
        <v>0.5</v>
      </c>
      <c r="N175">
        <f t="shared" si="19"/>
        <v>0</v>
      </c>
      <c r="O175" t="str">
        <f t="shared" si="15"/>
        <v>ALARM: LINER WEAR</v>
      </c>
      <c r="P175" t="str">
        <f t="shared" si="16"/>
        <v>ALARM: BURNER DRIFT</v>
      </c>
    </row>
    <row r="176" spans="1:16">
      <c r="A176" s="2">
        <v>46303.25</v>
      </c>
      <c r="B176" t="s">
        <v>39</v>
      </c>
      <c r="C176">
        <v>78.56</v>
      </c>
      <c r="D176">
        <v>21.05</v>
      </c>
      <c r="E176">
        <v>284.89999999999998</v>
      </c>
      <c r="F176">
        <v>1.7470000000000001</v>
      </c>
      <c r="G176">
        <v>1243.7</v>
      </c>
      <c r="H176">
        <f t="shared" si="17"/>
        <v>78.174946280324178</v>
      </c>
      <c r="I176">
        <f>$R$2 + $R$5*$R$3*SQRT(($R$4/(2-$R$4))*(1-(1-$R$4)^(2*ROWS($C$2:C176))))</f>
        <v>76.02217893774683</v>
      </c>
      <c r="J176">
        <f>$R$2 - $R$5*$R$3*SQRT(($R$4/(2-$R$4))*(1-(1-$R$4)^(2*ROWS($C$2:C176))))</f>
        <v>73.772021062253103</v>
      </c>
      <c r="K176">
        <f t="shared" si="14"/>
        <v>2.0605815281633788</v>
      </c>
      <c r="L176">
        <f t="shared" si="18"/>
        <v>121.75357480390609</v>
      </c>
      <c r="M176">
        <v>0.5</v>
      </c>
      <c r="N176">
        <f t="shared" si="19"/>
        <v>0</v>
      </c>
      <c r="O176" t="str">
        <f t="shared" si="15"/>
        <v>ALARM: LINER WEAR</v>
      </c>
      <c r="P176" t="str">
        <f t="shared" si="16"/>
        <v>ALARM: BURNER DRIFT</v>
      </c>
    </row>
    <row r="177" spans="1:16">
      <c r="A177" s="2">
        <v>46303.291666666657</v>
      </c>
      <c r="B177" t="s">
        <v>39</v>
      </c>
      <c r="C177">
        <v>80.72</v>
      </c>
      <c r="D177">
        <v>19.87</v>
      </c>
      <c r="E177">
        <v>251.4</v>
      </c>
      <c r="F177">
        <v>1.5960000000000001</v>
      </c>
      <c r="G177">
        <v>1239.7</v>
      </c>
      <c r="H177">
        <f t="shared" si="17"/>
        <v>78.683957024259342</v>
      </c>
      <c r="I177">
        <f>$R$2 + $R$5*$R$3*SQRT(($R$4/(2-$R$4))*(1-(1-$R$4)^(2*ROWS($C$2:C177))))</f>
        <v>76.02217893774683</v>
      </c>
      <c r="J177">
        <f>$R$2 - $R$5*$R$3*SQRT(($R$4/(2-$R$4))*(1-(1-$R$4)^(2*ROWS($C$2:C177))))</f>
        <v>73.772021062253103</v>
      </c>
      <c r="K177">
        <f t="shared" si="14"/>
        <v>0.68406493484949804</v>
      </c>
      <c r="L177">
        <f t="shared" si="18"/>
        <v>122.18763973875559</v>
      </c>
      <c r="M177">
        <v>0.5</v>
      </c>
      <c r="N177">
        <f t="shared" si="19"/>
        <v>0</v>
      </c>
      <c r="O177" t="str">
        <f t="shared" si="15"/>
        <v>ALARM: LINER WEAR</v>
      </c>
      <c r="P177" t="str">
        <f t="shared" si="16"/>
        <v>ALARM: BURNER DRIFT</v>
      </c>
    </row>
    <row r="178" spans="1:16">
      <c r="A178" s="2">
        <v>46303.333333333343</v>
      </c>
      <c r="B178" t="s">
        <v>39</v>
      </c>
      <c r="C178">
        <v>79.33</v>
      </c>
      <c r="D178">
        <v>20.87</v>
      </c>
      <c r="E178">
        <v>263.5</v>
      </c>
      <c r="F178">
        <v>1.833</v>
      </c>
      <c r="G178">
        <v>1227.0999999999999</v>
      </c>
      <c r="H178">
        <f t="shared" si="17"/>
        <v>78.813165619407471</v>
      </c>
      <c r="I178">
        <f>$R$2 + $R$5*$R$3*SQRT(($R$4/(2-$R$4))*(1-(1-$R$4)^(2*ROWS($C$2:C178))))</f>
        <v>76.02217893774683</v>
      </c>
      <c r="J178">
        <f>$R$2 - $R$5*$R$3*SQRT(($R$4/(2-$R$4))*(1-(1-$R$4)^(2*ROWS($C$2:C178))))</f>
        <v>73.772021062253103</v>
      </c>
      <c r="K178">
        <f t="shared" si="14"/>
        <v>2.8445578660772433</v>
      </c>
      <c r="L178">
        <f t="shared" si="18"/>
        <v>124.78219760483283</v>
      </c>
      <c r="M178">
        <v>0.5</v>
      </c>
      <c r="N178">
        <f t="shared" si="19"/>
        <v>0</v>
      </c>
      <c r="O178" t="str">
        <f t="shared" si="15"/>
        <v>ALARM: LINER WEAR</v>
      </c>
      <c r="P178" t="str">
        <f t="shared" si="16"/>
        <v>ALARM: BURNER DRIFT</v>
      </c>
    </row>
    <row r="179" spans="1:16">
      <c r="A179" s="2">
        <v>46303.375</v>
      </c>
      <c r="B179" t="s">
        <v>39</v>
      </c>
      <c r="C179">
        <v>81.17</v>
      </c>
      <c r="D179">
        <v>21.12</v>
      </c>
      <c r="E179">
        <v>270.10000000000002</v>
      </c>
      <c r="F179">
        <v>1.6140000000000001</v>
      </c>
      <c r="G179">
        <v>1249.3</v>
      </c>
      <c r="H179">
        <f t="shared" si="17"/>
        <v>79.28453249552598</v>
      </c>
      <c r="I179">
        <f>$R$2 + $R$5*$R$3*SQRT(($R$4/(2-$R$4))*(1-(1-$R$4)^(2*ROWS($C$2:C179))))</f>
        <v>76.02217893774683</v>
      </c>
      <c r="J179">
        <f>$R$2 - $R$5*$R$3*SQRT(($R$4/(2-$R$4))*(1-(1-$R$4)^(2*ROWS($C$2:C179))))</f>
        <v>73.772021062253103</v>
      </c>
      <c r="K179">
        <f t="shared" si="14"/>
        <v>0.84815300557565609</v>
      </c>
      <c r="L179">
        <f t="shared" si="18"/>
        <v>125.38035061040848</v>
      </c>
      <c r="M179">
        <v>0.5</v>
      </c>
      <c r="N179">
        <f t="shared" si="19"/>
        <v>0</v>
      </c>
      <c r="O179" t="str">
        <f t="shared" si="15"/>
        <v>ALARM: LINER WEAR</v>
      </c>
      <c r="P179" t="str">
        <f t="shared" si="16"/>
        <v>ALARM: BURNER DRIFT</v>
      </c>
    </row>
    <row r="180" spans="1:16">
      <c r="A180" s="2">
        <v>46303.416666666657</v>
      </c>
      <c r="B180" t="s">
        <v>39</v>
      </c>
      <c r="C180">
        <v>80.430000000000007</v>
      </c>
      <c r="D180">
        <v>20.25</v>
      </c>
      <c r="E180">
        <v>272.10000000000002</v>
      </c>
      <c r="F180">
        <v>1.899</v>
      </c>
      <c r="G180">
        <v>1234.0999999999999</v>
      </c>
      <c r="H180">
        <f t="shared" si="17"/>
        <v>79.513625996420785</v>
      </c>
      <c r="I180">
        <f>$R$2 + $R$5*$R$3*SQRT(($R$4/(2-$R$4))*(1-(1-$R$4)^(2*ROWS($C$2:C180))))</f>
        <v>76.02217893774683</v>
      </c>
      <c r="J180">
        <f>$R$2 - $R$5*$R$3*SQRT(($R$4/(2-$R$4))*(1-(1-$R$4)^(2*ROWS($C$2:C180))))</f>
        <v>73.772021062253103</v>
      </c>
      <c r="K180">
        <f t="shared" si="14"/>
        <v>3.4462141254064895</v>
      </c>
      <c r="L180">
        <f t="shared" si="18"/>
        <v>128.57656473581497</v>
      </c>
      <c r="M180">
        <v>0.5</v>
      </c>
      <c r="N180">
        <f t="shared" si="19"/>
        <v>0</v>
      </c>
      <c r="O180" t="str">
        <f t="shared" si="15"/>
        <v>ALARM: LINER WEAR</v>
      </c>
      <c r="P180" t="str">
        <f t="shared" si="16"/>
        <v>ALARM: BURNER DRIFT</v>
      </c>
    </row>
    <row r="181" spans="1:16">
      <c r="A181" s="2">
        <v>46303.458333333343</v>
      </c>
      <c r="B181" t="s">
        <v>39</v>
      </c>
      <c r="C181">
        <v>82.37</v>
      </c>
      <c r="D181">
        <v>21.33</v>
      </c>
      <c r="E181">
        <v>281.89999999999998</v>
      </c>
      <c r="F181">
        <v>1.5269999999999999</v>
      </c>
      <c r="G181">
        <v>1233.5</v>
      </c>
      <c r="H181">
        <f t="shared" si="17"/>
        <v>80.084900797136626</v>
      </c>
      <c r="I181">
        <f>$R$2 + $R$5*$R$3*SQRT(($R$4/(2-$R$4))*(1-(1-$R$4)^(2*ROWS($C$2:C181))))</f>
        <v>76.02217893774683</v>
      </c>
      <c r="J181">
        <f>$R$2 - $R$5*$R$3*SQRT(($R$4/(2-$R$4))*(1-(1-$R$4)^(2*ROWS($C$2:C181))))</f>
        <v>73.772021062253103</v>
      </c>
      <c r="K181">
        <f t="shared" si="14"/>
        <v>5.5060663732557656E-2</v>
      </c>
      <c r="L181">
        <f t="shared" si="18"/>
        <v>128.38162539954752</v>
      </c>
      <c r="M181">
        <v>0.5</v>
      </c>
      <c r="N181">
        <f t="shared" si="19"/>
        <v>0</v>
      </c>
      <c r="O181" t="str">
        <f t="shared" si="15"/>
        <v>ALARM: LINER WEAR</v>
      </c>
      <c r="P181" t="str">
        <f t="shared" si="16"/>
        <v>ALARM: BURNER DRIFT</v>
      </c>
    </row>
    <row r="182" spans="1:16">
      <c r="A182" s="2">
        <v>46303.5</v>
      </c>
      <c r="B182" t="s">
        <v>39</v>
      </c>
      <c r="C182">
        <v>82.31</v>
      </c>
      <c r="D182">
        <v>21.04</v>
      </c>
      <c r="E182">
        <v>274.7</v>
      </c>
      <c r="F182">
        <v>1.67</v>
      </c>
      <c r="G182">
        <v>1241.5999999999999</v>
      </c>
      <c r="H182">
        <f t="shared" si="17"/>
        <v>80.52992063770931</v>
      </c>
      <c r="I182">
        <f>$R$2 + $R$5*$R$3*SQRT(($R$4/(2-$R$4))*(1-(1-$R$4)^(2*ROWS($C$2:C182))))</f>
        <v>76.02217893774683</v>
      </c>
      <c r="J182">
        <f>$R$2 - $R$5*$R$3*SQRT(($R$4/(2-$R$4))*(1-(1-$R$4)^(2*ROWS($C$2:C182))))</f>
        <v>73.772021062253103</v>
      </c>
      <c r="K182">
        <f t="shared" si="14"/>
        <v>1.3586492256125904</v>
      </c>
      <c r="L182">
        <f t="shared" si="18"/>
        <v>129.49027462516011</v>
      </c>
      <c r="M182">
        <v>0.5</v>
      </c>
      <c r="N182">
        <f t="shared" si="19"/>
        <v>0</v>
      </c>
      <c r="O182" t="str">
        <f t="shared" si="15"/>
        <v>ALARM: LINER WEAR</v>
      </c>
      <c r="P182" t="str">
        <f t="shared" si="16"/>
        <v>ALARM: BURNER DRIFT</v>
      </c>
    </row>
    <row r="183" spans="1:16">
      <c r="A183" s="2">
        <v>46303.541666666657</v>
      </c>
      <c r="B183" t="s">
        <v>39</v>
      </c>
      <c r="C183">
        <v>80.28</v>
      </c>
      <c r="D183">
        <v>20.76</v>
      </c>
      <c r="E183">
        <v>251.4</v>
      </c>
      <c r="F183">
        <v>1.649</v>
      </c>
      <c r="G183">
        <v>1249.2</v>
      </c>
      <c r="H183">
        <f t="shared" si="17"/>
        <v>80.479936510167448</v>
      </c>
      <c r="I183">
        <f>$R$2 + $R$5*$R$3*SQRT(($R$4/(2-$R$4))*(1-(1-$R$4)^(2*ROWS($C$2:C183))))</f>
        <v>76.02217893774683</v>
      </c>
      <c r="J183">
        <f>$R$2 - $R$5*$R$3*SQRT(($R$4/(2-$R$4))*(1-(1-$R$4)^(2*ROWS($C$2:C183))))</f>
        <v>73.772021062253103</v>
      </c>
      <c r="K183">
        <f t="shared" si="14"/>
        <v>1.1672131430987402</v>
      </c>
      <c r="L183">
        <f t="shared" si="18"/>
        <v>130.40748776825885</v>
      </c>
      <c r="M183">
        <v>0.5</v>
      </c>
      <c r="N183">
        <f t="shared" si="19"/>
        <v>0</v>
      </c>
      <c r="O183" t="str">
        <f t="shared" si="15"/>
        <v>ALARM: LINER WEAR</v>
      </c>
      <c r="P183" t="str">
        <f t="shared" si="16"/>
        <v>ALARM: BURNER DRIFT</v>
      </c>
    </row>
    <row r="184" spans="1:16">
      <c r="A184" s="2">
        <v>46303.583333333343</v>
      </c>
      <c r="B184" t="s">
        <v>39</v>
      </c>
      <c r="C184">
        <v>79</v>
      </c>
      <c r="D184">
        <v>21.21</v>
      </c>
      <c r="E184">
        <v>276.5</v>
      </c>
      <c r="F184">
        <v>1.401</v>
      </c>
      <c r="G184">
        <v>1231.9000000000001</v>
      </c>
      <c r="H184">
        <f t="shared" si="17"/>
        <v>80.183949208133953</v>
      </c>
      <c r="I184">
        <f>$R$2 + $R$5*$R$3*SQRT(($R$4/(2-$R$4))*(1-(1-$R$4)^(2*ROWS($C$2:C184))))</f>
        <v>76.02217893774683</v>
      </c>
      <c r="J184">
        <f>$R$2 - $R$5*$R$3*SQRT(($R$4/(2-$R$4))*(1-(1-$R$4)^(2*ROWS($C$2:C184))))</f>
        <v>73.772021062253103</v>
      </c>
      <c r="K184">
        <f t="shared" si="14"/>
        <v>-1.0935558313505469</v>
      </c>
      <c r="L184">
        <f t="shared" si="18"/>
        <v>129.06393193690829</v>
      </c>
      <c r="M184">
        <v>0.5</v>
      </c>
      <c r="N184">
        <f t="shared" si="19"/>
        <v>0.8435558313505469</v>
      </c>
      <c r="O184" t="str">
        <f t="shared" si="15"/>
        <v>ALARM: LINER WEAR</v>
      </c>
      <c r="P184" t="str">
        <f t="shared" si="16"/>
        <v>ALARM: BURNER DRIFT</v>
      </c>
    </row>
    <row r="185" spans="1:16">
      <c r="A185" s="2">
        <v>46303.625</v>
      </c>
      <c r="B185" t="s">
        <v>39</v>
      </c>
      <c r="C185">
        <v>79.489999999999995</v>
      </c>
      <c r="D185">
        <v>21.9</v>
      </c>
      <c r="E185">
        <v>279.39999999999998</v>
      </c>
      <c r="F185">
        <v>1.7509999999999999</v>
      </c>
      <c r="G185">
        <v>1240.5</v>
      </c>
      <c r="H185">
        <f t="shared" si="17"/>
        <v>80.045159366507164</v>
      </c>
      <c r="I185">
        <f>$R$2 + $R$5*$R$3*SQRT(($R$4/(2-$R$4))*(1-(1-$R$4)^(2*ROWS($C$2:C185))))</f>
        <v>76.02217893774683</v>
      </c>
      <c r="J185">
        <f>$R$2 - $R$5*$R$3*SQRT(($R$4/(2-$R$4))*(1-(1-$R$4)^(2*ROWS($C$2:C185))))</f>
        <v>73.772021062253103</v>
      </c>
      <c r="K185">
        <f t="shared" si="14"/>
        <v>2.0970455438803008</v>
      </c>
      <c r="L185">
        <f t="shared" si="18"/>
        <v>130.9109774807886</v>
      </c>
      <c r="M185">
        <v>0.5</v>
      </c>
      <c r="N185">
        <f t="shared" si="19"/>
        <v>0</v>
      </c>
      <c r="O185" t="str">
        <f t="shared" si="15"/>
        <v>ALARM: LINER WEAR</v>
      </c>
      <c r="P185" t="str">
        <f t="shared" si="16"/>
        <v>ALARM: BURNER DRIFT</v>
      </c>
    </row>
    <row r="186" spans="1:16">
      <c r="A186" s="2">
        <v>46303.666666666657</v>
      </c>
      <c r="B186" t="s">
        <v>39</v>
      </c>
      <c r="C186">
        <v>79.790000000000006</v>
      </c>
      <c r="D186">
        <v>21.09</v>
      </c>
      <c r="E186">
        <v>278</v>
      </c>
      <c r="F186">
        <v>1.581</v>
      </c>
      <c r="G186">
        <v>1243.4000000000001</v>
      </c>
      <c r="H186">
        <f t="shared" si="17"/>
        <v>79.994127493205738</v>
      </c>
      <c r="I186">
        <f>$R$2 + $R$5*$R$3*SQRT(($R$4/(2-$R$4))*(1-(1-$R$4)^(2*ROWS($C$2:C186))))</f>
        <v>76.02217893774683</v>
      </c>
      <c r="J186">
        <f>$R$2 - $R$5*$R$3*SQRT(($R$4/(2-$R$4))*(1-(1-$R$4)^(2*ROWS($C$2:C186))))</f>
        <v>73.772021062253103</v>
      </c>
      <c r="K186">
        <f t="shared" si="14"/>
        <v>0.54732487591103196</v>
      </c>
      <c r="L186">
        <f t="shared" si="18"/>
        <v>131.20830235669965</v>
      </c>
      <c r="M186">
        <v>0.5</v>
      </c>
      <c r="N186">
        <f t="shared" si="19"/>
        <v>0</v>
      </c>
      <c r="O186" t="str">
        <f t="shared" si="15"/>
        <v>ALARM: LINER WEAR</v>
      </c>
      <c r="P186" t="str">
        <f t="shared" si="16"/>
        <v>ALARM: BURNER DRIFT</v>
      </c>
    </row>
    <row r="187" spans="1:16">
      <c r="A187" s="2">
        <v>46303.708333333343</v>
      </c>
      <c r="B187" t="s">
        <v>39</v>
      </c>
      <c r="C187">
        <v>80.760000000000005</v>
      </c>
      <c r="D187">
        <v>21.15</v>
      </c>
      <c r="E187">
        <v>285.2</v>
      </c>
      <c r="F187">
        <v>1.647</v>
      </c>
      <c r="G187">
        <v>1245.5</v>
      </c>
      <c r="H187">
        <f t="shared" si="17"/>
        <v>80.1473019945646</v>
      </c>
      <c r="I187">
        <f>$R$2 + $R$5*$R$3*SQRT(($R$4/(2-$R$4))*(1-(1-$R$4)^(2*ROWS($C$2:C187))))</f>
        <v>76.02217893774683</v>
      </c>
      <c r="J187">
        <f>$R$2 - $R$5*$R$3*SQRT(($R$4/(2-$R$4))*(1-(1-$R$4)^(2*ROWS($C$2:C187))))</f>
        <v>73.772021062253103</v>
      </c>
      <c r="K187">
        <f t="shared" si="14"/>
        <v>1.1489811352402783</v>
      </c>
      <c r="L187">
        <f t="shared" si="18"/>
        <v>132.10728349193994</v>
      </c>
      <c r="M187">
        <v>0.5</v>
      </c>
      <c r="N187">
        <f t="shared" si="19"/>
        <v>0</v>
      </c>
      <c r="O187" t="str">
        <f t="shared" si="15"/>
        <v>ALARM: LINER WEAR</v>
      </c>
      <c r="P187" t="str">
        <f t="shared" si="16"/>
        <v>ALARM: BURNER DRIFT</v>
      </c>
    </row>
    <row r="188" spans="1:16">
      <c r="A188" s="2">
        <v>46303.75</v>
      </c>
      <c r="B188" t="s">
        <v>39</v>
      </c>
      <c r="C188">
        <v>80.23</v>
      </c>
      <c r="D188">
        <v>20.9</v>
      </c>
      <c r="E188">
        <v>280.89999999999998</v>
      </c>
      <c r="F188">
        <v>1.7430000000000001</v>
      </c>
      <c r="G188">
        <v>1241.4000000000001</v>
      </c>
      <c r="H188">
        <f t="shared" si="17"/>
        <v>80.163841595651689</v>
      </c>
      <c r="I188">
        <f>$R$2 + $R$5*$R$3*SQRT(($R$4/(2-$R$4))*(1-(1-$R$4)^(2*ROWS($C$2:C188))))</f>
        <v>76.02217893774683</v>
      </c>
      <c r="J188">
        <f>$R$2 - $R$5*$R$3*SQRT(($R$4/(2-$R$4))*(1-(1-$R$4)^(2*ROWS($C$2:C188))))</f>
        <v>73.772021062253103</v>
      </c>
      <c r="K188">
        <f t="shared" si="14"/>
        <v>2.0241175124464545</v>
      </c>
      <c r="L188">
        <f t="shared" si="18"/>
        <v>133.88140100438639</v>
      </c>
      <c r="M188">
        <v>0.5</v>
      </c>
      <c r="N188">
        <f t="shared" si="19"/>
        <v>0</v>
      </c>
      <c r="O188" t="str">
        <f t="shared" si="15"/>
        <v>ALARM: LINER WEAR</v>
      </c>
      <c r="P188" t="str">
        <f t="shared" si="16"/>
        <v>ALARM: BURNER DRIFT</v>
      </c>
    </row>
    <row r="189" spans="1:16">
      <c r="A189" s="2">
        <v>46303.791666666657</v>
      </c>
      <c r="B189" t="s">
        <v>39</v>
      </c>
      <c r="C189">
        <v>79.13</v>
      </c>
      <c r="D189">
        <v>20.77</v>
      </c>
      <c r="E189">
        <v>274.7</v>
      </c>
      <c r="F189">
        <v>1.9419999999999999</v>
      </c>
      <c r="G189">
        <v>1237.0999999999999</v>
      </c>
      <c r="H189">
        <f t="shared" si="17"/>
        <v>79.957073276521356</v>
      </c>
      <c r="I189">
        <f>$R$2 + $R$5*$R$3*SQRT(($R$4/(2-$R$4))*(1-(1-$R$4)^(2*ROWS($C$2:C189))))</f>
        <v>76.02217893774683</v>
      </c>
      <c r="J189">
        <f>$R$2 - $R$5*$R$3*SQRT(($R$4/(2-$R$4))*(1-(1-$R$4)^(2*ROWS($C$2:C189))))</f>
        <v>73.772021062253103</v>
      </c>
      <c r="K189">
        <f t="shared" si="14"/>
        <v>3.8382022943634215</v>
      </c>
      <c r="L189">
        <f t="shared" si="18"/>
        <v>137.4696032987498</v>
      </c>
      <c r="M189">
        <v>0.5</v>
      </c>
      <c r="N189">
        <f t="shared" si="19"/>
        <v>0</v>
      </c>
      <c r="O189" t="str">
        <f t="shared" si="15"/>
        <v>ALARM: LINER WEAR</v>
      </c>
      <c r="P189" t="str">
        <f t="shared" si="16"/>
        <v>ALARM: BURNER DRIFT</v>
      </c>
    </row>
    <row r="190" spans="1:16">
      <c r="A190" s="2">
        <v>46303.833333333343</v>
      </c>
      <c r="B190" t="s">
        <v>39</v>
      </c>
      <c r="C190">
        <v>78.41</v>
      </c>
      <c r="D190">
        <v>21.47</v>
      </c>
      <c r="E190">
        <v>266.10000000000002</v>
      </c>
      <c r="F190">
        <v>1.6950000000000001</v>
      </c>
      <c r="G190">
        <v>1233.4000000000001</v>
      </c>
      <c r="H190">
        <f t="shared" si="17"/>
        <v>79.64765862121709</v>
      </c>
      <c r="I190">
        <f>$R$2 + $R$5*$R$3*SQRT(($R$4/(2-$R$4))*(1-(1-$R$4)^(2*ROWS($C$2:C190))))</f>
        <v>76.02217893774683</v>
      </c>
      <c r="J190">
        <f>$R$2 - $R$5*$R$3*SQRT(($R$4/(2-$R$4))*(1-(1-$R$4)^(2*ROWS($C$2:C190))))</f>
        <v>73.772021062253103</v>
      </c>
      <c r="K190">
        <f t="shared" si="14"/>
        <v>1.5865493238433666</v>
      </c>
      <c r="L190">
        <f t="shared" si="18"/>
        <v>138.80615262259317</v>
      </c>
      <c r="M190">
        <v>0.5</v>
      </c>
      <c r="N190">
        <f t="shared" si="19"/>
        <v>0</v>
      </c>
      <c r="O190" t="str">
        <f t="shared" si="15"/>
        <v>ALARM: LINER WEAR</v>
      </c>
      <c r="P190" t="str">
        <f t="shared" si="16"/>
        <v>ALARM: BURNER DRIFT</v>
      </c>
    </row>
    <row r="191" spans="1:16">
      <c r="A191" s="2">
        <v>46303.875</v>
      </c>
      <c r="B191" t="s">
        <v>39</v>
      </c>
      <c r="C191">
        <v>77.13</v>
      </c>
      <c r="D191">
        <v>20.83</v>
      </c>
      <c r="E191">
        <v>241.7</v>
      </c>
      <c r="F191">
        <v>1.659</v>
      </c>
      <c r="G191">
        <v>1240.7</v>
      </c>
      <c r="H191">
        <f t="shared" si="17"/>
        <v>79.144126896973674</v>
      </c>
      <c r="I191">
        <f>$R$2 + $R$5*$R$3*SQRT(($R$4/(2-$R$4))*(1-(1-$R$4)^(2*ROWS($C$2:C191))))</f>
        <v>76.02217893774683</v>
      </c>
      <c r="J191">
        <f>$R$2 - $R$5*$R$3*SQRT(($R$4/(2-$R$4))*(1-(1-$R$4)^(2*ROWS($C$2:C191))))</f>
        <v>73.772021062253103</v>
      </c>
      <c r="K191">
        <f t="shared" si="14"/>
        <v>1.2583731823910502</v>
      </c>
      <c r="L191">
        <f t="shared" si="18"/>
        <v>139.81452580498421</v>
      </c>
      <c r="M191">
        <v>0.5</v>
      </c>
      <c r="N191">
        <f t="shared" si="19"/>
        <v>0</v>
      </c>
      <c r="O191" t="str">
        <f t="shared" si="15"/>
        <v>ALARM: LINER WEAR</v>
      </c>
      <c r="P191" t="str">
        <f t="shared" si="16"/>
        <v>ALARM: BURNER DRIFT</v>
      </c>
    </row>
    <row r="192" spans="1:16">
      <c r="A192" s="2">
        <v>46303.916666666657</v>
      </c>
      <c r="B192" t="s">
        <v>39</v>
      </c>
      <c r="C192">
        <v>77.790000000000006</v>
      </c>
      <c r="D192">
        <v>21.23</v>
      </c>
      <c r="E192">
        <v>272.39999999999998</v>
      </c>
      <c r="F192">
        <v>1.6619999999999999</v>
      </c>
      <c r="G192">
        <v>1231.4000000000001</v>
      </c>
      <c r="H192">
        <f t="shared" si="17"/>
        <v>78.873301517578952</v>
      </c>
      <c r="I192">
        <f>$R$2 + $R$5*$R$3*SQRT(($R$4/(2-$R$4))*(1-(1-$R$4)^(2*ROWS($C$2:C192))))</f>
        <v>76.02217893774683</v>
      </c>
      <c r="J192">
        <f>$R$2 - $R$5*$R$3*SQRT(($R$4/(2-$R$4))*(1-(1-$R$4)^(2*ROWS($C$2:C192))))</f>
        <v>73.772021062253103</v>
      </c>
      <c r="K192">
        <f t="shared" si="14"/>
        <v>1.2857211941787423</v>
      </c>
      <c r="L192">
        <f t="shared" si="18"/>
        <v>140.85024699916295</v>
      </c>
      <c r="M192">
        <v>0.5</v>
      </c>
      <c r="N192">
        <f t="shared" si="19"/>
        <v>0</v>
      </c>
      <c r="O192" t="str">
        <f t="shared" si="15"/>
        <v>ALARM: LINER WEAR</v>
      </c>
      <c r="P192" t="str">
        <f t="shared" si="16"/>
        <v>ALARM: BURNER DRIFT</v>
      </c>
    </row>
    <row r="193" spans="1:16">
      <c r="A193" s="2">
        <v>46303.958333333343</v>
      </c>
      <c r="B193" t="s">
        <v>39</v>
      </c>
      <c r="C193">
        <v>79.989999999999995</v>
      </c>
      <c r="D193">
        <v>21.04</v>
      </c>
      <c r="E193">
        <v>268.5</v>
      </c>
      <c r="F193">
        <v>1.7949999999999999</v>
      </c>
      <c r="G193">
        <v>1216.5999999999999</v>
      </c>
      <c r="H193">
        <f t="shared" si="17"/>
        <v>79.096641214063169</v>
      </c>
      <c r="I193">
        <f>$R$2 + $R$5*$R$3*SQRT(($R$4/(2-$R$4))*(1-(1-$R$4)^(2*ROWS($C$2:C193))))</f>
        <v>76.02217893774683</v>
      </c>
      <c r="J193">
        <f>$R$2 - $R$5*$R$3*SQRT(($R$4/(2-$R$4))*(1-(1-$R$4)^(2*ROWS($C$2:C193))))</f>
        <v>73.772021062253103</v>
      </c>
      <c r="K193">
        <f t="shared" si="14"/>
        <v>2.498149716766465</v>
      </c>
      <c r="L193">
        <f t="shared" si="18"/>
        <v>143.09839671592943</v>
      </c>
      <c r="M193">
        <v>0.5</v>
      </c>
      <c r="N193">
        <f t="shared" si="19"/>
        <v>0</v>
      </c>
      <c r="O193" t="str">
        <f t="shared" si="15"/>
        <v>ALARM: LINER WEAR</v>
      </c>
      <c r="P193" t="str">
        <f t="shared" si="16"/>
        <v>ALARM: BURNER DRIFT</v>
      </c>
    </row>
    <row r="194" spans="1:16">
      <c r="A194" s="2">
        <v>46304</v>
      </c>
      <c r="B194" t="s">
        <v>39</v>
      </c>
      <c r="C194">
        <v>79.8</v>
      </c>
      <c r="D194">
        <v>21.45</v>
      </c>
      <c r="E194">
        <v>268.89999999999998</v>
      </c>
      <c r="F194">
        <v>1.6080000000000001</v>
      </c>
      <c r="G194">
        <v>1243.5</v>
      </c>
      <c r="H194">
        <f t="shared" si="17"/>
        <v>79.237312971250532</v>
      </c>
      <c r="I194">
        <f>$R$2 + $R$5*$R$3*SQRT(($R$4/(2-$R$4))*(1-(1-$R$4)^(2*ROWS($C$2:C194))))</f>
        <v>76.02217893774683</v>
      </c>
      <c r="J194">
        <f>$R$2 - $R$5*$R$3*SQRT(($R$4/(2-$R$4))*(1-(1-$R$4)^(2*ROWS($C$2:C194))))</f>
        <v>73.772021062253103</v>
      </c>
      <c r="K194">
        <f t="shared" si="14"/>
        <v>0.79345698200027004</v>
      </c>
      <c r="L194">
        <f t="shared" si="18"/>
        <v>143.64185369792969</v>
      </c>
      <c r="M194">
        <v>0.5</v>
      </c>
      <c r="N194">
        <f t="shared" si="19"/>
        <v>0</v>
      </c>
      <c r="O194" t="str">
        <f t="shared" si="15"/>
        <v>ALARM: LINER WEAR</v>
      </c>
      <c r="P194" t="str">
        <f t="shared" si="16"/>
        <v>ALARM: BURNER DRIFT</v>
      </c>
    </row>
    <row r="195" spans="1:16">
      <c r="A195" s="2">
        <v>46304.041666666657</v>
      </c>
      <c r="B195" t="s">
        <v>39</v>
      </c>
      <c r="C195">
        <v>78.61</v>
      </c>
      <c r="D195">
        <v>21.42</v>
      </c>
      <c r="E195">
        <v>245</v>
      </c>
      <c r="F195">
        <v>1.8169999999999999</v>
      </c>
      <c r="G195">
        <v>1247.2</v>
      </c>
      <c r="H195">
        <f t="shared" si="17"/>
        <v>79.111850377000422</v>
      </c>
      <c r="I195">
        <f>$R$2 + $R$5*$R$3*SQRT(($R$4/(2-$R$4))*(1-(1-$R$4)^(2*ROWS($C$2:C195))))</f>
        <v>76.02217893774683</v>
      </c>
      <c r="J195">
        <f>$R$2 - $R$5*$R$3*SQRT(($R$4/(2-$R$4))*(1-(1-$R$4)^(2*ROWS($C$2:C195))))</f>
        <v>73.772021062253103</v>
      </c>
      <c r="K195">
        <f t="shared" ref="K195:K201" si="20">(F195 - $R$6) / $R$7</f>
        <v>2.6987018032095471</v>
      </c>
      <c r="L195">
        <f t="shared" si="18"/>
        <v>146.09055550113925</v>
      </c>
      <c r="M195">
        <v>0.5</v>
      </c>
      <c r="N195">
        <f t="shared" si="19"/>
        <v>0</v>
      </c>
      <c r="O195" t="str">
        <f t="shared" ref="O195:O201" si="21">IF(H195&gt;I195, "ALARM: LINER WEAR", "NORMAL")</f>
        <v>ALARM: LINER WEAR</v>
      </c>
      <c r="P195" t="str">
        <f t="shared" ref="P195:P201" si="22">IF(L195&gt;$R$9, "ALARM: BURNER DRIFT", "NORMAL")</f>
        <v>ALARM: BURNER DRIFT</v>
      </c>
    </row>
    <row r="196" spans="1:16">
      <c r="A196" s="2">
        <v>46304.083333333343</v>
      </c>
      <c r="B196" t="s">
        <v>39</v>
      </c>
      <c r="C196">
        <v>79.31</v>
      </c>
      <c r="D196">
        <v>21.74</v>
      </c>
      <c r="E196">
        <v>247.4</v>
      </c>
      <c r="F196">
        <v>1.728</v>
      </c>
      <c r="G196">
        <v>1221.0999999999999</v>
      </c>
      <c r="H196">
        <f t="shared" ref="H196:H201" si="23">$R$4*C196 + (1-$R$4)*H195</f>
        <v>79.151480301600344</v>
      </c>
      <c r="I196">
        <f>$R$2 + $R$5*$R$3*SQRT(($R$4/(2-$R$4))*(1-(1-$R$4)^(2*ROWS($C$2:C196))))</f>
        <v>76.02217893774683</v>
      </c>
      <c r="J196">
        <f>$R$2 - $R$5*$R$3*SQRT(($R$4/(2-$R$4))*(1-(1-$R$4)^(2*ROWS($C$2:C196))))</f>
        <v>73.772021062253103</v>
      </c>
      <c r="K196">
        <f t="shared" si="20"/>
        <v>1.8873774535079886</v>
      </c>
      <c r="L196">
        <f t="shared" ref="L196:L201" si="24">MAX(0, L195 + K196 - $R$8)</f>
        <v>147.72793295464723</v>
      </c>
      <c r="M196">
        <v>0.5</v>
      </c>
      <c r="N196">
        <f t="shared" ref="N196:N201" si="25">MAX(0, N195 - K196 - $R$8)</f>
        <v>0</v>
      </c>
      <c r="O196" t="str">
        <f t="shared" si="21"/>
        <v>ALARM: LINER WEAR</v>
      </c>
      <c r="P196" t="str">
        <f t="shared" si="22"/>
        <v>ALARM: BURNER DRIFT</v>
      </c>
    </row>
    <row r="197" spans="1:16">
      <c r="A197" s="2">
        <v>46304.125</v>
      </c>
      <c r="B197" t="s">
        <v>39</v>
      </c>
      <c r="C197">
        <v>80.3</v>
      </c>
      <c r="D197">
        <v>21.15</v>
      </c>
      <c r="E197">
        <v>278.8</v>
      </c>
      <c r="F197">
        <v>1.669</v>
      </c>
      <c r="G197">
        <v>1231.9000000000001</v>
      </c>
      <c r="H197">
        <f t="shared" si="23"/>
        <v>79.38118424128028</v>
      </c>
      <c r="I197">
        <f>$R$2 + $R$5*$R$3*SQRT(($R$4/(2-$R$4))*(1-(1-$R$4)^(2*ROWS($C$2:C197))))</f>
        <v>76.02217893774683</v>
      </c>
      <c r="J197">
        <f>$R$2 - $R$5*$R$3*SQRT(($R$4/(2-$R$4))*(1-(1-$R$4)^(2*ROWS($C$2:C197))))</f>
        <v>73.772021062253103</v>
      </c>
      <c r="K197">
        <f t="shared" si="20"/>
        <v>1.3495332216833604</v>
      </c>
      <c r="L197">
        <f t="shared" si="24"/>
        <v>148.8274661763306</v>
      </c>
      <c r="M197">
        <v>0.5</v>
      </c>
      <c r="N197">
        <f t="shared" si="25"/>
        <v>0</v>
      </c>
      <c r="O197" t="str">
        <f t="shared" si="21"/>
        <v>ALARM: LINER WEAR</v>
      </c>
      <c r="P197" t="str">
        <f t="shared" si="22"/>
        <v>ALARM: BURNER DRIFT</v>
      </c>
    </row>
    <row r="198" spans="1:16">
      <c r="A198" s="2">
        <v>46304.166666666657</v>
      </c>
      <c r="B198" t="s">
        <v>39</v>
      </c>
      <c r="C198">
        <v>78.180000000000007</v>
      </c>
      <c r="D198">
        <v>21.27</v>
      </c>
      <c r="E198">
        <v>261.8</v>
      </c>
      <c r="F198">
        <v>1.4770000000000001</v>
      </c>
      <c r="G198">
        <v>1245</v>
      </c>
      <c r="H198">
        <f t="shared" si="23"/>
        <v>79.14094739302422</v>
      </c>
      <c r="I198">
        <f>$R$2 + $R$5*$R$3*SQRT(($R$4/(2-$R$4))*(1-(1-$R$4)^(2*ROWS($C$2:C198))))</f>
        <v>76.02217893774683</v>
      </c>
      <c r="J198">
        <f>$R$2 - $R$5*$R$3*SQRT(($R$4/(2-$R$4))*(1-(1-$R$4)^(2*ROWS($C$2:C198))))</f>
        <v>73.772021062253103</v>
      </c>
      <c r="K198">
        <f t="shared" si="20"/>
        <v>-0.40073953272899054</v>
      </c>
      <c r="L198">
        <f t="shared" si="24"/>
        <v>148.17672664360163</v>
      </c>
      <c r="M198">
        <v>0.5</v>
      </c>
      <c r="N198">
        <f t="shared" si="25"/>
        <v>0.15073953272899054</v>
      </c>
      <c r="O198" t="str">
        <f t="shared" si="21"/>
        <v>ALARM: LINER WEAR</v>
      </c>
      <c r="P198" t="str">
        <f t="shared" si="22"/>
        <v>ALARM: BURNER DRIFT</v>
      </c>
    </row>
    <row r="199" spans="1:16">
      <c r="A199" s="2">
        <v>46304.208333333343</v>
      </c>
      <c r="B199" t="s">
        <v>39</v>
      </c>
      <c r="C199">
        <v>78.790000000000006</v>
      </c>
      <c r="D199">
        <v>21.02</v>
      </c>
      <c r="E199">
        <v>272</v>
      </c>
      <c r="F199">
        <v>1.575</v>
      </c>
      <c r="G199">
        <v>1256.5</v>
      </c>
      <c r="H199">
        <f t="shared" si="23"/>
        <v>79.070757914419374</v>
      </c>
      <c r="I199">
        <f>$R$2 + $R$5*$R$3*SQRT(($R$4/(2-$R$4))*(1-(1-$R$4)^(2*ROWS($C$2:C199))))</f>
        <v>76.02217893774683</v>
      </c>
      <c r="J199">
        <f>$R$2 - $R$5*$R$3*SQRT(($R$4/(2-$R$4))*(1-(1-$R$4)^(2*ROWS($C$2:C199))))</f>
        <v>73.772021062253103</v>
      </c>
      <c r="K199">
        <f t="shared" si="20"/>
        <v>0.49262885233564591</v>
      </c>
      <c r="L199">
        <f t="shared" si="24"/>
        <v>148.41935549593728</v>
      </c>
      <c r="M199">
        <v>0.5</v>
      </c>
      <c r="N199">
        <f t="shared" si="25"/>
        <v>0</v>
      </c>
      <c r="O199" t="str">
        <f t="shared" si="21"/>
        <v>ALARM: LINER WEAR</v>
      </c>
      <c r="P199" t="str">
        <f t="shared" si="22"/>
        <v>ALARM: BURNER DRIFT</v>
      </c>
    </row>
    <row r="200" spans="1:16">
      <c r="A200" s="2">
        <v>46304.25</v>
      </c>
      <c r="B200" t="s">
        <v>39</v>
      </c>
      <c r="C200">
        <v>79.47</v>
      </c>
      <c r="D200">
        <v>21.26</v>
      </c>
      <c r="E200">
        <v>261.60000000000002</v>
      </c>
      <c r="F200">
        <v>1.726</v>
      </c>
      <c r="G200">
        <v>1240.2</v>
      </c>
      <c r="H200">
        <f t="shared" si="23"/>
        <v>79.150606331535499</v>
      </c>
      <c r="I200">
        <f>$R$2 + $R$5*$R$3*SQRT(($R$4/(2-$R$4))*(1-(1-$R$4)^(2*ROWS($C$2:C200))))</f>
        <v>76.02217893774683</v>
      </c>
      <c r="J200">
        <f>$R$2 - $R$5*$R$3*SQRT(($R$4/(2-$R$4))*(1-(1-$R$4)^(2*ROWS($C$2:C200))))</f>
        <v>73.772021062253103</v>
      </c>
      <c r="K200">
        <f t="shared" si="20"/>
        <v>1.8691454456495267</v>
      </c>
      <c r="L200">
        <f t="shared" si="24"/>
        <v>150.03850094158682</v>
      </c>
      <c r="M200">
        <v>0.5</v>
      </c>
      <c r="N200">
        <f t="shared" si="25"/>
        <v>0</v>
      </c>
      <c r="O200" t="str">
        <f t="shared" si="21"/>
        <v>ALARM: LINER WEAR</v>
      </c>
      <c r="P200" t="str">
        <f t="shared" si="22"/>
        <v>ALARM: BURNER DRIFT</v>
      </c>
    </row>
    <row r="201" spans="1:16">
      <c r="A201" s="2">
        <v>46304.291666666657</v>
      </c>
      <c r="B201" t="s">
        <v>39</v>
      </c>
      <c r="C201">
        <v>79.28</v>
      </c>
      <c r="D201">
        <v>21.62</v>
      </c>
      <c r="E201">
        <v>261</v>
      </c>
      <c r="F201">
        <v>1.871</v>
      </c>
      <c r="G201">
        <v>1234.2</v>
      </c>
      <c r="H201">
        <f t="shared" si="23"/>
        <v>79.176485065228405</v>
      </c>
      <c r="I201">
        <f>$R$2 + $R$5*$R$3*SQRT(($R$4/(2-$R$4))*(1-(1-$R$4)^(2*ROWS($C$2:C201))))</f>
        <v>76.02217893774683</v>
      </c>
      <c r="J201">
        <f>$R$2 - $R$5*$R$3*SQRT(($R$4/(2-$R$4))*(1-(1-$R$4)^(2*ROWS($C$2:C201))))</f>
        <v>73.772021062253103</v>
      </c>
      <c r="K201">
        <f t="shared" si="20"/>
        <v>3.1909660153880215</v>
      </c>
      <c r="L201">
        <f t="shared" si="24"/>
        <v>152.97946695697485</v>
      </c>
      <c r="M201">
        <v>0.5</v>
      </c>
      <c r="N201">
        <f t="shared" si="25"/>
        <v>0</v>
      </c>
      <c r="O201" t="str">
        <f t="shared" si="21"/>
        <v>ALARM: LINER WEAR</v>
      </c>
      <c r="P201" t="str">
        <f t="shared" si="22"/>
        <v>ALARM: BURNER DRIFT</v>
      </c>
    </row>
  </sheetData>
  <conditionalFormatting sqref="O1:P1048576">
    <cfRule type="containsText" dxfId="0" priority="1" operator="containsText" text="ALARM">
      <formula>NOT(ISERROR(SEARCH("ALARM",O1)))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Data</vt:lpstr>
      <vt:lpstr>Baseline_PhaseI</vt:lpstr>
      <vt:lpstr>My_Practice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Hadi</cp:lastModifiedBy>
  <dcterms:created xsi:type="dcterms:W3CDTF">2026-10-02T10:03:36Z</dcterms:created>
  <dcterms:modified xsi:type="dcterms:W3CDTF">2026-10-05T16:12:17Z</dcterms:modified>
</cp:coreProperties>
</file>