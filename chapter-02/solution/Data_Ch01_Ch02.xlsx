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ml.chartshap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C:\Users\QC\Downloads\Solutions\ch-02\"/>
    </mc:Choice>
  </mc:AlternateContent>
  <xr:revisionPtr revIDLastSave="0" documentId="13_ncr:1_{D31F3CFC-B93B-4AE4-B94D-3D688A051488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Ch02_Grinding_Mill_Energy" sheetId="3" r:id="rId1"/>
    <sheet name="Ch02_Cyclone_PSD_Tromp" sheetId="4" r:id="rId2"/>
    <sheet name="Ch02_Shift_KPI_Monitoring_SPC" sheetId="5" r:id="rId3"/>
  </sheets>
  <definedNames>
    <definedName name="_xlnm._FilterDatabase" localSheetId="0" hidden="1">Ch02_Grinding_Mill_Energy!$A$1:$P$181</definedName>
    <definedName name="_xlnm._FilterDatabase" localSheetId="2" hidden="1">Ch02_Shift_KPI_Monitoring_SPC!$A$1:$R$251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36" i="4" l="1"/>
  <c r="I36" i="4" s="1"/>
  <c r="J36" i="4" s="1"/>
  <c r="G36" i="4"/>
  <c r="H35" i="4"/>
  <c r="I35" i="4" s="1"/>
  <c r="J35" i="4" s="1"/>
  <c r="G35" i="4"/>
  <c r="F35" i="4"/>
  <c r="H34" i="4"/>
  <c r="I34" i="4" s="1"/>
  <c r="J34" i="4" s="1"/>
  <c r="G34" i="4"/>
  <c r="F34" i="4"/>
  <c r="H33" i="4"/>
  <c r="G33" i="4"/>
  <c r="F33" i="4"/>
  <c r="H32" i="4"/>
  <c r="G32" i="4"/>
  <c r="F32" i="4"/>
  <c r="H31" i="4"/>
  <c r="I31" i="4" s="1"/>
  <c r="J31" i="4" s="1"/>
  <c r="G31" i="4"/>
  <c r="F31" i="4"/>
  <c r="H30" i="4"/>
  <c r="G30" i="4"/>
  <c r="F30" i="4"/>
  <c r="H29" i="4"/>
  <c r="G29" i="4"/>
  <c r="I29" i="4" s="1"/>
  <c r="J29" i="4" s="1"/>
  <c r="F29" i="4"/>
  <c r="H28" i="4"/>
  <c r="I28" i="4" s="1"/>
  <c r="J28" i="4" s="1"/>
  <c r="G28" i="4"/>
  <c r="F28" i="4"/>
  <c r="B22" i="4"/>
  <c r="H15" i="4"/>
  <c r="G15" i="4"/>
  <c r="H14" i="4"/>
  <c r="G14" i="4"/>
  <c r="F14" i="4"/>
  <c r="H13" i="4"/>
  <c r="G13" i="4"/>
  <c r="F13" i="4"/>
  <c r="H12" i="4"/>
  <c r="G12" i="4"/>
  <c r="F12" i="4"/>
  <c r="H11" i="4"/>
  <c r="G11" i="4"/>
  <c r="F11" i="4"/>
  <c r="H10" i="4"/>
  <c r="G10" i="4"/>
  <c r="F10" i="4"/>
  <c r="H9" i="4"/>
  <c r="G9" i="4"/>
  <c r="F9" i="4"/>
  <c r="H8" i="4"/>
  <c r="G8" i="4"/>
  <c r="F8" i="4"/>
  <c r="H7" i="4"/>
  <c r="I7" i="4" s="1"/>
  <c r="J7" i="4" s="1"/>
  <c r="G7" i="4"/>
  <c r="F7" i="4"/>
  <c r="I181" i="3"/>
  <c r="K181" i="3" s="1"/>
  <c r="L181" i="3" s="1"/>
  <c r="P181" i="3" s="1"/>
  <c r="I180" i="3"/>
  <c r="K180" i="3" s="1"/>
  <c r="L180" i="3" s="1"/>
  <c r="P180" i="3" s="1"/>
  <c r="I179" i="3"/>
  <c r="K179" i="3" s="1"/>
  <c r="L179" i="3" s="1"/>
  <c r="P179" i="3" s="1"/>
  <c r="I178" i="3"/>
  <c r="K178" i="3" s="1"/>
  <c r="L178" i="3" s="1"/>
  <c r="P178" i="3" s="1"/>
  <c r="I177" i="3"/>
  <c r="K177" i="3" s="1"/>
  <c r="L177" i="3" s="1"/>
  <c r="P177" i="3" s="1"/>
  <c r="I176" i="3"/>
  <c r="K176" i="3" s="1"/>
  <c r="L176" i="3" s="1"/>
  <c r="P176" i="3" s="1"/>
  <c r="I175" i="3"/>
  <c r="K175" i="3" s="1"/>
  <c r="L175" i="3" s="1"/>
  <c r="P175" i="3" s="1"/>
  <c r="I174" i="3"/>
  <c r="K174" i="3" s="1"/>
  <c r="L174" i="3" s="1"/>
  <c r="P174" i="3" s="1"/>
  <c r="I173" i="3"/>
  <c r="K173" i="3" s="1"/>
  <c r="L173" i="3" s="1"/>
  <c r="P173" i="3" s="1"/>
  <c r="I172" i="3"/>
  <c r="K172" i="3" s="1"/>
  <c r="L172" i="3" s="1"/>
  <c r="P172" i="3" s="1"/>
  <c r="I171" i="3"/>
  <c r="K171" i="3" s="1"/>
  <c r="L171" i="3" s="1"/>
  <c r="P171" i="3" s="1"/>
  <c r="I170" i="3"/>
  <c r="K170" i="3" s="1"/>
  <c r="L170" i="3" s="1"/>
  <c r="P170" i="3" s="1"/>
  <c r="I169" i="3"/>
  <c r="K169" i="3" s="1"/>
  <c r="L169" i="3" s="1"/>
  <c r="P169" i="3" s="1"/>
  <c r="I168" i="3"/>
  <c r="K168" i="3" s="1"/>
  <c r="L168" i="3" s="1"/>
  <c r="P168" i="3" s="1"/>
  <c r="I167" i="3"/>
  <c r="K167" i="3" s="1"/>
  <c r="L167" i="3" s="1"/>
  <c r="P167" i="3" s="1"/>
  <c r="I166" i="3"/>
  <c r="K166" i="3" s="1"/>
  <c r="L166" i="3" s="1"/>
  <c r="P166" i="3" s="1"/>
  <c r="I165" i="3"/>
  <c r="K165" i="3" s="1"/>
  <c r="L165" i="3" s="1"/>
  <c r="P165" i="3" s="1"/>
  <c r="I164" i="3"/>
  <c r="K164" i="3" s="1"/>
  <c r="L164" i="3" s="1"/>
  <c r="P164" i="3" s="1"/>
  <c r="I163" i="3"/>
  <c r="K163" i="3" s="1"/>
  <c r="L163" i="3" s="1"/>
  <c r="P163" i="3" s="1"/>
  <c r="I162" i="3"/>
  <c r="K162" i="3" s="1"/>
  <c r="L162" i="3" s="1"/>
  <c r="P162" i="3" s="1"/>
  <c r="I161" i="3"/>
  <c r="K161" i="3" s="1"/>
  <c r="L161" i="3" s="1"/>
  <c r="P161" i="3" s="1"/>
  <c r="I160" i="3"/>
  <c r="K160" i="3" s="1"/>
  <c r="L160" i="3" s="1"/>
  <c r="P160" i="3" s="1"/>
  <c r="I159" i="3"/>
  <c r="K159" i="3" s="1"/>
  <c r="L159" i="3" s="1"/>
  <c r="P159" i="3" s="1"/>
  <c r="I158" i="3"/>
  <c r="K158" i="3" s="1"/>
  <c r="L158" i="3" s="1"/>
  <c r="P158" i="3" s="1"/>
  <c r="I157" i="3"/>
  <c r="K157" i="3" s="1"/>
  <c r="L157" i="3" s="1"/>
  <c r="P157" i="3" s="1"/>
  <c r="I156" i="3"/>
  <c r="K156" i="3" s="1"/>
  <c r="L156" i="3" s="1"/>
  <c r="P156" i="3" s="1"/>
  <c r="I155" i="3"/>
  <c r="K155" i="3" s="1"/>
  <c r="L155" i="3" s="1"/>
  <c r="P155" i="3" s="1"/>
  <c r="I154" i="3"/>
  <c r="K154" i="3" s="1"/>
  <c r="L154" i="3" s="1"/>
  <c r="P154" i="3" s="1"/>
  <c r="I153" i="3"/>
  <c r="K153" i="3" s="1"/>
  <c r="L153" i="3" s="1"/>
  <c r="P153" i="3" s="1"/>
  <c r="I152" i="3"/>
  <c r="K152" i="3" s="1"/>
  <c r="L152" i="3" s="1"/>
  <c r="P152" i="3" s="1"/>
  <c r="I151" i="3"/>
  <c r="K151" i="3" s="1"/>
  <c r="L151" i="3" s="1"/>
  <c r="P151" i="3" s="1"/>
  <c r="I150" i="3"/>
  <c r="K150" i="3" s="1"/>
  <c r="L150" i="3" s="1"/>
  <c r="P150" i="3" s="1"/>
  <c r="I149" i="3"/>
  <c r="K149" i="3" s="1"/>
  <c r="L149" i="3" s="1"/>
  <c r="P149" i="3" s="1"/>
  <c r="I148" i="3"/>
  <c r="K148" i="3" s="1"/>
  <c r="L148" i="3" s="1"/>
  <c r="P148" i="3" s="1"/>
  <c r="I147" i="3"/>
  <c r="K147" i="3" s="1"/>
  <c r="L147" i="3" s="1"/>
  <c r="P147" i="3" s="1"/>
  <c r="I146" i="3"/>
  <c r="K146" i="3" s="1"/>
  <c r="L146" i="3" s="1"/>
  <c r="P146" i="3" s="1"/>
  <c r="I145" i="3"/>
  <c r="K145" i="3" s="1"/>
  <c r="L145" i="3" s="1"/>
  <c r="P145" i="3" s="1"/>
  <c r="I144" i="3"/>
  <c r="K144" i="3" s="1"/>
  <c r="L144" i="3" s="1"/>
  <c r="P144" i="3" s="1"/>
  <c r="I143" i="3"/>
  <c r="K143" i="3" s="1"/>
  <c r="L143" i="3" s="1"/>
  <c r="P143" i="3" s="1"/>
  <c r="I142" i="3"/>
  <c r="K142" i="3" s="1"/>
  <c r="L142" i="3" s="1"/>
  <c r="P142" i="3" s="1"/>
  <c r="I141" i="3"/>
  <c r="K141" i="3" s="1"/>
  <c r="L141" i="3" s="1"/>
  <c r="P141" i="3" s="1"/>
  <c r="I140" i="3"/>
  <c r="K140" i="3" s="1"/>
  <c r="L140" i="3" s="1"/>
  <c r="P140" i="3" s="1"/>
  <c r="I139" i="3"/>
  <c r="K139" i="3" s="1"/>
  <c r="L139" i="3" s="1"/>
  <c r="P139" i="3" s="1"/>
  <c r="I138" i="3"/>
  <c r="K138" i="3" s="1"/>
  <c r="L138" i="3" s="1"/>
  <c r="P138" i="3" s="1"/>
  <c r="I137" i="3"/>
  <c r="K137" i="3" s="1"/>
  <c r="L137" i="3" s="1"/>
  <c r="P137" i="3" s="1"/>
  <c r="I136" i="3"/>
  <c r="K136" i="3" s="1"/>
  <c r="L136" i="3" s="1"/>
  <c r="P136" i="3" s="1"/>
  <c r="I135" i="3"/>
  <c r="K135" i="3" s="1"/>
  <c r="L135" i="3" s="1"/>
  <c r="P135" i="3" s="1"/>
  <c r="I134" i="3"/>
  <c r="K134" i="3" s="1"/>
  <c r="L134" i="3" s="1"/>
  <c r="P134" i="3" s="1"/>
  <c r="I133" i="3"/>
  <c r="K133" i="3" s="1"/>
  <c r="L133" i="3" s="1"/>
  <c r="P133" i="3" s="1"/>
  <c r="I132" i="3"/>
  <c r="K132" i="3" s="1"/>
  <c r="L132" i="3" s="1"/>
  <c r="P132" i="3" s="1"/>
  <c r="I131" i="3"/>
  <c r="K131" i="3" s="1"/>
  <c r="L131" i="3" s="1"/>
  <c r="P131" i="3" s="1"/>
  <c r="I130" i="3"/>
  <c r="K130" i="3" s="1"/>
  <c r="L130" i="3" s="1"/>
  <c r="P130" i="3" s="1"/>
  <c r="I129" i="3"/>
  <c r="K129" i="3" s="1"/>
  <c r="L129" i="3" s="1"/>
  <c r="P129" i="3" s="1"/>
  <c r="I128" i="3"/>
  <c r="K128" i="3" s="1"/>
  <c r="L128" i="3" s="1"/>
  <c r="P128" i="3" s="1"/>
  <c r="I127" i="3"/>
  <c r="K127" i="3" s="1"/>
  <c r="L127" i="3" s="1"/>
  <c r="P127" i="3" s="1"/>
  <c r="I126" i="3"/>
  <c r="K126" i="3" s="1"/>
  <c r="L126" i="3" s="1"/>
  <c r="P126" i="3" s="1"/>
  <c r="I125" i="3"/>
  <c r="K125" i="3" s="1"/>
  <c r="L125" i="3" s="1"/>
  <c r="P125" i="3" s="1"/>
  <c r="I124" i="3"/>
  <c r="K124" i="3" s="1"/>
  <c r="L124" i="3" s="1"/>
  <c r="P124" i="3" s="1"/>
  <c r="I123" i="3"/>
  <c r="K123" i="3" s="1"/>
  <c r="L123" i="3" s="1"/>
  <c r="P123" i="3" s="1"/>
  <c r="I122" i="3"/>
  <c r="K122" i="3" s="1"/>
  <c r="L122" i="3" s="1"/>
  <c r="P122" i="3" s="1"/>
  <c r="I121" i="3"/>
  <c r="K121" i="3" s="1"/>
  <c r="L121" i="3" s="1"/>
  <c r="P121" i="3" s="1"/>
  <c r="I120" i="3"/>
  <c r="K120" i="3" s="1"/>
  <c r="L120" i="3" s="1"/>
  <c r="P120" i="3" s="1"/>
  <c r="I119" i="3"/>
  <c r="K119" i="3" s="1"/>
  <c r="L119" i="3" s="1"/>
  <c r="P119" i="3" s="1"/>
  <c r="I118" i="3"/>
  <c r="K118" i="3" s="1"/>
  <c r="L118" i="3" s="1"/>
  <c r="P118" i="3" s="1"/>
  <c r="I117" i="3"/>
  <c r="K117" i="3" s="1"/>
  <c r="L117" i="3" s="1"/>
  <c r="P117" i="3" s="1"/>
  <c r="I116" i="3"/>
  <c r="K116" i="3" s="1"/>
  <c r="L116" i="3" s="1"/>
  <c r="P116" i="3" s="1"/>
  <c r="I115" i="3"/>
  <c r="K115" i="3" s="1"/>
  <c r="L115" i="3" s="1"/>
  <c r="P115" i="3" s="1"/>
  <c r="I114" i="3"/>
  <c r="K114" i="3" s="1"/>
  <c r="L114" i="3" s="1"/>
  <c r="P114" i="3" s="1"/>
  <c r="I113" i="3"/>
  <c r="K113" i="3" s="1"/>
  <c r="L113" i="3" s="1"/>
  <c r="P113" i="3" s="1"/>
  <c r="I112" i="3"/>
  <c r="K112" i="3" s="1"/>
  <c r="L112" i="3" s="1"/>
  <c r="P112" i="3" s="1"/>
  <c r="I111" i="3"/>
  <c r="K111" i="3" s="1"/>
  <c r="L111" i="3" s="1"/>
  <c r="P111" i="3" s="1"/>
  <c r="I110" i="3"/>
  <c r="K110" i="3" s="1"/>
  <c r="L110" i="3" s="1"/>
  <c r="P110" i="3" s="1"/>
  <c r="I109" i="3"/>
  <c r="K109" i="3" s="1"/>
  <c r="L109" i="3" s="1"/>
  <c r="P109" i="3" s="1"/>
  <c r="I108" i="3"/>
  <c r="K108" i="3" s="1"/>
  <c r="L108" i="3" s="1"/>
  <c r="P108" i="3" s="1"/>
  <c r="I107" i="3"/>
  <c r="K107" i="3" s="1"/>
  <c r="L107" i="3" s="1"/>
  <c r="P107" i="3" s="1"/>
  <c r="I106" i="3"/>
  <c r="K106" i="3" s="1"/>
  <c r="L106" i="3" s="1"/>
  <c r="P106" i="3" s="1"/>
  <c r="I105" i="3"/>
  <c r="K105" i="3" s="1"/>
  <c r="L105" i="3" s="1"/>
  <c r="P105" i="3" s="1"/>
  <c r="I104" i="3"/>
  <c r="K104" i="3" s="1"/>
  <c r="L104" i="3" s="1"/>
  <c r="P104" i="3" s="1"/>
  <c r="I103" i="3"/>
  <c r="K103" i="3" s="1"/>
  <c r="L103" i="3" s="1"/>
  <c r="P103" i="3" s="1"/>
  <c r="I102" i="3"/>
  <c r="K102" i="3" s="1"/>
  <c r="L102" i="3" s="1"/>
  <c r="P102" i="3" s="1"/>
  <c r="I101" i="3"/>
  <c r="K101" i="3" s="1"/>
  <c r="L101" i="3" s="1"/>
  <c r="P101" i="3" s="1"/>
  <c r="I100" i="3"/>
  <c r="K100" i="3" s="1"/>
  <c r="L100" i="3" s="1"/>
  <c r="P100" i="3" s="1"/>
  <c r="I99" i="3"/>
  <c r="K99" i="3" s="1"/>
  <c r="L99" i="3" s="1"/>
  <c r="P99" i="3" s="1"/>
  <c r="I98" i="3"/>
  <c r="K98" i="3" s="1"/>
  <c r="L98" i="3" s="1"/>
  <c r="P98" i="3" s="1"/>
  <c r="I97" i="3"/>
  <c r="K97" i="3" s="1"/>
  <c r="L97" i="3" s="1"/>
  <c r="P97" i="3" s="1"/>
  <c r="I96" i="3"/>
  <c r="K96" i="3" s="1"/>
  <c r="L96" i="3" s="1"/>
  <c r="P96" i="3" s="1"/>
  <c r="I95" i="3"/>
  <c r="K95" i="3" s="1"/>
  <c r="L95" i="3" s="1"/>
  <c r="P95" i="3" s="1"/>
  <c r="I94" i="3"/>
  <c r="K94" i="3" s="1"/>
  <c r="L94" i="3" s="1"/>
  <c r="P94" i="3" s="1"/>
  <c r="I93" i="3"/>
  <c r="K93" i="3" s="1"/>
  <c r="L93" i="3" s="1"/>
  <c r="P93" i="3" s="1"/>
  <c r="I92" i="3"/>
  <c r="K92" i="3" s="1"/>
  <c r="L92" i="3" s="1"/>
  <c r="P92" i="3" s="1"/>
  <c r="I91" i="3"/>
  <c r="K91" i="3" s="1"/>
  <c r="L91" i="3" s="1"/>
  <c r="P91" i="3" s="1"/>
  <c r="I90" i="3"/>
  <c r="K90" i="3" s="1"/>
  <c r="L90" i="3" s="1"/>
  <c r="P90" i="3" s="1"/>
  <c r="I89" i="3"/>
  <c r="K89" i="3" s="1"/>
  <c r="L89" i="3" s="1"/>
  <c r="P89" i="3" s="1"/>
  <c r="I88" i="3"/>
  <c r="K88" i="3" s="1"/>
  <c r="L88" i="3" s="1"/>
  <c r="P88" i="3" s="1"/>
  <c r="I87" i="3"/>
  <c r="K87" i="3" s="1"/>
  <c r="L87" i="3" s="1"/>
  <c r="P87" i="3" s="1"/>
  <c r="I86" i="3"/>
  <c r="K86" i="3" s="1"/>
  <c r="L86" i="3" s="1"/>
  <c r="P86" i="3" s="1"/>
  <c r="I85" i="3"/>
  <c r="K85" i="3" s="1"/>
  <c r="L85" i="3" s="1"/>
  <c r="P85" i="3" s="1"/>
  <c r="I84" i="3"/>
  <c r="K84" i="3" s="1"/>
  <c r="L84" i="3" s="1"/>
  <c r="P84" i="3" s="1"/>
  <c r="I83" i="3"/>
  <c r="K83" i="3" s="1"/>
  <c r="L83" i="3" s="1"/>
  <c r="P83" i="3" s="1"/>
  <c r="I82" i="3"/>
  <c r="K82" i="3" s="1"/>
  <c r="L82" i="3" s="1"/>
  <c r="P82" i="3" s="1"/>
  <c r="I81" i="3"/>
  <c r="K81" i="3" s="1"/>
  <c r="L81" i="3" s="1"/>
  <c r="P81" i="3" s="1"/>
  <c r="I80" i="3"/>
  <c r="K80" i="3" s="1"/>
  <c r="L80" i="3" s="1"/>
  <c r="P80" i="3" s="1"/>
  <c r="I79" i="3"/>
  <c r="K79" i="3" s="1"/>
  <c r="L79" i="3" s="1"/>
  <c r="P79" i="3" s="1"/>
  <c r="I78" i="3"/>
  <c r="K78" i="3" s="1"/>
  <c r="L78" i="3" s="1"/>
  <c r="P78" i="3" s="1"/>
  <c r="I77" i="3"/>
  <c r="K77" i="3" s="1"/>
  <c r="L77" i="3" s="1"/>
  <c r="P77" i="3" s="1"/>
  <c r="I76" i="3"/>
  <c r="K76" i="3" s="1"/>
  <c r="L76" i="3" s="1"/>
  <c r="P76" i="3" s="1"/>
  <c r="I75" i="3"/>
  <c r="K75" i="3" s="1"/>
  <c r="L75" i="3" s="1"/>
  <c r="P75" i="3" s="1"/>
  <c r="I74" i="3"/>
  <c r="K74" i="3" s="1"/>
  <c r="L74" i="3" s="1"/>
  <c r="P74" i="3" s="1"/>
  <c r="I73" i="3"/>
  <c r="K73" i="3" s="1"/>
  <c r="L73" i="3" s="1"/>
  <c r="P73" i="3" s="1"/>
  <c r="I72" i="3"/>
  <c r="K72" i="3" s="1"/>
  <c r="L72" i="3" s="1"/>
  <c r="P72" i="3" s="1"/>
  <c r="I71" i="3"/>
  <c r="K71" i="3" s="1"/>
  <c r="L71" i="3" s="1"/>
  <c r="P71" i="3" s="1"/>
  <c r="I70" i="3"/>
  <c r="K70" i="3" s="1"/>
  <c r="L70" i="3" s="1"/>
  <c r="P70" i="3" s="1"/>
  <c r="I69" i="3"/>
  <c r="K69" i="3" s="1"/>
  <c r="L69" i="3" s="1"/>
  <c r="P69" i="3" s="1"/>
  <c r="I68" i="3"/>
  <c r="K68" i="3" s="1"/>
  <c r="L68" i="3" s="1"/>
  <c r="P68" i="3" s="1"/>
  <c r="I67" i="3"/>
  <c r="K67" i="3" s="1"/>
  <c r="L67" i="3" s="1"/>
  <c r="P67" i="3" s="1"/>
  <c r="I66" i="3"/>
  <c r="K66" i="3" s="1"/>
  <c r="L66" i="3" s="1"/>
  <c r="P66" i="3" s="1"/>
  <c r="I65" i="3"/>
  <c r="K65" i="3" s="1"/>
  <c r="L65" i="3" s="1"/>
  <c r="P65" i="3" s="1"/>
  <c r="I64" i="3"/>
  <c r="K64" i="3" s="1"/>
  <c r="L64" i="3" s="1"/>
  <c r="P64" i="3" s="1"/>
  <c r="I63" i="3"/>
  <c r="K63" i="3" s="1"/>
  <c r="L63" i="3" s="1"/>
  <c r="P63" i="3" s="1"/>
  <c r="I62" i="3"/>
  <c r="K62" i="3" s="1"/>
  <c r="L62" i="3" s="1"/>
  <c r="P62" i="3" s="1"/>
  <c r="I61" i="3"/>
  <c r="K61" i="3" s="1"/>
  <c r="L61" i="3" s="1"/>
  <c r="P61" i="3" s="1"/>
  <c r="I60" i="3"/>
  <c r="K60" i="3" s="1"/>
  <c r="L60" i="3" s="1"/>
  <c r="P60" i="3" s="1"/>
  <c r="I59" i="3"/>
  <c r="K59" i="3" s="1"/>
  <c r="L59" i="3" s="1"/>
  <c r="P59" i="3" s="1"/>
  <c r="I58" i="3"/>
  <c r="K58" i="3" s="1"/>
  <c r="L58" i="3" s="1"/>
  <c r="P58" i="3" s="1"/>
  <c r="I57" i="3"/>
  <c r="K57" i="3" s="1"/>
  <c r="L57" i="3" s="1"/>
  <c r="P57" i="3" s="1"/>
  <c r="I56" i="3"/>
  <c r="K56" i="3" s="1"/>
  <c r="L56" i="3" s="1"/>
  <c r="P56" i="3" s="1"/>
  <c r="I55" i="3"/>
  <c r="K55" i="3" s="1"/>
  <c r="L55" i="3" s="1"/>
  <c r="P55" i="3" s="1"/>
  <c r="I54" i="3"/>
  <c r="K54" i="3" s="1"/>
  <c r="L54" i="3" s="1"/>
  <c r="P54" i="3" s="1"/>
  <c r="I53" i="3"/>
  <c r="K53" i="3" s="1"/>
  <c r="L53" i="3" s="1"/>
  <c r="P53" i="3" s="1"/>
  <c r="I52" i="3"/>
  <c r="K52" i="3" s="1"/>
  <c r="L52" i="3" s="1"/>
  <c r="P52" i="3" s="1"/>
  <c r="I51" i="3"/>
  <c r="K51" i="3" s="1"/>
  <c r="L51" i="3" s="1"/>
  <c r="P51" i="3" s="1"/>
  <c r="I50" i="3"/>
  <c r="K50" i="3" s="1"/>
  <c r="L50" i="3" s="1"/>
  <c r="P50" i="3" s="1"/>
  <c r="I49" i="3"/>
  <c r="K49" i="3" s="1"/>
  <c r="L49" i="3" s="1"/>
  <c r="P49" i="3" s="1"/>
  <c r="I48" i="3"/>
  <c r="K48" i="3" s="1"/>
  <c r="L48" i="3" s="1"/>
  <c r="P48" i="3" s="1"/>
  <c r="I47" i="3"/>
  <c r="K47" i="3" s="1"/>
  <c r="L47" i="3" s="1"/>
  <c r="P47" i="3" s="1"/>
  <c r="I46" i="3"/>
  <c r="K46" i="3" s="1"/>
  <c r="L46" i="3" s="1"/>
  <c r="P46" i="3" s="1"/>
  <c r="I45" i="3"/>
  <c r="K45" i="3" s="1"/>
  <c r="L45" i="3" s="1"/>
  <c r="P45" i="3" s="1"/>
  <c r="I44" i="3"/>
  <c r="K44" i="3" s="1"/>
  <c r="L44" i="3" s="1"/>
  <c r="P44" i="3" s="1"/>
  <c r="I43" i="3"/>
  <c r="K43" i="3" s="1"/>
  <c r="L43" i="3" s="1"/>
  <c r="P43" i="3" s="1"/>
  <c r="I42" i="3"/>
  <c r="K42" i="3" s="1"/>
  <c r="L42" i="3" s="1"/>
  <c r="P42" i="3" s="1"/>
  <c r="I41" i="3"/>
  <c r="K41" i="3" s="1"/>
  <c r="L41" i="3" s="1"/>
  <c r="P41" i="3" s="1"/>
  <c r="I40" i="3"/>
  <c r="K40" i="3" s="1"/>
  <c r="L40" i="3" s="1"/>
  <c r="P40" i="3" s="1"/>
  <c r="I39" i="3"/>
  <c r="K39" i="3" s="1"/>
  <c r="L39" i="3" s="1"/>
  <c r="P39" i="3" s="1"/>
  <c r="I38" i="3"/>
  <c r="K38" i="3" s="1"/>
  <c r="L38" i="3" s="1"/>
  <c r="P38" i="3" s="1"/>
  <c r="I37" i="3"/>
  <c r="K37" i="3" s="1"/>
  <c r="L37" i="3" s="1"/>
  <c r="P37" i="3" s="1"/>
  <c r="I36" i="3"/>
  <c r="K36" i="3" s="1"/>
  <c r="L36" i="3" s="1"/>
  <c r="P36" i="3" s="1"/>
  <c r="I35" i="3"/>
  <c r="K35" i="3" s="1"/>
  <c r="L35" i="3" s="1"/>
  <c r="P35" i="3" s="1"/>
  <c r="I34" i="3"/>
  <c r="K34" i="3" s="1"/>
  <c r="L34" i="3" s="1"/>
  <c r="P34" i="3" s="1"/>
  <c r="I33" i="3"/>
  <c r="K33" i="3" s="1"/>
  <c r="L33" i="3" s="1"/>
  <c r="P33" i="3" s="1"/>
  <c r="I32" i="3"/>
  <c r="K32" i="3" s="1"/>
  <c r="L32" i="3" s="1"/>
  <c r="P32" i="3" s="1"/>
  <c r="I31" i="3"/>
  <c r="K31" i="3" s="1"/>
  <c r="L31" i="3" s="1"/>
  <c r="P31" i="3" s="1"/>
  <c r="I30" i="3"/>
  <c r="K30" i="3" s="1"/>
  <c r="L30" i="3" s="1"/>
  <c r="P30" i="3" s="1"/>
  <c r="I29" i="3"/>
  <c r="K29" i="3" s="1"/>
  <c r="L29" i="3" s="1"/>
  <c r="P29" i="3" s="1"/>
  <c r="I28" i="3"/>
  <c r="K28" i="3" s="1"/>
  <c r="L28" i="3" s="1"/>
  <c r="P28" i="3" s="1"/>
  <c r="I27" i="3"/>
  <c r="K27" i="3" s="1"/>
  <c r="L27" i="3" s="1"/>
  <c r="P27" i="3" s="1"/>
  <c r="I26" i="3"/>
  <c r="K26" i="3" s="1"/>
  <c r="L26" i="3" s="1"/>
  <c r="P26" i="3" s="1"/>
  <c r="I25" i="3"/>
  <c r="K25" i="3" s="1"/>
  <c r="L25" i="3" s="1"/>
  <c r="P25" i="3" s="1"/>
  <c r="I24" i="3"/>
  <c r="K24" i="3" s="1"/>
  <c r="L24" i="3" s="1"/>
  <c r="P24" i="3" s="1"/>
  <c r="I23" i="3"/>
  <c r="K23" i="3" s="1"/>
  <c r="L23" i="3" s="1"/>
  <c r="P23" i="3" s="1"/>
  <c r="I22" i="3"/>
  <c r="K22" i="3" s="1"/>
  <c r="L22" i="3" s="1"/>
  <c r="P22" i="3" s="1"/>
  <c r="I21" i="3"/>
  <c r="K21" i="3" s="1"/>
  <c r="L21" i="3" s="1"/>
  <c r="P21" i="3" s="1"/>
  <c r="I20" i="3"/>
  <c r="K20" i="3" s="1"/>
  <c r="L20" i="3" s="1"/>
  <c r="P20" i="3" s="1"/>
  <c r="I19" i="3"/>
  <c r="K19" i="3" s="1"/>
  <c r="L19" i="3" s="1"/>
  <c r="P19" i="3" s="1"/>
  <c r="I18" i="3"/>
  <c r="K18" i="3" s="1"/>
  <c r="L18" i="3" s="1"/>
  <c r="P18" i="3" s="1"/>
  <c r="I17" i="3"/>
  <c r="K17" i="3" s="1"/>
  <c r="L17" i="3" s="1"/>
  <c r="P17" i="3" s="1"/>
  <c r="I16" i="3"/>
  <c r="K16" i="3" s="1"/>
  <c r="L16" i="3" s="1"/>
  <c r="P16" i="3" s="1"/>
  <c r="I15" i="3"/>
  <c r="K15" i="3" s="1"/>
  <c r="L15" i="3" s="1"/>
  <c r="P15" i="3" s="1"/>
  <c r="I14" i="3"/>
  <c r="K14" i="3" s="1"/>
  <c r="L14" i="3" s="1"/>
  <c r="P14" i="3" s="1"/>
  <c r="I13" i="3"/>
  <c r="K13" i="3" s="1"/>
  <c r="L13" i="3" s="1"/>
  <c r="P13" i="3" s="1"/>
  <c r="I12" i="3"/>
  <c r="K12" i="3" s="1"/>
  <c r="L12" i="3" s="1"/>
  <c r="P12" i="3" s="1"/>
  <c r="I11" i="3"/>
  <c r="K11" i="3" s="1"/>
  <c r="L11" i="3" s="1"/>
  <c r="P11" i="3" s="1"/>
  <c r="I10" i="3"/>
  <c r="K10" i="3" s="1"/>
  <c r="L10" i="3" s="1"/>
  <c r="P10" i="3" s="1"/>
  <c r="I9" i="3"/>
  <c r="K9" i="3" s="1"/>
  <c r="L9" i="3" s="1"/>
  <c r="P9" i="3" s="1"/>
  <c r="I8" i="3"/>
  <c r="K8" i="3" s="1"/>
  <c r="L8" i="3" s="1"/>
  <c r="P8" i="3" s="1"/>
  <c r="I7" i="3"/>
  <c r="K7" i="3" s="1"/>
  <c r="L7" i="3" s="1"/>
  <c r="P7" i="3" s="1"/>
  <c r="I6" i="3"/>
  <c r="K6" i="3" s="1"/>
  <c r="L6" i="3" s="1"/>
  <c r="P6" i="3" s="1"/>
  <c r="I5" i="3"/>
  <c r="K5" i="3" s="1"/>
  <c r="L5" i="3" s="1"/>
  <c r="P5" i="3" s="1"/>
  <c r="I4" i="3"/>
  <c r="K4" i="3" s="1"/>
  <c r="L4" i="3" s="1"/>
  <c r="P4" i="3" s="1"/>
  <c r="I3" i="3"/>
  <c r="K3" i="3" s="1"/>
  <c r="L3" i="3" s="1"/>
  <c r="P3" i="3" s="1"/>
  <c r="I2" i="3"/>
  <c r="K2" i="3" s="1"/>
  <c r="L2" i="3" s="1"/>
  <c r="P2" i="3" s="1"/>
  <c r="I15" i="4" l="1"/>
  <c r="J15" i="4" s="1"/>
  <c r="I10" i="4"/>
  <c r="J10" i="4" s="1"/>
  <c r="I33" i="4"/>
  <c r="J33" i="4" s="1"/>
  <c r="I32" i="4"/>
  <c r="J32" i="4" s="1"/>
  <c r="I30" i="4"/>
  <c r="J30" i="4" s="1"/>
  <c r="I14" i="4"/>
  <c r="J14" i="4" s="1"/>
  <c r="I13" i="4"/>
  <c r="J13" i="4" s="1"/>
  <c r="I12" i="4"/>
  <c r="J12" i="4" s="1"/>
  <c r="I11" i="4"/>
  <c r="J11" i="4" s="1"/>
  <c r="I9" i="4"/>
  <c r="J9" i="4" s="1"/>
  <c r="I8" i="4"/>
  <c r="J8" i="4" s="1"/>
</calcChain>
</file>

<file path=xl/sharedStrings.xml><?xml version="1.0" encoding="utf-8"?>
<sst xmlns="http://schemas.openxmlformats.org/spreadsheetml/2006/main" count="1865" uniqueCount="508">
  <si>
    <t>N/A</t>
  </si>
  <si>
    <t>Date</t>
  </si>
  <si>
    <t>Shift</t>
  </si>
  <si>
    <t>Shift_A</t>
  </si>
  <si>
    <t>Shift_B</t>
  </si>
  <si>
    <t>Shift_C</t>
  </si>
  <si>
    <t>Shift_ID</t>
  </si>
  <si>
    <t>Ore_Hardness_Class</t>
  </si>
  <si>
    <t>Feed_Rate_Dry_tph</t>
  </si>
  <si>
    <t>Mill_Pnet_kW</t>
  </si>
  <si>
    <t>F80_um</t>
  </si>
  <si>
    <t>P80_um</t>
  </si>
  <si>
    <t>E_spec_Plant_kWh_t</t>
  </si>
  <si>
    <t>Wi_lab_kWh_t</t>
  </si>
  <si>
    <t>Wi_op_kWh_t</t>
  </si>
  <si>
    <t>Bond_Efficiency_Eta</t>
  </si>
  <si>
    <t>Ball_Charge_J_pct</t>
  </si>
  <si>
    <t>Mill_Discharge_Cw_pct</t>
  </si>
  <si>
    <t>Ball_Consumption_kg_t</t>
  </si>
  <si>
    <t>Circuit_Energy_Status</t>
  </si>
  <si>
    <t>SFT-GR-2001</t>
  </si>
  <si>
    <t>Standard Skarn-Magnetite</t>
  </si>
  <si>
    <t>SFT-GR-2002</t>
  </si>
  <si>
    <t>SFT-GR-2003</t>
  </si>
  <si>
    <t>SFT-GR-2004</t>
  </si>
  <si>
    <t>Hard Siliceous / Martite</t>
  </si>
  <si>
    <t>SFT-GR-2005</t>
  </si>
  <si>
    <t>SFT-GR-2006</t>
  </si>
  <si>
    <t>SFT-GR-2007</t>
  </si>
  <si>
    <t>SFT-GR-2008</t>
  </si>
  <si>
    <t>SFT-GR-2009</t>
  </si>
  <si>
    <t>SFT-GR-2010</t>
  </si>
  <si>
    <t>SFT-GR-2011</t>
  </si>
  <si>
    <t>SFT-GR-2012</t>
  </si>
  <si>
    <t>SFT-GR-2013</t>
  </si>
  <si>
    <t>SFT-GR-2014</t>
  </si>
  <si>
    <t>SFT-GR-2015</t>
  </si>
  <si>
    <t>Soft / Weathered Goethite</t>
  </si>
  <si>
    <t>SFT-GR-2016</t>
  </si>
  <si>
    <t>SFT-GR-2017</t>
  </si>
  <si>
    <t>SFT-GR-2018</t>
  </si>
  <si>
    <t>SFT-GR-2019</t>
  </si>
  <si>
    <t>SFT-GR-2020</t>
  </si>
  <si>
    <t>SFT-GR-2021</t>
  </si>
  <si>
    <t>SFT-GR-2022</t>
  </si>
  <si>
    <t>SFT-GR-2023</t>
  </si>
  <si>
    <t>SFT-GR-2024</t>
  </si>
  <si>
    <t>SFT-GR-2025</t>
  </si>
  <si>
    <t>SFT-GR-2026</t>
  </si>
  <si>
    <t>SFT-GR-2027</t>
  </si>
  <si>
    <t>SFT-GR-2028</t>
  </si>
  <si>
    <t>SFT-GR-2029</t>
  </si>
  <si>
    <t>SFT-GR-2030</t>
  </si>
  <si>
    <t>SFT-GR-2031</t>
  </si>
  <si>
    <t>SFT-GR-2032</t>
  </si>
  <si>
    <t>SFT-GR-2033</t>
  </si>
  <si>
    <t>SFT-GR-2034</t>
  </si>
  <si>
    <t>SFT-GR-2035</t>
  </si>
  <si>
    <t>SFT-GR-2036</t>
  </si>
  <si>
    <t>SFT-GR-2037</t>
  </si>
  <si>
    <t>SFT-GR-2038</t>
  </si>
  <si>
    <t>SFT-GR-2039</t>
  </si>
  <si>
    <t>SFT-GR-2040</t>
  </si>
  <si>
    <t>SFT-GR-2041</t>
  </si>
  <si>
    <t>SFT-GR-2042</t>
  </si>
  <si>
    <t>SFT-GR-2043</t>
  </si>
  <si>
    <t>SFT-GR-2044</t>
  </si>
  <si>
    <t>SFT-GR-2045</t>
  </si>
  <si>
    <t>SFT-GR-2046</t>
  </si>
  <si>
    <t>SFT-GR-2047</t>
  </si>
  <si>
    <t>SFT-GR-2048</t>
  </si>
  <si>
    <t>SFT-GR-2049</t>
  </si>
  <si>
    <t>SFT-GR-2050</t>
  </si>
  <si>
    <t>SFT-GR-2051</t>
  </si>
  <si>
    <t>SFT-GR-2052</t>
  </si>
  <si>
    <t>SFT-GR-2053</t>
  </si>
  <si>
    <t>SFT-GR-2054</t>
  </si>
  <si>
    <t>SFT-GR-2055</t>
  </si>
  <si>
    <t>SFT-GR-2056</t>
  </si>
  <si>
    <t>SFT-GR-2057</t>
  </si>
  <si>
    <t>SFT-GR-2058</t>
  </si>
  <si>
    <t>SFT-GR-2059</t>
  </si>
  <si>
    <t>SFT-GR-2060</t>
  </si>
  <si>
    <t>SFT-GR-2061</t>
  </si>
  <si>
    <t>SFT-GR-2062</t>
  </si>
  <si>
    <t>SFT-GR-2063</t>
  </si>
  <si>
    <t>SFT-GR-2064</t>
  </si>
  <si>
    <t>SFT-GR-2065</t>
  </si>
  <si>
    <t>SFT-GR-2066</t>
  </si>
  <si>
    <t>SFT-GR-2067</t>
  </si>
  <si>
    <t>SFT-GR-2068</t>
  </si>
  <si>
    <t>SFT-GR-2069</t>
  </si>
  <si>
    <t>SFT-GR-2070</t>
  </si>
  <si>
    <t>SFT-GR-2071</t>
  </si>
  <si>
    <t>SFT-GR-2072</t>
  </si>
  <si>
    <t>SFT-GR-2073</t>
  </si>
  <si>
    <t>SFT-GR-2074</t>
  </si>
  <si>
    <t>SFT-GR-2075</t>
  </si>
  <si>
    <t>SFT-GR-2076</t>
  </si>
  <si>
    <t>SFT-GR-2077</t>
  </si>
  <si>
    <t>SFT-GR-2078</t>
  </si>
  <si>
    <t>SFT-GR-2079</t>
  </si>
  <si>
    <t>SFT-GR-2080</t>
  </si>
  <si>
    <t>SFT-GR-2081</t>
  </si>
  <si>
    <t>SFT-GR-2082</t>
  </si>
  <si>
    <t>SFT-GR-2083</t>
  </si>
  <si>
    <t>SFT-GR-2084</t>
  </si>
  <si>
    <t>SFT-GR-2085</t>
  </si>
  <si>
    <t>SFT-GR-2086</t>
  </si>
  <si>
    <t>SFT-GR-2087</t>
  </si>
  <si>
    <t>SFT-GR-2088</t>
  </si>
  <si>
    <t>SFT-GR-2089</t>
  </si>
  <si>
    <t>SFT-GR-2090</t>
  </si>
  <si>
    <t>SFT-GR-2091</t>
  </si>
  <si>
    <t>SFT-GR-2092</t>
  </si>
  <si>
    <t>SFT-GR-2093</t>
  </si>
  <si>
    <t>SFT-GR-2094</t>
  </si>
  <si>
    <t>SFT-GR-2095</t>
  </si>
  <si>
    <t>SFT-GR-2096</t>
  </si>
  <si>
    <t>SFT-GR-2097</t>
  </si>
  <si>
    <t>SFT-GR-2098</t>
  </si>
  <si>
    <t>SFT-GR-2099</t>
  </si>
  <si>
    <t>SFT-GR-2100</t>
  </si>
  <si>
    <t>SFT-GR-2101</t>
  </si>
  <si>
    <t>SFT-GR-2102</t>
  </si>
  <si>
    <t>SFT-GR-2103</t>
  </si>
  <si>
    <t>SFT-GR-2104</t>
  </si>
  <si>
    <t>SFT-GR-2105</t>
  </si>
  <si>
    <t>SFT-GR-2106</t>
  </si>
  <si>
    <t>SFT-GR-2107</t>
  </si>
  <si>
    <t>SFT-GR-2108</t>
  </si>
  <si>
    <t>SFT-GR-2109</t>
  </si>
  <si>
    <t>SFT-GR-2110</t>
  </si>
  <si>
    <t>SFT-GR-2111</t>
  </si>
  <si>
    <t>SFT-GR-2112</t>
  </si>
  <si>
    <t>SFT-GR-2113</t>
  </si>
  <si>
    <t>SFT-GR-2114</t>
  </si>
  <si>
    <t>SFT-GR-2115</t>
  </si>
  <si>
    <t>SFT-GR-2116</t>
  </si>
  <si>
    <t>SFT-GR-2117</t>
  </si>
  <si>
    <t>SFT-GR-2118</t>
  </si>
  <si>
    <t>SFT-GR-2119</t>
  </si>
  <si>
    <t>SFT-GR-2120</t>
  </si>
  <si>
    <t>SFT-GR-2121</t>
  </si>
  <si>
    <t>SFT-GR-2122</t>
  </si>
  <si>
    <t>SFT-GR-2123</t>
  </si>
  <si>
    <t>SFT-GR-2124</t>
  </si>
  <si>
    <t>SFT-GR-2125</t>
  </si>
  <si>
    <t>SFT-GR-2126</t>
  </si>
  <si>
    <t>SFT-GR-2127</t>
  </si>
  <si>
    <t>SFT-GR-2128</t>
  </si>
  <si>
    <t>SFT-GR-2129</t>
  </si>
  <si>
    <t>SFT-GR-2130</t>
  </si>
  <si>
    <t>SFT-GR-2131</t>
  </si>
  <si>
    <t>SFT-GR-2132</t>
  </si>
  <si>
    <t>SFT-GR-2133</t>
  </si>
  <si>
    <t>SFT-GR-2134</t>
  </si>
  <si>
    <t>SFT-GR-2135</t>
  </si>
  <si>
    <t>SFT-GR-2136</t>
  </si>
  <si>
    <t>SFT-GR-2137</t>
  </si>
  <si>
    <t>SFT-GR-2138</t>
  </si>
  <si>
    <t>SFT-GR-2139</t>
  </si>
  <si>
    <t>SFT-GR-2140</t>
  </si>
  <si>
    <t>SFT-GR-2141</t>
  </si>
  <si>
    <t>SFT-GR-2142</t>
  </si>
  <si>
    <t>SFT-GR-2143</t>
  </si>
  <si>
    <t>SFT-GR-2144</t>
  </si>
  <si>
    <t>SFT-GR-2145</t>
  </si>
  <si>
    <t>SFT-GR-2146</t>
  </si>
  <si>
    <t>SFT-GR-2147</t>
  </si>
  <si>
    <t>SFT-GR-2148</t>
  </si>
  <si>
    <t>SFT-GR-2149</t>
  </si>
  <si>
    <t>SFT-GR-2150</t>
  </si>
  <si>
    <t>SFT-GR-2151</t>
  </si>
  <si>
    <t>SFT-GR-2152</t>
  </si>
  <si>
    <t>SFT-GR-2153</t>
  </si>
  <si>
    <t>SFT-GR-2154</t>
  </si>
  <si>
    <t>SFT-GR-2155</t>
  </si>
  <si>
    <t>SFT-GR-2156</t>
  </si>
  <si>
    <t>SFT-GR-2157</t>
  </si>
  <si>
    <t>SFT-GR-2158</t>
  </si>
  <si>
    <t>SFT-GR-2159</t>
  </si>
  <si>
    <t>SFT-GR-2160</t>
  </si>
  <si>
    <t>SFT-GR-2161</t>
  </si>
  <si>
    <t>SFT-GR-2162</t>
  </si>
  <si>
    <t>SFT-GR-2163</t>
  </si>
  <si>
    <t>SFT-GR-2164</t>
  </si>
  <si>
    <t>SFT-GR-2165</t>
  </si>
  <si>
    <t>SFT-GR-2166</t>
  </si>
  <si>
    <t>SFT-GR-2167</t>
  </si>
  <si>
    <t>SFT-GR-2168</t>
  </si>
  <si>
    <t>SFT-GR-2169</t>
  </si>
  <si>
    <t>SFT-GR-2170</t>
  </si>
  <si>
    <t>SFT-GR-2171</t>
  </si>
  <si>
    <t>SFT-GR-2172</t>
  </si>
  <si>
    <t>SFT-GR-2173</t>
  </si>
  <si>
    <t>SFT-GR-2174</t>
  </si>
  <si>
    <t>SFT-GR-2175</t>
  </si>
  <si>
    <t>SFT-GR-2176</t>
  </si>
  <si>
    <t>SFT-GR-2177</t>
  </si>
  <si>
    <t>SFT-GR-2178</t>
  </si>
  <si>
    <t>SFT-GR-2179</t>
  </si>
  <si>
    <t>SFT-GR-2180</t>
  </si>
  <si>
    <t>Hydrocyclone Sieve Sizing Analysis &amp; Tromp Partition Curve Calculations</t>
  </si>
  <si>
    <t>Mass Balance Verification across Sieve Sizes, Corrected Tromp Recovery, d50c, Bypass (Rf) &amp; Imperfection (I)</t>
  </si>
  <si>
    <t>Campaign 01: Baseline Optimal Operation (Benchmark Audit - Feed 250 tph, C = 190%)</t>
  </si>
  <si>
    <t>Sieve_Mesh_um</t>
  </si>
  <si>
    <t>Sieve_Aperture_di_um</t>
  </si>
  <si>
    <t>Overflow_Cum_Pass_pct (oi)</t>
  </si>
  <si>
    <t>Underflow_Cum_Pass_pct (ui)</t>
  </si>
  <si>
    <t>CycloneFeed_Cum_Pass_pct (cfi)</t>
  </si>
  <si>
    <t>Calculated_CLR_Ci</t>
  </si>
  <si>
    <t>Overflow_Indiv_Ret_pct (Oi)</t>
  </si>
  <si>
    <t>Underflow_Indiv_Ret_pct (Ui)</t>
  </si>
  <si>
    <t>Actual_Partition_to_UF_pct (Ti)</t>
  </si>
  <si>
    <t>Corrected_Partition_Tci_pct</t>
  </si>
  <si>
    <t>Pan (&lt;15)</t>
  </si>
  <si>
    <t>Campaign 1 Performance Summary:</t>
  </si>
  <si>
    <t>Water Bypass Rf (%):</t>
  </si>
  <si>
    <t>d50c (μm), log-interpolated:</t>
  </si>
  <si>
    <t>d25c (μm), log-interpolated:</t>
  </si>
  <si>
    <t>d75c (μm), log-interpolated:</t>
  </si>
  <si>
    <t>Imperfection I = (d75c-d25c)/(2*d50c):</t>
  </si>
  <si>
    <t>Method note:</t>
  </si>
  <si>
    <t>Corrected class partition = water-bypass corrected UF recovery; d25/d50/d75 use log-diameter interpolation across sieve classes.</t>
  </si>
  <si>
    <t>Educational note:</t>
  </si>
  <si>
    <t>Campaign 01 is the chapter benchmark PSD; class-by-class Tromp values are derived from sieve retained fractions and CLR=1.90.</t>
  </si>
  <si>
    <t>Campaign 02: High Density Overload / Pre-Roping (Feed Sol = 52%, Apex Overloaded)</t>
  </si>
  <si>
    <t>Log_ID</t>
  </si>
  <si>
    <t>Timestamp</t>
  </si>
  <si>
    <t>Mill_Power_kW</t>
  </si>
  <si>
    <t>Cyclone_Feed_Cw_pct</t>
  </si>
  <si>
    <t>Cluster_Pressure_kPa</t>
  </si>
  <si>
    <t>Active_Cyclones_Count</t>
  </si>
  <si>
    <t>Underflow_Discharge_Pattern</t>
  </si>
  <si>
    <t>Overflow_P80_um</t>
  </si>
  <si>
    <t>Passing_45um_pct</t>
  </si>
  <si>
    <t>Sub_10um_Slime_pct</t>
  </si>
  <si>
    <t>Blaine_Specific_Surface_cm2_g</t>
  </si>
  <si>
    <t>Pellet_Drop_Number_Impact</t>
  </si>
  <si>
    <t>Filter_Cake_Moisture_pct</t>
  </si>
  <si>
    <t>SPC_Quality_Alert</t>
  </si>
  <si>
    <t>Field_Corrective_Action</t>
  </si>
  <si>
    <t>LOG-SPC-5001</t>
  </si>
  <si>
    <t>Free Flare Spray (Optimal)</t>
  </si>
  <si>
    <t>IN CONTROL (Stable)</t>
  </si>
  <si>
    <t>Routine inspection; normal parameters.</t>
  </si>
  <si>
    <t>LOG-SPC-5002</t>
  </si>
  <si>
    <t>LOG-SPC-5003</t>
  </si>
  <si>
    <t>LOG-SPC-5004</t>
  </si>
  <si>
    <t>LOG-SPC-5005</t>
  </si>
  <si>
    <t>LOG-SPC-5006</t>
  </si>
  <si>
    <t>LOG-SPC-5007</t>
  </si>
  <si>
    <t>LOG-SPC-5008</t>
  </si>
  <si>
    <t>LOG-SPC-5009</t>
  </si>
  <si>
    <t>LOG-SPC-5010</t>
  </si>
  <si>
    <t>LOG-SPC-5011</t>
  </si>
  <si>
    <t>LOG-SPC-5012</t>
  </si>
  <si>
    <t>LOG-SPC-5013</t>
  </si>
  <si>
    <t>LOG-SPC-5014</t>
  </si>
  <si>
    <t>LOG-SPC-5015</t>
  </si>
  <si>
    <t>LOG-SPC-5016</t>
  </si>
  <si>
    <t>LOG-SPC-5017</t>
  </si>
  <si>
    <t>LOG-SPC-5018</t>
  </si>
  <si>
    <t>LOG-SPC-5019</t>
  </si>
  <si>
    <t>LOG-SPC-5020</t>
  </si>
  <si>
    <t>LOG-SPC-5021</t>
  </si>
  <si>
    <t>LOG-SPC-5022</t>
  </si>
  <si>
    <t>LOG-SPC-5023</t>
  </si>
  <si>
    <t>LOG-SPC-5024</t>
  </si>
  <si>
    <t>LOG-SPC-5025</t>
  </si>
  <si>
    <t>LOG-SPC-5026</t>
  </si>
  <si>
    <t>LOG-SPC-5027</t>
  </si>
  <si>
    <t>LOG-SPC-5028</t>
  </si>
  <si>
    <t>LOG-SPC-5029</t>
  </si>
  <si>
    <t>LOG-SPC-5030</t>
  </si>
  <si>
    <t>LOG-SPC-5031</t>
  </si>
  <si>
    <t>LOG-SPC-5032</t>
  </si>
  <si>
    <t>LOG-SPC-5033</t>
  </si>
  <si>
    <t>LOG-SPC-5034</t>
  </si>
  <si>
    <t>LOG-SPC-5035</t>
  </si>
  <si>
    <t>LOG-SPC-5036</t>
  </si>
  <si>
    <t>LOG-SPC-5037</t>
  </si>
  <si>
    <t>LOG-SPC-5038</t>
  </si>
  <si>
    <t>LOG-SPC-5039</t>
  </si>
  <si>
    <t>LOG-SPC-5040</t>
  </si>
  <si>
    <t>LOG-SPC-5041</t>
  </si>
  <si>
    <t>LOG-SPC-5042</t>
  </si>
  <si>
    <t>LOG-SPC-5043</t>
  </si>
  <si>
    <t>LOG-SPC-5044</t>
  </si>
  <si>
    <t>LOG-SPC-5045</t>
  </si>
  <si>
    <t>LOG-SPC-5046</t>
  </si>
  <si>
    <t>LOG-SPC-5047</t>
  </si>
  <si>
    <t>LOG-SPC-5048</t>
  </si>
  <si>
    <t>LOG-SPC-5049</t>
  </si>
  <si>
    <t>LOG-SPC-5050</t>
  </si>
  <si>
    <t>LOG-SPC-5051</t>
  </si>
  <si>
    <t>Over-diluted Spray</t>
  </si>
  <si>
    <t>RULE 2: RUN BELOW LOWER SPEC (Over-grind)</t>
  </si>
  <si>
    <t>Increase fresh feed tonnage to 250 tph; adjust ball charge addition rate.</t>
  </si>
  <si>
    <t>LOG-SPC-5052</t>
  </si>
  <si>
    <t>LOG-SPC-5053</t>
  </si>
  <si>
    <t>LOG-SPC-5054</t>
  </si>
  <si>
    <t>LOG-SPC-5055</t>
  </si>
  <si>
    <t>LOG-SPC-5056</t>
  </si>
  <si>
    <t>LOG-SPC-5057</t>
  </si>
  <si>
    <t>LOG-SPC-5058</t>
  </si>
  <si>
    <t>LOG-SPC-5059</t>
  </si>
  <si>
    <t>LOG-SPC-5060</t>
  </si>
  <si>
    <t>LOG-SPC-5061</t>
  </si>
  <si>
    <t>LOG-SPC-5062</t>
  </si>
  <si>
    <t>LOG-SPC-5063</t>
  </si>
  <si>
    <t>LOG-SPC-5064</t>
  </si>
  <si>
    <t>LOG-SPC-5065</t>
  </si>
  <si>
    <t>LOG-SPC-5066</t>
  </si>
  <si>
    <t>LOG-SPC-5067</t>
  </si>
  <si>
    <t>LOG-SPC-5068</t>
  </si>
  <si>
    <t>LOG-SPC-5069</t>
  </si>
  <si>
    <t>LOG-SPC-5070</t>
  </si>
  <si>
    <t>LOG-SPC-5071</t>
  </si>
  <si>
    <t>LOG-SPC-5072</t>
  </si>
  <si>
    <t>LOG-SPC-5073</t>
  </si>
  <si>
    <t>LOG-SPC-5074</t>
  </si>
  <si>
    <t>LOG-SPC-5075</t>
  </si>
  <si>
    <t>LOG-SPC-5076</t>
  </si>
  <si>
    <t>LOG-SPC-5077</t>
  </si>
  <si>
    <t>LOG-SPC-5078</t>
  </si>
  <si>
    <t>LOG-SPC-5079</t>
  </si>
  <si>
    <t>LOG-SPC-5080</t>
  </si>
  <si>
    <t>LOG-SPC-5081</t>
  </si>
  <si>
    <t>LOG-SPC-5082</t>
  </si>
  <si>
    <t>LOG-SPC-5083</t>
  </si>
  <si>
    <t>LOG-SPC-5084</t>
  </si>
  <si>
    <t>LOG-SPC-5085</t>
  </si>
  <si>
    <t>LOG-SPC-5086</t>
  </si>
  <si>
    <t>LOG-SPC-5087</t>
  </si>
  <si>
    <t>LOG-SPC-5088</t>
  </si>
  <si>
    <t>LOG-SPC-5089</t>
  </si>
  <si>
    <t>LOG-SPC-5090</t>
  </si>
  <si>
    <t>LOG-SPC-5091</t>
  </si>
  <si>
    <t>LOG-SPC-5092</t>
  </si>
  <si>
    <t>LOG-SPC-5093</t>
  </si>
  <si>
    <t>LOG-SPC-5094</t>
  </si>
  <si>
    <t>LOG-SPC-5095</t>
  </si>
  <si>
    <t>LOG-SPC-5096</t>
  </si>
  <si>
    <t>LOG-SPC-5097</t>
  </si>
  <si>
    <t>LOG-SPC-5098</t>
  </si>
  <si>
    <t>LOG-SPC-5099</t>
  </si>
  <si>
    <t>LOG-SPC-5100</t>
  </si>
  <si>
    <t>LOG-SPC-5101</t>
  </si>
  <si>
    <t>LOG-SPC-5102</t>
  </si>
  <si>
    <t>LOG-SPC-5103</t>
  </si>
  <si>
    <t>LOG-SPC-5104</t>
  </si>
  <si>
    <t>LOG-SPC-5105</t>
  </si>
  <si>
    <t>LOG-SPC-5106</t>
  </si>
  <si>
    <t>LOG-SPC-5107</t>
  </si>
  <si>
    <t>LOG-SPC-5108</t>
  </si>
  <si>
    <t>LOG-SPC-5109</t>
  </si>
  <si>
    <t>LOG-SPC-5110</t>
  </si>
  <si>
    <t>LOG-SPC-5111</t>
  </si>
  <si>
    <t>ROPING DISCHARGE (Severe Overload)</t>
  </si>
  <si>
    <t>OUT OF CONTROL: ROPING DISCHARGE</t>
  </si>
  <si>
    <t>URGENT: Open sump dilution water valve; bring feed solids back to 44%; inspect apex.</t>
  </si>
  <si>
    <t>LOG-SPC-5112</t>
  </si>
  <si>
    <t>LOG-SPC-5113</t>
  </si>
  <si>
    <t>LOG-SPC-5114</t>
  </si>
  <si>
    <t>LOG-SPC-5115</t>
  </si>
  <si>
    <t>LOG-SPC-5116</t>
  </si>
  <si>
    <t>LOG-SPC-5117</t>
  </si>
  <si>
    <t>LOG-SPC-5118</t>
  </si>
  <si>
    <t>LOG-SPC-5119</t>
  </si>
  <si>
    <t>LOG-SPC-5120</t>
  </si>
  <si>
    <t>LOG-SPC-5121</t>
  </si>
  <si>
    <t>LOG-SPC-5122</t>
  </si>
  <si>
    <t>LOG-SPC-5123</t>
  </si>
  <si>
    <t>LOG-SPC-5124</t>
  </si>
  <si>
    <t>LOG-SPC-5125</t>
  </si>
  <si>
    <t>LOG-SPC-5126</t>
  </si>
  <si>
    <t>LOG-SPC-5127</t>
  </si>
  <si>
    <t>LOG-SPC-5128</t>
  </si>
  <si>
    <t>LOG-SPC-5129</t>
  </si>
  <si>
    <t>LOG-SPC-5130</t>
  </si>
  <si>
    <t>LOG-SPC-5131</t>
  </si>
  <si>
    <t>LOG-SPC-5132</t>
  </si>
  <si>
    <t>LOG-SPC-5133</t>
  </si>
  <si>
    <t>LOG-SPC-5134</t>
  </si>
  <si>
    <t>LOG-SPC-5135</t>
  </si>
  <si>
    <t>LOG-SPC-5136</t>
  </si>
  <si>
    <t>LOG-SPC-5137</t>
  </si>
  <si>
    <t>LOG-SPC-5138</t>
  </si>
  <si>
    <t>LOG-SPC-5139</t>
  </si>
  <si>
    <t>LOG-SPC-5140</t>
  </si>
  <si>
    <t>LOG-SPC-5141</t>
  </si>
  <si>
    <t>LOG-SPC-5142</t>
  </si>
  <si>
    <t>LOG-SPC-5143</t>
  </si>
  <si>
    <t>LOG-SPC-5144</t>
  </si>
  <si>
    <t>LOG-SPC-5145</t>
  </si>
  <si>
    <t>LOG-SPC-5146</t>
  </si>
  <si>
    <t>LOG-SPC-5147</t>
  </si>
  <si>
    <t>LOG-SPC-5148</t>
  </si>
  <si>
    <t>LOG-SPC-5149</t>
  </si>
  <si>
    <t>LOG-SPC-5150</t>
  </si>
  <si>
    <t>LOG-SPC-5151</t>
  </si>
  <si>
    <t>LOG-SPC-5152</t>
  </si>
  <si>
    <t>LOG-SPC-5153</t>
  </si>
  <si>
    <t>LOG-SPC-5154</t>
  </si>
  <si>
    <t>LOG-SPC-5155</t>
  </si>
  <si>
    <t>LOG-SPC-5156</t>
  </si>
  <si>
    <t>LOG-SPC-5157</t>
  </si>
  <si>
    <t>LOG-SPC-5158</t>
  </si>
  <si>
    <t>LOG-SPC-5159</t>
  </si>
  <si>
    <t>LOG-SPC-5160</t>
  </si>
  <si>
    <t>LOG-SPC-5161</t>
  </si>
  <si>
    <t>LOG-SPC-5162</t>
  </si>
  <si>
    <t>LOG-SPC-5163</t>
  </si>
  <si>
    <t>LOG-SPC-5164</t>
  </si>
  <si>
    <t>LOG-SPC-5165</t>
  </si>
  <si>
    <t>LOG-SPC-5166</t>
  </si>
  <si>
    <t>LOG-SPC-5167</t>
  </si>
  <si>
    <t>LOG-SPC-5168</t>
  </si>
  <si>
    <t>LOG-SPC-5169</t>
  </si>
  <si>
    <t>LOG-SPC-5170</t>
  </si>
  <si>
    <t>LOG-SPC-5171</t>
  </si>
  <si>
    <t>LOG-SPC-5172</t>
  </si>
  <si>
    <t>LOG-SPC-5173</t>
  </si>
  <si>
    <t>LOG-SPC-5174</t>
  </si>
  <si>
    <t>LOG-SPC-5175</t>
  </si>
  <si>
    <t>LOG-SPC-5176</t>
  </si>
  <si>
    <t>LOG-SPC-5177</t>
  </si>
  <si>
    <t>LOG-SPC-5178</t>
  </si>
  <si>
    <t>LOG-SPC-5179</t>
  </si>
  <si>
    <t>LOG-SPC-5180</t>
  </si>
  <si>
    <t>LOG-SPC-5181</t>
  </si>
  <si>
    <t>LOG-SPC-5182</t>
  </si>
  <si>
    <t>LOG-SPC-5183</t>
  </si>
  <si>
    <t>LOG-SPC-5184</t>
  </si>
  <si>
    <t>LOG-SPC-5185</t>
  </si>
  <si>
    <t>LOG-SPC-5186</t>
  </si>
  <si>
    <t>Asymmetric / Choked Apex</t>
  </si>
  <si>
    <t>SPECIAL CAUSE: 1 CYCLONE CHOKED</t>
  </si>
  <si>
    <t>Switch to spare standby cyclone #7; wash and clear apex orifice.</t>
  </si>
  <si>
    <t>LOG-SPC-5187</t>
  </si>
  <si>
    <t>LOG-SPC-5188</t>
  </si>
  <si>
    <t>LOG-SPC-5189</t>
  </si>
  <si>
    <t>LOG-SPC-5190</t>
  </si>
  <si>
    <t>LOG-SPC-5191</t>
  </si>
  <si>
    <t>LOG-SPC-5192</t>
  </si>
  <si>
    <t>LOG-SPC-5193</t>
  </si>
  <si>
    <t>LOG-SPC-5194</t>
  </si>
  <si>
    <t>LOG-SPC-5195</t>
  </si>
  <si>
    <t>LOG-SPC-5196</t>
  </si>
  <si>
    <t>LOG-SPC-5197</t>
  </si>
  <si>
    <t>LOG-SPC-5198</t>
  </si>
  <si>
    <t>LOG-SPC-5199</t>
  </si>
  <si>
    <t>LOG-SPC-5200</t>
  </si>
  <si>
    <t>LOG-SPC-5201</t>
  </si>
  <si>
    <t>LOG-SPC-5202</t>
  </si>
  <si>
    <t>LOG-SPC-5203</t>
  </si>
  <si>
    <t>LOG-SPC-5204</t>
  </si>
  <si>
    <t>LOG-SPC-5205</t>
  </si>
  <si>
    <t>LOG-SPC-5206</t>
  </si>
  <si>
    <t>LOG-SPC-5207</t>
  </si>
  <si>
    <t>LOG-SPC-5208</t>
  </si>
  <si>
    <t>LOG-SPC-5209</t>
  </si>
  <si>
    <t>LOG-SPC-5210</t>
  </si>
  <si>
    <t>LOG-SPC-5211</t>
  </si>
  <si>
    <t>WARNING: COARSE DISCHARGE</t>
  </si>
  <si>
    <t>Reduce feed tonnage by 15 tph; trim cyclone cluster pressure to 115 kPa.</t>
  </si>
  <si>
    <t>LOG-SPC-5212</t>
  </si>
  <si>
    <t>LOG-SPC-5213</t>
  </si>
  <si>
    <t>LOG-SPC-5214</t>
  </si>
  <si>
    <t>LOG-SPC-5215</t>
  </si>
  <si>
    <t>LOG-SPC-5216</t>
  </si>
  <si>
    <t>LOG-SPC-5217</t>
  </si>
  <si>
    <t>LOG-SPC-5218</t>
  </si>
  <si>
    <t>LOG-SPC-5219</t>
  </si>
  <si>
    <t>LOG-SPC-5220</t>
  </si>
  <si>
    <t>LOG-SPC-5221</t>
  </si>
  <si>
    <t>LOG-SPC-5222</t>
  </si>
  <si>
    <t>LOG-SPC-5223</t>
  </si>
  <si>
    <t>LOG-SPC-5224</t>
  </si>
  <si>
    <t>LOG-SPC-5225</t>
  </si>
  <si>
    <t>LOG-SPC-5226</t>
  </si>
  <si>
    <t>LOG-SPC-5227</t>
  </si>
  <si>
    <t>LOG-SPC-5228</t>
  </si>
  <si>
    <t>LOG-SPC-5229</t>
  </si>
  <si>
    <t>LOG-SPC-5230</t>
  </si>
  <si>
    <t>LOG-SPC-5231</t>
  </si>
  <si>
    <t>LOG-SPC-5232</t>
  </si>
  <si>
    <t>LOG-SPC-5233</t>
  </si>
  <si>
    <t>LOG-SPC-5234</t>
  </si>
  <si>
    <t>LOG-SPC-5235</t>
  </si>
  <si>
    <t>LOG-SPC-5236</t>
  </si>
  <si>
    <t>LOG-SPC-5237</t>
  </si>
  <si>
    <t>LOG-SPC-5238</t>
  </si>
  <si>
    <t>LOG-SPC-5239</t>
  </si>
  <si>
    <t>LOG-SPC-5240</t>
  </si>
  <si>
    <t>LOG-SPC-5241</t>
  </si>
  <si>
    <t>LOG-SPC-5242</t>
  </si>
  <si>
    <t>LOG-SPC-5243</t>
  </si>
  <si>
    <t>LOG-SPC-5244</t>
  </si>
  <si>
    <t>LOG-SPC-5245</t>
  </si>
  <si>
    <t>LOG-SPC-5246</t>
  </si>
  <si>
    <t>LOG-SPC-5247</t>
  </si>
  <si>
    <t>LOG-SPC-5248</t>
  </si>
  <si>
    <t>LOG-SPC-5249</t>
  </si>
  <si>
    <t>LOG-SPC-5250</t>
  </si>
  <si>
    <t>برای استخراج d50c فقط قسمت اطراف 50% اهمیت دارد:
اندازه	Tci
150 µm	58.0%
106 µm	41.6%
پس:
50% بین 150 و 106 µm قرار دارد.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</si>
</sst>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yyyy\-mm\-dd"/>
    <numFmt numFmtId="165" formatCode="0.000"/>
    <numFmt numFmtId="166" formatCode="0.0"/>
    <numFmt numFmtId="167" formatCode="yyyy\-mm\-dd\ hh:mm"/>
  </numFmts>
  <fonts count="7" x14ac:knownFonts="1">
    <font>
      <sz val="11"/>
      <color theme="1"/>
      <name val="Calibri"/>
      <family val="2"/>
      <scheme val="minor"/>
    </font>
    <font>
      <b/>
      <sz val="14"/>
      <color rgb="FF1F497D"/>
      <name val="Calibri"/>
    </font>
    <font>
      <i/>
      <sz val="11"/>
      <color rgb="FF595959"/>
      <name val="Calibri"/>
    </font>
    <font>
      <b/>
      <sz val="11"/>
      <name val="Calibri"/>
    </font>
    <font>
      <b/>
      <sz val="11"/>
      <color rgb="FFFFFFFF"/>
      <name val="Calibri"/>
    </font>
    <font>
      <sz val="10"/>
      <name val="Calibri"/>
    </font>
    <font>
      <sz val="8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rgb="FF1F497D"/>
        <bgColor rgb="FF1F497D"/>
      </patternFill>
    </fill>
    <fill>
      <patternFill patternType="solid">
        <fgColor rgb="FFF9FAFB"/>
        <bgColor rgb="FFF9FAFB"/>
      </patternFill>
    </fill>
    <fill>
      <patternFill patternType="solid">
        <fgColor rgb="FF2E4053"/>
        <bgColor rgb="FF2E4053"/>
      </patternFill>
    </fill>
    <fill>
      <patternFill patternType="solid">
        <fgColor rgb="FFFCF3CF"/>
        <bgColor rgb="FFFCF3CF"/>
      </patternFill>
    </fill>
    <fill>
      <patternFill patternType="solid">
        <fgColor rgb="FFFADBD8"/>
        <bgColor rgb="FFFADBD8"/>
      </patternFill>
    </fill>
    <fill>
      <patternFill patternType="solid">
        <fgColor rgb="FF92D050"/>
        <bgColor rgb="FF1F497D"/>
      </patternFill>
    </fill>
    <fill>
      <patternFill patternType="solid">
        <fgColor rgb="FF92D050"/>
        <bgColor indexed="64"/>
      </patternFill>
    </fill>
    <fill>
      <patternFill patternType="solid">
        <fgColor rgb="FF92D050"/>
        <bgColor rgb="FF2E4053"/>
      </patternFill>
    </fill>
    <fill>
      <patternFill patternType="solid">
        <fgColor theme="4" tint="0.59999389629810485"/>
        <bgColor indexed="64"/>
      </patternFill>
    </fill>
  </fills>
  <borders count="4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595959"/>
      </left>
      <right style="thin">
        <color rgb="FF595959"/>
      </right>
      <top style="medium">
        <color rgb="FF1F497D"/>
      </top>
      <bottom style="medium">
        <color rgb="FF1F497D"/>
      </bottom>
      <diagonal/>
    </border>
    <border>
      <left style="thin">
        <color rgb="FFD9D9D9"/>
      </left>
      <right/>
      <top/>
      <bottom/>
      <diagonal/>
    </border>
  </borders>
  <cellStyleXfs count="1">
    <xf numFmtId="0" fontId="0" fillId="0" borderId="0"/>
  </cellStyleXfs>
  <cellXfs count="41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2" borderId="2" xfId="0" applyFont="1" applyFill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/>
    </xf>
    <xf numFmtId="2" fontId="5" fillId="0" borderId="1" xfId="0" applyNumberFormat="1" applyFont="1" applyBorder="1" applyAlignment="1">
      <alignment horizontal="right" vertical="center"/>
    </xf>
    <xf numFmtId="165" fontId="5" fillId="0" borderId="1" xfId="0" applyNumberFormat="1" applyFont="1" applyBorder="1" applyAlignment="1">
      <alignment horizontal="right" vertical="center"/>
    </xf>
    <xf numFmtId="0" fontId="5" fillId="0" borderId="1" xfId="0" applyFont="1" applyBorder="1" applyAlignment="1">
      <alignment horizontal="left" vertical="center"/>
    </xf>
    <xf numFmtId="0" fontId="5" fillId="3" borderId="1" xfId="0" applyFont="1" applyFill="1" applyBorder="1" applyAlignment="1">
      <alignment horizontal="center" vertical="center"/>
    </xf>
    <xf numFmtId="2" fontId="5" fillId="3" borderId="1" xfId="0" applyNumberFormat="1" applyFont="1" applyFill="1" applyBorder="1" applyAlignment="1">
      <alignment horizontal="right" vertical="center"/>
    </xf>
    <xf numFmtId="165" fontId="5" fillId="3" borderId="1" xfId="0" applyNumberFormat="1" applyFont="1" applyFill="1" applyBorder="1" applyAlignment="1">
      <alignment horizontal="right" vertical="center"/>
    </xf>
    <xf numFmtId="0" fontId="5" fillId="3" borderId="1" xfId="0" applyFont="1" applyFill="1" applyBorder="1" applyAlignment="1">
      <alignment horizontal="left" vertical="center"/>
    </xf>
    <xf numFmtId="166" fontId="5" fillId="0" borderId="1" xfId="0" applyNumberFormat="1" applyFont="1" applyBorder="1" applyAlignment="1">
      <alignment horizontal="right" vertical="center"/>
    </xf>
    <xf numFmtId="166" fontId="5" fillId="3" borderId="1" xfId="0" applyNumberFormat="1" applyFont="1" applyFill="1" applyBorder="1" applyAlignment="1">
      <alignment horizontal="right" vertical="center"/>
    </xf>
    <xf numFmtId="0" fontId="5" fillId="0" borderId="0" xfId="0" applyFont="1"/>
    <xf numFmtId="165" fontId="3" fillId="0" borderId="0" xfId="0" applyNumberFormat="1" applyFont="1"/>
    <xf numFmtId="0" fontId="4" fillId="4" borderId="2" xfId="0" applyFont="1" applyFill="1" applyBorder="1" applyAlignment="1">
      <alignment horizontal="center" vertical="center" wrapText="1"/>
    </xf>
    <xf numFmtId="1" fontId="5" fillId="0" borderId="1" xfId="0" applyNumberFormat="1" applyFont="1" applyBorder="1" applyAlignment="1">
      <alignment horizontal="center" vertical="center"/>
    </xf>
    <xf numFmtId="1" fontId="5" fillId="0" borderId="1" xfId="0" applyNumberFormat="1" applyFont="1" applyBorder="1" applyAlignment="1">
      <alignment horizontal="right" vertical="center"/>
    </xf>
    <xf numFmtId="1" fontId="5" fillId="3" borderId="1" xfId="0" applyNumberFormat="1" applyFont="1" applyFill="1" applyBorder="1" applyAlignment="1">
      <alignment horizontal="center" vertical="center"/>
    </xf>
    <xf numFmtId="1" fontId="5" fillId="3" borderId="1" xfId="0" applyNumberFormat="1" applyFont="1" applyFill="1" applyBorder="1" applyAlignment="1">
      <alignment horizontal="right" vertical="center"/>
    </xf>
    <xf numFmtId="0" fontId="5" fillId="5" borderId="1" xfId="0" applyFont="1" applyFill="1" applyBorder="1" applyAlignment="1">
      <alignment horizontal="center" vertical="center"/>
    </xf>
    <xf numFmtId="166" fontId="5" fillId="5" borderId="1" xfId="0" applyNumberFormat="1" applyFont="1" applyFill="1" applyBorder="1" applyAlignment="1">
      <alignment horizontal="right" vertical="center"/>
    </xf>
    <xf numFmtId="1" fontId="5" fillId="5" borderId="1" xfId="0" applyNumberFormat="1" applyFont="1" applyFill="1" applyBorder="1" applyAlignment="1">
      <alignment horizontal="right" vertical="center"/>
    </xf>
    <xf numFmtId="0" fontId="5" fillId="6" borderId="1" xfId="0" applyFont="1" applyFill="1" applyBorder="1" applyAlignment="1">
      <alignment horizontal="center" vertical="center"/>
    </xf>
    <xf numFmtId="166" fontId="5" fillId="6" borderId="1" xfId="0" applyNumberFormat="1" applyFont="1" applyFill="1" applyBorder="1" applyAlignment="1">
      <alignment horizontal="right" vertical="center"/>
    </xf>
    <xf numFmtId="1" fontId="5" fillId="6" borderId="1" xfId="0" applyNumberFormat="1" applyFont="1" applyFill="1" applyBorder="1" applyAlignment="1">
      <alignment horizontal="right" vertical="center"/>
    </xf>
    <xf numFmtId="164" fontId="5" fillId="0" borderId="1" xfId="0" applyNumberFormat="1" applyFont="1" applyBorder="1" applyAlignment="1">
      <alignment horizontal="center" vertical="center"/>
    </xf>
    <xf numFmtId="164" fontId="5" fillId="3" borderId="1" xfId="0" applyNumberFormat="1" applyFont="1" applyFill="1" applyBorder="1" applyAlignment="1">
      <alignment horizontal="center" vertical="center"/>
    </xf>
    <xf numFmtId="166" fontId="3" fillId="0" borderId="0" xfId="0" applyNumberFormat="1" applyFont="1"/>
    <xf numFmtId="166" fontId="5" fillId="0" borderId="0" xfId="0" applyNumberFormat="1" applyFont="1"/>
    <xf numFmtId="167" fontId="5" fillId="0" borderId="1" xfId="0" applyNumberFormat="1" applyFont="1" applyBorder="1" applyAlignment="1">
      <alignment horizontal="center" vertical="center"/>
    </xf>
    <xf numFmtId="167" fontId="5" fillId="3" borderId="1" xfId="0" applyNumberFormat="1" applyFont="1" applyFill="1" applyBorder="1" applyAlignment="1">
      <alignment horizontal="center" vertical="center"/>
    </xf>
    <xf numFmtId="0" fontId="4" fillId="7" borderId="2" xfId="0" applyFont="1" applyFill="1" applyBorder="1" applyAlignment="1">
      <alignment horizontal="center" vertical="center" wrapText="1"/>
    </xf>
    <xf numFmtId="0" fontId="0" fillId="0" borderId="0" xfId="0"/>
    <xf numFmtId="0" fontId="0" fillId="0" borderId="0" xfId="0" applyAlignment="1">
      <alignment vertical="top" wrapText="1"/>
    </xf>
    <xf numFmtId="166" fontId="5" fillId="8" borderId="1" xfId="0" applyNumberFormat="1" applyFont="1" applyFill="1" applyBorder="1" applyAlignment="1">
      <alignment horizontal="right" vertical="center"/>
    </xf>
    <xf numFmtId="0" fontId="4" fillId="9" borderId="2" xfId="0" applyFont="1" applyFill="1" applyBorder="1" applyAlignment="1">
      <alignment horizontal="center" vertical="center" wrapText="1"/>
    </xf>
    <xf numFmtId="0" fontId="0" fillId="10" borderId="3" xfId="0" applyFill="1" applyBorder="1" applyAlignment="1">
      <alignment horizontal="center" vertical="top" wrapText="1"/>
    </xf>
    <xf numFmtId="0" fontId="0" fillId="10" borderId="3" xfId="0" applyFill="1" applyBorder="1" applyAlignment="1">
      <alignment horizontal="center" vertical="top"/>
    </xf>
  </cellXfs>
  <cellStyles count="1">
    <cellStyle name="Normal" xfId="0" builtinId="0"/>
  </cellStyles>
  <dxfs count="4"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2.xml"/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Ch02_Cyclone_PSD_Tromp!$J$26</c:f>
              <c:strCache>
                <c:ptCount val="1"/>
                <c:pt idx="0">
                  <c:v>Corrected_Partition_Tci_pct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strRef>
              <c:f>Ch02_Cyclone_PSD_Tromp!$A$6:$A$15</c:f>
              <c:strCache>
                <c:ptCount val="10"/>
                <c:pt idx="0">
                  <c:v>600</c:v>
                </c:pt>
                <c:pt idx="1">
                  <c:v>300</c:v>
                </c:pt>
                <c:pt idx="2">
                  <c:v>212</c:v>
                </c:pt>
                <c:pt idx="3">
                  <c:v>150</c:v>
                </c:pt>
                <c:pt idx="4">
                  <c:v>106</c:v>
                </c:pt>
                <c:pt idx="5">
                  <c:v>75</c:v>
                </c:pt>
                <c:pt idx="6">
                  <c:v>45</c:v>
                </c:pt>
                <c:pt idx="7">
                  <c:v>25</c:v>
                </c:pt>
                <c:pt idx="8">
                  <c:v>15</c:v>
                </c:pt>
                <c:pt idx="9">
                  <c:v>Pan (&lt;15)</c:v>
                </c:pt>
              </c:strCache>
            </c:strRef>
          </c:xVal>
          <c:yVal>
            <c:numRef>
              <c:f>Ch02_Cyclone_PSD_Tromp!$J$6:$J$15</c:f>
              <c:numCache>
                <c:formatCode>0.0</c:formatCode>
                <c:ptCount val="10"/>
                <c:pt idx="0">
                  <c:v>100</c:v>
                </c:pt>
                <c:pt idx="1">
                  <c:v>100</c:v>
                </c:pt>
                <c:pt idx="2">
                  <c:v>89.367391704226364</c:v>
                </c:pt>
                <c:pt idx="3">
                  <c:v>58.019529314962682</c:v>
                </c:pt>
                <c:pt idx="4">
                  <c:v>41.629893499571395</c:v>
                </c:pt>
                <c:pt idx="5">
                  <c:v>27.472037880318496</c:v>
                </c:pt>
                <c:pt idx="6">
                  <c:v>17.462125432807976</c:v>
                </c:pt>
                <c:pt idx="7">
                  <c:v>13.481872598349479</c:v>
                </c:pt>
                <c:pt idx="8">
                  <c:v>11.780170299559249</c:v>
                </c:pt>
                <c:pt idx="9">
                  <c:v>7.5366848202975438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389F-41E3-9260-4BE134D6B2D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77867311"/>
        <c:axId val="338456335"/>
      </c:scatterChart>
      <c:valAx>
        <c:axId val="277867311"/>
        <c:scaling>
          <c:logBase val="10"/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38456335"/>
        <c:crosses val="autoZero"/>
        <c:crossBetween val="midCat"/>
      </c:valAx>
      <c:valAx>
        <c:axId val="33845633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77867311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userShapes r:id="rId3"/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53340</xdr:colOff>
      <xdr:row>15</xdr:row>
      <xdr:rowOff>53340</xdr:rowOff>
    </xdr:from>
    <xdr:to>
      <xdr:col>9</xdr:col>
      <xdr:colOff>1676400</xdr:colOff>
      <xdr:row>23</xdr:row>
      <xdr:rowOff>148590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D74B62E9-0A7F-803D-4D79-0ECEC5FF536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c:userShapes xmlns:c="http://schemas.openxmlformats.org/drawingml/2006/chart">
  <cdr:relSizeAnchor xmlns:cdr="http://schemas.openxmlformats.org/drawingml/2006/chartDrawing">
    <cdr:from>
      <cdr:x>0.13199</cdr:x>
      <cdr:y>0.64059</cdr:y>
    </cdr:from>
    <cdr:to>
      <cdr:x>0.93512</cdr:x>
      <cdr:y>0.64548</cdr:y>
    </cdr:to>
    <cdr:cxnSp macro="">
      <cdr:nvCxnSpPr>
        <cdr:cNvPr id="3" name="Straight Connector 2">
          <a:extLst xmlns:a="http://schemas.openxmlformats.org/drawingml/2006/main">
            <a:ext uri="{FF2B5EF4-FFF2-40B4-BE49-F238E27FC236}">
              <a16:creationId xmlns:a16="http://schemas.microsoft.com/office/drawing/2014/main" id="{61F670FA-EF76-8712-0B02-3F4DEA32A722}"/>
            </a:ext>
          </a:extLst>
        </cdr:cNvPr>
        <cdr:cNvCxnSpPr/>
      </cdr:nvCxnSpPr>
      <cdr:spPr>
        <a:xfrm xmlns:a="http://schemas.openxmlformats.org/drawingml/2006/main">
          <a:off x="449580" y="998220"/>
          <a:ext cx="2735580" cy="7620"/>
        </a:xfrm>
        <a:prstGeom xmlns:a="http://schemas.openxmlformats.org/drawingml/2006/main" prst="line">
          <a:avLst/>
        </a:prstGeom>
      </cdr:spPr>
      <cdr:style>
        <a:lnRef xmlns:a="http://schemas.openxmlformats.org/drawingml/2006/main" idx="3">
          <a:schemeClr val="accent2"/>
        </a:lnRef>
        <a:fillRef xmlns:a="http://schemas.openxmlformats.org/drawingml/2006/main" idx="0">
          <a:schemeClr val="accent2"/>
        </a:fillRef>
        <a:effectRef xmlns:a="http://schemas.openxmlformats.org/drawingml/2006/main" idx="2">
          <a:schemeClr val="accent2"/>
        </a:effectRef>
        <a:fontRef xmlns:a="http://schemas.openxmlformats.org/drawingml/2006/main" idx="minor">
          <a:schemeClr val="tx1"/>
        </a:fontRef>
      </cdr:style>
    </cdr:cxnSp>
  </cdr:relSizeAnchor>
</c:userShape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Campaign1PSD" displayName="Campaign1PSD" ref="A5:J15">
  <autoFilter ref="A5:J15" xr:uid="{00000000-0009-0000-0100-000001000000}"/>
  <tableColumns count="10">
    <tableColumn id="1" xr3:uid="{00000000-0010-0000-0000-000001000000}" name="Sieve_Mesh_um"/>
    <tableColumn id="2" xr3:uid="{00000000-0010-0000-0000-000002000000}" name="Sieve_Aperture_di_um"/>
    <tableColumn id="3" xr3:uid="{00000000-0010-0000-0000-000003000000}" name="Overflow_Cum_Pass_pct (oi)"/>
    <tableColumn id="4" xr3:uid="{00000000-0010-0000-0000-000004000000}" name="Underflow_Cum_Pass_pct (ui)"/>
    <tableColumn id="5" xr3:uid="{00000000-0010-0000-0000-000005000000}" name="CycloneFeed_Cum_Pass_pct (cfi)"/>
    <tableColumn id="6" xr3:uid="{00000000-0010-0000-0000-000006000000}" name="Calculated_CLR_Ci"/>
    <tableColumn id="7" xr3:uid="{00000000-0010-0000-0000-000007000000}" name="Overflow_Indiv_Ret_pct (Oi)"/>
    <tableColumn id="8" xr3:uid="{00000000-0010-0000-0000-000008000000}" name="Underflow_Indiv_Ret_pct (Ui)"/>
    <tableColumn id="9" xr3:uid="{00000000-0010-0000-0000-000009000000}" name="Actual_Partition_to_UF_pct (Ti)" dataDxfId="1"/>
    <tableColumn id="10" xr3:uid="{00000000-0010-0000-0000-00000A000000}" name="Corrected_Partition_Tci_pct" dataDxfId="0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Campaign2PSD" displayName="Campaign2PSD" ref="A26:J36">
  <autoFilter ref="A26:J36" xr:uid="{00000000-0009-0000-0100-000002000000}"/>
  <tableColumns count="10">
    <tableColumn id="1" xr3:uid="{00000000-0010-0000-0100-000001000000}" name="Sieve_Mesh_um"/>
    <tableColumn id="2" xr3:uid="{00000000-0010-0000-0100-000002000000}" name="Sieve_Aperture_di_um"/>
    <tableColumn id="3" xr3:uid="{00000000-0010-0000-0100-000003000000}" name="Overflow_Cum_Pass_pct (oi)"/>
    <tableColumn id="4" xr3:uid="{00000000-0010-0000-0100-000004000000}" name="Underflow_Cum_Pass_pct (ui)"/>
    <tableColumn id="5" xr3:uid="{00000000-0010-0000-0100-000005000000}" name="CycloneFeed_Cum_Pass_pct (cfi)"/>
    <tableColumn id="6" xr3:uid="{00000000-0010-0000-0100-000006000000}" name="Calculated_CLR_Ci"/>
    <tableColumn id="7" xr3:uid="{00000000-0010-0000-0100-000007000000}" name="Overflow_Indiv_Ret_pct (Oi)"/>
    <tableColumn id="8" xr3:uid="{00000000-0010-0000-0100-000008000000}" name="Underflow_Indiv_Ret_pct (Ui)"/>
    <tableColumn id="9" xr3:uid="{00000000-0010-0000-0100-000009000000}" name="Actual_Partition_to_UF_pct (Ti)" dataDxfId="3"/>
    <tableColumn id="10" xr3:uid="{00000000-0010-0000-0100-00000A000000}" name="Corrected_Partition_Tci_pct" dataDxfId="2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4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P181"/>
  <sheetViews>
    <sheetView workbookViewId="0">
      <pane ySplit="1" topLeftCell="A2" activePane="bottomLeft" state="frozen"/>
      <selection pane="bottomLeft"/>
    </sheetView>
  </sheetViews>
  <sheetFormatPr defaultRowHeight="14.4" x14ac:dyDescent="0.3"/>
  <cols>
    <col min="1" max="1" width="14" customWidth="1"/>
    <col min="2" max="2" width="13" customWidth="1"/>
    <col min="3" max="3" width="12" customWidth="1"/>
    <col min="4" max="4" width="25" customWidth="1"/>
    <col min="5" max="5" width="20" customWidth="1"/>
    <col min="6" max="6" width="15" customWidth="1"/>
    <col min="7" max="8" width="12" customWidth="1"/>
    <col min="9" max="9" width="21" customWidth="1"/>
    <col min="10" max="10" width="15" customWidth="1"/>
    <col min="11" max="11" width="41" customWidth="1"/>
    <col min="12" max="12" width="22" customWidth="1"/>
    <col min="13" max="13" width="20" customWidth="1"/>
    <col min="14" max="15" width="24" customWidth="1"/>
    <col min="16" max="16" width="22" customWidth="1"/>
  </cols>
  <sheetData>
    <row r="1" spans="1:16" x14ac:dyDescent="0.3">
      <c r="A1" s="4" t="s">
        <v>6</v>
      </c>
      <c r="B1" s="4" t="s">
        <v>1</v>
      </c>
      <c r="C1" s="4" t="s">
        <v>2</v>
      </c>
      <c r="D1" s="4" t="s">
        <v>7</v>
      </c>
      <c r="E1" s="4" t="s">
        <v>8</v>
      </c>
      <c r="F1" s="4" t="s">
        <v>9</v>
      </c>
      <c r="G1" s="4" t="s">
        <v>10</v>
      </c>
      <c r="H1" s="4" t="s">
        <v>11</v>
      </c>
      <c r="I1" s="4" t="s">
        <v>12</v>
      </c>
      <c r="J1" s="4" t="s">
        <v>13</v>
      </c>
      <c r="K1" s="4" t="s">
        <v>14</v>
      </c>
      <c r="L1" s="4" t="s">
        <v>15</v>
      </c>
      <c r="M1" s="4" t="s">
        <v>16</v>
      </c>
      <c r="N1" s="4" t="s">
        <v>17</v>
      </c>
      <c r="O1" s="4" t="s">
        <v>18</v>
      </c>
      <c r="P1" s="4" t="s">
        <v>19</v>
      </c>
    </row>
    <row r="2" spans="1:16" x14ac:dyDescent="0.3">
      <c r="A2" s="5" t="s">
        <v>20</v>
      </c>
      <c r="B2" s="28">
        <v>45292</v>
      </c>
      <c r="C2" s="5" t="s">
        <v>3</v>
      </c>
      <c r="D2" s="5" t="s">
        <v>21</v>
      </c>
      <c r="E2" s="13">
        <v>251.8</v>
      </c>
      <c r="F2" s="13">
        <v>3190.1</v>
      </c>
      <c r="G2" s="13">
        <v>9614.9</v>
      </c>
      <c r="H2" s="13">
        <v>150.4</v>
      </c>
      <c r="I2" s="6">
        <f t="shared" ref="I2:I33" si="0">F2/E2</f>
        <v>12.669181890389197</v>
      </c>
      <c r="J2" s="6">
        <v>13.76</v>
      </c>
      <c r="K2" s="6">
        <f t="shared" ref="K2:K33" si="1">I2/(10*(1/SQRT(H2)-1/SQRT(G2)))</f>
        <v>17.758200297044716</v>
      </c>
      <c r="L2" s="7">
        <f t="shared" ref="L2:L33" si="2">K2/J2</f>
        <v>1.2905668820526683</v>
      </c>
      <c r="M2" s="13">
        <v>34.4</v>
      </c>
      <c r="N2" s="13">
        <v>72.5</v>
      </c>
      <c r="O2" s="6">
        <v>0.48399999999999999</v>
      </c>
      <c r="P2" s="5" t="str">
        <f t="shared" ref="P2:P33" si="3">IF(L2&gt;1.4, "INEFFICIENT (Eta&gt;1.4)", IF(L2&lt;1.1, "OVERGRIND / LOW Wi", "OPTIMAL (1.10-1.35)"))</f>
        <v>OPTIMAL (1.10-1.35)</v>
      </c>
    </row>
    <row r="3" spans="1:16" x14ac:dyDescent="0.3">
      <c r="A3" s="9" t="s">
        <v>22</v>
      </c>
      <c r="B3" s="29">
        <v>45292</v>
      </c>
      <c r="C3" s="9" t="s">
        <v>4</v>
      </c>
      <c r="D3" s="9" t="s">
        <v>21</v>
      </c>
      <c r="E3" s="14">
        <v>238</v>
      </c>
      <c r="F3" s="14">
        <v>3152.6</v>
      </c>
      <c r="G3" s="14">
        <v>9200.6</v>
      </c>
      <c r="H3" s="14">
        <v>146.1</v>
      </c>
      <c r="I3" s="10">
        <f t="shared" si="0"/>
        <v>13.246218487394957</v>
      </c>
      <c r="J3" s="10">
        <v>14.26</v>
      </c>
      <c r="K3" s="10">
        <f t="shared" si="1"/>
        <v>18.319444136623527</v>
      </c>
      <c r="L3" s="11">
        <f t="shared" si="2"/>
        <v>1.2846735018670075</v>
      </c>
      <c r="M3" s="14">
        <v>35.299999999999997</v>
      </c>
      <c r="N3" s="14">
        <v>73.599999999999994</v>
      </c>
      <c r="O3" s="10">
        <v>0.60399999999999998</v>
      </c>
      <c r="P3" s="9" t="str">
        <f t="shared" si="3"/>
        <v>OPTIMAL (1.10-1.35)</v>
      </c>
    </row>
    <row r="4" spans="1:16" x14ac:dyDescent="0.3">
      <c r="A4" s="5" t="s">
        <v>23</v>
      </c>
      <c r="B4" s="28">
        <v>45292</v>
      </c>
      <c r="C4" s="5" t="s">
        <v>5</v>
      </c>
      <c r="D4" s="5" t="s">
        <v>21</v>
      </c>
      <c r="E4" s="13">
        <v>258</v>
      </c>
      <c r="F4" s="13">
        <v>3140.8</v>
      </c>
      <c r="G4" s="13">
        <v>9477.7000000000007</v>
      </c>
      <c r="H4" s="13">
        <v>153.4</v>
      </c>
      <c r="I4" s="6">
        <f t="shared" si="0"/>
        <v>12.173643410852714</v>
      </c>
      <c r="J4" s="6">
        <v>14.43</v>
      </c>
      <c r="K4" s="6">
        <f t="shared" si="1"/>
        <v>17.275447943943909</v>
      </c>
      <c r="L4" s="7">
        <f t="shared" si="2"/>
        <v>1.1971897397050526</v>
      </c>
      <c r="M4" s="13">
        <v>35.9</v>
      </c>
      <c r="N4" s="13">
        <v>71.7</v>
      </c>
      <c r="O4" s="6">
        <v>0.50700000000000001</v>
      </c>
      <c r="P4" s="5" t="str">
        <f t="shared" si="3"/>
        <v>OPTIMAL (1.10-1.35)</v>
      </c>
    </row>
    <row r="5" spans="1:16" x14ac:dyDescent="0.3">
      <c r="A5" s="9" t="s">
        <v>24</v>
      </c>
      <c r="B5" s="29">
        <v>45293</v>
      </c>
      <c r="C5" s="9" t="s">
        <v>3</v>
      </c>
      <c r="D5" s="9" t="s">
        <v>25</v>
      </c>
      <c r="E5" s="14">
        <v>214</v>
      </c>
      <c r="F5" s="14">
        <v>3217.6</v>
      </c>
      <c r="G5" s="14">
        <v>10811.6</v>
      </c>
      <c r="H5" s="14">
        <v>158.69999999999999</v>
      </c>
      <c r="I5" s="10">
        <f t="shared" si="0"/>
        <v>15.035514018691588</v>
      </c>
      <c r="J5" s="10">
        <v>16.22</v>
      </c>
      <c r="K5" s="10">
        <f t="shared" si="1"/>
        <v>21.552355975676047</v>
      </c>
      <c r="L5" s="11">
        <f t="shared" si="2"/>
        <v>1.328751909721088</v>
      </c>
      <c r="M5" s="14">
        <v>36</v>
      </c>
      <c r="N5" s="14">
        <v>73.5</v>
      </c>
      <c r="O5" s="10">
        <v>0.65300000000000002</v>
      </c>
      <c r="P5" s="9" t="str">
        <f t="shared" si="3"/>
        <v>OPTIMAL (1.10-1.35)</v>
      </c>
    </row>
    <row r="6" spans="1:16" x14ac:dyDescent="0.3">
      <c r="A6" s="5" t="s">
        <v>26</v>
      </c>
      <c r="B6" s="28">
        <v>45293</v>
      </c>
      <c r="C6" s="5" t="s">
        <v>4</v>
      </c>
      <c r="D6" s="5" t="s">
        <v>21</v>
      </c>
      <c r="E6" s="13">
        <v>245.7</v>
      </c>
      <c r="F6" s="13">
        <v>3064.4</v>
      </c>
      <c r="G6" s="13">
        <v>9933.2999999999993</v>
      </c>
      <c r="H6" s="13">
        <v>147.69999999999999</v>
      </c>
      <c r="I6" s="6">
        <f t="shared" si="0"/>
        <v>12.472120472120473</v>
      </c>
      <c r="J6" s="6">
        <v>14.18</v>
      </c>
      <c r="K6" s="6">
        <f t="shared" si="1"/>
        <v>17.262590718945599</v>
      </c>
      <c r="L6" s="7">
        <f t="shared" si="2"/>
        <v>1.2173900365970098</v>
      </c>
      <c r="M6" s="13">
        <v>35.5</v>
      </c>
      <c r="N6" s="13">
        <v>72.599999999999994</v>
      </c>
      <c r="O6" s="6">
        <v>0.44</v>
      </c>
      <c r="P6" s="5" t="str">
        <f t="shared" si="3"/>
        <v>OPTIMAL (1.10-1.35)</v>
      </c>
    </row>
    <row r="7" spans="1:16" x14ac:dyDescent="0.3">
      <c r="A7" s="9" t="s">
        <v>27</v>
      </c>
      <c r="B7" s="29">
        <v>45293</v>
      </c>
      <c r="C7" s="9" t="s">
        <v>5</v>
      </c>
      <c r="D7" s="9" t="s">
        <v>25</v>
      </c>
      <c r="E7" s="14">
        <v>225.5</v>
      </c>
      <c r="F7" s="14">
        <v>3200.3</v>
      </c>
      <c r="G7" s="14">
        <v>10235.9</v>
      </c>
      <c r="H7" s="14">
        <v>160.19999999999999</v>
      </c>
      <c r="I7" s="10">
        <f t="shared" si="0"/>
        <v>14.192017738359203</v>
      </c>
      <c r="J7" s="10">
        <v>16.75</v>
      </c>
      <c r="K7" s="10">
        <f t="shared" si="1"/>
        <v>20.531399207050246</v>
      </c>
      <c r="L7" s="11">
        <f t="shared" si="2"/>
        <v>1.2257551765403132</v>
      </c>
      <c r="M7" s="14">
        <v>34.5</v>
      </c>
      <c r="N7" s="14">
        <v>73.900000000000006</v>
      </c>
      <c r="O7" s="10">
        <v>0.59399999999999997</v>
      </c>
      <c r="P7" s="9" t="str">
        <f t="shared" si="3"/>
        <v>OPTIMAL (1.10-1.35)</v>
      </c>
    </row>
    <row r="8" spans="1:16" x14ac:dyDescent="0.3">
      <c r="A8" s="5" t="s">
        <v>28</v>
      </c>
      <c r="B8" s="28">
        <v>45294</v>
      </c>
      <c r="C8" s="5" t="s">
        <v>3</v>
      </c>
      <c r="D8" s="5" t="s">
        <v>21</v>
      </c>
      <c r="E8" s="13">
        <v>247.8</v>
      </c>
      <c r="F8" s="13">
        <v>3044.1</v>
      </c>
      <c r="G8" s="13">
        <v>9196.4</v>
      </c>
      <c r="H8" s="13">
        <v>149.9</v>
      </c>
      <c r="I8" s="6">
        <f t="shared" si="0"/>
        <v>12.284503631961257</v>
      </c>
      <c r="J8" s="6">
        <v>13.6</v>
      </c>
      <c r="K8" s="6">
        <f t="shared" si="1"/>
        <v>17.241619826461211</v>
      </c>
      <c r="L8" s="7">
        <f t="shared" si="2"/>
        <v>1.2677661637103832</v>
      </c>
      <c r="M8" s="13">
        <v>35.799999999999997</v>
      </c>
      <c r="N8" s="13">
        <v>71.5</v>
      </c>
      <c r="O8" s="6">
        <v>0.51100000000000001</v>
      </c>
      <c r="P8" s="5" t="str">
        <f t="shared" si="3"/>
        <v>OPTIMAL (1.10-1.35)</v>
      </c>
    </row>
    <row r="9" spans="1:16" x14ac:dyDescent="0.3">
      <c r="A9" s="9" t="s">
        <v>29</v>
      </c>
      <c r="B9" s="29">
        <v>45294</v>
      </c>
      <c r="C9" s="9" t="s">
        <v>4</v>
      </c>
      <c r="D9" s="9" t="s">
        <v>21</v>
      </c>
      <c r="E9" s="14">
        <v>252.1</v>
      </c>
      <c r="F9" s="14">
        <v>3081.5</v>
      </c>
      <c r="G9" s="14">
        <v>9543</v>
      </c>
      <c r="H9" s="14">
        <v>139.1</v>
      </c>
      <c r="I9" s="10">
        <f t="shared" si="0"/>
        <v>12.223324077746927</v>
      </c>
      <c r="J9" s="10">
        <v>14.48</v>
      </c>
      <c r="K9" s="10">
        <f t="shared" si="1"/>
        <v>16.395755986789574</v>
      </c>
      <c r="L9" s="11">
        <f t="shared" si="2"/>
        <v>1.1323035902478986</v>
      </c>
      <c r="M9" s="14">
        <v>35.4</v>
      </c>
      <c r="N9" s="14">
        <v>71.2</v>
      </c>
      <c r="O9" s="10">
        <v>0.42599999999999999</v>
      </c>
      <c r="P9" s="9" t="str">
        <f t="shared" si="3"/>
        <v>OPTIMAL (1.10-1.35)</v>
      </c>
    </row>
    <row r="10" spans="1:16" x14ac:dyDescent="0.3">
      <c r="A10" s="5" t="s">
        <v>30</v>
      </c>
      <c r="B10" s="28">
        <v>45294</v>
      </c>
      <c r="C10" s="5" t="s">
        <v>5</v>
      </c>
      <c r="D10" s="5" t="s">
        <v>21</v>
      </c>
      <c r="E10" s="13">
        <v>243.1</v>
      </c>
      <c r="F10" s="13">
        <v>3065.7</v>
      </c>
      <c r="G10" s="13">
        <v>9454.5</v>
      </c>
      <c r="H10" s="13">
        <v>144.5</v>
      </c>
      <c r="I10" s="6">
        <f t="shared" si="0"/>
        <v>12.610859728506787</v>
      </c>
      <c r="J10" s="6">
        <v>14.49</v>
      </c>
      <c r="K10" s="6">
        <f t="shared" si="1"/>
        <v>17.297757897686484</v>
      </c>
      <c r="L10" s="7">
        <f t="shared" si="2"/>
        <v>1.1937721116415794</v>
      </c>
      <c r="M10" s="13">
        <v>35.9</v>
      </c>
      <c r="N10" s="13">
        <v>73.5</v>
      </c>
      <c r="O10" s="6">
        <v>0.45400000000000001</v>
      </c>
      <c r="P10" s="5" t="str">
        <f t="shared" si="3"/>
        <v>OPTIMAL (1.10-1.35)</v>
      </c>
    </row>
    <row r="11" spans="1:16" x14ac:dyDescent="0.3">
      <c r="A11" s="9" t="s">
        <v>31</v>
      </c>
      <c r="B11" s="29">
        <v>45295</v>
      </c>
      <c r="C11" s="9" t="s">
        <v>3</v>
      </c>
      <c r="D11" s="9" t="s">
        <v>21</v>
      </c>
      <c r="E11" s="14">
        <v>245.6</v>
      </c>
      <c r="F11" s="14">
        <v>3108</v>
      </c>
      <c r="G11" s="14">
        <v>9650.5</v>
      </c>
      <c r="H11" s="14">
        <v>153.6</v>
      </c>
      <c r="I11" s="10">
        <f t="shared" si="0"/>
        <v>12.654723127035831</v>
      </c>
      <c r="J11" s="10">
        <v>13.94</v>
      </c>
      <c r="K11" s="10">
        <f t="shared" si="1"/>
        <v>17.948005476357963</v>
      </c>
      <c r="L11" s="11">
        <f t="shared" si="2"/>
        <v>1.2875183268549473</v>
      </c>
      <c r="M11" s="14">
        <v>36.4</v>
      </c>
      <c r="N11" s="14">
        <v>71.7</v>
      </c>
      <c r="O11" s="10">
        <v>0.42699999999999999</v>
      </c>
      <c r="P11" s="9" t="str">
        <f t="shared" si="3"/>
        <v>OPTIMAL (1.10-1.35)</v>
      </c>
    </row>
    <row r="12" spans="1:16" x14ac:dyDescent="0.3">
      <c r="A12" s="5" t="s">
        <v>32</v>
      </c>
      <c r="B12" s="28">
        <v>45295</v>
      </c>
      <c r="C12" s="5" t="s">
        <v>4</v>
      </c>
      <c r="D12" s="5" t="s">
        <v>25</v>
      </c>
      <c r="E12" s="13">
        <v>219.7</v>
      </c>
      <c r="F12" s="13">
        <v>3179.7</v>
      </c>
      <c r="G12" s="13">
        <v>9832.6</v>
      </c>
      <c r="H12" s="13">
        <v>148</v>
      </c>
      <c r="I12" s="6">
        <f t="shared" si="0"/>
        <v>14.472917614929449</v>
      </c>
      <c r="J12" s="6">
        <v>16.350000000000001</v>
      </c>
      <c r="K12" s="6">
        <f t="shared" si="1"/>
        <v>20.069295180078917</v>
      </c>
      <c r="L12" s="7">
        <f t="shared" si="2"/>
        <v>1.2274798275277625</v>
      </c>
      <c r="M12" s="13">
        <v>34.1</v>
      </c>
      <c r="N12" s="13">
        <v>74.900000000000006</v>
      </c>
      <c r="O12" s="6">
        <v>0.58899999999999997</v>
      </c>
      <c r="P12" s="5" t="str">
        <f t="shared" si="3"/>
        <v>OPTIMAL (1.10-1.35)</v>
      </c>
    </row>
    <row r="13" spans="1:16" x14ac:dyDescent="0.3">
      <c r="A13" s="9" t="s">
        <v>33</v>
      </c>
      <c r="B13" s="29">
        <v>45295</v>
      </c>
      <c r="C13" s="9" t="s">
        <v>5</v>
      </c>
      <c r="D13" s="9" t="s">
        <v>25</v>
      </c>
      <c r="E13" s="14">
        <v>215.7</v>
      </c>
      <c r="F13" s="14">
        <v>3140.1</v>
      </c>
      <c r="G13" s="14">
        <v>10240</v>
      </c>
      <c r="H13" s="14">
        <v>155.5</v>
      </c>
      <c r="I13" s="10">
        <f t="shared" si="0"/>
        <v>14.557719054242003</v>
      </c>
      <c r="J13" s="10">
        <v>15.58</v>
      </c>
      <c r="K13" s="10">
        <f t="shared" si="1"/>
        <v>20.704878017955092</v>
      </c>
      <c r="L13" s="11">
        <f t="shared" si="2"/>
        <v>1.3289395390215077</v>
      </c>
      <c r="M13" s="14">
        <v>32.299999999999997</v>
      </c>
      <c r="N13" s="14">
        <v>72.7</v>
      </c>
      <c r="O13" s="10">
        <v>0.56999999999999995</v>
      </c>
      <c r="P13" s="9" t="str">
        <f t="shared" si="3"/>
        <v>OPTIMAL (1.10-1.35)</v>
      </c>
    </row>
    <row r="14" spans="1:16" x14ac:dyDescent="0.3">
      <c r="A14" s="5" t="s">
        <v>34</v>
      </c>
      <c r="B14" s="28">
        <v>45296</v>
      </c>
      <c r="C14" s="5" t="s">
        <v>3</v>
      </c>
      <c r="D14" s="5" t="s">
        <v>25</v>
      </c>
      <c r="E14" s="13">
        <v>229</v>
      </c>
      <c r="F14" s="13">
        <v>3196.7</v>
      </c>
      <c r="G14" s="13">
        <v>10574.3</v>
      </c>
      <c r="H14" s="13">
        <v>157.19999999999999</v>
      </c>
      <c r="I14" s="6">
        <f t="shared" si="0"/>
        <v>13.959388646288209</v>
      </c>
      <c r="J14" s="6">
        <v>16.54</v>
      </c>
      <c r="K14" s="6">
        <f t="shared" si="1"/>
        <v>19.93251618409947</v>
      </c>
      <c r="L14" s="7">
        <f t="shared" si="2"/>
        <v>1.2051098055682872</v>
      </c>
      <c r="M14" s="13">
        <v>33</v>
      </c>
      <c r="N14" s="13">
        <v>74.8</v>
      </c>
      <c r="O14" s="6">
        <v>0.68200000000000005</v>
      </c>
      <c r="P14" s="5" t="str">
        <f t="shared" si="3"/>
        <v>OPTIMAL (1.10-1.35)</v>
      </c>
    </row>
    <row r="15" spans="1:16" x14ac:dyDescent="0.3">
      <c r="A15" s="9" t="s">
        <v>35</v>
      </c>
      <c r="B15" s="29">
        <v>45296</v>
      </c>
      <c r="C15" s="9" t="s">
        <v>4</v>
      </c>
      <c r="D15" s="9" t="s">
        <v>21</v>
      </c>
      <c r="E15" s="14">
        <v>240.8</v>
      </c>
      <c r="F15" s="14">
        <v>3140.9</v>
      </c>
      <c r="G15" s="14">
        <v>9961.4</v>
      </c>
      <c r="H15" s="14">
        <v>142.4</v>
      </c>
      <c r="I15" s="10">
        <f t="shared" si="0"/>
        <v>13.04360465116279</v>
      </c>
      <c r="J15" s="10">
        <v>14.32</v>
      </c>
      <c r="K15" s="10">
        <f t="shared" si="1"/>
        <v>17.678852194841856</v>
      </c>
      <c r="L15" s="11">
        <f t="shared" si="2"/>
        <v>1.2345567175168892</v>
      </c>
      <c r="M15" s="14">
        <v>34.1</v>
      </c>
      <c r="N15" s="14">
        <v>72.8</v>
      </c>
      <c r="O15" s="10">
        <v>0.49099999999999999</v>
      </c>
      <c r="P15" s="9" t="str">
        <f t="shared" si="3"/>
        <v>OPTIMAL (1.10-1.35)</v>
      </c>
    </row>
    <row r="16" spans="1:16" x14ac:dyDescent="0.3">
      <c r="A16" s="5" t="s">
        <v>36</v>
      </c>
      <c r="B16" s="28">
        <v>45296</v>
      </c>
      <c r="C16" s="5" t="s">
        <v>5</v>
      </c>
      <c r="D16" s="5" t="s">
        <v>37</v>
      </c>
      <c r="E16" s="13">
        <v>277.2</v>
      </c>
      <c r="F16" s="13">
        <v>3049.9</v>
      </c>
      <c r="G16" s="13">
        <v>8453.7000000000007</v>
      </c>
      <c r="H16" s="13">
        <v>134.5</v>
      </c>
      <c r="I16" s="6">
        <f t="shared" si="0"/>
        <v>11.002525252525253</v>
      </c>
      <c r="J16" s="6">
        <v>11.41</v>
      </c>
      <c r="K16" s="6">
        <f t="shared" si="1"/>
        <v>14.601903570339475</v>
      </c>
      <c r="L16" s="7">
        <f t="shared" si="2"/>
        <v>1.2797461498982887</v>
      </c>
      <c r="M16" s="13">
        <v>37.4</v>
      </c>
      <c r="N16" s="13">
        <v>70.5</v>
      </c>
      <c r="O16" s="6">
        <v>0.372</v>
      </c>
      <c r="P16" s="5" t="str">
        <f t="shared" si="3"/>
        <v>OPTIMAL (1.10-1.35)</v>
      </c>
    </row>
    <row r="17" spans="1:16" x14ac:dyDescent="0.3">
      <c r="A17" s="9" t="s">
        <v>38</v>
      </c>
      <c r="B17" s="29">
        <v>45297</v>
      </c>
      <c r="C17" s="9" t="s">
        <v>3</v>
      </c>
      <c r="D17" s="9" t="s">
        <v>21</v>
      </c>
      <c r="E17" s="14">
        <v>249.5</v>
      </c>
      <c r="F17" s="14">
        <v>3156.2</v>
      </c>
      <c r="G17" s="14">
        <v>9399.7999999999993</v>
      </c>
      <c r="H17" s="14">
        <v>150.80000000000001</v>
      </c>
      <c r="I17" s="10">
        <f t="shared" si="0"/>
        <v>12.6501002004008</v>
      </c>
      <c r="J17" s="10">
        <v>14.23</v>
      </c>
      <c r="K17" s="10">
        <f t="shared" si="1"/>
        <v>17.78736255312829</v>
      </c>
      <c r="L17" s="11">
        <f t="shared" si="2"/>
        <v>1.2499903410490716</v>
      </c>
      <c r="M17" s="14">
        <v>34</v>
      </c>
      <c r="N17" s="14">
        <v>72</v>
      </c>
      <c r="O17" s="10">
        <v>0.47299999999999998</v>
      </c>
      <c r="P17" s="9" t="str">
        <f t="shared" si="3"/>
        <v>OPTIMAL (1.10-1.35)</v>
      </c>
    </row>
    <row r="18" spans="1:16" x14ac:dyDescent="0.3">
      <c r="A18" s="5" t="s">
        <v>39</v>
      </c>
      <c r="B18" s="28">
        <v>45297</v>
      </c>
      <c r="C18" s="5" t="s">
        <v>4</v>
      </c>
      <c r="D18" s="5" t="s">
        <v>21</v>
      </c>
      <c r="E18" s="13">
        <v>251.5</v>
      </c>
      <c r="F18" s="13">
        <v>3019.7</v>
      </c>
      <c r="G18" s="13">
        <v>9368.2999999999993</v>
      </c>
      <c r="H18" s="13">
        <v>156.4</v>
      </c>
      <c r="I18" s="6">
        <f t="shared" si="0"/>
        <v>12.006759443339959</v>
      </c>
      <c r="J18" s="6">
        <v>14.13</v>
      </c>
      <c r="K18" s="6">
        <f t="shared" si="1"/>
        <v>17.243663611148108</v>
      </c>
      <c r="L18" s="7">
        <f t="shared" si="2"/>
        <v>1.2203583588922935</v>
      </c>
      <c r="M18" s="13">
        <v>34.5</v>
      </c>
      <c r="N18" s="13">
        <v>72</v>
      </c>
      <c r="O18" s="6">
        <v>0.47699999999999998</v>
      </c>
      <c r="P18" s="5" t="str">
        <f t="shared" si="3"/>
        <v>OPTIMAL (1.10-1.35)</v>
      </c>
    </row>
    <row r="19" spans="1:16" x14ac:dyDescent="0.3">
      <c r="A19" s="9" t="s">
        <v>40</v>
      </c>
      <c r="B19" s="29">
        <v>45297</v>
      </c>
      <c r="C19" s="9" t="s">
        <v>5</v>
      </c>
      <c r="D19" s="9" t="s">
        <v>21</v>
      </c>
      <c r="E19" s="14">
        <v>255.5</v>
      </c>
      <c r="F19" s="14">
        <v>3074.9</v>
      </c>
      <c r="G19" s="14">
        <v>9579</v>
      </c>
      <c r="H19" s="14">
        <v>149.5</v>
      </c>
      <c r="I19" s="10">
        <f t="shared" si="0"/>
        <v>12.034833659491195</v>
      </c>
      <c r="J19" s="10">
        <v>13.48</v>
      </c>
      <c r="K19" s="10">
        <f t="shared" si="1"/>
        <v>16.815779489725561</v>
      </c>
      <c r="L19" s="11">
        <f t="shared" si="2"/>
        <v>1.2474613864781572</v>
      </c>
      <c r="M19" s="14">
        <v>34.799999999999997</v>
      </c>
      <c r="N19" s="14">
        <v>71.400000000000006</v>
      </c>
      <c r="O19" s="10">
        <v>0.45200000000000001</v>
      </c>
      <c r="P19" s="9" t="str">
        <f t="shared" si="3"/>
        <v>OPTIMAL (1.10-1.35)</v>
      </c>
    </row>
    <row r="20" spans="1:16" x14ac:dyDescent="0.3">
      <c r="A20" s="5" t="s">
        <v>41</v>
      </c>
      <c r="B20" s="28">
        <v>45298</v>
      </c>
      <c r="C20" s="5" t="s">
        <v>3</v>
      </c>
      <c r="D20" s="5" t="s">
        <v>21</v>
      </c>
      <c r="E20" s="13">
        <v>247.6</v>
      </c>
      <c r="F20" s="13">
        <v>3180.7</v>
      </c>
      <c r="G20" s="13">
        <v>9799.1</v>
      </c>
      <c r="H20" s="13">
        <v>150</v>
      </c>
      <c r="I20" s="6">
        <f t="shared" si="0"/>
        <v>12.846122778675282</v>
      </c>
      <c r="J20" s="6">
        <v>14.68</v>
      </c>
      <c r="K20" s="6">
        <f t="shared" si="1"/>
        <v>17.954635000082288</v>
      </c>
      <c r="L20" s="7">
        <f t="shared" si="2"/>
        <v>1.2230677792971585</v>
      </c>
      <c r="M20" s="13">
        <v>35.5</v>
      </c>
      <c r="N20" s="13">
        <v>70.900000000000006</v>
      </c>
      <c r="O20" s="6">
        <v>0.48799999999999999</v>
      </c>
      <c r="P20" s="5" t="str">
        <f t="shared" si="3"/>
        <v>OPTIMAL (1.10-1.35)</v>
      </c>
    </row>
    <row r="21" spans="1:16" x14ac:dyDescent="0.3">
      <c r="A21" s="9" t="s">
        <v>42</v>
      </c>
      <c r="B21" s="29">
        <v>45298</v>
      </c>
      <c r="C21" s="9" t="s">
        <v>4</v>
      </c>
      <c r="D21" s="9" t="s">
        <v>21</v>
      </c>
      <c r="E21" s="14">
        <v>257.10000000000002</v>
      </c>
      <c r="F21" s="14">
        <v>3061.8</v>
      </c>
      <c r="G21" s="14">
        <v>9511.4</v>
      </c>
      <c r="H21" s="14">
        <v>151.4</v>
      </c>
      <c r="I21" s="10">
        <f t="shared" si="0"/>
        <v>11.908984830805133</v>
      </c>
      <c r="J21" s="10">
        <v>14.35</v>
      </c>
      <c r="K21" s="10">
        <f t="shared" si="1"/>
        <v>16.769051832601225</v>
      </c>
      <c r="L21" s="11">
        <f t="shared" si="2"/>
        <v>1.1685750405993884</v>
      </c>
      <c r="M21" s="14">
        <v>34.799999999999997</v>
      </c>
      <c r="N21" s="14">
        <v>72.900000000000006</v>
      </c>
      <c r="O21" s="10">
        <v>0.57499999999999996</v>
      </c>
      <c r="P21" s="9" t="str">
        <f t="shared" si="3"/>
        <v>OPTIMAL (1.10-1.35)</v>
      </c>
    </row>
    <row r="22" spans="1:16" x14ac:dyDescent="0.3">
      <c r="A22" s="5" t="s">
        <v>43</v>
      </c>
      <c r="B22" s="28">
        <v>45298</v>
      </c>
      <c r="C22" s="5" t="s">
        <v>5</v>
      </c>
      <c r="D22" s="5" t="s">
        <v>21</v>
      </c>
      <c r="E22" s="13">
        <v>247.8</v>
      </c>
      <c r="F22" s="13">
        <v>3155.3</v>
      </c>
      <c r="G22" s="13">
        <v>9692.4</v>
      </c>
      <c r="H22" s="13">
        <v>158.69999999999999</v>
      </c>
      <c r="I22" s="6">
        <f t="shared" si="0"/>
        <v>12.733252623083132</v>
      </c>
      <c r="J22" s="6">
        <v>14.32</v>
      </c>
      <c r="K22" s="6">
        <f t="shared" si="1"/>
        <v>18.39463617261082</v>
      </c>
      <c r="L22" s="7">
        <f t="shared" si="2"/>
        <v>1.2845416321655601</v>
      </c>
      <c r="M22" s="13">
        <v>34.200000000000003</v>
      </c>
      <c r="N22" s="13">
        <v>72.7</v>
      </c>
      <c r="O22" s="6">
        <v>0.439</v>
      </c>
      <c r="P22" s="5" t="str">
        <f t="shared" si="3"/>
        <v>OPTIMAL (1.10-1.35)</v>
      </c>
    </row>
    <row r="23" spans="1:16" x14ac:dyDescent="0.3">
      <c r="A23" s="9" t="s">
        <v>44</v>
      </c>
      <c r="B23" s="29">
        <v>45299</v>
      </c>
      <c r="C23" s="9" t="s">
        <v>3</v>
      </c>
      <c r="D23" s="9" t="s">
        <v>21</v>
      </c>
      <c r="E23" s="14">
        <v>243.9</v>
      </c>
      <c r="F23" s="14">
        <v>3072.5</v>
      </c>
      <c r="G23" s="14">
        <v>9757.9</v>
      </c>
      <c r="H23" s="14">
        <v>146.1</v>
      </c>
      <c r="I23" s="10">
        <f t="shared" si="0"/>
        <v>12.597375973759737</v>
      </c>
      <c r="J23" s="10">
        <v>14.8</v>
      </c>
      <c r="K23" s="10">
        <f t="shared" si="1"/>
        <v>17.349614533753854</v>
      </c>
      <c r="L23" s="11">
        <f t="shared" si="2"/>
        <v>1.1722712522806658</v>
      </c>
      <c r="M23" s="14">
        <v>35</v>
      </c>
      <c r="N23" s="14">
        <v>72</v>
      </c>
      <c r="O23" s="10">
        <v>0.40300000000000002</v>
      </c>
      <c r="P23" s="9" t="str">
        <f t="shared" si="3"/>
        <v>OPTIMAL (1.10-1.35)</v>
      </c>
    </row>
    <row r="24" spans="1:16" x14ac:dyDescent="0.3">
      <c r="A24" s="5" t="s">
        <v>45</v>
      </c>
      <c r="B24" s="28">
        <v>45299</v>
      </c>
      <c r="C24" s="5" t="s">
        <v>4</v>
      </c>
      <c r="D24" s="5" t="s">
        <v>21</v>
      </c>
      <c r="E24" s="13">
        <v>249.9</v>
      </c>
      <c r="F24" s="13">
        <v>3112.6</v>
      </c>
      <c r="G24" s="13">
        <v>9387.2000000000007</v>
      </c>
      <c r="H24" s="13">
        <v>156.69999999999999</v>
      </c>
      <c r="I24" s="6">
        <f t="shared" si="0"/>
        <v>12.455382152861144</v>
      </c>
      <c r="J24" s="6">
        <v>14.32</v>
      </c>
      <c r="K24" s="6">
        <f t="shared" si="1"/>
        <v>17.904975075388503</v>
      </c>
      <c r="L24" s="7">
        <f t="shared" si="2"/>
        <v>1.2503474214656776</v>
      </c>
      <c r="M24" s="13">
        <v>34</v>
      </c>
      <c r="N24" s="13">
        <v>71.400000000000006</v>
      </c>
      <c r="O24" s="6">
        <v>0.46</v>
      </c>
      <c r="P24" s="5" t="str">
        <f t="shared" si="3"/>
        <v>OPTIMAL (1.10-1.35)</v>
      </c>
    </row>
    <row r="25" spans="1:16" x14ac:dyDescent="0.3">
      <c r="A25" s="9" t="s">
        <v>46</v>
      </c>
      <c r="B25" s="29">
        <v>45299</v>
      </c>
      <c r="C25" s="9" t="s">
        <v>5</v>
      </c>
      <c r="D25" s="9" t="s">
        <v>21</v>
      </c>
      <c r="E25" s="14">
        <v>252.7</v>
      </c>
      <c r="F25" s="14">
        <v>3128.5</v>
      </c>
      <c r="G25" s="14">
        <v>9790.5</v>
      </c>
      <c r="H25" s="14">
        <v>146.30000000000001</v>
      </c>
      <c r="I25" s="10">
        <f t="shared" si="0"/>
        <v>12.380292837356549</v>
      </c>
      <c r="J25" s="10">
        <v>14.32</v>
      </c>
      <c r="K25" s="10">
        <f t="shared" si="1"/>
        <v>17.059966886743574</v>
      </c>
      <c r="L25" s="11">
        <f t="shared" si="2"/>
        <v>1.191338469744663</v>
      </c>
      <c r="M25" s="14">
        <v>34.4</v>
      </c>
      <c r="N25" s="14">
        <v>71.099999999999994</v>
      </c>
      <c r="O25" s="10">
        <v>0.44700000000000001</v>
      </c>
      <c r="P25" s="9" t="str">
        <f t="shared" si="3"/>
        <v>OPTIMAL (1.10-1.35)</v>
      </c>
    </row>
    <row r="26" spans="1:16" x14ac:dyDescent="0.3">
      <c r="A26" s="5" t="s">
        <v>47</v>
      </c>
      <c r="B26" s="28">
        <v>45300</v>
      </c>
      <c r="C26" s="5" t="s">
        <v>3</v>
      </c>
      <c r="D26" s="5" t="s">
        <v>21</v>
      </c>
      <c r="E26" s="13">
        <v>254.3</v>
      </c>
      <c r="F26" s="13">
        <v>3152.4</v>
      </c>
      <c r="G26" s="13">
        <v>9360</v>
      </c>
      <c r="H26" s="13">
        <v>144.69999999999999</v>
      </c>
      <c r="I26" s="6">
        <f t="shared" si="0"/>
        <v>12.396382225717655</v>
      </c>
      <c r="J26" s="6">
        <v>13.14</v>
      </c>
      <c r="K26" s="6">
        <f t="shared" si="1"/>
        <v>17.029098225953884</v>
      </c>
      <c r="L26" s="7">
        <f t="shared" si="2"/>
        <v>1.2959739897986213</v>
      </c>
      <c r="M26" s="13">
        <v>36</v>
      </c>
      <c r="N26" s="13">
        <v>71.099999999999994</v>
      </c>
      <c r="O26" s="6">
        <v>0.42499999999999999</v>
      </c>
      <c r="P26" s="5" t="str">
        <f t="shared" si="3"/>
        <v>OPTIMAL (1.10-1.35)</v>
      </c>
    </row>
    <row r="27" spans="1:16" x14ac:dyDescent="0.3">
      <c r="A27" s="9" t="s">
        <v>48</v>
      </c>
      <c r="B27" s="29">
        <v>45300</v>
      </c>
      <c r="C27" s="9" t="s">
        <v>4</v>
      </c>
      <c r="D27" s="9" t="s">
        <v>21</v>
      </c>
      <c r="E27" s="14">
        <v>243.2</v>
      </c>
      <c r="F27" s="14">
        <v>3108.8</v>
      </c>
      <c r="G27" s="14">
        <v>10395.6</v>
      </c>
      <c r="H27" s="14">
        <v>149.80000000000001</v>
      </c>
      <c r="I27" s="10">
        <f t="shared" si="0"/>
        <v>12.782894736842106</v>
      </c>
      <c r="J27" s="10">
        <v>13.91</v>
      </c>
      <c r="K27" s="10">
        <f t="shared" si="1"/>
        <v>17.779636980803261</v>
      </c>
      <c r="L27" s="11">
        <f t="shared" si="2"/>
        <v>1.2781910122791704</v>
      </c>
      <c r="M27" s="14">
        <v>34.700000000000003</v>
      </c>
      <c r="N27" s="14">
        <v>72.7</v>
      </c>
      <c r="O27" s="10">
        <v>0.499</v>
      </c>
      <c r="P27" s="9" t="str">
        <f t="shared" si="3"/>
        <v>OPTIMAL (1.10-1.35)</v>
      </c>
    </row>
    <row r="28" spans="1:16" x14ac:dyDescent="0.3">
      <c r="A28" s="5" t="s">
        <v>49</v>
      </c>
      <c r="B28" s="28">
        <v>45300</v>
      </c>
      <c r="C28" s="5" t="s">
        <v>5</v>
      </c>
      <c r="D28" s="5" t="s">
        <v>37</v>
      </c>
      <c r="E28" s="13">
        <v>287.7</v>
      </c>
      <c r="F28" s="13">
        <v>2883.8</v>
      </c>
      <c r="G28" s="13">
        <v>8325.7000000000007</v>
      </c>
      <c r="H28" s="13">
        <v>134</v>
      </c>
      <c r="I28" s="6">
        <f t="shared" si="0"/>
        <v>10.02363573166493</v>
      </c>
      <c r="J28" s="6">
        <v>11.34</v>
      </c>
      <c r="K28" s="6">
        <f t="shared" si="1"/>
        <v>13.289122532966902</v>
      </c>
      <c r="L28" s="7">
        <f t="shared" si="2"/>
        <v>1.1718802939124251</v>
      </c>
      <c r="M28" s="13">
        <v>36.4</v>
      </c>
      <c r="N28" s="13">
        <v>69.8</v>
      </c>
      <c r="O28" s="6">
        <v>0.40200000000000002</v>
      </c>
      <c r="P28" s="5" t="str">
        <f t="shared" si="3"/>
        <v>OPTIMAL (1.10-1.35)</v>
      </c>
    </row>
    <row r="29" spans="1:16" x14ac:dyDescent="0.3">
      <c r="A29" s="9" t="s">
        <v>50</v>
      </c>
      <c r="B29" s="29">
        <v>45301</v>
      </c>
      <c r="C29" s="9" t="s">
        <v>3</v>
      </c>
      <c r="D29" s="9" t="s">
        <v>21</v>
      </c>
      <c r="E29" s="14">
        <v>257.3</v>
      </c>
      <c r="F29" s="14">
        <v>3037.7</v>
      </c>
      <c r="G29" s="14">
        <v>9516.5</v>
      </c>
      <c r="H29" s="14">
        <v>144.5</v>
      </c>
      <c r="I29" s="10">
        <f t="shared" si="0"/>
        <v>11.806062961523512</v>
      </c>
      <c r="J29" s="10">
        <v>14.39</v>
      </c>
      <c r="K29" s="10">
        <f t="shared" si="1"/>
        <v>16.186403576808505</v>
      </c>
      <c r="L29" s="11">
        <f t="shared" si="2"/>
        <v>1.1248369407094165</v>
      </c>
      <c r="M29" s="14">
        <v>33.700000000000003</v>
      </c>
      <c r="N29" s="14">
        <v>71.8</v>
      </c>
      <c r="O29" s="10">
        <v>0.46800000000000003</v>
      </c>
      <c r="P29" s="9" t="str">
        <f t="shared" si="3"/>
        <v>OPTIMAL (1.10-1.35)</v>
      </c>
    </row>
    <row r="30" spans="1:16" x14ac:dyDescent="0.3">
      <c r="A30" s="5" t="s">
        <v>51</v>
      </c>
      <c r="B30" s="28">
        <v>45301</v>
      </c>
      <c r="C30" s="5" t="s">
        <v>4</v>
      </c>
      <c r="D30" s="5" t="s">
        <v>21</v>
      </c>
      <c r="E30" s="13">
        <v>254.8</v>
      </c>
      <c r="F30" s="13">
        <v>3092.7</v>
      </c>
      <c r="G30" s="13">
        <v>9322.1</v>
      </c>
      <c r="H30" s="13">
        <v>144.30000000000001</v>
      </c>
      <c r="I30" s="6">
        <f t="shared" si="0"/>
        <v>12.137755102040815</v>
      </c>
      <c r="J30" s="6">
        <v>13.43</v>
      </c>
      <c r="K30" s="6">
        <f t="shared" si="1"/>
        <v>16.652280845434483</v>
      </c>
      <c r="L30" s="7">
        <f t="shared" si="2"/>
        <v>1.2399315596004827</v>
      </c>
      <c r="M30" s="13">
        <v>34.299999999999997</v>
      </c>
      <c r="N30" s="13">
        <v>72.099999999999994</v>
      </c>
      <c r="O30" s="6">
        <v>0.498</v>
      </c>
      <c r="P30" s="5" t="str">
        <f t="shared" si="3"/>
        <v>OPTIMAL (1.10-1.35)</v>
      </c>
    </row>
    <row r="31" spans="1:16" x14ac:dyDescent="0.3">
      <c r="A31" s="9" t="s">
        <v>52</v>
      </c>
      <c r="B31" s="29">
        <v>45301</v>
      </c>
      <c r="C31" s="9" t="s">
        <v>5</v>
      </c>
      <c r="D31" s="9" t="s">
        <v>21</v>
      </c>
      <c r="E31" s="14">
        <v>235</v>
      </c>
      <c r="F31" s="14">
        <v>3193.5</v>
      </c>
      <c r="G31" s="14">
        <v>9616.9</v>
      </c>
      <c r="H31" s="14">
        <v>143.69999999999999</v>
      </c>
      <c r="I31" s="10">
        <f t="shared" si="0"/>
        <v>13.589361702127659</v>
      </c>
      <c r="J31" s="10">
        <v>13.37</v>
      </c>
      <c r="K31" s="10">
        <f t="shared" si="1"/>
        <v>18.558860493695235</v>
      </c>
      <c r="L31" s="11">
        <f t="shared" si="2"/>
        <v>1.3880972695359188</v>
      </c>
      <c r="M31" s="14">
        <v>35.5</v>
      </c>
      <c r="N31" s="14">
        <v>69.900000000000006</v>
      </c>
      <c r="O31" s="10">
        <v>0.48</v>
      </c>
      <c r="P31" s="9" t="str">
        <f t="shared" si="3"/>
        <v>OPTIMAL (1.10-1.35)</v>
      </c>
    </row>
    <row r="32" spans="1:16" x14ac:dyDescent="0.3">
      <c r="A32" s="5" t="s">
        <v>53</v>
      </c>
      <c r="B32" s="28">
        <v>45302</v>
      </c>
      <c r="C32" s="5" t="s">
        <v>3</v>
      </c>
      <c r="D32" s="5" t="s">
        <v>37</v>
      </c>
      <c r="E32" s="13">
        <v>292.8</v>
      </c>
      <c r="F32" s="13">
        <v>2550</v>
      </c>
      <c r="G32" s="13">
        <v>7879.1</v>
      </c>
      <c r="H32" s="13">
        <v>175</v>
      </c>
      <c r="I32" s="6">
        <f t="shared" si="0"/>
        <v>8.7090163934426226</v>
      </c>
      <c r="J32" s="6">
        <v>11.72</v>
      </c>
      <c r="K32" s="6">
        <f t="shared" si="1"/>
        <v>13.53864221887968</v>
      </c>
      <c r="L32" s="7">
        <f t="shared" si="2"/>
        <v>1.1551742507576519</v>
      </c>
      <c r="M32" s="13">
        <v>27.5</v>
      </c>
      <c r="N32" s="13">
        <v>70.8</v>
      </c>
      <c r="O32" s="6">
        <v>0.35599999999999998</v>
      </c>
      <c r="P32" s="5" t="str">
        <f t="shared" si="3"/>
        <v>OPTIMAL (1.10-1.35)</v>
      </c>
    </row>
    <row r="33" spans="1:16" x14ac:dyDescent="0.3">
      <c r="A33" s="9" t="s">
        <v>54</v>
      </c>
      <c r="B33" s="29">
        <v>45302</v>
      </c>
      <c r="C33" s="9" t="s">
        <v>4</v>
      </c>
      <c r="D33" s="9" t="s">
        <v>21</v>
      </c>
      <c r="E33" s="14">
        <v>248.1</v>
      </c>
      <c r="F33" s="14">
        <v>3101.9</v>
      </c>
      <c r="G33" s="14">
        <v>9065.4</v>
      </c>
      <c r="H33" s="14">
        <v>146.5</v>
      </c>
      <c r="I33" s="10">
        <f t="shared" si="0"/>
        <v>12.502619911326079</v>
      </c>
      <c r="J33" s="10">
        <v>14.34</v>
      </c>
      <c r="K33" s="10">
        <f t="shared" si="1"/>
        <v>17.336721174127202</v>
      </c>
      <c r="L33" s="11">
        <f t="shared" si="2"/>
        <v>1.2089763719753976</v>
      </c>
      <c r="M33" s="14">
        <v>34.9</v>
      </c>
      <c r="N33" s="14">
        <v>74.099999999999994</v>
      </c>
      <c r="O33" s="10">
        <v>0.436</v>
      </c>
      <c r="P33" s="9" t="str">
        <f t="shared" si="3"/>
        <v>OPTIMAL (1.10-1.35)</v>
      </c>
    </row>
    <row r="34" spans="1:16" x14ac:dyDescent="0.3">
      <c r="A34" s="5" t="s">
        <v>55</v>
      </c>
      <c r="B34" s="28">
        <v>45302</v>
      </c>
      <c r="C34" s="5" t="s">
        <v>5</v>
      </c>
      <c r="D34" s="5" t="s">
        <v>21</v>
      </c>
      <c r="E34" s="13">
        <v>256.7</v>
      </c>
      <c r="F34" s="13">
        <v>3162.2</v>
      </c>
      <c r="G34" s="13">
        <v>9539.6</v>
      </c>
      <c r="H34" s="13">
        <v>149.80000000000001</v>
      </c>
      <c r="I34" s="6">
        <f t="shared" ref="I34:I65" si="4">F34/E34</f>
        <v>12.318659914296845</v>
      </c>
      <c r="J34" s="6">
        <v>13.56</v>
      </c>
      <c r="K34" s="6">
        <f t="shared" ref="K34:K65" si="5">I34/(10*(1/SQRT(H34)-1/SQRT(G34)))</f>
        <v>17.237169043278396</v>
      </c>
      <c r="L34" s="7">
        <f t="shared" ref="L34:L65" si="6">K34/J34</f>
        <v>1.2711776580588787</v>
      </c>
      <c r="M34" s="13">
        <v>35.299999999999997</v>
      </c>
      <c r="N34" s="13">
        <v>70.3</v>
      </c>
      <c r="O34" s="6">
        <v>0.47299999999999998</v>
      </c>
      <c r="P34" s="5" t="str">
        <f t="shared" ref="P34:P65" si="7">IF(L34&gt;1.4, "INEFFICIENT (Eta&gt;1.4)", IF(L34&lt;1.1, "OVERGRIND / LOW Wi", "OPTIMAL (1.10-1.35)"))</f>
        <v>OPTIMAL (1.10-1.35)</v>
      </c>
    </row>
    <row r="35" spans="1:16" x14ac:dyDescent="0.3">
      <c r="A35" s="9" t="s">
        <v>56</v>
      </c>
      <c r="B35" s="29">
        <v>45303</v>
      </c>
      <c r="C35" s="9" t="s">
        <v>3</v>
      </c>
      <c r="D35" s="9" t="s">
        <v>25</v>
      </c>
      <c r="E35" s="14">
        <v>223</v>
      </c>
      <c r="F35" s="14">
        <v>3168</v>
      </c>
      <c r="G35" s="14">
        <v>10474.6</v>
      </c>
      <c r="H35" s="14">
        <v>163.4</v>
      </c>
      <c r="I35" s="10">
        <f t="shared" si="4"/>
        <v>14.20627802690583</v>
      </c>
      <c r="J35" s="10">
        <v>15.84</v>
      </c>
      <c r="K35" s="10">
        <f t="shared" si="5"/>
        <v>20.751424714858228</v>
      </c>
      <c r="L35" s="11">
        <f t="shared" si="6"/>
        <v>1.3100646915945851</v>
      </c>
      <c r="M35" s="14">
        <v>33.5</v>
      </c>
      <c r="N35" s="14">
        <v>73.5</v>
      </c>
      <c r="O35" s="10">
        <v>0.623</v>
      </c>
      <c r="P35" s="9" t="str">
        <f t="shared" si="7"/>
        <v>OPTIMAL (1.10-1.35)</v>
      </c>
    </row>
    <row r="36" spans="1:16" x14ac:dyDescent="0.3">
      <c r="A36" s="5" t="s">
        <v>57</v>
      </c>
      <c r="B36" s="28">
        <v>45303</v>
      </c>
      <c r="C36" s="5" t="s">
        <v>4</v>
      </c>
      <c r="D36" s="5" t="s">
        <v>21</v>
      </c>
      <c r="E36" s="13">
        <v>257.5</v>
      </c>
      <c r="F36" s="13">
        <v>3124.8</v>
      </c>
      <c r="G36" s="13">
        <v>9513.2999999999993</v>
      </c>
      <c r="H36" s="13">
        <v>149</v>
      </c>
      <c r="I36" s="6">
        <f t="shared" si="4"/>
        <v>12.135145631067962</v>
      </c>
      <c r="J36" s="6">
        <v>13.89</v>
      </c>
      <c r="K36" s="6">
        <f t="shared" si="5"/>
        <v>16.931836115958721</v>
      </c>
      <c r="L36" s="7">
        <f t="shared" si="6"/>
        <v>1.218994680774566</v>
      </c>
      <c r="M36" s="13">
        <v>34.4</v>
      </c>
      <c r="N36" s="13">
        <v>71.8</v>
      </c>
      <c r="O36" s="6">
        <v>0.45300000000000001</v>
      </c>
      <c r="P36" s="5" t="str">
        <f t="shared" si="7"/>
        <v>OPTIMAL (1.10-1.35)</v>
      </c>
    </row>
    <row r="37" spans="1:16" x14ac:dyDescent="0.3">
      <c r="A37" s="9" t="s">
        <v>58</v>
      </c>
      <c r="B37" s="29">
        <v>45303</v>
      </c>
      <c r="C37" s="9" t="s">
        <v>5</v>
      </c>
      <c r="D37" s="9" t="s">
        <v>25</v>
      </c>
      <c r="E37" s="14">
        <v>231.2</v>
      </c>
      <c r="F37" s="14">
        <v>3174.6</v>
      </c>
      <c r="G37" s="14">
        <v>10024.1</v>
      </c>
      <c r="H37" s="14">
        <v>152.30000000000001</v>
      </c>
      <c r="I37" s="10">
        <f t="shared" si="4"/>
        <v>13.730968858131488</v>
      </c>
      <c r="J37" s="10">
        <v>15.56</v>
      </c>
      <c r="K37" s="10">
        <f t="shared" si="5"/>
        <v>19.327737953604323</v>
      </c>
      <c r="L37" s="11">
        <f t="shared" si="6"/>
        <v>1.2421425420054193</v>
      </c>
      <c r="M37" s="14">
        <v>33.799999999999997</v>
      </c>
      <c r="N37" s="14">
        <v>73</v>
      </c>
      <c r="O37" s="10">
        <v>0.51</v>
      </c>
      <c r="P37" s="9" t="str">
        <f t="shared" si="7"/>
        <v>OPTIMAL (1.10-1.35)</v>
      </c>
    </row>
    <row r="38" spans="1:16" x14ac:dyDescent="0.3">
      <c r="A38" s="5" t="s">
        <v>59</v>
      </c>
      <c r="B38" s="28">
        <v>45304</v>
      </c>
      <c r="C38" s="5" t="s">
        <v>3</v>
      </c>
      <c r="D38" s="5" t="s">
        <v>25</v>
      </c>
      <c r="E38" s="13">
        <v>234.7</v>
      </c>
      <c r="F38" s="13">
        <v>3191.6</v>
      </c>
      <c r="G38" s="13">
        <v>11344.1</v>
      </c>
      <c r="H38" s="13">
        <v>157.6</v>
      </c>
      <c r="I38" s="6">
        <f t="shared" si="4"/>
        <v>13.5986365573072</v>
      </c>
      <c r="J38" s="6">
        <v>17.14</v>
      </c>
      <c r="K38" s="6">
        <f t="shared" si="5"/>
        <v>19.352608829518104</v>
      </c>
      <c r="L38" s="7">
        <f t="shared" si="6"/>
        <v>1.1290903634491309</v>
      </c>
      <c r="M38" s="13">
        <v>35.799999999999997</v>
      </c>
      <c r="N38" s="13">
        <v>74.8</v>
      </c>
      <c r="O38" s="6">
        <v>0.64100000000000001</v>
      </c>
      <c r="P38" s="5" t="str">
        <f t="shared" si="7"/>
        <v>OPTIMAL (1.10-1.35)</v>
      </c>
    </row>
    <row r="39" spans="1:16" x14ac:dyDescent="0.3">
      <c r="A39" s="9" t="s">
        <v>60</v>
      </c>
      <c r="B39" s="29">
        <v>45304</v>
      </c>
      <c r="C39" s="9" t="s">
        <v>4</v>
      </c>
      <c r="D39" s="9" t="s">
        <v>25</v>
      </c>
      <c r="E39" s="14">
        <v>239.1</v>
      </c>
      <c r="F39" s="14">
        <v>3216.4</v>
      </c>
      <c r="G39" s="14">
        <v>10155.6</v>
      </c>
      <c r="H39" s="14">
        <v>164.4</v>
      </c>
      <c r="I39" s="10">
        <f t="shared" si="4"/>
        <v>13.452112086992891</v>
      </c>
      <c r="J39" s="10">
        <v>16.54</v>
      </c>
      <c r="K39" s="10">
        <f t="shared" si="5"/>
        <v>19.76254290869878</v>
      </c>
      <c r="L39" s="11">
        <f t="shared" si="6"/>
        <v>1.1948333076601441</v>
      </c>
      <c r="M39" s="14">
        <v>34.799999999999997</v>
      </c>
      <c r="N39" s="14">
        <v>73.099999999999994</v>
      </c>
      <c r="O39" s="10">
        <v>0.59599999999999997</v>
      </c>
      <c r="P39" s="9" t="str">
        <f t="shared" si="7"/>
        <v>OPTIMAL (1.10-1.35)</v>
      </c>
    </row>
    <row r="40" spans="1:16" x14ac:dyDescent="0.3">
      <c r="A40" s="5" t="s">
        <v>61</v>
      </c>
      <c r="B40" s="28">
        <v>45304</v>
      </c>
      <c r="C40" s="5" t="s">
        <v>5</v>
      </c>
      <c r="D40" s="5" t="s">
        <v>37</v>
      </c>
      <c r="E40" s="13">
        <v>276.7</v>
      </c>
      <c r="F40" s="13">
        <v>2982.5</v>
      </c>
      <c r="G40" s="13">
        <v>8704.6</v>
      </c>
      <c r="H40" s="13">
        <v>141.1</v>
      </c>
      <c r="I40" s="6">
        <f t="shared" si="4"/>
        <v>10.778821828695339</v>
      </c>
      <c r="J40" s="6">
        <v>11.64</v>
      </c>
      <c r="K40" s="6">
        <f t="shared" si="5"/>
        <v>14.671640542369813</v>
      </c>
      <c r="L40" s="7">
        <f t="shared" si="6"/>
        <v>1.2604502184166506</v>
      </c>
      <c r="M40" s="13">
        <v>36.200000000000003</v>
      </c>
      <c r="N40" s="13">
        <v>71.8</v>
      </c>
      <c r="O40" s="6">
        <v>0.41299999999999998</v>
      </c>
      <c r="P40" s="5" t="str">
        <f t="shared" si="7"/>
        <v>OPTIMAL (1.10-1.35)</v>
      </c>
    </row>
    <row r="41" spans="1:16" x14ac:dyDescent="0.3">
      <c r="A41" s="9" t="s">
        <v>62</v>
      </c>
      <c r="B41" s="29">
        <v>45305</v>
      </c>
      <c r="C41" s="9" t="s">
        <v>3</v>
      </c>
      <c r="D41" s="9" t="s">
        <v>21</v>
      </c>
      <c r="E41" s="14">
        <v>248.3</v>
      </c>
      <c r="F41" s="14">
        <v>3057.6</v>
      </c>
      <c r="G41" s="14">
        <v>9304.4</v>
      </c>
      <c r="H41" s="14">
        <v>142.6</v>
      </c>
      <c r="I41" s="10">
        <f t="shared" si="4"/>
        <v>12.31413612565445</v>
      </c>
      <c r="J41" s="10">
        <v>14.72</v>
      </c>
      <c r="K41" s="10">
        <f t="shared" si="5"/>
        <v>16.782619489593337</v>
      </c>
      <c r="L41" s="11">
        <f t="shared" si="6"/>
        <v>1.140123606629982</v>
      </c>
      <c r="M41" s="14">
        <v>34.200000000000003</v>
      </c>
      <c r="N41" s="14">
        <v>71.7</v>
      </c>
      <c r="O41" s="10">
        <v>0.42399999999999999</v>
      </c>
      <c r="P41" s="9" t="str">
        <f t="shared" si="7"/>
        <v>OPTIMAL (1.10-1.35)</v>
      </c>
    </row>
    <row r="42" spans="1:16" x14ac:dyDescent="0.3">
      <c r="A42" s="5" t="s">
        <v>63</v>
      </c>
      <c r="B42" s="28">
        <v>45305</v>
      </c>
      <c r="C42" s="5" t="s">
        <v>4</v>
      </c>
      <c r="D42" s="5" t="s">
        <v>37</v>
      </c>
      <c r="E42" s="13">
        <v>275.2</v>
      </c>
      <c r="F42" s="13">
        <v>2963.3</v>
      </c>
      <c r="G42" s="13">
        <v>8032.2</v>
      </c>
      <c r="H42" s="13">
        <v>142.6</v>
      </c>
      <c r="I42" s="6">
        <f t="shared" si="4"/>
        <v>10.767805232558141</v>
      </c>
      <c r="J42" s="6">
        <v>10.95</v>
      </c>
      <c r="K42" s="6">
        <f t="shared" si="5"/>
        <v>14.835059924328858</v>
      </c>
      <c r="L42" s="7">
        <f t="shared" si="6"/>
        <v>1.3547999930893935</v>
      </c>
      <c r="M42" s="13">
        <v>35.700000000000003</v>
      </c>
      <c r="N42" s="13">
        <v>71.3</v>
      </c>
      <c r="O42" s="6">
        <v>0.39800000000000002</v>
      </c>
      <c r="P42" s="5" t="str">
        <f t="shared" si="7"/>
        <v>OPTIMAL (1.10-1.35)</v>
      </c>
    </row>
    <row r="43" spans="1:16" x14ac:dyDescent="0.3">
      <c r="A43" s="9" t="s">
        <v>64</v>
      </c>
      <c r="B43" s="29">
        <v>45305</v>
      </c>
      <c r="C43" s="9" t="s">
        <v>5</v>
      </c>
      <c r="D43" s="9" t="s">
        <v>21</v>
      </c>
      <c r="E43" s="14">
        <v>257.10000000000002</v>
      </c>
      <c r="F43" s="14">
        <v>3108.6</v>
      </c>
      <c r="G43" s="14">
        <v>9666</v>
      </c>
      <c r="H43" s="14">
        <v>142.1</v>
      </c>
      <c r="I43" s="10">
        <f t="shared" si="4"/>
        <v>12.091015169194865</v>
      </c>
      <c r="J43" s="10">
        <v>13.56</v>
      </c>
      <c r="K43" s="10">
        <f t="shared" si="5"/>
        <v>16.401869374455501</v>
      </c>
      <c r="L43" s="11">
        <f t="shared" si="6"/>
        <v>1.2095773874967184</v>
      </c>
      <c r="M43" s="14">
        <v>34.1</v>
      </c>
      <c r="N43" s="14">
        <v>72.5</v>
      </c>
      <c r="O43" s="10">
        <v>0.442</v>
      </c>
      <c r="P43" s="9" t="str">
        <f t="shared" si="7"/>
        <v>OPTIMAL (1.10-1.35)</v>
      </c>
    </row>
    <row r="44" spans="1:16" x14ac:dyDescent="0.3">
      <c r="A44" s="5" t="s">
        <v>65</v>
      </c>
      <c r="B44" s="28">
        <v>45306</v>
      </c>
      <c r="C44" s="5" t="s">
        <v>3</v>
      </c>
      <c r="D44" s="5" t="s">
        <v>21</v>
      </c>
      <c r="E44" s="13">
        <v>254.9</v>
      </c>
      <c r="F44" s="13">
        <v>3152.2</v>
      </c>
      <c r="G44" s="13">
        <v>9661.2000000000007</v>
      </c>
      <c r="H44" s="13">
        <v>151.6</v>
      </c>
      <c r="I44" s="6">
        <f t="shared" si="4"/>
        <v>12.366418203216947</v>
      </c>
      <c r="J44" s="6">
        <v>13.39</v>
      </c>
      <c r="K44" s="6">
        <f t="shared" si="5"/>
        <v>17.406748112577194</v>
      </c>
      <c r="L44" s="7">
        <f t="shared" si="6"/>
        <v>1.2999811883926209</v>
      </c>
      <c r="M44" s="13">
        <v>35.799999999999997</v>
      </c>
      <c r="N44" s="13">
        <v>71.2</v>
      </c>
      <c r="O44" s="6">
        <v>0.53700000000000003</v>
      </c>
      <c r="P44" s="5" t="str">
        <f t="shared" si="7"/>
        <v>OPTIMAL (1.10-1.35)</v>
      </c>
    </row>
    <row r="45" spans="1:16" x14ac:dyDescent="0.3">
      <c r="A45" s="9" t="s">
        <v>66</v>
      </c>
      <c r="B45" s="29">
        <v>45306</v>
      </c>
      <c r="C45" s="9" t="s">
        <v>4</v>
      </c>
      <c r="D45" s="9" t="s">
        <v>21</v>
      </c>
      <c r="E45" s="14">
        <v>237.5</v>
      </c>
      <c r="F45" s="14">
        <v>3104.8</v>
      </c>
      <c r="G45" s="14">
        <v>9421</v>
      </c>
      <c r="H45" s="14">
        <v>151.4</v>
      </c>
      <c r="I45" s="10">
        <f t="shared" si="4"/>
        <v>13.072842105263158</v>
      </c>
      <c r="J45" s="10">
        <v>14.14</v>
      </c>
      <c r="K45" s="10">
        <f t="shared" si="5"/>
        <v>18.420609987538253</v>
      </c>
      <c r="L45" s="11">
        <f t="shared" si="6"/>
        <v>1.3027305507452795</v>
      </c>
      <c r="M45" s="14">
        <v>34.700000000000003</v>
      </c>
      <c r="N45" s="14">
        <v>71.7</v>
      </c>
      <c r="O45" s="10">
        <v>0.50900000000000001</v>
      </c>
      <c r="P45" s="9" t="str">
        <f t="shared" si="7"/>
        <v>OPTIMAL (1.10-1.35)</v>
      </c>
    </row>
    <row r="46" spans="1:16" x14ac:dyDescent="0.3">
      <c r="A46" s="5" t="s">
        <v>67</v>
      </c>
      <c r="B46" s="28">
        <v>45306</v>
      </c>
      <c r="C46" s="5" t="s">
        <v>5</v>
      </c>
      <c r="D46" s="5" t="s">
        <v>37</v>
      </c>
      <c r="E46" s="13">
        <v>280.2</v>
      </c>
      <c r="F46" s="13">
        <v>2907.6</v>
      </c>
      <c r="G46" s="13">
        <v>8243.9</v>
      </c>
      <c r="H46" s="13">
        <v>142.6</v>
      </c>
      <c r="I46" s="6">
        <f t="shared" si="4"/>
        <v>10.376873661670235</v>
      </c>
      <c r="J46" s="6">
        <v>11.31</v>
      </c>
      <c r="K46" s="6">
        <f t="shared" si="5"/>
        <v>14.268118691013523</v>
      </c>
      <c r="L46" s="7">
        <f t="shared" si="6"/>
        <v>1.2615489558809481</v>
      </c>
      <c r="M46" s="13">
        <v>35.4</v>
      </c>
      <c r="N46" s="13">
        <v>70.8</v>
      </c>
      <c r="O46" s="6">
        <v>0.38900000000000001</v>
      </c>
      <c r="P46" s="5" t="str">
        <f t="shared" si="7"/>
        <v>OPTIMAL (1.10-1.35)</v>
      </c>
    </row>
    <row r="47" spans="1:16" x14ac:dyDescent="0.3">
      <c r="A47" s="9" t="s">
        <v>68</v>
      </c>
      <c r="B47" s="29">
        <v>45307</v>
      </c>
      <c r="C47" s="9" t="s">
        <v>3</v>
      </c>
      <c r="D47" s="9" t="s">
        <v>37</v>
      </c>
      <c r="E47" s="14">
        <v>273</v>
      </c>
      <c r="F47" s="14">
        <v>2947.6</v>
      </c>
      <c r="G47" s="14">
        <v>8152.9</v>
      </c>
      <c r="H47" s="14">
        <v>139.30000000000001</v>
      </c>
      <c r="I47" s="10">
        <f t="shared" si="4"/>
        <v>10.797069597069596</v>
      </c>
      <c r="J47" s="10">
        <v>11.09</v>
      </c>
      <c r="K47" s="10">
        <f t="shared" si="5"/>
        <v>14.659473816307063</v>
      </c>
      <c r="L47" s="11">
        <f t="shared" si="6"/>
        <v>1.3218641854199336</v>
      </c>
      <c r="M47" s="14">
        <v>37.1</v>
      </c>
      <c r="N47" s="14">
        <v>71.3</v>
      </c>
      <c r="O47" s="10">
        <v>0.34100000000000003</v>
      </c>
      <c r="P47" s="9" t="str">
        <f t="shared" si="7"/>
        <v>OPTIMAL (1.10-1.35)</v>
      </c>
    </row>
    <row r="48" spans="1:16" x14ac:dyDescent="0.3">
      <c r="A48" s="5" t="s">
        <v>69</v>
      </c>
      <c r="B48" s="28">
        <v>45307</v>
      </c>
      <c r="C48" s="5" t="s">
        <v>4</v>
      </c>
      <c r="D48" s="5" t="s">
        <v>21</v>
      </c>
      <c r="E48" s="13">
        <v>255</v>
      </c>
      <c r="F48" s="13">
        <v>3153.6</v>
      </c>
      <c r="G48" s="13">
        <v>10106</v>
      </c>
      <c r="H48" s="13">
        <v>152.80000000000001</v>
      </c>
      <c r="I48" s="6">
        <f t="shared" si="4"/>
        <v>12.367058823529412</v>
      </c>
      <c r="J48" s="6">
        <v>14.53</v>
      </c>
      <c r="K48" s="6">
        <f t="shared" si="5"/>
        <v>17.430500143503767</v>
      </c>
      <c r="L48" s="7">
        <f t="shared" si="6"/>
        <v>1.1996214826912435</v>
      </c>
      <c r="M48" s="13">
        <v>35.299999999999997</v>
      </c>
      <c r="N48" s="13">
        <v>73.3</v>
      </c>
      <c r="O48" s="6">
        <v>0.55000000000000004</v>
      </c>
      <c r="P48" s="5" t="str">
        <f t="shared" si="7"/>
        <v>OPTIMAL (1.10-1.35)</v>
      </c>
    </row>
    <row r="49" spans="1:16" x14ac:dyDescent="0.3">
      <c r="A49" s="9" t="s">
        <v>70</v>
      </c>
      <c r="B49" s="29">
        <v>45307</v>
      </c>
      <c r="C49" s="9" t="s">
        <v>5</v>
      </c>
      <c r="D49" s="9" t="s">
        <v>37</v>
      </c>
      <c r="E49" s="14">
        <v>287.5</v>
      </c>
      <c r="F49" s="14">
        <v>2900.9</v>
      </c>
      <c r="G49" s="14">
        <v>8736.2999999999993</v>
      </c>
      <c r="H49" s="14">
        <v>140</v>
      </c>
      <c r="I49" s="10">
        <f t="shared" si="4"/>
        <v>10.090086956521739</v>
      </c>
      <c r="J49" s="10">
        <v>11.36</v>
      </c>
      <c r="K49" s="10">
        <f t="shared" si="5"/>
        <v>13.669130501279135</v>
      </c>
      <c r="L49" s="11">
        <f t="shared" si="6"/>
        <v>1.2032685300421775</v>
      </c>
      <c r="M49" s="14">
        <v>34.9</v>
      </c>
      <c r="N49" s="14">
        <v>70.8</v>
      </c>
      <c r="O49" s="10">
        <v>0.317</v>
      </c>
      <c r="P49" s="9" t="str">
        <f t="shared" si="7"/>
        <v>OPTIMAL (1.10-1.35)</v>
      </c>
    </row>
    <row r="50" spans="1:16" x14ac:dyDescent="0.3">
      <c r="A50" s="5" t="s">
        <v>71</v>
      </c>
      <c r="B50" s="28">
        <v>45308</v>
      </c>
      <c r="C50" s="5" t="s">
        <v>3</v>
      </c>
      <c r="D50" s="5" t="s">
        <v>21</v>
      </c>
      <c r="E50" s="13">
        <v>254.4</v>
      </c>
      <c r="F50" s="13">
        <v>3134.6</v>
      </c>
      <c r="G50" s="13">
        <v>9979.2000000000007</v>
      </c>
      <c r="H50" s="13">
        <v>147.69999999999999</v>
      </c>
      <c r="I50" s="6">
        <f t="shared" si="4"/>
        <v>12.321540880503145</v>
      </c>
      <c r="J50" s="6">
        <v>14.45</v>
      </c>
      <c r="K50" s="6">
        <f t="shared" si="5"/>
        <v>17.048723092574225</v>
      </c>
      <c r="L50" s="7">
        <f t="shared" si="6"/>
        <v>1.1798424285518496</v>
      </c>
      <c r="M50" s="13">
        <v>34.299999999999997</v>
      </c>
      <c r="N50" s="13">
        <v>73</v>
      </c>
      <c r="O50" s="6">
        <v>0.52700000000000002</v>
      </c>
      <c r="P50" s="5" t="str">
        <f t="shared" si="7"/>
        <v>OPTIMAL (1.10-1.35)</v>
      </c>
    </row>
    <row r="51" spans="1:16" x14ac:dyDescent="0.3">
      <c r="A51" s="9" t="s">
        <v>72</v>
      </c>
      <c r="B51" s="29">
        <v>45308</v>
      </c>
      <c r="C51" s="9" t="s">
        <v>4</v>
      </c>
      <c r="D51" s="9" t="s">
        <v>21</v>
      </c>
      <c r="E51" s="14">
        <v>250</v>
      </c>
      <c r="F51" s="14">
        <v>3150.6</v>
      </c>
      <c r="G51" s="14">
        <v>9902.4</v>
      </c>
      <c r="H51" s="14">
        <v>144.30000000000001</v>
      </c>
      <c r="I51" s="10">
        <f t="shared" si="4"/>
        <v>12.602399999999999</v>
      </c>
      <c r="J51" s="10">
        <v>14.79</v>
      </c>
      <c r="K51" s="10">
        <f t="shared" si="5"/>
        <v>17.216980741584742</v>
      </c>
      <c r="L51" s="11">
        <f t="shared" si="6"/>
        <v>1.1640960609590765</v>
      </c>
      <c r="M51" s="14">
        <v>34.5</v>
      </c>
      <c r="N51" s="14">
        <v>73</v>
      </c>
      <c r="O51" s="10">
        <v>0.54700000000000004</v>
      </c>
      <c r="P51" s="9" t="str">
        <f t="shared" si="7"/>
        <v>OPTIMAL (1.10-1.35)</v>
      </c>
    </row>
    <row r="52" spans="1:16" x14ac:dyDescent="0.3">
      <c r="A52" s="5" t="s">
        <v>73</v>
      </c>
      <c r="B52" s="28">
        <v>45308</v>
      </c>
      <c r="C52" s="5" t="s">
        <v>5</v>
      </c>
      <c r="D52" s="5" t="s">
        <v>21</v>
      </c>
      <c r="E52" s="13">
        <v>264.60000000000002</v>
      </c>
      <c r="F52" s="13">
        <v>3147.6</v>
      </c>
      <c r="G52" s="13">
        <v>9642.1</v>
      </c>
      <c r="H52" s="13">
        <v>150.6</v>
      </c>
      <c r="I52" s="6">
        <f t="shared" si="4"/>
        <v>11.895691609977323</v>
      </c>
      <c r="J52" s="6">
        <v>13.84</v>
      </c>
      <c r="K52" s="6">
        <f t="shared" si="5"/>
        <v>16.683310200011977</v>
      </c>
      <c r="L52" s="7">
        <f t="shared" si="6"/>
        <v>1.2054414884401718</v>
      </c>
      <c r="M52" s="13">
        <v>36.299999999999997</v>
      </c>
      <c r="N52" s="13">
        <v>72.7</v>
      </c>
      <c r="O52" s="6">
        <v>0.5</v>
      </c>
      <c r="P52" s="5" t="str">
        <f t="shared" si="7"/>
        <v>OPTIMAL (1.10-1.35)</v>
      </c>
    </row>
    <row r="53" spans="1:16" x14ac:dyDescent="0.3">
      <c r="A53" s="9" t="s">
        <v>74</v>
      </c>
      <c r="B53" s="29">
        <v>45309</v>
      </c>
      <c r="C53" s="9" t="s">
        <v>3</v>
      </c>
      <c r="D53" s="9" t="s">
        <v>25</v>
      </c>
      <c r="E53" s="14">
        <v>230.6</v>
      </c>
      <c r="F53" s="14">
        <v>3098.8</v>
      </c>
      <c r="G53" s="14">
        <v>10381.4</v>
      </c>
      <c r="H53" s="14">
        <v>157.4</v>
      </c>
      <c r="I53" s="10">
        <f t="shared" si="4"/>
        <v>13.43798785776236</v>
      </c>
      <c r="J53" s="10">
        <v>16.52</v>
      </c>
      <c r="K53" s="10">
        <f t="shared" si="5"/>
        <v>19.226616945756387</v>
      </c>
      <c r="L53" s="11">
        <f t="shared" si="6"/>
        <v>1.1638387981692728</v>
      </c>
      <c r="M53" s="14">
        <v>32.6</v>
      </c>
      <c r="N53" s="14">
        <v>73.8</v>
      </c>
      <c r="O53" s="10">
        <v>0.61</v>
      </c>
      <c r="P53" s="9" t="str">
        <f t="shared" si="7"/>
        <v>OPTIMAL (1.10-1.35)</v>
      </c>
    </row>
    <row r="54" spans="1:16" x14ac:dyDescent="0.3">
      <c r="A54" s="5" t="s">
        <v>75</v>
      </c>
      <c r="B54" s="28">
        <v>45309</v>
      </c>
      <c r="C54" s="5" t="s">
        <v>4</v>
      </c>
      <c r="D54" s="5" t="s">
        <v>21</v>
      </c>
      <c r="E54" s="13">
        <v>258.89999999999998</v>
      </c>
      <c r="F54" s="13">
        <v>3059.6</v>
      </c>
      <c r="G54" s="13">
        <v>9455.2999999999993</v>
      </c>
      <c r="H54" s="13">
        <v>152.69999999999999</v>
      </c>
      <c r="I54" s="6">
        <f t="shared" si="4"/>
        <v>11.817690227887216</v>
      </c>
      <c r="J54" s="6">
        <v>13.3</v>
      </c>
      <c r="K54" s="6">
        <f t="shared" si="5"/>
        <v>16.729322531113759</v>
      </c>
      <c r="L54" s="7">
        <f t="shared" si="6"/>
        <v>1.2578437993318614</v>
      </c>
      <c r="M54" s="13">
        <v>35.299999999999997</v>
      </c>
      <c r="N54" s="13">
        <v>72.3</v>
      </c>
      <c r="O54" s="6">
        <v>0.51200000000000001</v>
      </c>
      <c r="P54" s="5" t="str">
        <f t="shared" si="7"/>
        <v>OPTIMAL (1.10-1.35)</v>
      </c>
    </row>
    <row r="55" spans="1:16" x14ac:dyDescent="0.3">
      <c r="A55" s="9" t="s">
        <v>76</v>
      </c>
      <c r="B55" s="29">
        <v>45309</v>
      </c>
      <c r="C55" s="9" t="s">
        <v>5</v>
      </c>
      <c r="D55" s="9" t="s">
        <v>21</v>
      </c>
      <c r="E55" s="14">
        <v>243.6</v>
      </c>
      <c r="F55" s="14">
        <v>3144.8</v>
      </c>
      <c r="G55" s="14">
        <v>9310.5</v>
      </c>
      <c r="H55" s="14">
        <v>149.30000000000001</v>
      </c>
      <c r="I55" s="10">
        <f t="shared" si="4"/>
        <v>12.909688013136289</v>
      </c>
      <c r="J55" s="10">
        <v>14.25</v>
      </c>
      <c r="K55" s="10">
        <f t="shared" si="5"/>
        <v>18.061273366500185</v>
      </c>
      <c r="L55" s="11">
        <f t="shared" si="6"/>
        <v>1.2674577801052762</v>
      </c>
      <c r="M55" s="14">
        <v>35.799999999999997</v>
      </c>
      <c r="N55" s="14">
        <v>72</v>
      </c>
      <c r="O55" s="10">
        <v>0.498</v>
      </c>
      <c r="P55" s="9" t="str">
        <f t="shared" si="7"/>
        <v>OPTIMAL (1.10-1.35)</v>
      </c>
    </row>
    <row r="56" spans="1:16" x14ac:dyDescent="0.3">
      <c r="A56" s="5" t="s">
        <v>77</v>
      </c>
      <c r="B56" s="28">
        <v>45310</v>
      </c>
      <c r="C56" s="5" t="s">
        <v>3</v>
      </c>
      <c r="D56" s="5" t="s">
        <v>25</v>
      </c>
      <c r="E56" s="13">
        <v>220.2</v>
      </c>
      <c r="F56" s="13">
        <v>3213.7</v>
      </c>
      <c r="G56" s="13">
        <v>10623.4</v>
      </c>
      <c r="H56" s="13">
        <v>152</v>
      </c>
      <c r="I56" s="6">
        <f t="shared" si="4"/>
        <v>14.594459582198002</v>
      </c>
      <c r="J56" s="6">
        <v>16.41</v>
      </c>
      <c r="K56" s="6">
        <f t="shared" si="5"/>
        <v>20.437970741556942</v>
      </c>
      <c r="L56" s="7">
        <f t="shared" si="6"/>
        <v>1.2454583023496004</v>
      </c>
      <c r="M56" s="13">
        <v>33.799999999999997</v>
      </c>
      <c r="N56" s="13">
        <v>72.900000000000006</v>
      </c>
      <c r="O56" s="6">
        <v>0.58499999999999996</v>
      </c>
      <c r="P56" s="5" t="str">
        <f t="shared" si="7"/>
        <v>OPTIMAL (1.10-1.35)</v>
      </c>
    </row>
    <row r="57" spans="1:16" x14ac:dyDescent="0.3">
      <c r="A57" s="9" t="s">
        <v>78</v>
      </c>
      <c r="B57" s="29">
        <v>45310</v>
      </c>
      <c r="C57" s="9" t="s">
        <v>4</v>
      </c>
      <c r="D57" s="9" t="s">
        <v>21</v>
      </c>
      <c r="E57" s="14">
        <v>247.7</v>
      </c>
      <c r="F57" s="14">
        <v>3087.2</v>
      </c>
      <c r="G57" s="14">
        <v>9427.6</v>
      </c>
      <c r="H57" s="14">
        <v>147.69999999999999</v>
      </c>
      <c r="I57" s="10">
        <f t="shared" si="4"/>
        <v>12.463463867581751</v>
      </c>
      <c r="J57" s="10">
        <v>13.8</v>
      </c>
      <c r="K57" s="10">
        <f t="shared" si="5"/>
        <v>17.314255641069281</v>
      </c>
      <c r="L57" s="11">
        <f t="shared" si="6"/>
        <v>1.2546562058745854</v>
      </c>
      <c r="M57" s="14">
        <v>35.5</v>
      </c>
      <c r="N57" s="14">
        <v>72.7</v>
      </c>
      <c r="O57" s="10">
        <v>0.45400000000000001</v>
      </c>
      <c r="P57" s="9" t="str">
        <f t="shared" si="7"/>
        <v>OPTIMAL (1.10-1.35)</v>
      </c>
    </row>
    <row r="58" spans="1:16" x14ac:dyDescent="0.3">
      <c r="A58" s="5" t="s">
        <v>79</v>
      </c>
      <c r="B58" s="28">
        <v>45310</v>
      </c>
      <c r="C58" s="5" t="s">
        <v>5</v>
      </c>
      <c r="D58" s="5" t="s">
        <v>21</v>
      </c>
      <c r="E58" s="13">
        <v>243.9</v>
      </c>
      <c r="F58" s="13">
        <v>3080.9</v>
      </c>
      <c r="G58" s="13">
        <v>9326</v>
      </c>
      <c r="H58" s="13">
        <v>154.80000000000001</v>
      </c>
      <c r="I58" s="6">
        <f t="shared" si="4"/>
        <v>12.631816318163182</v>
      </c>
      <c r="J58" s="6">
        <v>13.59</v>
      </c>
      <c r="K58" s="6">
        <f t="shared" si="5"/>
        <v>18.040619200858277</v>
      </c>
      <c r="L58" s="7">
        <f t="shared" si="6"/>
        <v>1.3274922149270256</v>
      </c>
      <c r="M58" s="13">
        <v>33.9</v>
      </c>
      <c r="N58" s="13">
        <v>71.7</v>
      </c>
      <c r="O58" s="6">
        <v>0.49299999999999999</v>
      </c>
      <c r="P58" s="5" t="str">
        <f t="shared" si="7"/>
        <v>OPTIMAL (1.10-1.35)</v>
      </c>
    </row>
    <row r="59" spans="1:16" x14ac:dyDescent="0.3">
      <c r="A59" s="9" t="s">
        <v>80</v>
      </c>
      <c r="B59" s="29">
        <v>45311</v>
      </c>
      <c r="C59" s="9" t="s">
        <v>3</v>
      </c>
      <c r="D59" s="9" t="s">
        <v>21</v>
      </c>
      <c r="E59" s="14">
        <v>243.2</v>
      </c>
      <c r="F59" s="14">
        <v>3128.7</v>
      </c>
      <c r="G59" s="14">
        <v>8964.2000000000007</v>
      </c>
      <c r="H59" s="14">
        <v>146.19999999999999</v>
      </c>
      <c r="I59" s="10">
        <f t="shared" si="4"/>
        <v>12.864720394736842</v>
      </c>
      <c r="J59" s="10">
        <v>13.99</v>
      </c>
      <c r="K59" s="10">
        <f t="shared" si="5"/>
        <v>17.832495421120118</v>
      </c>
      <c r="L59" s="11">
        <f t="shared" si="6"/>
        <v>1.2746601444689147</v>
      </c>
      <c r="M59" s="14">
        <v>35.299999999999997</v>
      </c>
      <c r="N59" s="14">
        <v>72.099999999999994</v>
      </c>
      <c r="O59" s="10">
        <v>0.58799999999999997</v>
      </c>
      <c r="P59" s="9" t="str">
        <f t="shared" si="7"/>
        <v>OPTIMAL (1.10-1.35)</v>
      </c>
    </row>
    <row r="60" spans="1:16" x14ac:dyDescent="0.3">
      <c r="A60" s="5" t="s">
        <v>81</v>
      </c>
      <c r="B60" s="28">
        <v>45311</v>
      </c>
      <c r="C60" s="5" t="s">
        <v>4</v>
      </c>
      <c r="D60" s="5" t="s">
        <v>21</v>
      </c>
      <c r="E60" s="13">
        <v>256.3</v>
      </c>
      <c r="F60" s="13">
        <v>3057.7</v>
      </c>
      <c r="G60" s="13">
        <v>9492.6</v>
      </c>
      <c r="H60" s="13">
        <v>138.6</v>
      </c>
      <c r="I60" s="6">
        <f t="shared" si="4"/>
        <v>11.930159968786578</v>
      </c>
      <c r="J60" s="6">
        <v>13.43</v>
      </c>
      <c r="K60" s="6">
        <f t="shared" si="5"/>
        <v>15.975592729284694</v>
      </c>
      <c r="L60" s="7">
        <f t="shared" si="6"/>
        <v>1.1895452516220919</v>
      </c>
      <c r="M60" s="13">
        <v>34.6</v>
      </c>
      <c r="N60" s="13">
        <v>71.099999999999994</v>
      </c>
      <c r="O60" s="6">
        <v>0.38700000000000001</v>
      </c>
      <c r="P60" s="5" t="str">
        <f t="shared" si="7"/>
        <v>OPTIMAL (1.10-1.35)</v>
      </c>
    </row>
    <row r="61" spans="1:16" x14ac:dyDescent="0.3">
      <c r="A61" s="9" t="s">
        <v>82</v>
      </c>
      <c r="B61" s="29">
        <v>45311</v>
      </c>
      <c r="C61" s="9" t="s">
        <v>5</v>
      </c>
      <c r="D61" s="9" t="s">
        <v>25</v>
      </c>
      <c r="E61" s="14">
        <v>233.1</v>
      </c>
      <c r="F61" s="14">
        <v>3219.3</v>
      </c>
      <c r="G61" s="14">
        <v>10647.5</v>
      </c>
      <c r="H61" s="14">
        <v>158.4</v>
      </c>
      <c r="I61" s="10">
        <f t="shared" si="4"/>
        <v>13.810810810810812</v>
      </c>
      <c r="J61" s="10">
        <v>17.420000000000002</v>
      </c>
      <c r="K61" s="10">
        <f t="shared" si="5"/>
        <v>19.796458903675632</v>
      </c>
      <c r="L61" s="11">
        <f t="shared" si="6"/>
        <v>1.1364212918298295</v>
      </c>
      <c r="M61" s="14">
        <v>31.7</v>
      </c>
      <c r="N61" s="14">
        <v>73.2</v>
      </c>
      <c r="O61" s="10">
        <v>0.66200000000000003</v>
      </c>
      <c r="P61" s="9" t="str">
        <f t="shared" si="7"/>
        <v>OPTIMAL (1.10-1.35)</v>
      </c>
    </row>
    <row r="62" spans="1:16" x14ac:dyDescent="0.3">
      <c r="A62" s="5" t="s">
        <v>83</v>
      </c>
      <c r="B62" s="28">
        <v>45312</v>
      </c>
      <c r="C62" s="5" t="s">
        <v>3</v>
      </c>
      <c r="D62" s="5" t="s">
        <v>21</v>
      </c>
      <c r="E62" s="13">
        <v>249.4</v>
      </c>
      <c r="F62" s="13">
        <v>2933.8</v>
      </c>
      <c r="G62" s="13">
        <v>9059.2999999999993</v>
      </c>
      <c r="H62" s="13">
        <v>145.9</v>
      </c>
      <c r="I62" s="6">
        <f t="shared" si="4"/>
        <v>11.763432237369688</v>
      </c>
      <c r="J62" s="6">
        <v>14.68</v>
      </c>
      <c r="K62" s="6">
        <f t="shared" si="5"/>
        <v>16.274229317258417</v>
      </c>
      <c r="L62" s="7">
        <f t="shared" si="6"/>
        <v>1.1085987273336797</v>
      </c>
      <c r="M62" s="13">
        <v>36</v>
      </c>
      <c r="N62" s="13">
        <v>71.8</v>
      </c>
      <c r="O62" s="6">
        <v>0.52200000000000002</v>
      </c>
      <c r="P62" s="5" t="str">
        <f t="shared" si="7"/>
        <v>OPTIMAL (1.10-1.35)</v>
      </c>
    </row>
    <row r="63" spans="1:16" x14ac:dyDescent="0.3">
      <c r="A63" s="9" t="s">
        <v>84</v>
      </c>
      <c r="B63" s="29">
        <v>45312</v>
      </c>
      <c r="C63" s="9" t="s">
        <v>4</v>
      </c>
      <c r="D63" s="9" t="s">
        <v>21</v>
      </c>
      <c r="E63" s="14">
        <v>247.8</v>
      </c>
      <c r="F63" s="14">
        <v>3087.8</v>
      </c>
      <c r="G63" s="14">
        <v>9410</v>
      </c>
      <c r="H63" s="14">
        <v>157.5</v>
      </c>
      <c r="I63" s="10">
        <f t="shared" si="4"/>
        <v>12.460855528652139</v>
      </c>
      <c r="J63" s="10">
        <v>14.63</v>
      </c>
      <c r="K63" s="10">
        <f t="shared" si="5"/>
        <v>17.962065620910618</v>
      </c>
      <c r="L63" s="11">
        <f t="shared" si="6"/>
        <v>1.2277556815386614</v>
      </c>
      <c r="M63" s="14">
        <v>36.6</v>
      </c>
      <c r="N63" s="14">
        <v>73.8</v>
      </c>
      <c r="O63" s="10">
        <v>0.47399999999999998</v>
      </c>
      <c r="P63" s="9" t="str">
        <f t="shared" si="7"/>
        <v>OPTIMAL (1.10-1.35)</v>
      </c>
    </row>
    <row r="64" spans="1:16" x14ac:dyDescent="0.3">
      <c r="A64" s="5" t="s">
        <v>85</v>
      </c>
      <c r="B64" s="28">
        <v>45312</v>
      </c>
      <c r="C64" s="5" t="s">
        <v>5</v>
      </c>
      <c r="D64" s="5" t="s">
        <v>21</v>
      </c>
      <c r="E64" s="13">
        <v>256.89999999999998</v>
      </c>
      <c r="F64" s="13">
        <v>3055.4</v>
      </c>
      <c r="G64" s="13">
        <v>9620.6</v>
      </c>
      <c r="H64" s="13">
        <v>141.5</v>
      </c>
      <c r="I64" s="6">
        <f t="shared" si="4"/>
        <v>11.893343713507203</v>
      </c>
      <c r="J64" s="6">
        <v>13.16</v>
      </c>
      <c r="K64" s="6">
        <f t="shared" si="5"/>
        <v>16.100153475510279</v>
      </c>
      <c r="L64" s="7">
        <f t="shared" si="6"/>
        <v>1.2234159175919666</v>
      </c>
      <c r="M64" s="13">
        <v>35.299999999999997</v>
      </c>
      <c r="N64" s="13">
        <v>71.3</v>
      </c>
      <c r="O64" s="6">
        <v>0.45100000000000001</v>
      </c>
      <c r="P64" s="5" t="str">
        <f t="shared" si="7"/>
        <v>OPTIMAL (1.10-1.35)</v>
      </c>
    </row>
    <row r="65" spans="1:16" x14ac:dyDescent="0.3">
      <c r="A65" s="9" t="s">
        <v>86</v>
      </c>
      <c r="B65" s="29">
        <v>45313</v>
      </c>
      <c r="C65" s="9" t="s">
        <v>3</v>
      </c>
      <c r="D65" s="9" t="s">
        <v>21</v>
      </c>
      <c r="E65" s="14">
        <v>256.7</v>
      </c>
      <c r="F65" s="14">
        <v>3044.8</v>
      </c>
      <c r="G65" s="14">
        <v>9566.2000000000007</v>
      </c>
      <c r="H65" s="14">
        <v>154.1</v>
      </c>
      <c r="I65" s="10">
        <f t="shared" si="4"/>
        <v>11.861316712115311</v>
      </c>
      <c r="J65" s="10">
        <v>13.78</v>
      </c>
      <c r="K65" s="10">
        <f t="shared" si="5"/>
        <v>16.86476927161786</v>
      </c>
      <c r="L65" s="11">
        <f t="shared" si="6"/>
        <v>1.2238584377081176</v>
      </c>
      <c r="M65" s="14">
        <v>34.5</v>
      </c>
      <c r="N65" s="14">
        <v>71.400000000000006</v>
      </c>
      <c r="O65" s="10">
        <v>0.47099999999999997</v>
      </c>
      <c r="P65" s="9" t="str">
        <f t="shared" si="7"/>
        <v>OPTIMAL (1.10-1.35)</v>
      </c>
    </row>
    <row r="66" spans="1:16" x14ac:dyDescent="0.3">
      <c r="A66" s="5" t="s">
        <v>87</v>
      </c>
      <c r="B66" s="28">
        <v>45313</v>
      </c>
      <c r="C66" s="5" t="s">
        <v>4</v>
      </c>
      <c r="D66" s="5" t="s">
        <v>21</v>
      </c>
      <c r="E66" s="13">
        <v>253.7</v>
      </c>
      <c r="F66" s="13">
        <v>3126</v>
      </c>
      <c r="G66" s="13">
        <v>9206.6</v>
      </c>
      <c r="H66" s="13">
        <v>144.6</v>
      </c>
      <c r="I66" s="6">
        <f t="shared" ref="I66:I97" si="8">F66/E66</f>
        <v>12.32163973196689</v>
      </c>
      <c r="J66" s="6">
        <v>14.16</v>
      </c>
      <c r="K66" s="6">
        <f t="shared" ref="K66:K97" si="9">I66/(10*(1/SQRT(H66)-1/SQRT(G66)))</f>
        <v>16.939690849558097</v>
      </c>
      <c r="L66" s="7">
        <f t="shared" ref="L66:L97" si="10">K66/J66</f>
        <v>1.1963058509574926</v>
      </c>
      <c r="M66" s="13">
        <v>34.299999999999997</v>
      </c>
      <c r="N66" s="13">
        <v>71.7</v>
      </c>
      <c r="O66" s="6">
        <v>0.502</v>
      </c>
      <c r="P66" s="5" t="str">
        <f t="shared" ref="P66:P97" si="11">IF(L66&gt;1.4, "INEFFICIENT (Eta&gt;1.4)", IF(L66&lt;1.1, "OVERGRIND / LOW Wi", "OPTIMAL (1.10-1.35)"))</f>
        <v>OPTIMAL (1.10-1.35)</v>
      </c>
    </row>
    <row r="67" spans="1:16" x14ac:dyDescent="0.3">
      <c r="A67" s="9" t="s">
        <v>88</v>
      </c>
      <c r="B67" s="29">
        <v>45313</v>
      </c>
      <c r="C67" s="9" t="s">
        <v>5</v>
      </c>
      <c r="D67" s="9" t="s">
        <v>21</v>
      </c>
      <c r="E67" s="14">
        <v>259.8</v>
      </c>
      <c r="F67" s="14">
        <v>3068.1</v>
      </c>
      <c r="G67" s="14">
        <v>9637.5</v>
      </c>
      <c r="H67" s="14">
        <v>137.6</v>
      </c>
      <c r="I67" s="10">
        <f t="shared" si="8"/>
        <v>11.809468822170899</v>
      </c>
      <c r="J67" s="10">
        <v>14.21</v>
      </c>
      <c r="K67" s="10">
        <f t="shared" si="9"/>
        <v>15.73275110808494</v>
      </c>
      <c r="L67" s="11">
        <f t="shared" si="10"/>
        <v>1.1071605283662871</v>
      </c>
      <c r="M67" s="14">
        <v>34.4</v>
      </c>
      <c r="N67" s="14">
        <v>72</v>
      </c>
      <c r="O67" s="10">
        <v>0.44400000000000001</v>
      </c>
      <c r="P67" s="9" t="str">
        <f t="shared" si="11"/>
        <v>OPTIMAL (1.10-1.35)</v>
      </c>
    </row>
    <row r="68" spans="1:16" x14ac:dyDescent="0.3">
      <c r="A68" s="5" t="s">
        <v>89</v>
      </c>
      <c r="B68" s="28">
        <v>45314</v>
      </c>
      <c r="C68" s="5" t="s">
        <v>3</v>
      </c>
      <c r="D68" s="5" t="s">
        <v>37</v>
      </c>
      <c r="E68" s="13">
        <v>269.10000000000002</v>
      </c>
      <c r="F68" s="13">
        <v>2945.8</v>
      </c>
      <c r="G68" s="13">
        <v>8511.5</v>
      </c>
      <c r="H68" s="13">
        <v>144.4</v>
      </c>
      <c r="I68" s="6">
        <f t="shared" si="8"/>
        <v>10.946859903381641</v>
      </c>
      <c r="J68" s="6">
        <v>11.24</v>
      </c>
      <c r="K68" s="6">
        <f t="shared" si="9"/>
        <v>15.124434328845043</v>
      </c>
      <c r="L68" s="7">
        <f t="shared" si="10"/>
        <v>1.3455902427798081</v>
      </c>
      <c r="M68" s="13">
        <v>35.799999999999997</v>
      </c>
      <c r="N68" s="13">
        <v>70.5</v>
      </c>
      <c r="O68" s="6">
        <v>0.34399999999999997</v>
      </c>
      <c r="P68" s="5" t="str">
        <f t="shared" si="11"/>
        <v>OPTIMAL (1.10-1.35)</v>
      </c>
    </row>
    <row r="69" spans="1:16" x14ac:dyDescent="0.3">
      <c r="A69" s="9" t="s">
        <v>90</v>
      </c>
      <c r="B69" s="29">
        <v>45314</v>
      </c>
      <c r="C69" s="9" t="s">
        <v>4</v>
      </c>
      <c r="D69" s="9" t="s">
        <v>21</v>
      </c>
      <c r="E69" s="14">
        <v>261.10000000000002</v>
      </c>
      <c r="F69" s="14">
        <v>3080.7</v>
      </c>
      <c r="G69" s="14">
        <v>9614.9</v>
      </c>
      <c r="H69" s="14">
        <v>148.69999999999999</v>
      </c>
      <c r="I69" s="10">
        <f t="shared" si="8"/>
        <v>11.798927613941016</v>
      </c>
      <c r="J69" s="10">
        <v>13.79</v>
      </c>
      <c r="K69" s="10">
        <f t="shared" si="9"/>
        <v>16.431331873465957</v>
      </c>
      <c r="L69" s="11">
        <f t="shared" si="10"/>
        <v>1.191539657249163</v>
      </c>
      <c r="M69" s="14">
        <v>32.9</v>
      </c>
      <c r="N69" s="14">
        <v>72.599999999999994</v>
      </c>
      <c r="O69" s="10">
        <v>0.48899999999999999</v>
      </c>
      <c r="P69" s="9" t="str">
        <f t="shared" si="11"/>
        <v>OPTIMAL (1.10-1.35)</v>
      </c>
    </row>
    <row r="70" spans="1:16" x14ac:dyDescent="0.3">
      <c r="A70" s="5" t="s">
        <v>91</v>
      </c>
      <c r="B70" s="28">
        <v>45314</v>
      </c>
      <c r="C70" s="5" t="s">
        <v>5</v>
      </c>
      <c r="D70" s="5" t="s">
        <v>21</v>
      </c>
      <c r="E70" s="13">
        <v>250</v>
      </c>
      <c r="F70" s="13">
        <v>3102.8</v>
      </c>
      <c r="G70" s="13">
        <v>9346.4</v>
      </c>
      <c r="H70" s="13">
        <v>154</v>
      </c>
      <c r="I70" s="6">
        <f t="shared" si="8"/>
        <v>12.411200000000001</v>
      </c>
      <c r="J70" s="6">
        <v>13.74</v>
      </c>
      <c r="K70" s="6">
        <f t="shared" si="9"/>
        <v>17.670068367491201</v>
      </c>
      <c r="L70" s="7">
        <f t="shared" si="10"/>
        <v>1.2860311766733044</v>
      </c>
      <c r="M70" s="13">
        <v>34.799999999999997</v>
      </c>
      <c r="N70" s="13">
        <v>70.8</v>
      </c>
      <c r="O70" s="6">
        <v>0.46800000000000003</v>
      </c>
      <c r="P70" s="5" t="str">
        <f t="shared" si="11"/>
        <v>OPTIMAL (1.10-1.35)</v>
      </c>
    </row>
    <row r="71" spans="1:16" x14ac:dyDescent="0.3">
      <c r="A71" s="9" t="s">
        <v>92</v>
      </c>
      <c r="B71" s="29">
        <v>45315</v>
      </c>
      <c r="C71" s="9" t="s">
        <v>3</v>
      </c>
      <c r="D71" s="9" t="s">
        <v>21</v>
      </c>
      <c r="E71" s="14">
        <v>252.6</v>
      </c>
      <c r="F71" s="14">
        <v>3024.1</v>
      </c>
      <c r="G71" s="14">
        <v>9725.2000000000007</v>
      </c>
      <c r="H71" s="14">
        <v>145.9</v>
      </c>
      <c r="I71" s="10">
        <f t="shared" si="8"/>
        <v>11.971892319873318</v>
      </c>
      <c r="J71" s="10">
        <v>13.77</v>
      </c>
      <c r="K71" s="10">
        <f t="shared" si="9"/>
        <v>16.47916744052824</v>
      </c>
      <c r="L71" s="11">
        <f t="shared" si="10"/>
        <v>1.1967441859497634</v>
      </c>
      <c r="M71" s="14">
        <v>33.9</v>
      </c>
      <c r="N71" s="14">
        <v>71.599999999999994</v>
      </c>
      <c r="O71" s="10">
        <v>0.53</v>
      </c>
      <c r="P71" s="9" t="str">
        <f t="shared" si="11"/>
        <v>OPTIMAL (1.10-1.35)</v>
      </c>
    </row>
    <row r="72" spans="1:16" x14ac:dyDescent="0.3">
      <c r="A72" s="5" t="s">
        <v>93</v>
      </c>
      <c r="B72" s="28">
        <v>45315</v>
      </c>
      <c r="C72" s="5" t="s">
        <v>4</v>
      </c>
      <c r="D72" s="5" t="s">
        <v>25</v>
      </c>
      <c r="E72" s="13">
        <v>220.5</v>
      </c>
      <c r="F72" s="13">
        <v>3230.2</v>
      </c>
      <c r="G72" s="13">
        <v>10052.700000000001</v>
      </c>
      <c r="H72" s="13">
        <v>160.5</v>
      </c>
      <c r="I72" s="6">
        <f t="shared" si="8"/>
        <v>14.649433106575962</v>
      </c>
      <c r="J72" s="6">
        <v>16.66</v>
      </c>
      <c r="K72" s="6">
        <f t="shared" si="9"/>
        <v>21.24339284560423</v>
      </c>
      <c r="L72" s="7">
        <f t="shared" si="10"/>
        <v>1.275113616182727</v>
      </c>
      <c r="M72" s="13">
        <v>34.1</v>
      </c>
      <c r="N72" s="13">
        <v>72.900000000000006</v>
      </c>
      <c r="O72" s="6">
        <v>0.61199999999999999</v>
      </c>
      <c r="P72" s="5" t="str">
        <f t="shared" si="11"/>
        <v>OPTIMAL (1.10-1.35)</v>
      </c>
    </row>
    <row r="73" spans="1:16" x14ac:dyDescent="0.3">
      <c r="A73" s="9" t="s">
        <v>94</v>
      </c>
      <c r="B73" s="29">
        <v>45315</v>
      </c>
      <c r="C73" s="9" t="s">
        <v>5</v>
      </c>
      <c r="D73" s="9" t="s">
        <v>21</v>
      </c>
      <c r="E73" s="14">
        <v>260.39999999999998</v>
      </c>
      <c r="F73" s="14">
        <v>3064.1</v>
      </c>
      <c r="G73" s="14">
        <v>9723.5</v>
      </c>
      <c r="H73" s="14">
        <v>147</v>
      </c>
      <c r="I73" s="10">
        <f t="shared" si="8"/>
        <v>11.766897081413211</v>
      </c>
      <c r="J73" s="10">
        <v>14.04</v>
      </c>
      <c r="K73" s="10">
        <f t="shared" si="9"/>
        <v>16.266679446498912</v>
      </c>
      <c r="L73" s="11">
        <f t="shared" si="10"/>
        <v>1.1585954021722873</v>
      </c>
      <c r="M73" s="14">
        <v>34.9</v>
      </c>
      <c r="N73" s="14">
        <v>72.099999999999994</v>
      </c>
      <c r="O73" s="10">
        <v>0.49</v>
      </c>
      <c r="P73" s="9" t="str">
        <f t="shared" si="11"/>
        <v>OPTIMAL (1.10-1.35)</v>
      </c>
    </row>
    <row r="74" spans="1:16" x14ac:dyDescent="0.3">
      <c r="A74" s="5" t="s">
        <v>95</v>
      </c>
      <c r="B74" s="28">
        <v>45316</v>
      </c>
      <c r="C74" s="5" t="s">
        <v>3</v>
      </c>
      <c r="D74" s="5" t="s">
        <v>37</v>
      </c>
      <c r="E74" s="13">
        <v>263.3</v>
      </c>
      <c r="F74" s="13">
        <v>2879.7</v>
      </c>
      <c r="G74" s="13">
        <v>8601.4</v>
      </c>
      <c r="H74" s="13">
        <v>139.30000000000001</v>
      </c>
      <c r="I74" s="6">
        <f t="shared" si="8"/>
        <v>10.936954044815799</v>
      </c>
      <c r="J74" s="6">
        <v>11.78</v>
      </c>
      <c r="K74" s="6">
        <f t="shared" si="9"/>
        <v>14.790638691177456</v>
      </c>
      <c r="L74" s="7">
        <f t="shared" si="10"/>
        <v>1.2555720450914649</v>
      </c>
      <c r="M74" s="13">
        <v>36.4</v>
      </c>
      <c r="N74" s="13">
        <v>69.8</v>
      </c>
      <c r="O74" s="6">
        <v>0.35099999999999998</v>
      </c>
      <c r="P74" s="5" t="str">
        <f t="shared" si="11"/>
        <v>OPTIMAL (1.10-1.35)</v>
      </c>
    </row>
    <row r="75" spans="1:16" x14ac:dyDescent="0.3">
      <c r="A75" s="9" t="s">
        <v>96</v>
      </c>
      <c r="B75" s="29">
        <v>45316</v>
      </c>
      <c r="C75" s="9" t="s">
        <v>4</v>
      </c>
      <c r="D75" s="9" t="s">
        <v>37</v>
      </c>
      <c r="E75" s="14">
        <v>286.8</v>
      </c>
      <c r="F75" s="14">
        <v>2913.8</v>
      </c>
      <c r="G75" s="14">
        <v>8119.7</v>
      </c>
      <c r="H75" s="14">
        <v>131.4</v>
      </c>
      <c r="I75" s="10">
        <f t="shared" si="8"/>
        <v>10.159693165969317</v>
      </c>
      <c r="J75" s="10">
        <v>11.85</v>
      </c>
      <c r="K75" s="10">
        <f t="shared" si="9"/>
        <v>13.343490516081717</v>
      </c>
      <c r="L75" s="11">
        <f t="shared" si="10"/>
        <v>1.1260329549436048</v>
      </c>
      <c r="M75" s="14">
        <v>35.700000000000003</v>
      </c>
      <c r="N75" s="14">
        <v>71.2</v>
      </c>
      <c r="O75" s="10">
        <v>0.36599999999999999</v>
      </c>
      <c r="P75" s="9" t="str">
        <f t="shared" si="11"/>
        <v>OPTIMAL (1.10-1.35)</v>
      </c>
    </row>
    <row r="76" spans="1:16" x14ac:dyDescent="0.3">
      <c r="A76" s="5" t="s">
        <v>97</v>
      </c>
      <c r="B76" s="28">
        <v>45316</v>
      </c>
      <c r="C76" s="5" t="s">
        <v>5</v>
      </c>
      <c r="D76" s="5" t="s">
        <v>37</v>
      </c>
      <c r="E76" s="13">
        <v>265.8</v>
      </c>
      <c r="F76" s="13">
        <v>2884.3</v>
      </c>
      <c r="G76" s="13">
        <v>8304.4</v>
      </c>
      <c r="H76" s="13">
        <v>137.80000000000001</v>
      </c>
      <c r="I76" s="6">
        <f t="shared" si="8"/>
        <v>10.851392024078255</v>
      </c>
      <c r="J76" s="6">
        <v>11.31</v>
      </c>
      <c r="K76" s="6">
        <f t="shared" si="9"/>
        <v>14.621780851701091</v>
      </c>
      <c r="L76" s="7">
        <f t="shared" si="10"/>
        <v>1.2928188197790531</v>
      </c>
      <c r="M76" s="13">
        <v>36.4</v>
      </c>
      <c r="N76" s="13">
        <v>69.3</v>
      </c>
      <c r="O76" s="6">
        <v>0.38</v>
      </c>
      <c r="P76" s="5" t="str">
        <f t="shared" si="11"/>
        <v>OPTIMAL (1.10-1.35)</v>
      </c>
    </row>
    <row r="77" spans="1:16" x14ac:dyDescent="0.3">
      <c r="A77" s="9" t="s">
        <v>98</v>
      </c>
      <c r="B77" s="29">
        <v>45317</v>
      </c>
      <c r="C77" s="9" t="s">
        <v>3</v>
      </c>
      <c r="D77" s="9" t="s">
        <v>21</v>
      </c>
      <c r="E77" s="14">
        <v>256.2</v>
      </c>
      <c r="F77" s="14">
        <v>3123.3</v>
      </c>
      <c r="G77" s="14">
        <v>9956.2999999999993</v>
      </c>
      <c r="H77" s="14">
        <v>143.30000000000001</v>
      </c>
      <c r="I77" s="10">
        <f t="shared" si="8"/>
        <v>12.190866510538642</v>
      </c>
      <c r="J77" s="10">
        <v>14.48</v>
      </c>
      <c r="K77" s="10">
        <f t="shared" si="9"/>
        <v>16.582896538734957</v>
      </c>
      <c r="L77" s="11">
        <f t="shared" si="10"/>
        <v>1.1452276615148451</v>
      </c>
      <c r="M77" s="14">
        <v>36.700000000000003</v>
      </c>
      <c r="N77" s="14">
        <v>72.7</v>
      </c>
      <c r="O77" s="10">
        <v>0.47099999999999997</v>
      </c>
      <c r="P77" s="9" t="str">
        <f t="shared" si="11"/>
        <v>OPTIMAL (1.10-1.35)</v>
      </c>
    </row>
    <row r="78" spans="1:16" x14ac:dyDescent="0.3">
      <c r="A78" s="5" t="s">
        <v>99</v>
      </c>
      <c r="B78" s="28">
        <v>45317</v>
      </c>
      <c r="C78" s="5" t="s">
        <v>4</v>
      </c>
      <c r="D78" s="5" t="s">
        <v>37</v>
      </c>
      <c r="E78" s="13">
        <v>279.8</v>
      </c>
      <c r="F78" s="13">
        <v>2883.7</v>
      </c>
      <c r="G78" s="13">
        <v>8523.4</v>
      </c>
      <c r="H78" s="13">
        <v>136</v>
      </c>
      <c r="I78" s="6">
        <f t="shared" si="8"/>
        <v>10.306290207290921</v>
      </c>
      <c r="J78" s="6">
        <v>11.39</v>
      </c>
      <c r="K78" s="6">
        <f t="shared" si="9"/>
        <v>13.756821810155902</v>
      </c>
      <c r="L78" s="7">
        <f t="shared" si="10"/>
        <v>1.207798227406137</v>
      </c>
      <c r="M78" s="13">
        <v>35.6</v>
      </c>
      <c r="N78" s="13">
        <v>69.900000000000006</v>
      </c>
      <c r="O78" s="6">
        <v>0.32300000000000001</v>
      </c>
      <c r="P78" s="5" t="str">
        <f t="shared" si="11"/>
        <v>OPTIMAL (1.10-1.35)</v>
      </c>
    </row>
    <row r="79" spans="1:16" x14ac:dyDescent="0.3">
      <c r="A79" s="9" t="s">
        <v>100</v>
      </c>
      <c r="B79" s="29">
        <v>45317</v>
      </c>
      <c r="C79" s="9" t="s">
        <v>5</v>
      </c>
      <c r="D79" s="9" t="s">
        <v>25</v>
      </c>
      <c r="E79" s="14">
        <v>219.3</v>
      </c>
      <c r="F79" s="14">
        <v>3127.2</v>
      </c>
      <c r="G79" s="14">
        <v>10608</v>
      </c>
      <c r="H79" s="14">
        <v>144.5</v>
      </c>
      <c r="I79" s="10">
        <f t="shared" si="8"/>
        <v>14.259917920656633</v>
      </c>
      <c r="J79" s="10">
        <v>16.68</v>
      </c>
      <c r="K79" s="10">
        <f t="shared" si="9"/>
        <v>19.406572447343439</v>
      </c>
      <c r="L79" s="11">
        <f t="shared" si="10"/>
        <v>1.1634635759798224</v>
      </c>
      <c r="M79" s="14">
        <v>33.9</v>
      </c>
      <c r="N79" s="14">
        <v>72.3</v>
      </c>
      <c r="O79" s="10">
        <v>0.71899999999999997</v>
      </c>
      <c r="P79" s="9" t="str">
        <f t="shared" si="11"/>
        <v>OPTIMAL (1.10-1.35)</v>
      </c>
    </row>
    <row r="80" spans="1:16" x14ac:dyDescent="0.3">
      <c r="A80" s="5" t="s">
        <v>101</v>
      </c>
      <c r="B80" s="28">
        <v>45318</v>
      </c>
      <c r="C80" s="5" t="s">
        <v>3</v>
      </c>
      <c r="D80" s="5" t="s">
        <v>21</v>
      </c>
      <c r="E80" s="13">
        <v>241.9</v>
      </c>
      <c r="F80" s="13">
        <v>3086.1</v>
      </c>
      <c r="G80" s="13">
        <v>9714.5</v>
      </c>
      <c r="H80" s="13">
        <v>152.30000000000001</v>
      </c>
      <c r="I80" s="6">
        <f t="shared" si="8"/>
        <v>12.757751136833402</v>
      </c>
      <c r="J80" s="6">
        <v>14.05</v>
      </c>
      <c r="K80" s="6">
        <f t="shared" si="9"/>
        <v>17.997839294754087</v>
      </c>
      <c r="L80" s="7">
        <f t="shared" si="10"/>
        <v>1.2809850031853443</v>
      </c>
      <c r="M80" s="13">
        <v>36.299999999999997</v>
      </c>
      <c r="N80" s="13">
        <v>73.5</v>
      </c>
      <c r="O80" s="6">
        <v>0.51200000000000001</v>
      </c>
      <c r="P80" s="5" t="str">
        <f t="shared" si="11"/>
        <v>OPTIMAL (1.10-1.35)</v>
      </c>
    </row>
    <row r="81" spans="1:16" x14ac:dyDescent="0.3">
      <c r="A81" s="9" t="s">
        <v>102</v>
      </c>
      <c r="B81" s="29">
        <v>45318</v>
      </c>
      <c r="C81" s="9" t="s">
        <v>4</v>
      </c>
      <c r="D81" s="9" t="s">
        <v>37</v>
      </c>
      <c r="E81" s="14">
        <v>267.3</v>
      </c>
      <c r="F81" s="14">
        <v>2942.6</v>
      </c>
      <c r="G81" s="14">
        <v>8232.7000000000007</v>
      </c>
      <c r="H81" s="14">
        <v>133.5</v>
      </c>
      <c r="I81" s="10">
        <f t="shared" si="8"/>
        <v>11.00860456416012</v>
      </c>
      <c r="J81" s="10">
        <v>10.84</v>
      </c>
      <c r="K81" s="10">
        <f t="shared" si="9"/>
        <v>14.57566950715584</v>
      </c>
      <c r="L81" s="11">
        <f t="shared" si="10"/>
        <v>1.3446189582247086</v>
      </c>
      <c r="M81" s="14">
        <v>37.9</v>
      </c>
      <c r="N81" s="14">
        <v>71.599999999999994</v>
      </c>
      <c r="O81" s="10">
        <v>0.39800000000000002</v>
      </c>
      <c r="P81" s="9" t="str">
        <f t="shared" si="11"/>
        <v>OPTIMAL (1.10-1.35)</v>
      </c>
    </row>
    <row r="82" spans="1:16" x14ac:dyDescent="0.3">
      <c r="A82" s="5" t="s">
        <v>103</v>
      </c>
      <c r="B82" s="28">
        <v>45318</v>
      </c>
      <c r="C82" s="5" t="s">
        <v>5</v>
      </c>
      <c r="D82" s="5" t="s">
        <v>21</v>
      </c>
      <c r="E82" s="13">
        <v>266.60000000000002</v>
      </c>
      <c r="F82" s="13">
        <v>3012.8</v>
      </c>
      <c r="G82" s="13">
        <v>9674.7000000000007</v>
      </c>
      <c r="H82" s="13">
        <v>147.69999999999999</v>
      </c>
      <c r="I82" s="6">
        <f t="shared" si="8"/>
        <v>11.300825206301575</v>
      </c>
      <c r="J82" s="6">
        <v>14.17</v>
      </c>
      <c r="K82" s="6">
        <f t="shared" si="9"/>
        <v>15.670300041080193</v>
      </c>
      <c r="L82" s="7">
        <f t="shared" si="10"/>
        <v>1.1058786196951442</v>
      </c>
      <c r="M82" s="13">
        <v>35.5</v>
      </c>
      <c r="N82" s="13">
        <v>71.7</v>
      </c>
      <c r="O82" s="6">
        <v>0.47399999999999998</v>
      </c>
      <c r="P82" s="5" t="str">
        <f t="shared" si="11"/>
        <v>OPTIMAL (1.10-1.35)</v>
      </c>
    </row>
    <row r="83" spans="1:16" x14ac:dyDescent="0.3">
      <c r="A83" s="9" t="s">
        <v>104</v>
      </c>
      <c r="B83" s="29">
        <v>45319</v>
      </c>
      <c r="C83" s="9" t="s">
        <v>3</v>
      </c>
      <c r="D83" s="9" t="s">
        <v>21</v>
      </c>
      <c r="E83" s="14">
        <v>265.10000000000002</v>
      </c>
      <c r="F83" s="14">
        <v>3127.8</v>
      </c>
      <c r="G83" s="14">
        <v>9099.4</v>
      </c>
      <c r="H83" s="14">
        <v>150.4</v>
      </c>
      <c r="I83" s="10">
        <f t="shared" si="8"/>
        <v>11.798566578649567</v>
      </c>
      <c r="J83" s="10">
        <v>13.83</v>
      </c>
      <c r="K83" s="10">
        <f t="shared" si="9"/>
        <v>16.60417865685158</v>
      </c>
      <c r="L83" s="11">
        <f t="shared" si="10"/>
        <v>1.2005913707051035</v>
      </c>
      <c r="M83" s="14">
        <v>33.5</v>
      </c>
      <c r="N83" s="14">
        <v>72.900000000000006</v>
      </c>
      <c r="O83" s="10">
        <v>0.46100000000000002</v>
      </c>
      <c r="P83" s="9" t="str">
        <f t="shared" si="11"/>
        <v>OPTIMAL (1.10-1.35)</v>
      </c>
    </row>
    <row r="84" spans="1:16" x14ac:dyDescent="0.3">
      <c r="A84" s="5" t="s">
        <v>105</v>
      </c>
      <c r="B84" s="28">
        <v>45319</v>
      </c>
      <c r="C84" s="5" t="s">
        <v>4</v>
      </c>
      <c r="D84" s="5" t="s">
        <v>25</v>
      </c>
      <c r="E84" s="13">
        <v>221.7</v>
      </c>
      <c r="F84" s="13">
        <v>3246.1</v>
      </c>
      <c r="G84" s="13">
        <v>10292.6</v>
      </c>
      <c r="H84" s="13">
        <v>149.5</v>
      </c>
      <c r="I84" s="6">
        <f t="shared" si="8"/>
        <v>14.641858367162833</v>
      </c>
      <c r="J84" s="6">
        <v>15.42</v>
      </c>
      <c r="K84" s="6">
        <f t="shared" si="9"/>
        <v>20.35591754024486</v>
      </c>
      <c r="L84" s="7">
        <f t="shared" si="10"/>
        <v>1.3200984137642582</v>
      </c>
      <c r="M84" s="13">
        <v>33.200000000000003</v>
      </c>
      <c r="N84" s="13">
        <v>73.400000000000006</v>
      </c>
      <c r="O84" s="6">
        <v>0.57699999999999996</v>
      </c>
      <c r="P84" s="5" t="str">
        <f t="shared" si="11"/>
        <v>OPTIMAL (1.10-1.35)</v>
      </c>
    </row>
    <row r="85" spans="1:16" x14ac:dyDescent="0.3">
      <c r="A85" s="9" t="s">
        <v>106</v>
      </c>
      <c r="B85" s="29">
        <v>45319</v>
      </c>
      <c r="C85" s="9" t="s">
        <v>5</v>
      </c>
      <c r="D85" s="9" t="s">
        <v>21</v>
      </c>
      <c r="E85" s="14">
        <v>254.4</v>
      </c>
      <c r="F85" s="14">
        <v>3160</v>
      </c>
      <c r="G85" s="14">
        <v>9361.1</v>
      </c>
      <c r="H85" s="14">
        <v>145.9</v>
      </c>
      <c r="I85" s="10">
        <f t="shared" si="8"/>
        <v>12.421383647798741</v>
      </c>
      <c r="J85" s="10">
        <v>13.82</v>
      </c>
      <c r="K85" s="10">
        <f t="shared" si="9"/>
        <v>17.143980014809003</v>
      </c>
      <c r="L85" s="11">
        <f t="shared" si="10"/>
        <v>1.2405195379746021</v>
      </c>
      <c r="M85" s="14">
        <v>36.200000000000003</v>
      </c>
      <c r="N85" s="14">
        <v>70.5</v>
      </c>
      <c r="O85" s="10">
        <v>0.46400000000000002</v>
      </c>
      <c r="P85" s="9" t="str">
        <f t="shared" si="11"/>
        <v>OPTIMAL (1.10-1.35)</v>
      </c>
    </row>
    <row r="86" spans="1:16" x14ac:dyDescent="0.3">
      <c r="A86" s="5" t="s">
        <v>107</v>
      </c>
      <c r="B86" s="28">
        <v>45320</v>
      </c>
      <c r="C86" s="5" t="s">
        <v>3</v>
      </c>
      <c r="D86" s="5" t="s">
        <v>37</v>
      </c>
      <c r="E86" s="13">
        <v>290.7</v>
      </c>
      <c r="F86" s="13">
        <v>2948.4</v>
      </c>
      <c r="G86" s="13">
        <v>8020.2</v>
      </c>
      <c r="H86" s="13">
        <v>133.4</v>
      </c>
      <c r="I86" s="6">
        <f t="shared" si="8"/>
        <v>10.142414860681114</v>
      </c>
      <c r="J86" s="6">
        <v>11.63</v>
      </c>
      <c r="K86" s="6">
        <f t="shared" si="9"/>
        <v>13.44886614816915</v>
      </c>
      <c r="L86" s="7">
        <f t="shared" si="10"/>
        <v>1.1563943377617498</v>
      </c>
      <c r="M86" s="13">
        <v>35.799999999999997</v>
      </c>
      <c r="N86" s="13">
        <v>70.599999999999994</v>
      </c>
      <c r="O86" s="6">
        <v>0.38200000000000001</v>
      </c>
      <c r="P86" s="5" t="str">
        <f t="shared" si="11"/>
        <v>OPTIMAL (1.10-1.35)</v>
      </c>
    </row>
    <row r="87" spans="1:16" x14ac:dyDescent="0.3">
      <c r="A87" s="9" t="s">
        <v>108</v>
      </c>
      <c r="B87" s="29">
        <v>45320</v>
      </c>
      <c r="C87" s="9" t="s">
        <v>4</v>
      </c>
      <c r="D87" s="9" t="s">
        <v>21</v>
      </c>
      <c r="E87" s="14">
        <v>251.4</v>
      </c>
      <c r="F87" s="14">
        <v>3051.9</v>
      </c>
      <c r="G87" s="14">
        <v>9438</v>
      </c>
      <c r="H87" s="14">
        <v>182</v>
      </c>
      <c r="I87" s="10">
        <f t="shared" si="8"/>
        <v>12.139618138424821</v>
      </c>
      <c r="J87" s="10">
        <v>13.86</v>
      </c>
      <c r="K87" s="10">
        <f t="shared" si="9"/>
        <v>19.018223544668455</v>
      </c>
      <c r="L87" s="11">
        <f t="shared" si="10"/>
        <v>1.3721662009140301</v>
      </c>
      <c r="M87" s="14">
        <v>35.200000000000003</v>
      </c>
      <c r="N87" s="14">
        <v>78.5</v>
      </c>
      <c r="O87" s="10">
        <v>0.48899999999999999</v>
      </c>
      <c r="P87" s="9" t="str">
        <f t="shared" si="11"/>
        <v>OPTIMAL (1.10-1.35)</v>
      </c>
    </row>
    <row r="88" spans="1:16" x14ac:dyDescent="0.3">
      <c r="A88" s="5" t="s">
        <v>109</v>
      </c>
      <c r="B88" s="28">
        <v>45320</v>
      </c>
      <c r="C88" s="5" t="s">
        <v>5</v>
      </c>
      <c r="D88" s="5" t="s">
        <v>21</v>
      </c>
      <c r="E88" s="13">
        <v>259.2</v>
      </c>
      <c r="F88" s="13">
        <v>3120.2</v>
      </c>
      <c r="G88" s="13">
        <v>9628.2999999999993</v>
      </c>
      <c r="H88" s="13">
        <v>140.19999999999999</v>
      </c>
      <c r="I88" s="6">
        <f t="shared" si="8"/>
        <v>12.037808641975309</v>
      </c>
      <c r="J88" s="6">
        <v>13.13</v>
      </c>
      <c r="K88" s="6">
        <f t="shared" si="9"/>
        <v>16.209496928892623</v>
      </c>
      <c r="L88" s="7">
        <f t="shared" si="10"/>
        <v>1.2345389892530558</v>
      </c>
      <c r="M88" s="13">
        <v>36.4</v>
      </c>
      <c r="N88" s="13">
        <v>71.599999999999994</v>
      </c>
      <c r="O88" s="6">
        <v>0.46800000000000003</v>
      </c>
      <c r="P88" s="5" t="str">
        <f t="shared" si="11"/>
        <v>OPTIMAL (1.10-1.35)</v>
      </c>
    </row>
    <row r="89" spans="1:16" x14ac:dyDescent="0.3">
      <c r="A89" s="9" t="s">
        <v>110</v>
      </c>
      <c r="B89" s="29">
        <v>45321</v>
      </c>
      <c r="C89" s="9" t="s">
        <v>3</v>
      </c>
      <c r="D89" s="9" t="s">
        <v>21</v>
      </c>
      <c r="E89" s="14">
        <v>243.1</v>
      </c>
      <c r="F89" s="14">
        <v>3072.2</v>
      </c>
      <c r="G89" s="14">
        <v>9561.2999999999993</v>
      </c>
      <c r="H89" s="14">
        <v>142</v>
      </c>
      <c r="I89" s="10">
        <f t="shared" si="8"/>
        <v>12.637597696421226</v>
      </c>
      <c r="J89" s="10">
        <v>14.69</v>
      </c>
      <c r="K89" s="10">
        <f t="shared" si="9"/>
        <v>17.149376762771041</v>
      </c>
      <c r="L89" s="11">
        <f t="shared" si="10"/>
        <v>1.1674184317747476</v>
      </c>
      <c r="M89" s="14">
        <v>34.6</v>
      </c>
      <c r="N89" s="14">
        <v>72.3</v>
      </c>
      <c r="O89" s="10">
        <v>0.46700000000000003</v>
      </c>
      <c r="P89" s="9" t="str">
        <f t="shared" si="11"/>
        <v>OPTIMAL (1.10-1.35)</v>
      </c>
    </row>
    <row r="90" spans="1:16" x14ac:dyDescent="0.3">
      <c r="A90" s="5" t="s">
        <v>111</v>
      </c>
      <c r="B90" s="28">
        <v>45321</v>
      </c>
      <c r="C90" s="5" t="s">
        <v>4</v>
      </c>
      <c r="D90" s="5" t="s">
        <v>21</v>
      </c>
      <c r="E90" s="13">
        <v>247.7</v>
      </c>
      <c r="F90" s="13">
        <v>3107.7</v>
      </c>
      <c r="G90" s="13">
        <v>9805.4</v>
      </c>
      <c r="H90" s="13">
        <v>148.1</v>
      </c>
      <c r="I90" s="6">
        <f t="shared" si="8"/>
        <v>12.546225272507066</v>
      </c>
      <c r="J90" s="6">
        <v>13.52</v>
      </c>
      <c r="K90" s="6">
        <f t="shared" si="9"/>
        <v>17.407664867814866</v>
      </c>
      <c r="L90" s="7">
        <f t="shared" si="10"/>
        <v>1.2875491766135256</v>
      </c>
      <c r="M90" s="13">
        <v>33.4</v>
      </c>
      <c r="N90" s="13">
        <v>72.3</v>
      </c>
      <c r="O90" s="6">
        <v>0.47</v>
      </c>
      <c r="P90" s="5" t="str">
        <f t="shared" si="11"/>
        <v>OPTIMAL (1.10-1.35)</v>
      </c>
    </row>
    <row r="91" spans="1:16" x14ac:dyDescent="0.3">
      <c r="A91" s="9" t="s">
        <v>112</v>
      </c>
      <c r="B91" s="29">
        <v>45321</v>
      </c>
      <c r="C91" s="9" t="s">
        <v>5</v>
      </c>
      <c r="D91" s="9" t="s">
        <v>37</v>
      </c>
      <c r="E91" s="14">
        <v>280.5</v>
      </c>
      <c r="F91" s="14">
        <v>2873.8</v>
      </c>
      <c r="G91" s="14">
        <v>8795.9</v>
      </c>
      <c r="H91" s="14">
        <v>138.80000000000001</v>
      </c>
      <c r="I91" s="10">
        <f t="shared" si="8"/>
        <v>10.245276292335117</v>
      </c>
      <c r="J91" s="10">
        <v>11.59</v>
      </c>
      <c r="K91" s="10">
        <f t="shared" si="9"/>
        <v>13.804401733298166</v>
      </c>
      <c r="L91" s="11">
        <f t="shared" si="10"/>
        <v>1.1910614092578227</v>
      </c>
      <c r="M91" s="14">
        <v>37.299999999999997</v>
      </c>
      <c r="N91" s="14">
        <v>70</v>
      </c>
      <c r="O91" s="10">
        <v>0.435</v>
      </c>
      <c r="P91" s="9" t="str">
        <f t="shared" si="11"/>
        <v>OPTIMAL (1.10-1.35)</v>
      </c>
    </row>
    <row r="92" spans="1:16" x14ac:dyDescent="0.3">
      <c r="A92" s="5" t="s">
        <v>113</v>
      </c>
      <c r="B92" s="28">
        <v>45322</v>
      </c>
      <c r="C92" s="5" t="s">
        <v>3</v>
      </c>
      <c r="D92" s="5" t="s">
        <v>25</v>
      </c>
      <c r="E92" s="13">
        <v>227.7</v>
      </c>
      <c r="F92" s="13">
        <v>3206.1</v>
      </c>
      <c r="G92" s="13">
        <v>11001.9</v>
      </c>
      <c r="H92" s="13">
        <v>154.6</v>
      </c>
      <c r="I92" s="6">
        <f t="shared" si="8"/>
        <v>14.080368906455863</v>
      </c>
      <c r="J92" s="6">
        <v>16.350000000000001</v>
      </c>
      <c r="K92" s="6">
        <f t="shared" si="9"/>
        <v>19.861725377912947</v>
      </c>
      <c r="L92" s="7">
        <f t="shared" si="10"/>
        <v>1.2147844267836663</v>
      </c>
      <c r="M92" s="13">
        <v>35.4</v>
      </c>
      <c r="N92" s="13">
        <v>74.2</v>
      </c>
      <c r="O92" s="6">
        <v>0.60899999999999999</v>
      </c>
      <c r="P92" s="5" t="str">
        <f t="shared" si="11"/>
        <v>OPTIMAL (1.10-1.35)</v>
      </c>
    </row>
    <row r="93" spans="1:16" x14ac:dyDescent="0.3">
      <c r="A93" s="9" t="s">
        <v>114</v>
      </c>
      <c r="B93" s="29">
        <v>45322</v>
      </c>
      <c r="C93" s="9" t="s">
        <v>4</v>
      </c>
      <c r="D93" s="9" t="s">
        <v>21</v>
      </c>
      <c r="E93" s="14">
        <v>259.8</v>
      </c>
      <c r="F93" s="14">
        <v>3002.4</v>
      </c>
      <c r="G93" s="14">
        <v>9543.1</v>
      </c>
      <c r="H93" s="14">
        <v>138.9</v>
      </c>
      <c r="I93" s="10">
        <f t="shared" si="8"/>
        <v>11.556581986143186</v>
      </c>
      <c r="J93" s="10">
        <v>13.98</v>
      </c>
      <c r="K93" s="10">
        <f t="shared" si="9"/>
        <v>15.488732758583726</v>
      </c>
      <c r="L93" s="11">
        <f t="shared" si="10"/>
        <v>1.1079207981819545</v>
      </c>
      <c r="M93" s="14">
        <v>35.799999999999997</v>
      </c>
      <c r="N93" s="14">
        <v>71.900000000000006</v>
      </c>
      <c r="O93" s="10">
        <v>0.497</v>
      </c>
      <c r="P93" s="9" t="str">
        <f t="shared" si="11"/>
        <v>OPTIMAL (1.10-1.35)</v>
      </c>
    </row>
    <row r="94" spans="1:16" x14ac:dyDescent="0.3">
      <c r="A94" s="5" t="s">
        <v>115</v>
      </c>
      <c r="B94" s="28">
        <v>45322</v>
      </c>
      <c r="C94" s="5" t="s">
        <v>5</v>
      </c>
      <c r="D94" s="5" t="s">
        <v>25</v>
      </c>
      <c r="E94" s="13">
        <v>213.2</v>
      </c>
      <c r="F94" s="13">
        <v>3253.9</v>
      </c>
      <c r="G94" s="13">
        <v>10310.299999999999</v>
      </c>
      <c r="H94" s="13">
        <v>156.4</v>
      </c>
      <c r="I94" s="6">
        <f t="shared" si="8"/>
        <v>15.262195121951221</v>
      </c>
      <c r="J94" s="6">
        <v>17.149999999999999</v>
      </c>
      <c r="K94" s="6">
        <f t="shared" si="9"/>
        <v>21.767916084802948</v>
      </c>
      <c r="L94" s="7">
        <f t="shared" si="10"/>
        <v>1.2692662440118339</v>
      </c>
      <c r="M94" s="13">
        <v>33.6</v>
      </c>
      <c r="N94" s="13">
        <v>74.7</v>
      </c>
      <c r="O94" s="6">
        <v>0.67400000000000004</v>
      </c>
      <c r="P94" s="5" t="str">
        <f t="shared" si="11"/>
        <v>OPTIMAL (1.10-1.35)</v>
      </c>
    </row>
    <row r="95" spans="1:16" x14ac:dyDescent="0.3">
      <c r="A95" s="9" t="s">
        <v>116</v>
      </c>
      <c r="B95" s="29">
        <v>45323</v>
      </c>
      <c r="C95" s="9" t="s">
        <v>3</v>
      </c>
      <c r="D95" s="9" t="s">
        <v>21</v>
      </c>
      <c r="E95" s="14">
        <v>254.6</v>
      </c>
      <c r="F95" s="14">
        <v>3122.5</v>
      </c>
      <c r="G95" s="14">
        <v>8939.1</v>
      </c>
      <c r="H95" s="14">
        <v>142.19999999999999</v>
      </c>
      <c r="I95" s="10">
        <f t="shared" si="8"/>
        <v>12.2643362136685</v>
      </c>
      <c r="J95" s="10">
        <v>13.48</v>
      </c>
      <c r="K95" s="10">
        <f t="shared" si="9"/>
        <v>16.735734565985233</v>
      </c>
      <c r="L95" s="11">
        <f t="shared" si="10"/>
        <v>1.241523335755581</v>
      </c>
      <c r="M95" s="14">
        <v>34.700000000000003</v>
      </c>
      <c r="N95" s="14">
        <v>71.8</v>
      </c>
      <c r="O95" s="10">
        <v>0.432</v>
      </c>
      <c r="P95" s="9" t="str">
        <f t="shared" si="11"/>
        <v>OPTIMAL (1.10-1.35)</v>
      </c>
    </row>
    <row r="96" spans="1:16" x14ac:dyDescent="0.3">
      <c r="A96" s="5" t="s">
        <v>117</v>
      </c>
      <c r="B96" s="28">
        <v>45323</v>
      </c>
      <c r="C96" s="5" t="s">
        <v>4</v>
      </c>
      <c r="D96" s="5" t="s">
        <v>25</v>
      </c>
      <c r="E96" s="13">
        <v>222.8</v>
      </c>
      <c r="F96" s="13">
        <v>3154.7</v>
      </c>
      <c r="G96" s="13">
        <v>10637.7</v>
      </c>
      <c r="H96" s="13">
        <v>153.80000000000001</v>
      </c>
      <c r="I96" s="6">
        <f t="shared" si="8"/>
        <v>14.159335727109514</v>
      </c>
      <c r="J96" s="6">
        <v>16.079999999999998</v>
      </c>
      <c r="K96" s="6">
        <f t="shared" si="9"/>
        <v>19.95986334549557</v>
      </c>
      <c r="L96" s="7">
        <f t="shared" si="10"/>
        <v>1.2412850339238539</v>
      </c>
      <c r="M96" s="13">
        <v>33.4</v>
      </c>
      <c r="N96" s="13">
        <v>73</v>
      </c>
      <c r="O96" s="6">
        <v>0.61499999999999999</v>
      </c>
      <c r="P96" s="5" t="str">
        <f t="shared" si="11"/>
        <v>OPTIMAL (1.10-1.35)</v>
      </c>
    </row>
    <row r="97" spans="1:16" x14ac:dyDescent="0.3">
      <c r="A97" s="9" t="s">
        <v>118</v>
      </c>
      <c r="B97" s="29">
        <v>45323</v>
      </c>
      <c r="C97" s="9" t="s">
        <v>5</v>
      </c>
      <c r="D97" s="9" t="s">
        <v>21</v>
      </c>
      <c r="E97" s="14">
        <v>260.5</v>
      </c>
      <c r="F97" s="14">
        <v>3103.6</v>
      </c>
      <c r="G97" s="14">
        <v>9376.6</v>
      </c>
      <c r="H97" s="14">
        <v>147.6</v>
      </c>
      <c r="I97" s="10">
        <f t="shared" si="8"/>
        <v>11.91401151631478</v>
      </c>
      <c r="J97" s="10">
        <v>13.24</v>
      </c>
      <c r="K97" s="10">
        <f t="shared" si="9"/>
        <v>16.550979350594165</v>
      </c>
      <c r="L97" s="11">
        <f t="shared" si="10"/>
        <v>1.2500739690781091</v>
      </c>
      <c r="M97" s="14">
        <v>35</v>
      </c>
      <c r="N97" s="14">
        <v>70.599999999999994</v>
      </c>
      <c r="O97" s="10">
        <v>0.54</v>
      </c>
      <c r="P97" s="9" t="str">
        <f t="shared" si="11"/>
        <v>OPTIMAL (1.10-1.35)</v>
      </c>
    </row>
    <row r="98" spans="1:16" x14ac:dyDescent="0.3">
      <c r="A98" s="5" t="s">
        <v>119</v>
      </c>
      <c r="B98" s="28">
        <v>45324</v>
      </c>
      <c r="C98" s="5" t="s">
        <v>3</v>
      </c>
      <c r="D98" s="5" t="s">
        <v>37</v>
      </c>
      <c r="E98" s="13">
        <v>277.7</v>
      </c>
      <c r="F98" s="13">
        <v>2888.8</v>
      </c>
      <c r="G98" s="13">
        <v>8527</v>
      </c>
      <c r="H98" s="13">
        <v>137</v>
      </c>
      <c r="I98" s="6">
        <f t="shared" ref="I98:I129" si="12">F98/E98</f>
        <v>10.40259272596327</v>
      </c>
      <c r="J98" s="6">
        <v>10.81</v>
      </c>
      <c r="K98" s="6">
        <f t="shared" ref="K98:K129" si="13">I98/(10*(1/SQRT(H98)-1/SQRT(G98)))</f>
        <v>13.943292684274358</v>
      </c>
      <c r="L98" s="7">
        <f t="shared" ref="L98:L129" si="14">K98/J98</f>
        <v>1.2898513121437889</v>
      </c>
      <c r="M98" s="13">
        <v>36.6</v>
      </c>
      <c r="N98" s="13">
        <v>70.099999999999994</v>
      </c>
      <c r="O98" s="6">
        <v>0.38200000000000001</v>
      </c>
      <c r="P98" s="5" t="str">
        <f t="shared" ref="P98:P129" si="15">IF(L98&gt;1.4, "INEFFICIENT (Eta&gt;1.4)", IF(L98&lt;1.1, "OVERGRIND / LOW Wi", "OPTIMAL (1.10-1.35)"))</f>
        <v>OPTIMAL (1.10-1.35)</v>
      </c>
    </row>
    <row r="99" spans="1:16" x14ac:dyDescent="0.3">
      <c r="A99" s="9" t="s">
        <v>120</v>
      </c>
      <c r="B99" s="29">
        <v>45324</v>
      </c>
      <c r="C99" s="9" t="s">
        <v>4</v>
      </c>
      <c r="D99" s="9" t="s">
        <v>21</v>
      </c>
      <c r="E99" s="14">
        <v>253.8</v>
      </c>
      <c r="F99" s="14">
        <v>3064.6</v>
      </c>
      <c r="G99" s="14">
        <v>9286.2999999999993</v>
      </c>
      <c r="H99" s="14">
        <v>147.4</v>
      </c>
      <c r="I99" s="10">
        <f t="shared" si="12"/>
        <v>12.074862096138691</v>
      </c>
      <c r="J99" s="10">
        <v>14.17</v>
      </c>
      <c r="K99" s="10">
        <f t="shared" si="13"/>
        <v>16.773097329557327</v>
      </c>
      <c r="L99" s="11">
        <f t="shared" si="14"/>
        <v>1.1837048221282518</v>
      </c>
      <c r="M99" s="14">
        <v>34.1</v>
      </c>
      <c r="N99" s="14">
        <v>72.7</v>
      </c>
      <c r="O99" s="10">
        <v>0.46500000000000002</v>
      </c>
      <c r="P99" s="9" t="str">
        <f t="shared" si="15"/>
        <v>OPTIMAL (1.10-1.35)</v>
      </c>
    </row>
    <row r="100" spans="1:16" x14ac:dyDescent="0.3">
      <c r="A100" s="5" t="s">
        <v>121</v>
      </c>
      <c r="B100" s="28">
        <v>45324</v>
      </c>
      <c r="C100" s="5" t="s">
        <v>5</v>
      </c>
      <c r="D100" s="5" t="s">
        <v>21</v>
      </c>
      <c r="E100" s="13">
        <v>243.8</v>
      </c>
      <c r="F100" s="13">
        <v>3099.5</v>
      </c>
      <c r="G100" s="13">
        <v>9302.7999999999993</v>
      </c>
      <c r="H100" s="13">
        <v>138.30000000000001</v>
      </c>
      <c r="I100" s="6">
        <f t="shared" si="12"/>
        <v>12.713289581624281</v>
      </c>
      <c r="J100" s="6">
        <v>14.27</v>
      </c>
      <c r="K100" s="6">
        <f t="shared" si="13"/>
        <v>17.027034330904744</v>
      </c>
      <c r="L100" s="7">
        <f t="shared" si="14"/>
        <v>1.1932049285847754</v>
      </c>
      <c r="M100" s="13">
        <v>34.299999999999997</v>
      </c>
      <c r="N100" s="13">
        <v>72.5</v>
      </c>
      <c r="O100" s="6">
        <v>0.38500000000000001</v>
      </c>
      <c r="P100" s="5" t="str">
        <f t="shared" si="15"/>
        <v>OPTIMAL (1.10-1.35)</v>
      </c>
    </row>
    <row r="101" spans="1:16" x14ac:dyDescent="0.3">
      <c r="A101" s="9" t="s">
        <v>122</v>
      </c>
      <c r="B101" s="29">
        <v>45325</v>
      </c>
      <c r="C101" s="9" t="s">
        <v>3</v>
      </c>
      <c r="D101" s="9" t="s">
        <v>21</v>
      </c>
      <c r="E101" s="14">
        <v>252.5</v>
      </c>
      <c r="F101" s="14">
        <v>3069.7</v>
      </c>
      <c r="G101" s="14">
        <v>9636.7999999999993</v>
      </c>
      <c r="H101" s="14">
        <v>145.69999999999999</v>
      </c>
      <c r="I101" s="10">
        <f t="shared" si="12"/>
        <v>12.157227722772276</v>
      </c>
      <c r="J101" s="10">
        <v>14.53</v>
      </c>
      <c r="K101" s="10">
        <f t="shared" si="13"/>
        <v>16.731884431859449</v>
      </c>
      <c r="L101" s="11">
        <f t="shared" si="14"/>
        <v>1.1515405665422884</v>
      </c>
      <c r="M101" s="14">
        <v>34.299999999999997</v>
      </c>
      <c r="N101" s="14">
        <v>71.099999999999994</v>
      </c>
      <c r="O101" s="10">
        <v>0.41</v>
      </c>
      <c r="P101" s="9" t="str">
        <f t="shared" si="15"/>
        <v>OPTIMAL (1.10-1.35)</v>
      </c>
    </row>
    <row r="102" spans="1:16" x14ac:dyDescent="0.3">
      <c r="A102" s="5" t="s">
        <v>123</v>
      </c>
      <c r="B102" s="28">
        <v>45325</v>
      </c>
      <c r="C102" s="5" t="s">
        <v>4</v>
      </c>
      <c r="D102" s="5" t="s">
        <v>25</v>
      </c>
      <c r="E102" s="13">
        <v>216.4</v>
      </c>
      <c r="F102" s="13">
        <v>3221</v>
      </c>
      <c r="G102" s="13">
        <v>10044.9</v>
      </c>
      <c r="H102" s="13">
        <v>159.1</v>
      </c>
      <c r="I102" s="6">
        <f t="shared" si="12"/>
        <v>14.884473197781885</v>
      </c>
      <c r="J102" s="6">
        <v>17.28</v>
      </c>
      <c r="K102" s="6">
        <f t="shared" si="13"/>
        <v>21.477508561981629</v>
      </c>
      <c r="L102" s="7">
        <f t="shared" si="14"/>
        <v>1.2429113751146776</v>
      </c>
      <c r="M102" s="13">
        <v>33.6</v>
      </c>
      <c r="N102" s="13">
        <v>73.2</v>
      </c>
      <c r="O102" s="6">
        <v>0.65100000000000002</v>
      </c>
      <c r="P102" s="5" t="str">
        <f t="shared" si="15"/>
        <v>OPTIMAL (1.10-1.35)</v>
      </c>
    </row>
    <row r="103" spans="1:16" x14ac:dyDescent="0.3">
      <c r="A103" s="9" t="s">
        <v>124</v>
      </c>
      <c r="B103" s="29">
        <v>45325</v>
      </c>
      <c r="C103" s="9" t="s">
        <v>5</v>
      </c>
      <c r="D103" s="9" t="s">
        <v>21</v>
      </c>
      <c r="E103" s="14">
        <v>246</v>
      </c>
      <c r="F103" s="14">
        <v>3148.8</v>
      </c>
      <c r="G103" s="14">
        <v>9654.7000000000007</v>
      </c>
      <c r="H103" s="14">
        <v>152.9</v>
      </c>
      <c r="I103" s="10">
        <f t="shared" si="12"/>
        <v>12.8</v>
      </c>
      <c r="J103" s="10">
        <v>13.41</v>
      </c>
      <c r="K103" s="10">
        <f t="shared" si="13"/>
        <v>18.106104975198456</v>
      </c>
      <c r="L103" s="11">
        <f t="shared" si="14"/>
        <v>1.3501942561669242</v>
      </c>
      <c r="M103" s="14">
        <v>35.5</v>
      </c>
      <c r="N103" s="14">
        <v>71.099999999999994</v>
      </c>
      <c r="O103" s="10">
        <v>0.46700000000000003</v>
      </c>
      <c r="P103" s="9" t="str">
        <f t="shared" si="15"/>
        <v>OPTIMAL (1.10-1.35)</v>
      </c>
    </row>
    <row r="104" spans="1:16" x14ac:dyDescent="0.3">
      <c r="A104" s="5" t="s">
        <v>125</v>
      </c>
      <c r="B104" s="28">
        <v>45326</v>
      </c>
      <c r="C104" s="5" t="s">
        <v>3</v>
      </c>
      <c r="D104" s="5" t="s">
        <v>25</v>
      </c>
      <c r="E104" s="13">
        <v>213.6</v>
      </c>
      <c r="F104" s="13">
        <v>3184.9</v>
      </c>
      <c r="G104" s="13">
        <v>10417.5</v>
      </c>
      <c r="H104" s="13">
        <v>159.6</v>
      </c>
      <c r="I104" s="6">
        <f t="shared" si="12"/>
        <v>14.910580524344571</v>
      </c>
      <c r="J104" s="6">
        <v>17.2</v>
      </c>
      <c r="K104" s="6">
        <f t="shared" si="13"/>
        <v>21.497878481123713</v>
      </c>
      <c r="L104" s="7">
        <f t="shared" si="14"/>
        <v>1.2498766558792858</v>
      </c>
      <c r="M104" s="13">
        <v>35.299999999999997</v>
      </c>
      <c r="N104" s="13">
        <v>74.400000000000006</v>
      </c>
      <c r="O104" s="6">
        <v>0.63100000000000001</v>
      </c>
      <c r="P104" s="5" t="str">
        <f t="shared" si="15"/>
        <v>OPTIMAL (1.10-1.35)</v>
      </c>
    </row>
    <row r="105" spans="1:16" x14ac:dyDescent="0.3">
      <c r="A105" s="9" t="s">
        <v>126</v>
      </c>
      <c r="B105" s="29">
        <v>45326</v>
      </c>
      <c r="C105" s="9" t="s">
        <v>4</v>
      </c>
      <c r="D105" s="9" t="s">
        <v>21</v>
      </c>
      <c r="E105" s="14">
        <v>245.1</v>
      </c>
      <c r="F105" s="14">
        <v>3023.2</v>
      </c>
      <c r="G105" s="14">
        <v>8936</v>
      </c>
      <c r="H105" s="14">
        <v>151.6</v>
      </c>
      <c r="I105" s="10">
        <f t="shared" si="12"/>
        <v>12.334557323541411</v>
      </c>
      <c r="J105" s="10">
        <v>14.91</v>
      </c>
      <c r="K105" s="10">
        <f t="shared" si="13"/>
        <v>17.461388459987834</v>
      </c>
      <c r="L105" s="11">
        <f t="shared" si="14"/>
        <v>1.1711192796772525</v>
      </c>
      <c r="M105" s="14">
        <v>33.1</v>
      </c>
      <c r="N105" s="14">
        <v>71.7</v>
      </c>
      <c r="O105" s="10">
        <v>0.497</v>
      </c>
      <c r="P105" s="9" t="str">
        <f t="shared" si="15"/>
        <v>OPTIMAL (1.10-1.35)</v>
      </c>
    </row>
    <row r="106" spans="1:16" x14ac:dyDescent="0.3">
      <c r="A106" s="5" t="s">
        <v>127</v>
      </c>
      <c r="B106" s="28">
        <v>45326</v>
      </c>
      <c r="C106" s="5" t="s">
        <v>5</v>
      </c>
      <c r="D106" s="5" t="s">
        <v>37</v>
      </c>
      <c r="E106" s="13">
        <v>279.3</v>
      </c>
      <c r="F106" s="13">
        <v>3038.2</v>
      </c>
      <c r="G106" s="13">
        <v>8303.4</v>
      </c>
      <c r="H106" s="13">
        <v>140.69999999999999</v>
      </c>
      <c r="I106" s="6">
        <f t="shared" si="12"/>
        <v>10.877909058360185</v>
      </c>
      <c r="J106" s="6">
        <v>11.87</v>
      </c>
      <c r="K106" s="6">
        <f t="shared" si="13"/>
        <v>14.834035431049191</v>
      </c>
      <c r="L106" s="7">
        <f t="shared" si="14"/>
        <v>1.2497081239300079</v>
      </c>
      <c r="M106" s="13">
        <v>35.4</v>
      </c>
      <c r="N106" s="13">
        <v>70.900000000000006</v>
      </c>
      <c r="O106" s="6">
        <v>0.36799999999999999</v>
      </c>
      <c r="P106" s="5" t="str">
        <f t="shared" si="15"/>
        <v>OPTIMAL (1.10-1.35)</v>
      </c>
    </row>
    <row r="107" spans="1:16" x14ac:dyDescent="0.3">
      <c r="A107" s="9" t="s">
        <v>128</v>
      </c>
      <c r="B107" s="29">
        <v>45327</v>
      </c>
      <c r="C107" s="9" t="s">
        <v>3</v>
      </c>
      <c r="D107" s="9" t="s">
        <v>21</v>
      </c>
      <c r="E107" s="14">
        <v>253.6</v>
      </c>
      <c r="F107" s="14">
        <v>3159.2</v>
      </c>
      <c r="G107" s="14">
        <v>9146.6</v>
      </c>
      <c r="H107" s="14">
        <v>156.30000000000001</v>
      </c>
      <c r="I107" s="10">
        <f t="shared" si="12"/>
        <v>12.457413249211356</v>
      </c>
      <c r="J107" s="10">
        <v>14.36</v>
      </c>
      <c r="K107" s="10">
        <f t="shared" si="13"/>
        <v>17.916320246829077</v>
      </c>
      <c r="L107" s="11">
        <f t="shared" si="14"/>
        <v>1.247654613288933</v>
      </c>
      <c r="M107" s="14">
        <v>36.5</v>
      </c>
      <c r="N107" s="14">
        <v>72.599999999999994</v>
      </c>
      <c r="O107" s="10">
        <v>0.55100000000000005</v>
      </c>
      <c r="P107" s="9" t="str">
        <f t="shared" si="15"/>
        <v>OPTIMAL (1.10-1.35)</v>
      </c>
    </row>
    <row r="108" spans="1:16" x14ac:dyDescent="0.3">
      <c r="A108" s="5" t="s">
        <v>129</v>
      </c>
      <c r="B108" s="28">
        <v>45327</v>
      </c>
      <c r="C108" s="5" t="s">
        <v>4</v>
      </c>
      <c r="D108" s="5" t="s">
        <v>21</v>
      </c>
      <c r="E108" s="13">
        <v>243.9</v>
      </c>
      <c r="F108" s="13">
        <v>3136.4</v>
      </c>
      <c r="G108" s="13">
        <v>9188.7999999999993</v>
      </c>
      <c r="H108" s="13">
        <v>151.1</v>
      </c>
      <c r="I108" s="6">
        <f t="shared" si="12"/>
        <v>12.859368593685938</v>
      </c>
      <c r="J108" s="6">
        <v>14.37</v>
      </c>
      <c r="K108" s="6">
        <f t="shared" si="13"/>
        <v>18.132258321013818</v>
      </c>
      <c r="L108" s="7">
        <f t="shared" si="14"/>
        <v>1.2618133835082685</v>
      </c>
      <c r="M108" s="13">
        <v>33.700000000000003</v>
      </c>
      <c r="N108" s="13">
        <v>71.400000000000006</v>
      </c>
      <c r="O108" s="6">
        <v>0.50800000000000001</v>
      </c>
      <c r="P108" s="5" t="str">
        <f t="shared" si="15"/>
        <v>OPTIMAL (1.10-1.35)</v>
      </c>
    </row>
    <row r="109" spans="1:16" x14ac:dyDescent="0.3">
      <c r="A109" s="9" t="s">
        <v>130</v>
      </c>
      <c r="B109" s="29">
        <v>45327</v>
      </c>
      <c r="C109" s="9" t="s">
        <v>5</v>
      </c>
      <c r="D109" s="9" t="s">
        <v>21</v>
      </c>
      <c r="E109" s="14">
        <v>242.1</v>
      </c>
      <c r="F109" s="14">
        <v>3057.7</v>
      </c>
      <c r="G109" s="14">
        <v>9874.9</v>
      </c>
      <c r="H109" s="14">
        <v>151.9</v>
      </c>
      <c r="I109" s="10">
        <f t="shared" si="12"/>
        <v>12.629904997934737</v>
      </c>
      <c r="J109" s="10">
        <v>14.11</v>
      </c>
      <c r="K109" s="10">
        <f t="shared" si="13"/>
        <v>17.770012199266784</v>
      </c>
      <c r="L109" s="11">
        <f t="shared" si="14"/>
        <v>1.2593913677722739</v>
      </c>
      <c r="M109" s="14">
        <v>35</v>
      </c>
      <c r="N109" s="14">
        <v>71.7</v>
      </c>
      <c r="O109" s="10">
        <v>0.39900000000000002</v>
      </c>
      <c r="P109" s="9" t="str">
        <f t="shared" si="15"/>
        <v>OPTIMAL (1.10-1.35)</v>
      </c>
    </row>
    <row r="110" spans="1:16" x14ac:dyDescent="0.3">
      <c r="A110" s="5" t="s">
        <v>131</v>
      </c>
      <c r="B110" s="28">
        <v>45328</v>
      </c>
      <c r="C110" s="5" t="s">
        <v>3</v>
      </c>
      <c r="D110" s="5" t="s">
        <v>21</v>
      </c>
      <c r="E110" s="13">
        <v>247.4</v>
      </c>
      <c r="F110" s="13">
        <v>3103.8</v>
      </c>
      <c r="G110" s="13">
        <v>9418.2000000000007</v>
      </c>
      <c r="H110" s="13">
        <v>155.19999999999999</v>
      </c>
      <c r="I110" s="6">
        <f t="shared" si="12"/>
        <v>12.545675020210187</v>
      </c>
      <c r="J110" s="6">
        <v>13.93</v>
      </c>
      <c r="K110" s="6">
        <f t="shared" si="13"/>
        <v>17.931122658157228</v>
      </c>
      <c r="L110" s="7">
        <f t="shared" si="14"/>
        <v>1.2872306287262907</v>
      </c>
      <c r="M110" s="13">
        <v>32.799999999999997</v>
      </c>
      <c r="N110" s="13">
        <v>71.599999999999994</v>
      </c>
      <c r="O110" s="6">
        <v>0.44500000000000001</v>
      </c>
      <c r="P110" s="5" t="str">
        <f t="shared" si="15"/>
        <v>OPTIMAL (1.10-1.35)</v>
      </c>
    </row>
    <row r="111" spans="1:16" x14ac:dyDescent="0.3">
      <c r="A111" s="9" t="s">
        <v>132</v>
      </c>
      <c r="B111" s="29">
        <v>45328</v>
      </c>
      <c r="C111" s="9" t="s">
        <v>4</v>
      </c>
      <c r="D111" s="9" t="s">
        <v>25</v>
      </c>
      <c r="E111" s="14">
        <v>234.4</v>
      </c>
      <c r="F111" s="14">
        <v>3200.5</v>
      </c>
      <c r="G111" s="14">
        <v>11647.4</v>
      </c>
      <c r="H111" s="14">
        <v>146</v>
      </c>
      <c r="I111" s="10">
        <f t="shared" si="12"/>
        <v>13.654010238907849</v>
      </c>
      <c r="J111" s="10">
        <v>16.59</v>
      </c>
      <c r="K111" s="10">
        <f t="shared" si="13"/>
        <v>18.578215801068232</v>
      </c>
      <c r="L111" s="11">
        <f t="shared" si="14"/>
        <v>1.1198442315291279</v>
      </c>
      <c r="M111" s="14">
        <v>35.299999999999997</v>
      </c>
      <c r="N111" s="14">
        <v>73.3</v>
      </c>
      <c r="O111" s="10">
        <v>0.65900000000000003</v>
      </c>
      <c r="P111" s="9" t="str">
        <f t="shared" si="15"/>
        <v>OPTIMAL (1.10-1.35)</v>
      </c>
    </row>
    <row r="112" spans="1:16" x14ac:dyDescent="0.3">
      <c r="A112" s="5" t="s">
        <v>133</v>
      </c>
      <c r="B112" s="28">
        <v>45328</v>
      </c>
      <c r="C112" s="5" t="s">
        <v>5</v>
      </c>
      <c r="D112" s="5" t="s">
        <v>21</v>
      </c>
      <c r="E112" s="13">
        <v>258.3</v>
      </c>
      <c r="F112" s="13">
        <v>3195.1</v>
      </c>
      <c r="G112" s="13">
        <v>9573.4</v>
      </c>
      <c r="H112" s="13">
        <v>148.6</v>
      </c>
      <c r="I112" s="6">
        <f t="shared" si="12"/>
        <v>12.369725125822686</v>
      </c>
      <c r="J112" s="6">
        <v>13.6</v>
      </c>
      <c r="K112" s="6">
        <f t="shared" si="13"/>
        <v>17.224910369730686</v>
      </c>
      <c r="L112" s="7">
        <f t="shared" si="14"/>
        <v>1.2665375271860799</v>
      </c>
      <c r="M112" s="13">
        <v>35.200000000000003</v>
      </c>
      <c r="N112" s="13">
        <v>72.900000000000006</v>
      </c>
      <c r="O112" s="6">
        <v>0.52600000000000002</v>
      </c>
      <c r="P112" s="5" t="str">
        <f t="shared" si="15"/>
        <v>OPTIMAL (1.10-1.35)</v>
      </c>
    </row>
    <row r="113" spans="1:16" x14ac:dyDescent="0.3">
      <c r="A113" s="9" t="s">
        <v>134</v>
      </c>
      <c r="B113" s="29">
        <v>45329</v>
      </c>
      <c r="C113" s="9" t="s">
        <v>3</v>
      </c>
      <c r="D113" s="9" t="s">
        <v>37</v>
      </c>
      <c r="E113" s="14">
        <v>269.3</v>
      </c>
      <c r="F113" s="14">
        <v>3021.2</v>
      </c>
      <c r="G113" s="14">
        <v>8702.7000000000007</v>
      </c>
      <c r="H113" s="14">
        <v>137</v>
      </c>
      <c r="I113" s="10">
        <f t="shared" si="12"/>
        <v>11.218715187523207</v>
      </c>
      <c r="J113" s="10">
        <v>11.15</v>
      </c>
      <c r="K113" s="10">
        <f t="shared" si="13"/>
        <v>15.015083239012254</v>
      </c>
      <c r="L113" s="11">
        <f t="shared" si="14"/>
        <v>1.3466442366827134</v>
      </c>
      <c r="M113" s="14">
        <v>36</v>
      </c>
      <c r="N113" s="14">
        <v>69.900000000000006</v>
      </c>
      <c r="O113" s="10">
        <v>0.41499999999999998</v>
      </c>
      <c r="P113" s="9" t="str">
        <f t="shared" si="15"/>
        <v>OPTIMAL (1.10-1.35)</v>
      </c>
    </row>
    <row r="114" spans="1:16" x14ac:dyDescent="0.3">
      <c r="A114" s="5" t="s">
        <v>135</v>
      </c>
      <c r="B114" s="28">
        <v>45329</v>
      </c>
      <c r="C114" s="5" t="s">
        <v>4</v>
      </c>
      <c r="D114" s="5" t="s">
        <v>25</v>
      </c>
      <c r="E114" s="13">
        <v>232.1</v>
      </c>
      <c r="F114" s="13">
        <v>3169.6</v>
      </c>
      <c r="G114" s="13">
        <v>10614.9</v>
      </c>
      <c r="H114" s="13">
        <v>165.2</v>
      </c>
      <c r="I114" s="6">
        <f t="shared" si="12"/>
        <v>13.656182679879363</v>
      </c>
      <c r="J114" s="6">
        <v>15.51</v>
      </c>
      <c r="K114" s="6">
        <f t="shared" si="13"/>
        <v>20.054098705549482</v>
      </c>
      <c r="L114" s="7">
        <f t="shared" si="14"/>
        <v>1.2929786399451633</v>
      </c>
      <c r="M114" s="13">
        <v>33.200000000000003</v>
      </c>
      <c r="N114" s="13">
        <v>73.2</v>
      </c>
      <c r="O114" s="6">
        <v>0.63400000000000001</v>
      </c>
      <c r="P114" s="5" t="str">
        <f t="shared" si="15"/>
        <v>OPTIMAL (1.10-1.35)</v>
      </c>
    </row>
    <row r="115" spans="1:16" x14ac:dyDescent="0.3">
      <c r="A115" s="9" t="s">
        <v>136</v>
      </c>
      <c r="B115" s="29">
        <v>45329</v>
      </c>
      <c r="C115" s="9" t="s">
        <v>5</v>
      </c>
      <c r="D115" s="9" t="s">
        <v>21</v>
      </c>
      <c r="E115" s="14">
        <v>260.8</v>
      </c>
      <c r="F115" s="14">
        <v>3158.5</v>
      </c>
      <c r="G115" s="14">
        <v>9540.2999999999993</v>
      </c>
      <c r="H115" s="14">
        <v>148.4</v>
      </c>
      <c r="I115" s="10">
        <f t="shared" si="12"/>
        <v>12.110812883435582</v>
      </c>
      <c r="J115" s="10">
        <v>13.63</v>
      </c>
      <c r="K115" s="10">
        <f t="shared" si="13"/>
        <v>16.855561160079745</v>
      </c>
      <c r="L115" s="11">
        <f t="shared" si="14"/>
        <v>1.2366515891474501</v>
      </c>
      <c r="M115" s="14">
        <v>35.6</v>
      </c>
      <c r="N115" s="14">
        <v>71.3</v>
      </c>
      <c r="O115" s="10">
        <v>0.48099999999999998</v>
      </c>
      <c r="P115" s="9" t="str">
        <f t="shared" si="15"/>
        <v>OPTIMAL (1.10-1.35)</v>
      </c>
    </row>
    <row r="116" spans="1:16" x14ac:dyDescent="0.3">
      <c r="A116" s="5" t="s">
        <v>137</v>
      </c>
      <c r="B116" s="28">
        <v>45330</v>
      </c>
      <c r="C116" s="5" t="s">
        <v>3</v>
      </c>
      <c r="D116" s="5" t="s">
        <v>21</v>
      </c>
      <c r="E116" s="13">
        <v>237.3</v>
      </c>
      <c r="F116" s="13">
        <v>3030.6</v>
      </c>
      <c r="G116" s="13">
        <v>9321.5</v>
      </c>
      <c r="H116" s="13">
        <v>146.6</v>
      </c>
      <c r="I116" s="6">
        <f t="shared" si="12"/>
        <v>12.771175726927938</v>
      </c>
      <c r="J116" s="6">
        <v>14.57</v>
      </c>
      <c r="K116" s="6">
        <f t="shared" si="13"/>
        <v>17.680404599658193</v>
      </c>
      <c r="L116" s="7">
        <f t="shared" si="14"/>
        <v>1.2134800686107201</v>
      </c>
      <c r="M116" s="13">
        <v>34.4</v>
      </c>
      <c r="N116" s="13">
        <v>72</v>
      </c>
      <c r="O116" s="6">
        <v>0.49099999999999999</v>
      </c>
      <c r="P116" s="5" t="str">
        <f t="shared" si="15"/>
        <v>OPTIMAL (1.10-1.35)</v>
      </c>
    </row>
    <row r="117" spans="1:16" x14ac:dyDescent="0.3">
      <c r="A117" s="9" t="s">
        <v>138</v>
      </c>
      <c r="B117" s="29">
        <v>45330</v>
      </c>
      <c r="C117" s="9" t="s">
        <v>4</v>
      </c>
      <c r="D117" s="9" t="s">
        <v>21</v>
      </c>
      <c r="E117" s="14">
        <v>252.7</v>
      </c>
      <c r="F117" s="14">
        <v>3039.6</v>
      </c>
      <c r="G117" s="14">
        <v>9177.4</v>
      </c>
      <c r="H117" s="14">
        <v>156.4</v>
      </c>
      <c r="I117" s="10">
        <f t="shared" si="12"/>
        <v>12.028492283339929</v>
      </c>
      <c r="J117" s="10">
        <v>14.51</v>
      </c>
      <c r="K117" s="10">
        <f t="shared" si="13"/>
        <v>17.301438123757421</v>
      </c>
      <c r="L117" s="11">
        <f t="shared" si="14"/>
        <v>1.1923802979846603</v>
      </c>
      <c r="M117" s="14">
        <v>34.1</v>
      </c>
      <c r="N117" s="14">
        <v>71.099999999999994</v>
      </c>
      <c r="O117" s="10">
        <v>0.52500000000000002</v>
      </c>
      <c r="P117" s="9" t="str">
        <f t="shared" si="15"/>
        <v>OPTIMAL (1.10-1.35)</v>
      </c>
    </row>
    <row r="118" spans="1:16" x14ac:dyDescent="0.3">
      <c r="A118" s="5" t="s">
        <v>139</v>
      </c>
      <c r="B118" s="28">
        <v>45330</v>
      </c>
      <c r="C118" s="5" t="s">
        <v>5</v>
      </c>
      <c r="D118" s="5" t="s">
        <v>21</v>
      </c>
      <c r="E118" s="13">
        <v>252.6</v>
      </c>
      <c r="F118" s="13">
        <v>3186.6</v>
      </c>
      <c r="G118" s="13">
        <v>9710.9</v>
      </c>
      <c r="H118" s="13">
        <v>153.19999999999999</v>
      </c>
      <c r="I118" s="6">
        <f t="shared" si="12"/>
        <v>12.61520190023753</v>
      </c>
      <c r="J118" s="6">
        <v>13.63</v>
      </c>
      <c r="K118" s="6">
        <f t="shared" si="13"/>
        <v>17.857262224299699</v>
      </c>
      <c r="L118" s="7">
        <f t="shared" si="14"/>
        <v>1.3101439636316727</v>
      </c>
      <c r="M118" s="13">
        <v>35.799999999999997</v>
      </c>
      <c r="N118" s="13">
        <v>72</v>
      </c>
      <c r="O118" s="6">
        <v>0.52300000000000002</v>
      </c>
      <c r="P118" s="5" t="str">
        <f t="shared" si="15"/>
        <v>OPTIMAL (1.10-1.35)</v>
      </c>
    </row>
    <row r="119" spans="1:16" x14ac:dyDescent="0.3">
      <c r="A119" s="9" t="s">
        <v>140</v>
      </c>
      <c r="B119" s="29">
        <v>45331</v>
      </c>
      <c r="C119" s="9" t="s">
        <v>3</v>
      </c>
      <c r="D119" s="9" t="s">
        <v>25</v>
      </c>
      <c r="E119" s="14">
        <v>229.5</v>
      </c>
      <c r="F119" s="14">
        <v>3283.4</v>
      </c>
      <c r="G119" s="14">
        <v>10094.1</v>
      </c>
      <c r="H119" s="14">
        <v>153.80000000000001</v>
      </c>
      <c r="I119" s="10">
        <f t="shared" si="12"/>
        <v>14.306753812636167</v>
      </c>
      <c r="J119" s="10">
        <v>15.91</v>
      </c>
      <c r="K119" s="10">
        <f t="shared" si="13"/>
        <v>20.241187926547699</v>
      </c>
      <c r="L119" s="11">
        <f t="shared" si="14"/>
        <v>1.2722305422091578</v>
      </c>
      <c r="M119" s="14">
        <v>34.5</v>
      </c>
      <c r="N119" s="14">
        <v>73.5</v>
      </c>
      <c r="O119" s="10">
        <v>0.57099999999999995</v>
      </c>
      <c r="P119" s="9" t="str">
        <f t="shared" si="15"/>
        <v>OPTIMAL (1.10-1.35)</v>
      </c>
    </row>
    <row r="120" spans="1:16" x14ac:dyDescent="0.3">
      <c r="A120" s="5" t="s">
        <v>141</v>
      </c>
      <c r="B120" s="28">
        <v>45331</v>
      </c>
      <c r="C120" s="5" t="s">
        <v>4</v>
      </c>
      <c r="D120" s="5" t="s">
        <v>21</v>
      </c>
      <c r="E120" s="13">
        <v>250.7</v>
      </c>
      <c r="F120" s="13">
        <v>3159</v>
      </c>
      <c r="G120" s="13">
        <v>10183.5</v>
      </c>
      <c r="H120" s="13">
        <v>151.30000000000001</v>
      </c>
      <c r="I120" s="6">
        <f t="shared" si="12"/>
        <v>12.60071798962904</v>
      </c>
      <c r="J120" s="6">
        <v>13.66</v>
      </c>
      <c r="K120" s="6">
        <f t="shared" si="13"/>
        <v>17.650874579721162</v>
      </c>
      <c r="L120" s="7">
        <f t="shared" si="14"/>
        <v>1.2921577291157511</v>
      </c>
      <c r="M120" s="13">
        <v>33.700000000000003</v>
      </c>
      <c r="N120" s="13">
        <v>73.599999999999994</v>
      </c>
      <c r="O120" s="6">
        <v>0.47899999999999998</v>
      </c>
      <c r="P120" s="5" t="str">
        <f t="shared" si="15"/>
        <v>OPTIMAL (1.10-1.35)</v>
      </c>
    </row>
    <row r="121" spans="1:16" x14ac:dyDescent="0.3">
      <c r="A121" s="9" t="s">
        <v>142</v>
      </c>
      <c r="B121" s="29">
        <v>45331</v>
      </c>
      <c r="C121" s="9" t="s">
        <v>5</v>
      </c>
      <c r="D121" s="9" t="s">
        <v>21</v>
      </c>
      <c r="E121" s="14">
        <v>237.6</v>
      </c>
      <c r="F121" s="14">
        <v>3179.5</v>
      </c>
      <c r="G121" s="14">
        <v>9672.2000000000007</v>
      </c>
      <c r="H121" s="14">
        <v>155</v>
      </c>
      <c r="I121" s="10">
        <f t="shared" si="12"/>
        <v>13.381734006734007</v>
      </c>
      <c r="J121" s="10">
        <v>14.37</v>
      </c>
      <c r="K121" s="10">
        <f t="shared" si="13"/>
        <v>19.07482819668536</v>
      </c>
      <c r="L121" s="11">
        <f t="shared" si="14"/>
        <v>1.3274062767352373</v>
      </c>
      <c r="M121" s="14">
        <v>33.700000000000003</v>
      </c>
      <c r="N121" s="14">
        <v>70.900000000000006</v>
      </c>
      <c r="O121" s="10">
        <v>0.47399999999999998</v>
      </c>
      <c r="P121" s="9" t="str">
        <f t="shared" si="15"/>
        <v>OPTIMAL (1.10-1.35)</v>
      </c>
    </row>
    <row r="122" spans="1:16" x14ac:dyDescent="0.3">
      <c r="A122" s="5" t="s">
        <v>143</v>
      </c>
      <c r="B122" s="28">
        <v>45332</v>
      </c>
      <c r="C122" s="5" t="s">
        <v>3</v>
      </c>
      <c r="D122" s="5" t="s">
        <v>25</v>
      </c>
      <c r="E122" s="13">
        <v>233.1</v>
      </c>
      <c r="F122" s="13">
        <v>3185</v>
      </c>
      <c r="G122" s="13">
        <v>10437.799999999999</v>
      </c>
      <c r="H122" s="13">
        <v>160.6</v>
      </c>
      <c r="I122" s="6">
        <f t="shared" si="12"/>
        <v>13.663663663663664</v>
      </c>
      <c r="J122" s="6">
        <v>15.49</v>
      </c>
      <c r="K122" s="6">
        <f t="shared" si="13"/>
        <v>19.767720097927896</v>
      </c>
      <c r="L122" s="7">
        <f t="shared" si="14"/>
        <v>1.2761601096144541</v>
      </c>
      <c r="M122" s="13">
        <v>35.200000000000003</v>
      </c>
      <c r="N122" s="13">
        <v>74.599999999999994</v>
      </c>
      <c r="O122" s="6">
        <v>0.56100000000000005</v>
      </c>
      <c r="P122" s="5" t="str">
        <f t="shared" si="15"/>
        <v>OPTIMAL (1.10-1.35)</v>
      </c>
    </row>
    <row r="123" spans="1:16" x14ac:dyDescent="0.3">
      <c r="A123" s="9" t="s">
        <v>144</v>
      </c>
      <c r="B123" s="29">
        <v>45332</v>
      </c>
      <c r="C123" s="9" t="s">
        <v>4</v>
      </c>
      <c r="D123" s="9" t="s">
        <v>21</v>
      </c>
      <c r="E123" s="14">
        <v>262.7</v>
      </c>
      <c r="F123" s="14">
        <v>3133.9</v>
      </c>
      <c r="G123" s="14">
        <v>9458.9</v>
      </c>
      <c r="H123" s="14">
        <v>145.4</v>
      </c>
      <c r="I123" s="10">
        <f t="shared" si="12"/>
        <v>11.929577464788734</v>
      </c>
      <c r="J123" s="10">
        <v>13.89</v>
      </c>
      <c r="K123" s="10">
        <f t="shared" si="13"/>
        <v>16.420814485788359</v>
      </c>
      <c r="L123" s="11">
        <f t="shared" si="14"/>
        <v>1.1822040666514297</v>
      </c>
      <c r="M123" s="14">
        <v>34.700000000000003</v>
      </c>
      <c r="N123" s="14">
        <v>72.3</v>
      </c>
      <c r="O123" s="10">
        <v>0.48299999999999998</v>
      </c>
      <c r="P123" s="9" t="str">
        <f t="shared" si="15"/>
        <v>OPTIMAL (1.10-1.35)</v>
      </c>
    </row>
    <row r="124" spans="1:16" x14ac:dyDescent="0.3">
      <c r="A124" s="5" t="s">
        <v>145</v>
      </c>
      <c r="B124" s="28">
        <v>45332</v>
      </c>
      <c r="C124" s="5" t="s">
        <v>5</v>
      </c>
      <c r="D124" s="5" t="s">
        <v>21</v>
      </c>
      <c r="E124" s="13">
        <v>246</v>
      </c>
      <c r="F124" s="13">
        <v>3037.5</v>
      </c>
      <c r="G124" s="13">
        <v>9506.6</v>
      </c>
      <c r="H124" s="13">
        <v>137.69999999999999</v>
      </c>
      <c r="I124" s="6">
        <f t="shared" si="12"/>
        <v>12.347560975609756</v>
      </c>
      <c r="J124" s="6">
        <v>13.93</v>
      </c>
      <c r="K124" s="6">
        <f t="shared" si="13"/>
        <v>16.471736014142046</v>
      </c>
      <c r="L124" s="7">
        <f t="shared" si="14"/>
        <v>1.1824648969233342</v>
      </c>
      <c r="M124" s="13">
        <v>34.299999999999997</v>
      </c>
      <c r="N124" s="13">
        <v>71.3</v>
      </c>
      <c r="O124" s="6">
        <v>0.47</v>
      </c>
      <c r="P124" s="5" t="str">
        <f t="shared" si="15"/>
        <v>OPTIMAL (1.10-1.35)</v>
      </c>
    </row>
    <row r="125" spans="1:16" x14ac:dyDescent="0.3">
      <c r="A125" s="9" t="s">
        <v>146</v>
      </c>
      <c r="B125" s="29">
        <v>45333</v>
      </c>
      <c r="C125" s="9" t="s">
        <v>3</v>
      </c>
      <c r="D125" s="9" t="s">
        <v>37</v>
      </c>
      <c r="E125" s="14">
        <v>264.2</v>
      </c>
      <c r="F125" s="14">
        <v>2907.5</v>
      </c>
      <c r="G125" s="14">
        <v>8883.6</v>
      </c>
      <c r="H125" s="14">
        <v>135.9</v>
      </c>
      <c r="I125" s="10">
        <f t="shared" si="12"/>
        <v>11.004920514761544</v>
      </c>
      <c r="J125" s="10">
        <v>10.78</v>
      </c>
      <c r="K125" s="10">
        <f t="shared" si="13"/>
        <v>14.639833531251096</v>
      </c>
      <c r="L125" s="11">
        <f t="shared" si="14"/>
        <v>1.3580550585576157</v>
      </c>
      <c r="M125" s="14">
        <v>36.1</v>
      </c>
      <c r="N125" s="14">
        <v>70.8</v>
      </c>
      <c r="O125" s="10">
        <v>0.38400000000000001</v>
      </c>
      <c r="P125" s="9" t="str">
        <f t="shared" si="15"/>
        <v>OPTIMAL (1.10-1.35)</v>
      </c>
    </row>
    <row r="126" spans="1:16" x14ac:dyDescent="0.3">
      <c r="A126" s="5" t="s">
        <v>147</v>
      </c>
      <c r="B126" s="28">
        <v>45333</v>
      </c>
      <c r="C126" s="5" t="s">
        <v>4</v>
      </c>
      <c r="D126" s="5" t="s">
        <v>21</v>
      </c>
      <c r="E126" s="13">
        <v>245.7</v>
      </c>
      <c r="F126" s="13">
        <v>3010.2</v>
      </c>
      <c r="G126" s="13">
        <v>9947.1</v>
      </c>
      <c r="H126" s="13">
        <v>143.80000000000001</v>
      </c>
      <c r="I126" s="6">
        <f t="shared" si="12"/>
        <v>12.251526251526251</v>
      </c>
      <c r="J126" s="6">
        <v>14.98</v>
      </c>
      <c r="K126" s="6">
        <f t="shared" si="13"/>
        <v>16.699481912979536</v>
      </c>
      <c r="L126" s="7">
        <f t="shared" si="14"/>
        <v>1.1147851744312107</v>
      </c>
      <c r="M126" s="13">
        <v>34.6</v>
      </c>
      <c r="N126" s="13">
        <v>71.099999999999994</v>
      </c>
      <c r="O126" s="6">
        <v>0.46600000000000003</v>
      </c>
      <c r="P126" s="5" t="str">
        <f t="shared" si="15"/>
        <v>OPTIMAL (1.10-1.35)</v>
      </c>
    </row>
    <row r="127" spans="1:16" x14ac:dyDescent="0.3">
      <c r="A127" s="9" t="s">
        <v>148</v>
      </c>
      <c r="B127" s="29">
        <v>45333</v>
      </c>
      <c r="C127" s="9" t="s">
        <v>5</v>
      </c>
      <c r="D127" s="9" t="s">
        <v>25</v>
      </c>
      <c r="E127" s="14">
        <v>236.9</v>
      </c>
      <c r="F127" s="14">
        <v>3208.5</v>
      </c>
      <c r="G127" s="14">
        <v>10910.8</v>
      </c>
      <c r="H127" s="14">
        <v>162.6</v>
      </c>
      <c r="I127" s="10">
        <f t="shared" si="12"/>
        <v>13.543689320388349</v>
      </c>
      <c r="J127" s="10">
        <v>17.579999999999998</v>
      </c>
      <c r="K127" s="10">
        <f t="shared" si="13"/>
        <v>19.671639904436027</v>
      </c>
      <c r="L127" s="11">
        <f t="shared" si="14"/>
        <v>1.1189783790919243</v>
      </c>
      <c r="M127" s="14">
        <v>33.299999999999997</v>
      </c>
      <c r="N127" s="14">
        <v>72.8</v>
      </c>
      <c r="O127" s="10">
        <v>0.624</v>
      </c>
      <c r="P127" s="9" t="str">
        <f t="shared" si="15"/>
        <v>OPTIMAL (1.10-1.35)</v>
      </c>
    </row>
    <row r="128" spans="1:16" x14ac:dyDescent="0.3">
      <c r="A128" s="5" t="s">
        <v>149</v>
      </c>
      <c r="B128" s="28">
        <v>45334</v>
      </c>
      <c r="C128" s="5" t="s">
        <v>3</v>
      </c>
      <c r="D128" s="5" t="s">
        <v>21</v>
      </c>
      <c r="E128" s="13">
        <v>256.39999999999998</v>
      </c>
      <c r="F128" s="13">
        <v>3061.5</v>
      </c>
      <c r="G128" s="13">
        <v>9367.9</v>
      </c>
      <c r="H128" s="13">
        <v>146.9</v>
      </c>
      <c r="I128" s="6">
        <f t="shared" si="12"/>
        <v>11.940327613104525</v>
      </c>
      <c r="J128" s="6">
        <v>13.92</v>
      </c>
      <c r="K128" s="6">
        <f t="shared" si="13"/>
        <v>16.543621933445767</v>
      </c>
      <c r="L128" s="7">
        <f t="shared" si="14"/>
        <v>1.1884785871728281</v>
      </c>
      <c r="M128" s="13">
        <v>33.9</v>
      </c>
      <c r="N128" s="13">
        <v>71.400000000000006</v>
      </c>
      <c r="O128" s="6">
        <v>0.48699999999999999</v>
      </c>
      <c r="P128" s="5" t="str">
        <f t="shared" si="15"/>
        <v>OPTIMAL (1.10-1.35)</v>
      </c>
    </row>
    <row r="129" spans="1:16" x14ac:dyDescent="0.3">
      <c r="A129" s="9" t="s">
        <v>150</v>
      </c>
      <c r="B129" s="29">
        <v>45334</v>
      </c>
      <c r="C129" s="9" t="s">
        <v>4</v>
      </c>
      <c r="D129" s="9" t="s">
        <v>37</v>
      </c>
      <c r="E129" s="14">
        <v>286.89999999999998</v>
      </c>
      <c r="F129" s="14">
        <v>3086.3</v>
      </c>
      <c r="G129" s="14">
        <v>8058.5</v>
      </c>
      <c r="H129" s="14">
        <v>140</v>
      </c>
      <c r="I129" s="10">
        <f t="shared" si="12"/>
        <v>10.757406761937959</v>
      </c>
      <c r="J129" s="10">
        <v>11.7</v>
      </c>
      <c r="K129" s="10">
        <f t="shared" si="13"/>
        <v>14.660712974677514</v>
      </c>
      <c r="L129" s="11">
        <f t="shared" si="14"/>
        <v>1.2530523909980782</v>
      </c>
      <c r="M129" s="14">
        <v>36.5</v>
      </c>
      <c r="N129" s="14">
        <v>70.599999999999994</v>
      </c>
      <c r="O129" s="10">
        <v>0.377</v>
      </c>
      <c r="P129" s="9" t="str">
        <f t="shared" si="15"/>
        <v>OPTIMAL (1.10-1.35)</v>
      </c>
    </row>
    <row r="130" spans="1:16" x14ac:dyDescent="0.3">
      <c r="A130" s="5" t="s">
        <v>151</v>
      </c>
      <c r="B130" s="28">
        <v>45334</v>
      </c>
      <c r="C130" s="5" t="s">
        <v>5</v>
      </c>
      <c r="D130" s="5" t="s">
        <v>21</v>
      </c>
      <c r="E130" s="13">
        <v>243.5</v>
      </c>
      <c r="F130" s="13">
        <v>3094.9</v>
      </c>
      <c r="G130" s="13">
        <v>9352.2000000000007</v>
      </c>
      <c r="H130" s="13">
        <v>161.19999999999999</v>
      </c>
      <c r="I130" s="6">
        <f t="shared" ref="I130:I161" si="16">F130/E130</f>
        <v>12.71006160164271</v>
      </c>
      <c r="J130" s="6">
        <v>14.22</v>
      </c>
      <c r="K130" s="6">
        <f t="shared" ref="K130:K161" si="17">I130/(10*(1/SQRT(H130)-1/SQRT(G130)))</f>
        <v>18.576095843775533</v>
      </c>
      <c r="L130" s="7">
        <f t="shared" ref="L130:L161" si="18">K130/J130</f>
        <v>1.3063358539926535</v>
      </c>
      <c r="M130" s="13">
        <v>35.5</v>
      </c>
      <c r="N130" s="13">
        <v>72.099999999999994</v>
      </c>
      <c r="O130" s="6">
        <v>0.499</v>
      </c>
      <c r="P130" s="5" t="str">
        <f t="shared" ref="P130:P161" si="19">IF(L130&gt;1.4, "INEFFICIENT (Eta&gt;1.4)", IF(L130&lt;1.1, "OVERGRIND / LOW Wi", "OPTIMAL (1.10-1.35)"))</f>
        <v>OPTIMAL (1.10-1.35)</v>
      </c>
    </row>
    <row r="131" spans="1:16" x14ac:dyDescent="0.3">
      <c r="A131" s="9" t="s">
        <v>152</v>
      </c>
      <c r="B131" s="29">
        <v>45335</v>
      </c>
      <c r="C131" s="9" t="s">
        <v>3</v>
      </c>
      <c r="D131" s="9" t="s">
        <v>21</v>
      </c>
      <c r="E131" s="14">
        <v>246.8</v>
      </c>
      <c r="F131" s="14">
        <v>3199.6</v>
      </c>
      <c r="G131" s="14">
        <v>9250.4</v>
      </c>
      <c r="H131" s="14">
        <v>145.19999999999999</v>
      </c>
      <c r="I131" s="10">
        <f t="shared" si="16"/>
        <v>12.964343598055104</v>
      </c>
      <c r="J131" s="10">
        <v>13.73</v>
      </c>
      <c r="K131" s="10">
        <f t="shared" si="17"/>
        <v>17.859439963237751</v>
      </c>
      <c r="L131" s="11">
        <f t="shared" si="18"/>
        <v>1.3007603760551893</v>
      </c>
      <c r="M131" s="14">
        <v>34.9</v>
      </c>
      <c r="N131" s="14">
        <v>72.7</v>
      </c>
      <c r="O131" s="10">
        <v>0.48799999999999999</v>
      </c>
      <c r="P131" s="9" t="str">
        <f t="shared" si="19"/>
        <v>OPTIMAL (1.10-1.35)</v>
      </c>
    </row>
    <row r="132" spans="1:16" x14ac:dyDescent="0.3">
      <c r="A132" s="5" t="s">
        <v>153</v>
      </c>
      <c r="B132" s="28">
        <v>45335</v>
      </c>
      <c r="C132" s="5" t="s">
        <v>4</v>
      </c>
      <c r="D132" s="5" t="s">
        <v>21</v>
      </c>
      <c r="E132" s="13">
        <v>238.4</v>
      </c>
      <c r="F132" s="13">
        <v>3116.3</v>
      </c>
      <c r="G132" s="13">
        <v>9862.5</v>
      </c>
      <c r="H132" s="13">
        <v>153.69999999999999</v>
      </c>
      <c r="I132" s="6">
        <f t="shared" si="16"/>
        <v>13.071728187919463</v>
      </c>
      <c r="J132" s="6">
        <v>13.88</v>
      </c>
      <c r="K132" s="6">
        <f t="shared" si="17"/>
        <v>18.517442663303648</v>
      </c>
      <c r="L132" s="7">
        <f t="shared" si="18"/>
        <v>1.3341097019671215</v>
      </c>
      <c r="M132" s="13">
        <v>34.4</v>
      </c>
      <c r="N132" s="13">
        <v>73</v>
      </c>
      <c r="O132" s="6">
        <v>0.48899999999999999</v>
      </c>
      <c r="P132" s="5" t="str">
        <f t="shared" si="19"/>
        <v>OPTIMAL (1.10-1.35)</v>
      </c>
    </row>
    <row r="133" spans="1:16" x14ac:dyDescent="0.3">
      <c r="A133" s="9" t="s">
        <v>154</v>
      </c>
      <c r="B133" s="29">
        <v>45335</v>
      </c>
      <c r="C133" s="9" t="s">
        <v>5</v>
      </c>
      <c r="D133" s="9" t="s">
        <v>21</v>
      </c>
      <c r="E133" s="14">
        <v>260.8</v>
      </c>
      <c r="F133" s="14">
        <v>3126.1</v>
      </c>
      <c r="G133" s="14">
        <v>9470.6</v>
      </c>
      <c r="H133" s="14">
        <v>159.4</v>
      </c>
      <c r="I133" s="10">
        <f t="shared" si="16"/>
        <v>11.986579754601227</v>
      </c>
      <c r="J133" s="10">
        <v>14.19</v>
      </c>
      <c r="K133" s="10">
        <f t="shared" si="17"/>
        <v>17.389522635863397</v>
      </c>
      <c r="L133" s="11">
        <f t="shared" si="18"/>
        <v>1.2254772823018603</v>
      </c>
      <c r="M133" s="14">
        <v>35.9</v>
      </c>
      <c r="N133" s="14">
        <v>72.5</v>
      </c>
      <c r="O133" s="10">
        <v>0.42899999999999999</v>
      </c>
      <c r="P133" s="9" t="str">
        <f t="shared" si="19"/>
        <v>OPTIMAL (1.10-1.35)</v>
      </c>
    </row>
    <row r="134" spans="1:16" x14ac:dyDescent="0.3">
      <c r="A134" s="5" t="s">
        <v>155</v>
      </c>
      <c r="B134" s="28">
        <v>45336</v>
      </c>
      <c r="C134" s="5" t="s">
        <v>3</v>
      </c>
      <c r="D134" s="5" t="s">
        <v>21</v>
      </c>
      <c r="E134" s="13">
        <v>254.4</v>
      </c>
      <c r="F134" s="13">
        <v>3022.8</v>
      </c>
      <c r="G134" s="13">
        <v>9539.7000000000007</v>
      </c>
      <c r="H134" s="13">
        <v>145</v>
      </c>
      <c r="I134" s="6">
        <f t="shared" si="16"/>
        <v>11.882075471698114</v>
      </c>
      <c r="J134" s="6">
        <v>14.56</v>
      </c>
      <c r="K134" s="6">
        <f t="shared" si="17"/>
        <v>16.31994801289899</v>
      </c>
      <c r="L134" s="7">
        <f t="shared" si="18"/>
        <v>1.1208755503364691</v>
      </c>
      <c r="M134" s="13">
        <v>35.200000000000003</v>
      </c>
      <c r="N134" s="13">
        <v>71</v>
      </c>
      <c r="O134" s="6">
        <v>0.47199999999999998</v>
      </c>
      <c r="P134" s="5" t="str">
        <f t="shared" si="19"/>
        <v>OPTIMAL (1.10-1.35)</v>
      </c>
    </row>
    <row r="135" spans="1:16" x14ac:dyDescent="0.3">
      <c r="A135" s="9" t="s">
        <v>156</v>
      </c>
      <c r="B135" s="29">
        <v>45336</v>
      </c>
      <c r="C135" s="9" t="s">
        <v>4</v>
      </c>
      <c r="D135" s="9" t="s">
        <v>21</v>
      </c>
      <c r="E135" s="14">
        <v>240</v>
      </c>
      <c r="F135" s="14">
        <v>3093.6</v>
      </c>
      <c r="G135" s="14">
        <v>9331.7999999999993</v>
      </c>
      <c r="H135" s="14">
        <v>133.4</v>
      </c>
      <c r="I135" s="10">
        <f t="shared" si="16"/>
        <v>12.889999999999999</v>
      </c>
      <c r="J135" s="10">
        <v>13.81</v>
      </c>
      <c r="K135" s="10">
        <f t="shared" si="17"/>
        <v>16.909560876015725</v>
      </c>
      <c r="L135" s="11">
        <f t="shared" si="18"/>
        <v>1.2244432205659468</v>
      </c>
      <c r="M135" s="14">
        <v>37.1</v>
      </c>
      <c r="N135" s="14">
        <v>72.900000000000006</v>
      </c>
      <c r="O135" s="10">
        <v>0.46500000000000002</v>
      </c>
      <c r="P135" s="9" t="str">
        <f t="shared" si="19"/>
        <v>OPTIMAL (1.10-1.35)</v>
      </c>
    </row>
    <row r="136" spans="1:16" x14ac:dyDescent="0.3">
      <c r="A136" s="5" t="s">
        <v>157</v>
      </c>
      <c r="B136" s="28">
        <v>45336</v>
      </c>
      <c r="C136" s="5" t="s">
        <v>5</v>
      </c>
      <c r="D136" s="5" t="s">
        <v>21</v>
      </c>
      <c r="E136" s="13">
        <v>250.1</v>
      </c>
      <c r="F136" s="13">
        <v>3106.3</v>
      </c>
      <c r="G136" s="13">
        <v>9279.6</v>
      </c>
      <c r="H136" s="13">
        <v>153.1</v>
      </c>
      <c r="I136" s="6">
        <f t="shared" si="16"/>
        <v>12.420231907237106</v>
      </c>
      <c r="J136" s="6">
        <v>13.71</v>
      </c>
      <c r="K136" s="6">
        <f t="shared" si="17"/>
        <v>17.632884024503024</v>
      </c>
      <c r="L136" s="7">
        <f t="shared" si="18"/>
        <v>1.2861330433627296</v>
      </c>
      <c r="M136" s="13">
        <v>35.200000000000003</v>
      </c>
      <c r="N136" s="13">
        <v>72.400000000000006</v>
      </c>
      <c r="O136" s="6">
        <v>0.48299999999999998</v>
      </c>
      <c r="P136" s="5" t="str">
        <f t="shared" si="19"/>
        <v>OPTIMAL (1.10-1.35)</v>
      </c>
    </row>
    <row r="137" spans="1:16" x14ac:dyDescent="0.3">
      <c r="A137" s="9" t="s">
        <v>158</v>
      </c>
      <c r="B137" s="29">
        <v>45337</v>
      </c>
      <c r="C137" s="9" t="s">
        <v>3</v>
      </c>
      <c r="D137" s="9" t="s">
        <v>21</v>
      </c>
      <c r="E137" s="14">
        <v>239.3</v>
      </c>
      <c r="F137" s="14">
        <v>3079.4</v>
      </c>
      <c r="G137" s="14">
        <v>9539.6</v>
      </c>
      <c r="H137" s="14">
        <v>145.69999999999999</v>
      </c>
      <c r="I137" s="10">
        <f t="shared" si="16"/>
        <v>12.868366067697451</v>
      </c>
      <c r="J137" s="10">
        <v>14.07</v>
      </c>
      <c r="K137" s="10">
        <f t="shared" si="17"/>
        <v>17.723244551126456</v>
      </c>
      <c r="L137" s="11">
        <f t="shared" si="18"/>
        <v>1.2596478003643536</v>
      </c>
      <c r="M137" s="14">
        <v>34.799999999999997</v>
      </c>
      <c r="N137" s="14">
        <v>71.900000000000006</v>
      </c>
      <c r="O137" s="10">
        <v>0.47699999999999998</v>
      </c>
      <c r="P137" s="9" t="str">
        <f t="shared" si="19"/>
        <v>OPTIMAL (1.10-1.35)</v>
      </c>
    </row>
    <row r="138" spans="1:16" x14ac:dyDescent="0.3">
      <c r="A138" s="5" t="s">
        <v>159</v>
      </c>
      <c r="B138" s="28">
        <v>45337</v>
      </c>
      <c r="C138" s="5" t="s">
        <v>4</v>
      </c>
      <c r="D138" s="5" t="s">
        <v>21</v>
      </c>
      <c r="E138" s="13">
        <v>251</v>
      </c>
      <c r="F138" s="13">
        <v>3116</v>
      </c>
      <c r="G138" s="13">
        <v>9539.2999999999993</v>
      </c>
      <c r="H138" s="13">
        <v>146.30000000000001</v>
      </c>
      <c r="I138" s="6">
        <f t="shared" si="16"/>
        <v>12.414342629482071</v>
      </c>
      <c r="J138" s="6">
        <v>13.34</v>
      </c>
      <c r="K138" s="6">
        <f t="shared" si="17"/>
        <v>17.138108489433758</v>
      </c>
      <c r="L138" s="7">
        <f t="shared" si="18"/>
        <v>1.2847157788181229</v>
      </c>
      <c r="M138" s="13">
        <v>34</v>
      </c>
      <c r="N138" s="13">
        <v>71.400000000000006</v>
      </c>
      <c r="O138" s="6">
        <v>0.48399999999999999</v>
      </c>
      <c r="P138" s="5" t="str">
        <f t="shared" si="19"/>
        <v>OPTIMAL (1.10-1.35)</v>
      </c>
    </row>
    <row r="139" spans="1:16" x14ac:dyDescent="0.3">
      <c r="A139" s="9" t="s">
        <v>160</v>
      </c>
      <c r="B139" s="29">
        <v>45337</v>
      </c>
      <c r="C139" s="9" t="s">
        <v>5</v>
      </c>
      <c r="D139" s="9" t="s">
        <v>21</v>
      </c>
      <c r="E139" s="14">
        <v>261.10000000000002</v>
      </c>
      <c r="F139" s="14">
        <v>3084.9</v>
      </c>
      <c r="G139" s="14">
        <v>8719.1</v>
      </c>
      <c r="H139" s="14">
        <v>146.19999999999999</v>
      </c>
      <c r="I139" s="10">
        <f t="shared" si="16"/>
        <v>11.815013404825736</v>
      </c>
      <c r="J139" s="10">
        <v>14.46</v>
      </c>
      <c r="K139" s="10">
        <f t="shared" si="17"/>
        <v>16.410974945719808</v>
      </c>
      <c r="L139" s="11">
        <f t="shared" si="18"/>
        <v>1.1349221954163076</v>
      </c>
      <c r="M139" s="14">
        <v>34.9</v>
      </c>
      <c r="N139" s="14">
        <v>71.2</v>
      </c>
      <c r="O139" s="10">
        <v>0.45900000000000002</v>
      </c>
      <c r="P139" s="9" t="str">
        <f t="shared" si="19"/>
        <v>OPTIMAL (1.10-1.35)</v>
      </c>
    </row>
    <row r="140" spans="1:16" x14ac:dyDescent="0.3">
      <c r="A140" s="5" t="s">
        <v>161</v>
      </c>
      <c r="B140" s="28">
        <v>45338</v>
      </c>
      <c r="C140" s="5" t="s">
        <v>3</v>
      </c>
      <c r="D140" s="5" t="s">
        <v>21</v>
      </c>
      <c r="E140" s="13">
        <v>254.1</v>
      </c>
      <c r="F140" s="13">
        <v>3054.2</v>
      </c>
      <c r="G140" s="13">
        <v>9840.2999999999993</v>
      </c>
      <c r="H140" s="13">
        <v>141</v>
      </c>
      <c r="I140" s="6">
        <f t="shared" si="16"/>
        <v>12.019677292404564</v>
      </c>
      <c r="J140" s="6">
        <v>14.04</v>
      </c>
      <c r="K140" s="6">
        <f t="shared" si="17"/>
        <v>16.21336613407734</v>
      </c>
      <c r="L140" s="7">
        <f t="shared" si="18"/>
        <v>1.1547981576978164</v>
      </c>
      <c r="M140" s="13">
        <v>34.4</v>
      </c>
      <c r="N140" s="13">
        <v>72.5</v>
      </c>
      <c r="O140" s="6">
        <v>0.52200000000000002</v>
      </c>
      <c r="P140" s="5" t="str">
        <f t="shared" si="19"/>
        <v>OPTIMAL (1.10-1.35)</v>
      </c>
    </row>
    <row r="141" spans="1:16" x14ac:dyDescent="0.3">
      <c r="A141" s="9" t="s">
        <v>162</v>
      </c>
      <c r="B141" s="29">
        <v>45338</v>
      </c>
      <c r="C141" s="9" t="s">
        <v>4</v>
      </c>
      <c r="D141" s="9" t="s">
        <v>21</v>
      </c>
      <c r="E141" s="14">
        <v>249.6</v>
      </c>
      <c r="F141" s="14">
        <v>3090.8</v>
      </c>
      <c r="G141" s="14">
        <v>9393</v>
      </c>
      <c r="H141" s="14">
        <v>153.9</v>
      </c>
      <c r="I141" s="10">
        <f t="shared" si="16"/>
        <v>12.383012820512821</v>
      </c>
      <c r="J141" s="10">
        <v>14.33</v>
      </c>
      <c r="K141" s="10">
        <f t="shared" si="17"/>
        <v>17.616928891541566</v>
      </c>
      <c r="L141" s="11">
        <f t="shared" si="18"/>
        <v>1.2293739631222307</v>
      </c>
      <c r="M141" s="14">
        <v>34.4</v>
      </c>
      <c r="N141" s="14">
        <v>72</v>
      </c>
      <c r="O141" s="10">
        <v>0.48199999999999998</v>
      </c>
      <c r="P141" s="9" t="str">
        <f t="shared" si="19"/>
        <v>OPTIMAL (1.10-1.35)</v>
      </c>
    </row>
    <row r="142" spans="1:16" x14ac:dyDescent="0.3">
      <c r="A142" s="5" t="s">
        <v>163</v>
      </c>
      <c r="B142" s="28">
        <v>45338</v>
      </c>
      <c r="C142" s="5" t="s">
        <v>5</v>
      </c>
      <c r="D142" s="5" t="s">
        <v>21</v>
      </c>
      <c r="E142" s="13">
        <v>236.4</v>
      </c>
      <c r="F142" s="13">
        <v>3070.1</v>
      </c>
      <c r="G142" s="13">
        <v>9823.4</v>
      </c>
      <c r="H142" s="13">
        <v>145.19999999999999</v>
      </c>
      <c r="I142" s="6">
        <f t="shared" si="16"/>
        <v>12.986886632825719</v>
      </c>
      <c r="J142" s="6">
        <v>13.39</v>
      </c>
      <c r="K142" s="6">
        <f t="shared" si="17"/>
        <v>17.814957619719898</v>
      </c>
      <c r="L142" s="7">
        <f t="shared" si="18"/>
        <v>1.3304673353039504</v>
      </c>
      <c r="M142" s="13">
        <v>36.6</v>
      </c>
      <c r="N142" s="13">
        <v>73</v>
      </c>
      <c r="O142" s="6">
        <v>0.49099999999999999</v>
      </c>
      <c r="P142" s="5" t="str">
        <f t="shared" si="19"/>
        <v>OPTIMAL (1.10-1.35)</v>
      </c>
    </row>
    <row r="143" spans="1:16" x14ac:dyDescent="0.3">
      <c r="A143" s="9" t="s">
        <v>164</v>
      </c>
      <c r="B143" s="29">
        <v>45339</v>
      </c>
      <c r="C143" s="9" t="s">
        <v>3</v>
      </c>
      <c r="D143" s="9" t="s">
        <v>25</v>
      </c>
      <c r="E143" s="14">
        <v>229.2</v>
      </c>
      <c r="F143" s="14">
        <v>3251.2</v>
      </c>
      <c r="G143" s="14">
        <v>9613.2999999999993</v>
      </c>
      <c r="H143" s="14">
        <v>159</v>
      </c>
      <c r="I143" s="10">
        <f t="shared" si="16"/>
        <v>14.184991273996509</v>
      </c>
      <c r="J143" s="10">
        <v>16.100000000000001</v>
      </c>
      <c r="K143" s="10">
        <f t="shared" si="17"/>
        <v>20.526420891607444</v>
      </c>
      <c r="L143" s="11">
        <f t="shared" si="18"/>
        <v>1.2749329746340026</v>
      </c>
      <c r="M143" s="14">
        <v>31</v>
      </c>
      <c r="N143" s="14">
        <v>72.599999999999994</v>
      </c>
      <c r="O143" s="10">
        <v>0.70099999999999996</v>
      </c>
      <c r="P143" s="9" t="str">
        <f t="shared" si="19"/>
        <v>OPTIMAL (1.10-1.35)</v>
      </c>
    </row>
    <row r="144" spans="1:16" x14ac:dyDescent="0.3">
      <c r="A144" s="5" t="s">
        <v>165</v>
      </c>
      <c r="B144" s="28">
        <v>45339</v>
      </c>
      <c r="C144" s="5" t="s">
        <v>4</v>
      </c>
      <c r="D144" s="5" t="s">
        <v>21</v>
      </c>
      <c r="E144" s="13">
        <v>240.7</v>
      </c>
      <c r="F144" s="13">
        <v>2968.6</v>
      </c>
      <c r="G144" s="13">
        <v>9343.6</v>
      </c>
      <c r="H144" s="13">
        <v>153.69999999999999</v>
      </c>
      <c r="I144" s="6">
        <f t="shared" si="16"/>
        <v>12.333194848358954</v>
      </c>
      <c r="J144" s="6">
        <v>14.55</v>
      </c>
      <c r="K144" s="6">
        <f t="shared" si="17"/>
        <v>17.53976911016569</v>
      </c>
      <c r="L144" s="7">
        <f t="shared" si="18"/>
        <v>1.2054824130698067</v>
      </c>
      <c r="M144" s="13">
        <v>33.299999999999997</v>
      </c>
      <c r="N144" s="13">
        <v>71.099999999999994</v>
      </c>
      <c r="O144" s="6">
        <v>0.49099999999999999</v>
      </c>
      <c r="P144" s="5" t="str">
        <f t="shared" si="19"/>
        <v>OPTIMAL (1.10-1.35)</v>
      </c>
    </row>
    <row r="145" spans="1:16" x14ac:dyDescent="0.3">
      <c r="A145" s="9" t="s">
        <v>166</v>
      </c>
      <c r="B145" s="29">
        <v>45339</v>
      </c>
      <c r="C145" s="9" t="s">
        <v>5</v>
      </c>
      <c r="D145" s="9" t="s">
        <v>21</v>
      </c>
      <c r="E145" s="14">
        <v>262.8</v>
      </c>
      <c r="F145" s="14">
        <v>3133.9</v>
      </c>
      <c r="G145" s="14">
        <v>9256.2999999999993</v>
      </c>
      <c r="H145" s="14">
        <v>147.80000000000001</v>
      </c>
      <c r="I145" s="10">
        <f t="shared" si="16"/>
        <v>11.925038051750381</v>
      </c>
      <c r="J145" s="10">
        <v>14.84</v>
      </c>
      <c r="K145" s="10">
        <f t="shared" si="17"/>
        <v>16.594560929373937</v>
      </c>
      <c r="L145" s="11">
        <f t="shared" si="18"/>
        <v>1.1182318685561952</v>
      </c>
      <c r="M145" s="14">
        <v>34.799999999999997</v>
      </c>
      <c r="N145" s="14">
        <v>72.3</v>
      </c>
      <c r="O145" s="10">
        <v>0.53800000000000003</v>
      </c>
      <c r="P145" s="9" t="str">
        <f t="shared" si="19"/>
        <v>OPTIMAL (1.10-1.35)</v>
      </c>
    </row>
    <row r="146" spans="1:16" x14ac:dyDescent="0.3">
      <c r="A146" s="5" t="s">
        <v>167</v>
      </c>
      <c r="B146" s="28">
        <v>45340</v>
      </c>
      <c r="C146" s="5" t="s">
        <v>3</v>
      </c>
      <c r="D146" s="5" t="s">
        <v>21</v>
      </c>
      <c r="E146" s="13">
        <v>264.2</v>
      </c>
      <c r="F146" s="13">
        <v>3132.8</v>
      </c>
      <c r="G146" s="13">
        <v>9748.4</v>
      </c>
      <c r="H146" s="13">
        <v>146.69999999999999</v>
      </c>
      <c r="I146" s="6">
        <f t="shared" si="16"/>
        <v>11.85768357305072</v>
      </c>
      <c r="J146" s="6">
        <v>14.25</v>
      </c>
      <c r="K146" s="6">
        <f t="shared" si="17"/>
        <v>16.370175477818094</v>
      </c>
      <c r="L146" s="7">
        <f t="shared" si="18"/>
        <v>1.1487842440574101</v>
      </c>
      <c r="M146" s="13">
        <v>37.4</v>
      </c>
      <c r="N146" s="13">
        <v>71.7</v>
      </c>
      <c r="O146" s="6">
        <v>0.45600000000000002</v>
      </c>
      <c r="P146" s="5" t="str">
        <f t="shared" si="19"/>
        <v>OPTIMAL (1.10-1.35)</v>
      </c>
    </row>
    <row r="147" spans="1:16" x14ac:dyDescent="0.3">
      <c r="A147" s="9" t="s">
        <v>168</v>
      </c>
      <c r="B147" s="29">
        <v>45340</v>
      </c>
      <c r="C147" s="9" t="s">
        <v>4</v>
      </c>
      <c r="D147" s="9" t="s">
        <v>21</v>
      </c>
      <c r="E147" s="14">
        <v>195</v>
      </c>
      <c r="F147" s="14">
        <v>3008</v>
      </c>
      <c r="G147" s="14">
        <v>9490.2999999999993</v>
      </c>
      <c r="H147" s="14">
        <v>105</v>
      </c>
      <c r="I147" s="10">
        <f t="shared" si="16"/>
        <v>15.425641025641026</v>
      </c>
      <c r="J147" s="10">
        <v>14.14</v>
      </c>
      <c r="K147" s="10">
        <f t="shared" si="17"/>
        <v>17.664636963346844</v>
      </c>
      <c r="L147" s="11">
        <f t="shared" si="18"/>
        <v>1.2492671119764387</v>
      </c>
      <c r="M147" s="14">
        <v>35.1</v>
      </c>
      <c r="N147" s="14">
        <v>71.900000000000006</v>
      </c>
      <c r="O147" s="10">
        <v>0.85</v>
      </c>
      <c r="P147" s="9" t="str">
        <f t="shared" si="19"/>
        <v>OPTIMAL (1.10-1.35)</v>
      </c>
    </row>
    <row r="148" spans="1:16" x14ac:dyDescent="0.3">
      <c r="A148" s="5" t="s">
        <v>169</v>
      </c>
      <c r="B148" s="28">
        <v>45340</v>
      </c>
      <c r="C148" s="5" t="s">
        <v>5</v>
      </c>
      <c r="D148" s="5" t="s">
        <v>21</v>
      </c>
      <c r="E148" s="13">
        <v>267</v>
      </c>
      <c r="F148" s="13">
        <v>3129</v>
      </c>
      <c r="G148" s="13">
        <v>8746.7000000000007</v>
      </c>
      <c r="H148" s="13">
        <v>147.80000000000001</v>
      </c>
      <c r="I148" s="6">
        <f t="shared" si="16"/>
        <v>11.719101123595506</v>
      </c>
      <c r="J148" s="6">
        <v>14.34</v>
      </c>
      <c r="K148" s="6">
        <f t="shared" si="17"/>
        <v>16.37600811873482</v>
      </c>
      <c r="L148" s="7">
        <f t="shared" si="18"/>
        <v>1.1419810403580768</v>
      </c>
      <c r="M148" s="13">
        <v>35</v>
      </c>
      <c r="N148" s="13">
        <v>72.7</v>
      </c>
      <c r="O148" s="6">
        <v>0.48699999999999999</v>
      </c>
      <c r="P148" s="5" t="str">
        <f t="shared" si="19"/>
        <v>OPTIMAL (1.10-1.35)</v>
      </c>
    </row>
    <row r="149" spans="1:16" x14ac:dyDescent="0.3">
      <c r="A149" s="9" t="s">
        <v>170</v>
      </c>
      <c r="B149" s="29">
        <v>45341</v>
      </c>
      <c r="C149" s="9" t="s">
        <v>3</v>
      </c>
      <c r="D149" s="9" t="s">
        <v>21</v>
      </c>
      <c r="E149" s="14">
        <v>260.5</v>
      </c>
      <c r="F149" s="14">
        <v>3116</v>
      </c>
      <c r="G149" s="14">
        <v>9558.2000000000007</v>
      </c>
      <c r="H149" s="14">
        <v>141.6</v>
      </c>
      <c r="I149" s="10">
        <f t="shared" si="16"/>
        <v>11.961612284069098</v>
      </c>
      <c r="J149" s="10">
        <v>13.88</v>
      </c>
      <c r="K149" s="10">
        <f t="shared" si="17"/>
        <v>16.206372187792894</v>
      </c>
      <c r="L149" s="11">
        <f t="shared" si="18"/>
        <v>1.1676060654029461</v>
      </c>
      <c r="M149" s="14">
        <v>35.299999999999997</v>
      </c>
      <c r="N149" s="14">
        <v>71.3</v>
      </c>
      <c r="O149" s="10">
        <v>0.45400000000000001</v>
      </c>
      <c r="P149" s="9" t="str">
        <f t="shared" si="19"/>
        <v>OPTIMAL (1.10-1.35)</v>
      </c>
    </row>
    <row r="150" spans="1:16" x14ac:dyDescent="0.3">
      <c r="A150" s="5" t="s">
        <v>171</v>
      </c>
      <c r="B150" s="28">
        <v>45341</v>
      </c>
      <c r="C150" s="5" t="s">
        <v>4</v>
      </c>
      <c r="D150" s="5" t="s">
        <v>21</v>
      </c>
      <c r="E150" s="13">
        <v>235.3</v>
      </c>
      <c r="F150" s="13">
        <v>3022.2</v>
      </c>
      <c r="G150" s="13">
        <v>10058.799999999999</v>
      </c>
      <c r="H150" s="13">
        <v>144.4</v>
      </c>
      <c r="I150" s="6">
        <f t="shared" si="16"/>
        <v>12.844028899277516</v>
      </c>
      <c r="J150" s="6">
        <v>14.21</v>
      </c>
      <c r="K150" s="6">
        <f t="shared" si="17"/>
        <v>17.535203678034538</v>
      </c>
      <c r="L150" s="7">
        <f t="shared" si="18"/>
        <v>1.2340044812128457</v>
      </c>
      <c r="M150" s="13">
        <v>35.200000000000003</v>
      </c>
      <c r="N150" s="13">
        <v>70.8</v>
      </c>
      <c r="O150" s="6">
        <v>0.48399999999999999</v>
      </c>
      <c r="P150" s="5" t="str">
        <f t="shared" si="19"/>
        <v>OPTIMAL (1.10-1.35)</v>
      </c>
    </row>
    <row r="151" spans="1:16" x14ac:dyDescent="0.3">
      <c r="A151" s="9" t="s">
        <v>172</v>
      </c>
      <c r="B151" s="29">
        <v>45341</v>
      </c>
      <c r="C151" s="9" t="s">
        <v>5</v>
      </c>
      <c r="D151" s="9" t="s">
        <v>21</v>
      </c>
      <c r="E151" s="14">
        <v>246.8</v>
      </c>
      <c r="F151" s="14">
        <v>3153.4</v>
      </c>
      <c r="G151" s="14">
        <v>9681.2000000000007</v>
      </c>
      <c r="H151" s="14">
        <v>159.5</v>
      </c>
      <c r="I151" s="10">
        <f t="shared" si="16"/>
        <v>12.777147487844408</v>
      </c>
      <c r="J151" s="10">
        <v>14.5</v>
      </c>
      <c r="K151" s="10">
        <f t="shared" si="17"/>
        <v>18.512925086050377</v>
      </c>
      <c r="L151" s="11">
        <f t="shared" si="18"/>
        <v>1.2767534542103709</v>
      </c>
      <c r="M151" s="14">
        <v>33.5</v>
      </c>
      <c r="N151" s="14">
        <v>73</v>
      </c>
      <c r="O151" s="10">
        <v>0.52600000000000002</v>
      </c>
      <c r="P151" s="9" t="str">
        <f t="shared" si="19"/>
        <v>OPTIMAL (1.10-1.35)</v>
      </c>
    </row>
    <row r="152" spans="1:16" x14ac:dyDescent="0.3">
      <c r="A152" s="5" t="s">
        <v>173</v>
      </c>
      <c r="B152" s="28">
        <v>45342</v>
      </c>
      <c r="C152" s="5" t="s">
        <v>3</v>
      </c>
      <c r="D152" s="5" t="s">
        <v>37</v>
      </c>
      <c r="E152" s="13">
        <v>272.10000000000002</v>
      </c>
      <c r="F152" s="13">
        <v>2933.4</v>
      </c>
      <c r="G152" s="13">
        <v>8357.7999999999993</v>
      </c>
      <c r="H152" s="13">
        <v>136.1</v>
      </c>
      <c r="I152" s="6">
        <f t="shared" si="16"/>
        <v>10.780595369349504</v>
      </c>
      <c r="J152" s="6">
        <v>11.76</v>
      </c>
      <c r="K152" s="6">
        <f t="shared" si="17"/>
        <v>14.416535005599663</v>
      </c>
      <c r="L152" s="7">
        <f t="shared" si="18"/>
        <v>1.2258958338094952</v>
      </c>
      <c r="M152" s="13">
        <v>35.700000000000003</v>
      </c>
      <c r="N152" s="13">
        <v>70.5</v>
      </c>
      <c r="O152" s="6">
        <v>0.41499999999999998</v>
      </c>
      <c r="P152" s="5" t="str">
        <f t="shared" si="19"/>
        <v>OPTIMAL (1.10-1.35)</v>
      </c>
    </row>
    <row r="153" spans="1:16" x14ac:dyDescent="0.3">
      <c r="A153" s="9" t="s">
        <v>174</v>
      </c>
      <c r="B153" s="29">
        <v>45342</v>
      </c>
      <c r="C153" s="9" t="s">
        <v>4</v>
      </c>
      <c r="D153" s="9" t="s">
        <v>25</v>
      </c>
      <c r="E153" s="14">
        <v>217.1</v>
      </c>
      <c r="F153" s="14">
        <v>3168.8</v>
      </c>
      <c r="G153" s="14">
        <v>10932.8</v>
      </c>
      <c r="H153" s="14">
        <v>147.9</v>
      </c>
      <c r="I153" s="10">
        <f t="shared" si="16"/>
        <v>14.596038691847076</v>
      </c>
      <c r="J153" s="10">
        <v>16.89</v>
      </c>
      <c r="K153" s="10">
        <f t="shared" si="17"/>
        <v>20.087196475179145</v>
      </c>
      <c r="L153" s="11">
        <f t="shared" si="18"/>
        <v>1.1892952323966337</v>
      </c>
      <c r="M153" s="14">
        <v>33.5</v>
      </c>
      <c r="N153" s="14">
        <v>73.5</v>
      </c>
      <c r="O153" s="10">
        <v>0.626</v>
      </c>
      <c r="P153" s="9" t="str">
        <f t="shared" si="19"/>
        <v>OPTIMAL (1.10-1.35)</v>
      </c>
    </row>
    <row r="154" spans="1:16" x14ac:dyDescent="0.3">
      <c r="A154" s="5" t="s">
        <v>175</v>
      </c>
      <c r="B154" s="28">
        <v>45342</v>
      </c>
      <c r="C154" s="5" t="s">
        <v>5</v>
      </c>
      <c r="D154" s="5" t="s">
        <v>37</v>
      </c>
      <c r="E154" s="13">
        <v>269.39999999999998</v>
      </c>
      <c r="F154" s="13">
        <v>2995.6</v>
      </c>
      <c r="G154" s="13">
        <v>8569</v>
      </c>
      <c r="H154" s="13">
        <v>137.6</v>
      </c>
      <c r="I154" s="6">
        <f t="shared" si="16"/>
        <v>11.119524870081664</v>
      </c>
      <c r="J154" s="6">
        <v>11.9</v>
      </c>
      <c r="K154" s="6">
        <f t="shared" si="17"/>
        <v>14.936257274848154</v>
      </c>
      <c r="L154" s="7">
        <f t="shared" si="18"/>
        <v>1.255147670155307</v>
      </c>
      <c r="M154" s="13">
        <v>36.299999999999997</v>
      </c>
      <c r="N154" s="13">
        <v>70.8</v>
      </c>
      <c r="O154" s="6">
        <v>0.35499999999999998</v>
      </c>
      <c r="P154" s="5" t="str">
        <f t="shared" si="19"/>
        <v>OPTIMAL (1.10-1.35)</v>
      </c>
    </row>
    <row r="155" spans="1:16" x14ac:dyDescent="0.3">
      <c r="A155" s="9" t="s">
        <v>176</v>
      </c>
      <c r="B155" s="29">
        <v>45343</v>
      </c>
      <c r="C155" s="9" t="s">
        <v>3</v>
      </c>
      <c r="D155" s="9" t="s">
        <v>25</v>
      </c>
      <c r="E155" s="14">
        <v>228.5</v>
      </c>
      <c r="F155" s="14">
        <v>3120.9</v>
      </c>
      <c r="G155" s="14">
        <v>10518.8</v>
      </c>
      <c r="H155" s="14">
        <v>167.4</v>
      </c>
      <c r="I155" s="10">
        <f t="shared" si="16"/>
        <v>13.658205689277899</v>
      </c>
      <c r="J155" s="10">
        <v>15.81</v>
      </c>
      <c r="K155" s="10">
        <f t="shared" si="17"/>
        <v>20.222532845078334</v>
      </c>
      <c r="L155" s="11">
        <f t="shared" si="18"/>
        <v>1.2790975866589711</v>
      </c>
      <c r="M155" s="14">
        <v>32.9</v>
      </c>
      <c r="N155" s="14">
        <v>72.7</v>
      </c>
      <c r="O155" s="10">
        <v>0.65800000000000003</v>
      </c>
      <c r="P155" s="9" t="str">
        <f t="shared" si="19"/>
        <v>OPTIMAL (1.10-1.35)</v>
      </c>
    </row>
    <row r="156" spans="1:16" x14ac:dyDescent="0.3">
      <c r="A156" s="5" t="s">
        <v>177</v>
      </c>
      <c r="B156" s="28">
        <v>45343</v>
      </c>
      <c r="C156" s="5" t="s">
        <v>4</v>
      </c>
      <c r="D156" s="5" t="s">
        <v>21</v>
      </c>
      <c r="E156" s="13">
        <v>244.9</v>
      </c>
      <c r="F156" s="13">
        <v>3105.5</v>
      </c>
      <c r="G156" s="13">
        <v>9522.7000000000007</v>
      </c>
      <c r="H156" s="13">
        <v>154.69999999999999</v>
      </c>
      <c r="I156" s="6">
        <f t="shared" si="16"/>
        <v>12.680685994283381</v>
      </c>
      <c r="J156" s="6">
        <v>13.67</v>
      </c>
      <c r="K156" s="6">
        <f t="shared" si="17"/>
        <v>18.075955897062585</v>
      </c>
      <c r="L156" s="7">
        <f t="shared" si="18"/>
        <v>1.3223084050521277</v>
      </c>
      <c r="M156" s="13">
        <v>34.299999999999997</v>
      </c>
      <c r="N156" s="13">
        <v>70.8</v>
      </c>
      <c r="O156" s="6">
        <v>0.434</v>
      </c>
      <c r="P156" s="5" t="str">
        <f t="shared" si="19"/>
        <v>OPTIMAL (1.10-1.35)</v>
      </c>
    </row>
    <row r="157" spans="1:16" x14ac:dyDescent="0.3">
      <c r="A157" s="9" t="s">
        <v>178</v>
      </c>
      <c r="B157" s="29">
        <v>45343</v>
      </c>
      <c r="C157" s="9" t="s">
        <v>5</v>
      </c>
      <c r="D157" s="9" t="s">
        <v>21</v>
      </c>
      <c r="E157" s="14">
        <v>249.7</v>
      </c>
      <c r="F157" s="14">
        <v>3059.4</v>
      </c>
      <c r="G157" s="14">
        <v>9165.7999999999993</v>
      </c>
      <c r="H157" s="14">
        <v>149.30000000000001</v>
      </c>
      <c r="I157" s="10">
        <f t="shared" si="16"/>
        <v>12.25230276331598</v>
      </c>
      <c r="J157" s="10">
        <v>13.6</v>
      </c>
      <c r="K157" s="10">
        <f t="shared" si="17"/>
        <v>17.161123764839491</v>
      </c>
      <c r="L157" s="11">
        <f t="shared" si="18"/>
        <v>1.2618473356499627</v>
      </c>
      <c r="M157" s="14">
        <v>35.200000000000003</v>
      </c>
      <c r="N157" s="14">
        <v>72.599999999999994</v>
      </c>
      <c r="O157" s="10">
        <v>0.46300000000000002</v>
      </c>
      <c r="P157" s="9" t="str">
        <f t="shared" si="19"/>
        <v>OPTIMAL (1.10-1.35)</v>
      </c>
    </row>
    <row r="158" spans="1:16" x14ac:dyDescent="0.3">
      <c r="A158" s="5" t="s">
        <v>179</v>
      </c>
      <c r="B158" s="28">
        <v>45344</v>
      </c>
      <c r="C158" s="5" t="s">
        <v>3</v>
      </c>
      <c r="D158" s="5" t="s">
        <v>37</v>
      </c>
      <c r="E158" s="13">
        <v>278.39999999999998</v>
      </c>
      <c r="F158" s="13">
        <v>2969.9</v>
      </c>
      <c r="G158" s="13">
        <v>8249.6</v>
      </c>
      <c r="H158" s="13">
        <v>133.5</v>
      </c>
      <c r="I158" s="6">
        <f t="shared" si="16"/>
        <v>10.667744252873565</v>
      </c>
      <c r="J158" s="6">
        <v>11.27</v>
      </c>
      <c r="K158" s="6">
        <f t="shared" si="17"/>
        <v>14.122249966279503</v>
      </c>
      <c r="L158" s="7">
        <f t="shared" si="18"/>
        <v>1.2530834042838956</v>
      </c>
      <c r="M158" s="13">
        <v>37</v>
      </c>
      <c r="N158" s="13">
        <v>72.099999999999994</v>
      </c>
      <c r="O158" s="6">
        <v>0.38</v>
      </c>
      <c r="P158" s="5" t="str">
        <f t="shared" si="19"/>
        <v>OPTIMAL (1.10-1.35)</v>
      </c>
    </row>
    <row r="159" spans="1:16" x14ac:dyDescent="0.3">
      <c r="A159" s="9" t="s">
        <v>180</v>
      </c>
      <c r="B159" s="29">
        <v>45344</v>
      </c>
      <c r="C159" s="9" t="s">
        <v>4</v>
      </c>
      <c r="D159" s="9" t="s">
        <v>21</v>
      </c>
      <c r="E159" s="14">
        <v>244.2</v>
      </c>
      <c r="F159" s="14">
        <v>3118.7</v>
      </c>
      <c r="G159" s="14">
        <v>9593.7000000000007</v>
      </c>
      <c r="H159" s="14">
        <v>154</v>
      </c>
      <c r="I159" s="10">
        <f t="shared" si="16"/>
        <v>12.77108927108927</v>
      </c>
      <c r="J159" s="10">
        <v>13.86</v>
      </c>
      <c r="K159" s="10">
        <f t="shared" si="17"/>
        <v>18.147779280428296</v>
      </c>
      <c r="L159" s="11">
        <f t="shared" si="18"/>
        <v>1.3093635844464859</v>
      </c>
      <c r="M159" s="14">
        <v>33.700000000000003</v>
      </c>
      <c r="N159" s="14">
        <v>72.599999999999994</v>
      </c>
      <c r="O159" s="10">
        <v>0.504</v>
      </c>
      <c r="P159" s="9" t="str">
        <f t="shared" si="19"/>
        <v>OPTIMAL (1.10-1.35)</v>
      </c>
    </row>
    <row r="160" spans="1:16" x14ac:dyDescent="0.3">
      <c r="A160" s="5" t="s">
        <v>181</v>
      </c>
      <c r="B160" s="28">
        <v>45344</v>
      </c>
      <c r="C160" s="5" t="s">
        <v>5</v>
      </c>
      <c r="D160" s="5" t="s">
        <v>37</v>
      </c>
      <c r="E160" s="13">
        <v>271.60000000000002</v>
      </c>
      <c r="F160" s="13">
        <v>2974.1</v>
      </c>
      <c r="G160" s="13">
        <v>7947.3</v>
      </c>
      <c r="H160" s="13">
        <v>141.4</v>
      </c>
      <c r="I160" s="6">
        <f t="shared" si="16"/>
        <v>10.950294550810014</v>
      </c>
      <c r="J160" s="6">
        <v>11.83</v>
      </c>
      <c r="K160" s="6">
        <f t="shared" si="17"/>
        <v>15.025381974197925</v>
      </c>
      <c r="L160" s="7">
        <f t="shared" si="18"/>
        <v>1.2701083663734509</v>
      </c>
      <c r="M160" s="13">
        <v>36.9</v>
      </c>
      <c r="N160" s="13">
        <v>70.900000000000006</v>
      </c>
      <c r="O160" s="6">
        <v>0.36899999999999999</v>
      </c>
      <c r="P160" s="5" t="str">
        <f t="shared" si="19"/>
        <v>OPTIMAL (1.10-1.35)</v>
      </c>
    </row>
    <row r="161" spans="1:16" x14ac:dyDescent="0.3">
      <c r="A161" s="9" t="s">
        <v>182</v>
      </c>
      <c r="B161" s="29">
        <v>45345</v>
      </c>
      <c r="C161" s="9" t="s">
        <v>3</v>
      </c>
      <c r="D161" s="9" t="s">
        <v>21</v>
      </c>
      <c r="E161" s="14">
        <v>248.8</v>
      </c>
      <c r="F161" s="14">
        <v>3159.6</v>
      </c>
      <c r="G161" s="14">
        <v>9474.9</v>
      </c>
      <c r="H161" s="14">
        <v>142.4</v>
      </c>
      <c r="I161" s="10">
        <f t="shared" si="16"/>
        <v>12.699356913183278</v>
      </c>
      <c r="J161" s="10">
        <v>14.03</v>
      </c>
      <c r="K161" s="10">
        <f t="shared" si="17"/>
        <v>17.27173272966369</v>
      </c>
      <c r="L161" s="11">
        <f t="shared" si="18"/>
        <v>1.2310572152290584</v>
      </c>
      <c r="M161" s="14">
        <v>34.6</v>
      </c>
      <c r="N161" s="14">
        <v>72.099999999999994</v>
      </c>
      <c r="O161" s="10">
        <v>0.52900000000000003</v>
      </c>
      <c r="P161" s="9" t="str">
        <f t="shared" si="19"/>
        <v>OPTIMAL (1.10-1.35)</v>
      </c>
    </row>
    <row r="162" spans="1:16" x14ac:dyDescent="0.3">
      <c r="A162" s="5" t="s">
        <v>183</v>
      </c>
      <c r="B162" s="28">
        <v>45345</v>
      </c>
      <c r="C162" s="5" t="s">
        <v>4</v>
      </c>
      <c r="D162" s="5" t="s">
        <v>21</v>
      </c>
      <c r="E162" s="13">
        <v>264.5</v>
      </c>
      <c r="F162" s="13">
        <v>3057</v>
      </c>
      <c r="G162" s="13">
        <v>10188.4</v>
      </c>
      <c r="H162" s="13">
        <v>149.9</v>
      </c>
      <c r="I162" s="6">
        <f t="shared" ref="I162:I181" si="20">F162/E162</f>
        <v>11.557655954631381</v>
      </c>
      <c r="J162" s="6">
        <v>14.04</v>
      </c>
      <c r="K162" s="6">
        <f t="shared" ref="K162:K181" si="21">I162/(10*(1/SQRT(H162)-1/SQRT(G162)))</f>
        <v>16.103792310781493</v>
      </c>
      <c r="L162" s="7">
        <f t="shared" ref="L162:L181" si="22">K162/J162</f>
        <v>1.1469937543291662</v>
      </c>
      <c r="M162" s="13">
        <v>35.4</v>
      </c>
      <c r="N162" s="13">
        <v>71.5</v>
      </c>
      <c r="O162" s="6">
        <v>0.49299999999999999</v>
      </c>
      <c r="P162" s="5" t="str">
        <f t="shared" ref="P162:P181" si="23">IF(L162&gt;1.4, "INEFFICIENT (Eta&gt;1.4)", IF(L162&lt;1.1, "OVERGRIND / LOW Wi", "OPTIMAL (1.10-1.35)"))</f>
        <v>OPTIMAL (1.10-1.35)</v>
      </c>
    </row>
    <row r="163" spans="1:16" x14ac:dyDescent="0.3">
      <c r="A163" s="9" t="s">
        <v>184</v>
      </c>
      <c r="B163" s="29">
        <v>45345</v>
      </c>
      <c r="C163" s="9" t="s">
        <v>5</v>
      </c>
      <c r="D163" s="9" t="s">
        <v>25</v>
      </c>
      <c r="E163" s="14">
        <v>235.6</v>
      </c>
      <c r="F163" s="14">
        <v>3234.9</v>
      </c>
      <c r="G163" s="14">
        <v>10374</v>
      </c>
      <c r="H163" s="14">
        <v>152.6</v>
      </c>
      <c r="I163" s="10">
        <f t="shared" si="20"/>
        <v>13.730475382003396</v>
      </c>
      <c r="J163" s="10">
        <v>17.11</v>
      </c>
      <c r="K163" s="10">
        <f t="shared" si="21"/>
        <v>19.302537006534486</v>
      </c>
      <c r="L163" s="11">
        <f t="shared" si="22"/>
        <v>1.1281436006156917</v>
      </c>
      <c r="M163" s="14">
        <v>34.4</v>
      </c>
      <c r="N163" s="14">
        <v>74.3</v>
      </c>
      <c r="O163" s="10">
        <v>0.60899999999999999</v>
      </c>
      <c r="P163" s="9" t="str">
        <f t="shared" si="23"/>
        <v>OPTIMAL (1.10-1.35)</v>
      </c>
    </row>
    <row r="164" spans="1:16" x14ac:dyDescent="0.3">
      <c r="A164" s="5" t="s">
        <v>185</v>
      </c>
      <c r="B164" s="28">
        <v>45346</v>
      </c>
      <c r="C164" s="5" t="s">
        <v>3</v>
      </c>
      <c r="D164" s="5" t="s">
        <v>21</v>
      </c>
      <c r="E164" s="13">
        <v>251.5</v>
      </c>
      <c r="F164" s="13">
        <v>3030.7</v>
      </c>
      <c r="G164" s="13">
        <v>9738</v>
      </c>
      <c r="H164" s="13">
        <v>153</v>
      </c>
      <c r="I164" s="6">
        <f t="shared" si="20"/>
        <v>12.050497017892644</v>
      </c>
      <c r="J164" s="6">
        <v>14.03</v>
      </c>
      <c r="K164" s="6">
        <f t="shared" si="21"/>
        <v>17.041759758117745</v>
      </c>
      <c r="L164" s="7">
        <f t="shared" si="22"/>
        <v>1.2146656990818065</v>
      </c>
      <c r="M164" s="13">
        <v>34.299999999999997</v>
      </c>
      <c r="N164" s="13">
        <v>71.2</v>
      </c>
      <c r="O164" s="6">
        <v>0.46800000000000003</v>
      </c>
      <c r="P164" s="5" t="str">
        <f t="shared" si="23"/>
        <v>OPTIMAL (1.10-1.35)</v>
      </c>
    </row>
    <row r="165" spans="1:16" x14ac:dyDescent="0.3">
      <c r="A165" s="9" t="s">
        <v>186</v>
      </c>
      <c r="B165" s="29">
        <v>45346</v>
      </c>
      <c r="C165" s="9" t="s">
        <v>4</v>
      </c>
      <c r="D165" s="9" t="s">
        <v>21</v>
      </c>
      <c r="E165" s="14">
        <v>250.3</v>
      </c>
      <c r="F165" s="14">
        <v>3028.2</v>
      </c>
      <c r="G165" s="14">
        <v>9105.2999999999993</v>
      </c>
      <c r="H165" s="14">
        <v>149.4</v>
      </c>
      <c r="I165" s="10">
        <f t="shared" si="20"/>
        <v>12.098282061526167</v>
      </c>
      <c r="J165" s="10">
        <v>14.17</v>
      </c>
      <c r="K165" s="10">
        <f t="shared" si="21"/>
        <v>16.960132745143078</v>
      </c>
      <c r="L165" s="11">
        <f t="shared" si="22"/>
        <v>1.1969042163121437</v>
      </c>
      <c r="M165" s="14">
        <v>32.9</v>
      </c>
      <c r="N165" s="14">
        <v>72.8</v>
      </c>
      <c r="O165" s="10">
        <v>0.47399999999999998</v>
      </c>
      <c r="P165" s="9" t="str">
        <f t="shared" si="23"/>
        <v>OPTIMAL (1.10-1.35)</v>
      </c>
    </row>
    <row r="166" spans="1:16" x14ac:dyDescent="0.3">
      <c r="A166" s="5" t="s">
        <v>187</v>
      </c>
      <c r="B166" s="28">
        <v>45346</v>
      </c>
      <c r="C166" s="5" t="s">
        <v>5</v>
      </c>
      <c r="D166" s="5" t="s">
        <v>21</v>
      </c>
      <c r="E166" s="13">
        <v>250.2</v>
      </c>
      <c r="F166" s="13">
        <v>3110.7</v>
      </c>
      <c r="G166" s="13">
        <v>9331.5</v>
      </c>
      <c r="H166" s="13">
        <v>140.19999999999999</v>
      </c>
      <c r="I166" s="6">
        <f t="shared" si="20"/>
        <v>12.432853717026379</v>
      </c>
      <c r="J166" s="6">
        <v>13.54</v>
      </c>
      <c r="K166" s="6">
        <f t="shared" si="21"/>
        <v>16.777773218752845</v>
      </c>
      <c r="L166" s="7">
        <f t="shared" si="22"/>
        <v>1.239126530188541</v>
      </c>
      <c r="M166" s="13">
        <v>36.700000000000003</v>
      </c>
      <c r="N166" s="13">
        <v>73.099999999999994</v>
      </c>
      <c r="O166" s="6">
        <v>0.46500000000000002</v>
      </c>
      <c r="P166" s="5" t="str">
        <f t="shared" si="23"/>
        <v>OPTIMAL (1.10-1.35)</v>
      </c>
    </row>
    <row r="167" spans="1:16" x14ac:dyDescent="0.3">
      <c r="A167" s="9" t="s">
        <v>188</v>
      </c>
      <c r="B167" s="29">
        <v>45347</v>
      </c>
      <c r="C167" s="9" t="s">
        <v>3</v>
      </c>
      <c r="D167" s="9" t="s">
        <v>21</v>
      </c>
      <c r="E167" s="14">
        <v>258.60000000000002</v>
      </c>
      <c r="F167" s="14">
        <v>3040</v>
      </c>
      <c r="G167" s="14">
        <v>8805.2000000000007</v>
      </c>
      <c r="H167" s="14">
        <v>152.30000000000001</v>
      </c>
      <c r="I167" s="10">
        <f t="shared" si="20"/>
        <v>11.755607115235884</v>
      </c>
      <c r="J167" s="10">
        <v>14.2</v>
      </c>
      <c r="K167" s="10">
        <f t="shared" si="21"/>
        <v>16.704499102077545</v>
      </c>
      <c r="L167" s="11">
        <f t="shared" si="22"/>
        <v>1.1763731762026441</v>
      </c>
      <c r="M167" s="14">
        <v>34.200000000000003</v>
      </c>
      <c r="N167" s="14">
        <v>70.400000000000006</v>
      </c>
      <c r="O167" s="10">
        <v>0.48599999999999999</v>
      </c>
      <c r="P167" s="9" t="str">
        <f t="shared" si="23"/>
        <v>OPTIMAL (1.10-1.35)</v>
      </c>
    </row>
    <row r="168" spans="1:16" x14ac:dyDescent="0.3">
      <c r="A168" s="5" t="s">
        <v>189</v>
      </c>
      <c r="B168" s="28">
        <v>45347</v>
      </c>
      <c r="C168" s="5" t="s">
        <v>4</v>
      </c>
      <c r="D168" s="5" t="s">
        <v>21</v>
      </c>
      <c r="E168" s="13">
        <v>250.2</v>
      </c>
      <c r="F168" s="13">
        <v>3088.6</v>
      </c>
      <c r="G168" s="13">
        <v>9685.9</v>
      </c>
      <c r="H168" s="13">
        <v>141</v>
      </c>
      <c r="I168" s="6">
        <f t="shared" si="20"/>
        <v>12.344524380495603</v>
      </c>
      <c r="J168" s="6">
        <v>14</v>
      </c>
      <c r="K168" s="6">
        <f t="shared" si="21"/>
        <v>16.669548212836542</v>
      </c>
      <c r="L168" s="7">
        <f t="shared" si="22"/>
        <v>1.1906820152026101</v>
      </c>
      <c r="M168" s="13">
        <v>34.6</v>
      </c>
      <c r="N168" s="13">
        <v>72.400000000000006</v>
      </c>
      <c r="O168" s="6">
        <v>0.50700000000000001</v>
      </c>
      <c r="P168" s="5" t="str">
        <f t="shared" si="23"/>
        <v>OPTIMAL (1.10-1.35)</v>
      </c>
    </row>
    <row r="169" spans="1:16" x14ac:dyDescent="0.3">
      <c r="A169" s="9" t="s">
        <v>190</v>
      </c>
      <c r="B169" s="29">
        <v>45347</v>
      </c>
      <c r="C169" s="9" t="s">
        <v>5</v>
      </c>
      <c r="D169" s="9" t="s">
        <v>21</v>
      </c>
      <c r="E169" s="14">
        <v>251.3</v>
      </c>
      <c r="F169" s="14">
        <v>3050.2</v>
      </c>
      <c r="G169" s="14">
        <v>9445.5</v>
      </c>
      <c r="H169" s="14">
        <v>137.1</v>
      </c>
      <c r="I169" s="10">
        <f t="shared" si="20"/>
        <v>12.13768404297652</v>
      </c>
      <c r="J169" s="10">
        <v>14.13</v>
      </c>
      <c r="K169" s="10">
        <f t="shared" si="21"/>
        <v>16.158745583989475</v>
      </c>
      <c r="L169" s="11">
        <f t="shared" si="22"/>
        <v>1.1435771821648602</v>
      </c>
      <c r="M169" s="14">
        <v>35.200000000000003</v>
      </c>
      <c r="N169" s="14">
        <v>73.099999999999994</v>
      </c>
      <c r="O169" s="10">
        <v>0.42099999999999999</v>
      </c>
      <c r="P169" s="9" t="str">
        <f t="shared" si="23"/>
        <v>OPTIMAL (1.10-1.35)</v>
      </c>
    </row>
    <row r="170" spans="1:16" x14ac:dyDescent="0.3">
      <c r="A170" s="5" t="s">
        <v>191</v>
      </c>
      <c r="B170" s="28">
        <v>45348</v>
      </c>
      <c r="C170" s="5" t="s">
        <v>3</v>
      </c>
      <c r="D170" s="5" t="s">
        <v>25</v>
      </c>
      <c r="E170" s="13">
        <v>220.5</v>
      </c>
      <c r="F170" s="13">
        <v>3177</v>
      </c>
      <c r="G170" s="13">
        <v>10937.3</v>
      </c>
      <c r="H170" s="13">
        <v>167.4</v>
      </c>
      <c r="I170" s="6">
        <f t="shared" si="20"/>
        <v>14.408163265306122</v>
      </c>
      <c r="J170" s="6">
        <v>16.45</v>
      </c>
      <c r="K170" s="6">
        <f t="shared" si="21"/>
        <v>21.273601185435808</v>
      </c>
      <c r="L170" s="7">
        <f t="shared" si="22"/>
        <v>1.2932280355888031</v>
      </c>
      <c r="M170" s="13">
        <v>33.299999999999997</v>
      </c>
      <c r="N170" s="13">
        <v>74.5</v>
      </c>
      <c r="O170" s="6">
        <v>0.621</v>
      </c>
      <c r="P170" s="5" t="str">
        <f t="shared" si="23"/>
        <v>OPTIMAL (1.10-1.35)</v>
      </c>
    </row>
    <row r="171" spans="1:16" x14ac:dyDescent="0.3">
      <c r="A171" s="9" t="s">
        <v>192</v>
      </c>
      <c r="B171" s="29">
        <v>45348</v>
      </c>
      <c r="C171" s="9" t="s">
        <v>4</v>
      </c>
      <c r="D171" s="9" t="s">
        <v>37</v>
      </c>
      <c r="E171" s="14">
        <v>274.8</v>
      </c>
      <c r="F171" s="14">
        <v>2969.3</v>
      </c>
      <c r="G171" s="14">
        <v>8196.1</v>
      </c>
      <c r="H171" s="14">
        <v>134.69999999999999</v>
      </c>
      <c r="I171" s="10">
        <f t="shared" si="20"/>
        <v>10.805312954876275</v>
      </c>
      <c r="J171" s="10">
        <v>11.61</v>
      </c>
      <c r="K171" s="10">
        <f t="shared" si="21"/>
        <v>14.384776829945634</v>
      </c>
      <c r="L171" s="11">
        <f t="shared" si="22"/>
        <v>1.2389988656283923</v>
      </c>
      <c r="M171" s="14">
        <v>36.700000000000003</v>
      </c>
      <c r="N171" s="14">
        <v>70.7</v>
      </c>
      <c r="O171" s="10">
        <v>0.38100000000000001</v>
      </c>
      <c r="P171" s="9" t="str">
        <f t="shared" si="23"/>
        <v>OPTIMAL (1.10-1.35)</v>
      </c>
    </row>
    <row r="172" spans="1:16" x14ac:dyDescent="0.3">
      <c r="A172" s="5" t="s">
        <v>193</v>
      </c>
      <c r="B172" s="28">
        <v>45348</v>
      </c>
      <c r="C172" s="5" t="s">
        <v>5</v>
      </c>
      <c r="D172" s="5" t="s">
        <v>37</v>
      </c>
      <c r="E172" s="13">
        <v>270.5</v>
      </c>
      <c r="F172" s="13">
        <v>2864.7</v>
      </c>
      <c r="G172" s="13">
        <v>8019</v>
      </c>
      <c r="H172" s="13">
        <v>135.9</v>
      </c>
      <c r="I172" s="6">
        <f t="shared" si="20"/>
        <v>10.590388170055451</v>
      </c>
      <c r="J172" s="6">
        <v>11.62</v>
      </c>
      <c r="K172" s="6">
        <f t="shared" si="21"/>
        <v>14.193614940777373</v>
      </c>
      <c r="L172" s="7">
        <f t="shared" si="22"/>
        <v>1.2214814923216328</v>
      </c>
      <c r="M172" s="13">
        <v>36.799999999999997</v>
      </c>
      <c r="N172" s="13">
        <v>69.8</v>
      </c>
      <c r="O172" s="6">
        <v>0.35599999999999998</v>
      </c>
      <c r="P172" s="5" t="str">
        <f t="shared" si="23"/>
        <v>OPTIMAL (1.10-1.35)</v>
      </c>
    </row>
    <row r="173" spans="1:16" x14ac:dyDescent="0.3">
      <c r="A173" s="9" t="s">
        <v>194</v>
      </c>
      <c r="B173" s="29">
        <v>45349</v>
      </c>
      <c r="C173" s="9" t="s">
        <v>3</v>
      </c>
      <c r="D173" s="9" t="s">
        <v>21</v>
      </c>
      <c r="E173" s="14">
        <v>253.8</v>
      </c>
      <c r="F173" s="14">
        <v>3008.4</v>
      </c>
      <c r="G173" s="14">
        <v>9131.5</v>
      </c>
      <c r="H173" s="14">
        <v>137.6</v>
      </c>
      <c r="I173" s="10">
        <f t="shared" si="20"/>
        <v>11.853427895981087</v>
      </c>
      <c r="J173" s="10">
        <v>13.29</v>
      </c>
      <c r="K173" s="10">
        <f t="shared" si="21"/>
        <v>15.850104604840089</v>
      </c>
      <c r="L173" s="11">
        <f t="shared" si="22"/>
        <v>1.192633905556064</v>
      </c>
      <c r="M173" s="14">
        <v>34.9</v>
      </c>
      <c r="N173" s="14">
        <v>71.900000000000006</v>
      </c>
      <c r="O173" s="10">
        <v>0.46700000000000003</v>
      </c>
      <c r="P173" s="9" t="str">
        <f t="shared" si="23"/>
        <v>OPTIMAL (1.10-1.35)</v>
      </c>
    </row>
    <row r="174" spans="1:16" x14ac:dyDescent="0.3">
      <c r="A174" s="5" t="s">
        <v>195</v>
      </c>
      <c r="B174" s="28">
        <v>45349</v>
      </c>
      <c r="C174" s="5" t="s">
        <v>4</v>
      </c>
      <c r="D174" s="5" t="s">
        <v>21</v>
      </c>
      <c r="E174" s="13">
        <v>246.1</v>
      </c>
      <c r="F174" s="13">
        <v>3080.8</v>
      </c>
      <c r="G174" s="13">
        <v>9586.6</v>
      </c>
      <c r="H174" s="13">
        <v>143.5</v>
      </c>
      <c r="I174" s="6">
        <f t="shared" si="20"/>
        <v>12.518488419341733</v>
      </c>
      <c r="J174" s="6">
        <v>13.63</v>
      </c>
      <c r="K174" s="6">
        <f t="shared" si="21"/>
        <v>17.086576121001247</v>
      </c>
      <c r="L174" s="7">
        <f t="shared" si="22"/>
        <v>1.2536005958181398</v>
      </c>
      <c r="M174" s="13">
        <v>35.299999999999997</v>
      </c>
      <c r="N174" s="13">
        <v>72.400000000000006</v>
      </c>
      <c r="O174" s="6">
        <v>0.46100000000000002</v>
      </c>
      <c r="P174" s="5" t="str">
        <f t="shared" si="23"/>
        <v>OPTIMAL (1.10-1.35)</v>
      </c>
    </row>
    <row r="175" spans="1:16" x14ac:dyDescent="0.3">
      <c r="A175" s="9" t="s">
        <v>196</v>
      </c>
      <c r="B175" s="29">
        <v>45349</v>
      </c>
      <c r="C175" s="9" t="s">
        <v>5</v>
      </c>
      <c r="D175" s="9" t="s">
        <v>21</v>
      </c>
      <c r="E175" s="14">
        <v>246.7</v>
      </c>
      <c r="F175" s="14">
        <v>3112.9</v>
      </c>
      <c r="G175" s="14">
        <v>9427.7999999999993</v>
      </c>
      <c r="H175" s="14">
        <v>148</v>
      </c>
      <c r="I175" s="10">
        <f t="shared" si="20"/>
        <v>12.618159708147548</v>
      </c>
      <c r="J175" s="10">
        <v>14.23</v>
      </c>
      <c r="K175" s="10">
        <f t="shared" si="21"/>
        <v>17.549474383516561</v>
      </c>
      <c r="L175" s="11">
        <f t="shared" si="22"/>
        <v>1.2332729714347548</v>
      </c>
      <c r="M175" s="14">
        <v>34.700000000000003</v>
      </c>
      <c r="N175" s="14">
        <v>71.900000000000006</v>
      </c>
      <c r="O175" s="10">
        <v>0.48799999999999999</v>
      </c>
      <c r="P175" s="9" t="str">
        <f t="shared" si="23"/>
        <v>OPTIMAL (1.10-1.35)</v>
      </c>
    </row>
    <row r="176" spans="1:16" x14ac:dyDescent="0.3">
      <c r="A176" s="5" t="s">
        <v>197</v>
      </c>
      <c r="B176" s="28">
        <v>45350</v>
      </c>
      <c r="C176" s="5" t="s">
        <v>3</v>
      </c>
      <c r="D176" s="5" t="s">
        <v>21</v>
      </c>
      <c r="E176" s="13">
        <v>238.3</v>
      </c>
      <c r="F176" s="13">
        <v>3146.6</v>
      </c>
      <c r="G176" s="13">
        <v>8830</v>
      </c>
      <c r="H176" s="13">
        <v>150.4</v>
      </c>
      <c r="I176" s="6">
        <f t="shared" si="20"/>
        <v>13.204364246747796</v>
      </c>
      <c r="J176" s="6">
        <v>13.66</v>
      </c>
      <c r="K176" s="6">
        <f t="shared" si="21"/>
        <v>18.624164075295056</v>
      </c>
      <c r="L176" s="7">
        <f t="shared" si="22"/>
        <v>1.3634087902851433</v>
      </c>
      <c r="M176" s="13">
        <v>34.1</v>
      </c>
      <c r="N176" s="13">
        <v>71.599999999999994</v>
      </c>
      <c r="O176" s="6">
        <v>0.44400000000000001</v>
      </c>
      <c r="P176" s="5" t="str">
        <f t="shared" si="23"/>
        <v>OPTIMAL (1.10-1.35)</v>
      </c>
    </row>
    <row r="177" spans="1:16" x14ac:dyDescent="0.3">
      <c r="A177" s="9" t="s">
        <v>198</v>
      </c>
      <c r="B177" s="29">
        <v>45350</v>
      </c>
      <c r="C177" s="9" t="s">
        <v>4</v>
      </c>
      <c r="D177" s="9" t="s">
        <v>21</v>
      </c>
      <c r="E177" s="14">
        <v>256.5</v>
      </c>
      <c r="F177" s="14">
        <v>3050.3</v>
      </c>
      <c r="G177" s="14">
        <v>9626.1</v>
      </c>
      <c r="H177" s="14">
        <v>143.69999999999999</v>
      </c>
      <c r="I177" s="10">
        <f t="shared" si="20"/>
        <v>11.892007797270956</v>
      </c>
      <c r="J177" s="10">
        <v>14.26</v>
      </c>
      <c r="K177" s="10">
        <f t="shared" si="21"/>
        <v>16.23971960401667</v>
      </c>
      <c r="L177" s="11">
        <f t="shared" si="22"/>
        <v>1.1388302667613373</v>
      </c>
      <c r="M177" s="14">
        <v>35.1</v>
      </c>
      <c r="N177" s="14">
        <v>71</v>
      </c>
      <c r="O177" s="10">
        <v>0.40799999999999997</v>
      </c>
      <c r="P177" s="9" t="str">
        <f t="shared" si="23"/>
        <v>OPTIMAL (1.10-1.35)</v>
      </c>
    </row>
    <row r="178" spans="1:16" x14ac:dyDescent="0.3">
      <c r="A178" s="5" t="s">
        <v>199</v>
      </c>
      <c r="B178" s="28">
        <v>45350</v>
      </c>
      <c r="C178" s="5" t="s">
        <v>5</v>
      </c>
      <c r="D178" s="5" t="s">
        <v>21</v>
      </c>
      <c r="E178" s="13">
        <v>253.3</v>
      </c>
      <c r="F178" s="13">
        <v>3127.9</v>
      </c>
      <c r="G178" s="13">
        <v>9459.7999999999993</v>
      </c>
      <c r="H178" s="13">
        <v>150</v>
      </c>
      <c r="I178" s="6">
        <f t="shared" si="20"/>
        <v>12.348598499802605</v>
      </c>
      <c r="J178" s="6">
        <v>13.95</v>
      </c>
      <c r="K178" s="6">
        <f t="shared" si="21"/>
        <v>17.302686864764446</v>
      </c>
      <c r="L178" s="7">
        <f t="shared" si="22"/>
        <v>1.2403359759687775</v>
      </c>
      <c r="M178" s="13">
        <v>34.5</v>
      </c>
      <c r="N178" s="13">
        <v>73.099999999999994</v>
      </c>
      <c r="O178" s="6">
        <v>0.45700000000000002</v>
      </c>
      <c r="P178" s="5" t="str">
        <f t="shared" si="23"/>
        <v>OPTIMAL (1.10-1.35)</v>
      </c>
    </row>
    <row r="179" spans="1:16" x14ac:dyDescent="0.3">
      <c r="A179" s="9" t="s">
        <v>200</v>
      </c>
      <c r="B179" s="29">
        <v>45351</v>
      </c>
      <c r="C179" s="9" t="s">
        <v>3</v>
      </c>
      <c r="D179" s="9" t="s">
        <v>21</v>
      </c>
      <c r="E179" s="14">
        <v>253.9</v>
      </c>
      <c r="F179" s="14">
        <v>3159.1</v>
      </c>
      <c r="G179" s="14">
        <v>9644.2999999999993</v>
      </c>
      <c r="H179" s="14">
        <v>147</v>
      </c>
      <c r="I179" s="10">
        <f t="shared" si="20"/>
        <v>12.442300118156753</v>
      </c>
      <c r="J179" s="10">
        <v>13.53</v>
      </c>
      <c r="K179" s="10">
        <f t="shared" si="21"/>
        <v>17.210250178302669</v>
      </c>
      <c r="L179" s="11">
        <f t="shared" si="22"/>
        <v>1.2720066650630206</v>
      </c>
      <c r="M179" s="14">
        <v>34.5</v>
      </c>
      <c r="N179" s="14">
        <v>72.8</v>
      </c>
      <c r="O179" s="10">
        <v>0.42299999999999999</v>
      </c>
      <c r="P179" s="9" t="str">
        <f t="shared" si="23"/>
        <v>OPTIMAL (1.10-1.35)</v>
      </c>
    </row>
    <row r="180" spans="1:16" x14ac:dyDescent="0.3">
      <c r="A180" s="5" t="s">
        <v>201</v>
      </c>
      <c r="B180" s="28">
        <v>45351</v>
      </c>
      <c r="C180" s="5" t="s">
        <v>4</v>
      </c>
      <c r="D180" s="5" t="s">
        <v>21</v>
      </c>
      <c r="E180" s="13">
        <v>241.3</v>
      </c>
      <c r="F180" s="13">
        <v>3077.8</v>
      </c>
      <c r="G180" s="13">
        <v>9854.5</v>
      </c>
      <c r="H180" s="13">
        <v>146.6</v>
      </c>
      <c r="I180" s="6">
        <f t="shared" si="20"/>
        <v>12.755076668048073</v>
      </c>
      <c r="J180" s="6">
        <v>14.12</v>
      </c>
      <c r="K180" s="6">
        <f t="shared" si="21"/>
        <v>17.588963202676176</v>
      </c>
      <c r="L180" s="7">
        <f t="shared" si="22"/>
        <v>1.2456772806427887</v>
      </c>
      <c r="M180" s="13">
        <v>34.700000000000003</v>
      </c>
      <c r="N180" s="13">
        <v>71.400000000000006</v>
      </c>
      <c r="O180" s="6">
        <v>0.439</v>
      </c>
      <c r="P180" s="5" t="str">
        <f t="shared" si="23"/>
        <v>OPTIMAL (1.10-1.35)</v>
      </c>
    </row>
    <row r="181" spans="1:16" x14ac:dyDescent="0.3">
      <c r="A181" s="9" t="s">
        <v>202</v>
      </c>
      <c r="B181" s="29">
        <v>45351</v>
      </c>
      <c r="C181" s="9" t="s">
        <v>5</v>
      </c>
      <c r="D181" s="9" t="s">
        <v>21</v>
      </c>
      <c r="E181" s="14">
        <v>256.60000000000002</v>
      </c>
      <c r="F181" s="14">
        <v>3154.5</v>
      </c>
      <c r="G181" s="14">
        <v>9361.1</v>
      </c>
      <c r="H181" s="14">
        <v>147.30000000000001</v>
      </c>
      <c r="I181" s="10">
        <f t="shared" si="20"/>
        <v>12.293452844894777</v>
      </c>
      <c r="J181" s="10">
        <v>14.64</v>
      </c>
      <c r="K181" s="10">
        <f t="shared" si="21"/>
        <v>17.060270528594604</v>
      </c>
      <c r="L181" s="11">
        <f t="shared" si="22"/>
        <v>1.165319025177227</v>
      </c>
      <c r="M181" s="14">
        <v>33.6</v>
      </c>
      <c r="N181" s="14">
        <v>71.599999999999994</v>
      </c>
      <c r="O181" s="10">
        <v>0.5</v>
      </c>
      <c r="P181" s="9" t="str">
        <f t="shared" si="23"/>
        <v>OPTIMAL (1.10-1.35)</v>
      </c>
    </row>
  </sheetData>
  <autoFilter ref="A1:P181" xr:uid="{00000000-0009-0000-0000-000002000000}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K36"/>
  <sheetViews>
    <sheetView tabSelected="1" topLeftCell="D1" workbookViewId="0">
      <pane ySplit="5" topLeftCell="A6" activePane="bottomLeft" state="frozen"/>
      <selection pane="bottomLeft" activeCell="H20" sqref="H20"/>
    </sheetView>
  </sheetViews>
  <sheetFormatPr defaultRowHeight="14.4" x14ac:dyDescent="0.3"/>
  <cols>
    <col min="1" max="1" width="18" customWidth="1"/>
    <col min="2" max="2" width="20" customWidth="1"/>
    <col min="3" max="4" width="25" customWidth="1"/>
    <col min="5" max="5" width="28" customWidth="1"/>
    <col min="6" max="6" width="22" customWidth="1"/>
    <col min="7" max="7" width="29" customWidth="1"/>
    <col min="8" max="8" width="30" customWidth="1"/>
    <col min="9" max="10" width="26" customWidth="1"/>
    <col min="11" max="11" width="45.21875" customWidth="1"/>
  </cols>
  <sheetData>
    <row r="1" spans="1:11" ht="18" x14ac:dyDescent="0.35">
      <c r="A1" s="1" t="s">
        <v>203</v>
      </c>
    </row>
    <row r="2" spans="1:11" x14ac:dyDescent="0.3">
      <c r="A2" s="2" t="s">
        <v>204</v>
      </c>
    </row>
    <row r="4" spans="1:11" x14ac:dyDescent="0.3">
      <c r="A4" s="3" t="s">
        <v>205</v>
      </c>
    </row>
    <row r="5" spans="1:11" ht="29.4" thickBot="1" x14ac:dyDescent="0.35">
      <c r="A5" s="4" t="s">
        <v>206</v>
      </c>
      <c r="B5" s="4" t="s">
        <v>207</v>
      </c>
      <c r="C5" s="4" t="s">
        <v>208</v>
      </c>
      <c r="D5" s="4" t="s">
        <v>209</v>
      </c>
      <c r="E5" s="4" t="s">
        <v>210</v>
      </c>
      <c r="F5" s="4" t="s">
        <v>211</v>
      </c>
      <c r="G5" s="4" t="s">
        <v>212</v>
      </c>
      <c r="H5" s="4" t="s">
        <v>213</v>
      </c>
      <c r="I5" s="34" t="s">
        <v>214</v>
      </c>
      <c r="J5" s="34" t="s">
        <v>215</v>
      </c>
    </row>
    <row r="6" spans="1:11" x14ac:dyDescent="0.3">
      <c r="A6" s="5">
        <v>600</v>
      </c>
      <c r="B6" s="13">
        <v>600</v>
      </c>
      <c r="C6" s="13">
        <v>100</v>
      </c>
      <c r="D6" s="13">
        <v>100</v>
      </c>
      <c r="E6" s="13">
        <v>100</v>
      </c>
      <c r="F6" s="13" t="s">
        <v>0</v>
      </c>
      <c r="G6" s="13">
        <v>0</v>
      </c>
      <c r="H6" s="13">
        <v>0</v>
      </c>
      <c r="I6" s="37">
        <v>100</v>
      </c>
      <c r="J6" s="37">
        <v>100</v>
      </c>
      <c r="K6" s="39" t="s">
        <v>507</v>
      </c>
    </row>
    <row r="7" spans="1:11" x14ac:dyDescent="0.3">
      <c r="A7" s="5">
        <v>300</v>
      </c>
      <c r="B7" s="13">
        <v>450</v>
      </c>
      <c r="C7" s="13">
        <v>100</v>
      </c>
      <c r="D7" s="13">
        <v>62</v>
      </c>
      <c r="E7" s="13">
        <v>75.099999999999994</v>
      </c>
      <c r="F7" s="13">
        <f t="shared" ref="F7:F14" si="0">(C7-E7)/(E7-D7)</f>
        <v>1.9007633587786272</v>
      </c>
      <c r="G7" s="13">
        <f t="shared" ref="G7:G15" si="1">C6-C7</f>
        <v>0</v>
      </c>
      <c r="H7" s="13">
        <f t="shared" ref="H7:H15" si="2">D6-D7</f>
        <v>38</v>
      </c>
      <c r="I7" s="37">
        <f>(H7*1.9)/(G7+H7*1.9)*100</f>
        <v>100</v>
      </c>
      <c r="J7" s="37">
        <f t="shared" ref="J7:J15" si="3">MAX(0, (I7-17.86)/(100-17.86)*100)</f>
        <v>100</v>
      </c>
      <c r="K7" s="40"/>
    </row>
    <row r="8" spans="1:11" x14ac:dyDescent="0.3">
      <c r="A8" s="5">
        <v>212</v>
      </c>
      <c r="B8" s="13">
        <v>256</v>
      </c>
      <c r="C8" s="13">
        <v>96</v>
      </c>
      <c r="D8" s="13">
        <v>40</v>
      </c>
      <c r="E8" s="13">
        <v>59.3</v>
      </c>
      <c r="F8" s="13">
        <f t="shared" si="0"/>
        <v>1.901554404145078</v>
      </c>
      <c r="G8" s="13">
        <f t="shared" si="1"/>
        <v>4</v>
      </c>
      <c r="H8" s="13">
        <f t="shared" si="2"/>
        <v>22</v>
      </c>
      <c r="I8" s="37">
        <f t="shared" ref="I7:I15" si="4">(H8*1.9)/(G8+H8*1.9)*100</f>
        <v>91.266375545851531</v>
      </c>
      <c r="J8" s="37">
        <f t="shared" si="3"/>
        <v>89.367391704226364</v>
      </c>
      <c r="K8" s="40"/>
    </row>
    <row r="9" spans="1:11" x14ac:dyDescent="0.3">
      <c r="A9" s="5">
        <v>150</v>
      </c>
      <c r="B9" s="13">
        <v>181</v>
      </c>
      <c r="C9" s="13">
        <v>80</v>
      </c>
      <c r="D9" s="13">
        <v>24</v>
      </c>
      <c r="E9" s="13">
        <v>43.3</v>
      </c>
      <c r="F9" s="13">
        <f t="shared" si="0"/>
        <v>1.901554404145078</v>
      </c>
      <c r="G9" s="13">
        <f t="shared" si="1"/>
        <v>16</v>
      </c>
      <c r="H9" s="13">
        <f t="shared" si="2"/>
        <v>16</v>
      </c>
      <c r="I9" s="37">
        <f t="shared" si="4"/>
        <v>65.517241379310349</v>
      </c>
      <c r="J9" s="37">
        <f t="shared" si="3"/>
        <v>58.019529314962682</v>
      </c>
      <c r="K9" s="40"/>
    </row>
    <row r="10" spans="1:11" x14ac:dyDescent="0.3">
      <c r="A10" s="5">
        <v>106</v>
      </c>
      <c r="B10" s="13">
        <v>128</v>
      </c>
      <c r="C10" s="13">
        <v>66</v>
      </c>
      <c r="D10" s="13">
        <v>16</v>
      </c>
      <c r="E10" s="13">
        <v>33.200000000000003</v>
      </c>
      <c r="F10" s="13">
        <f t="shared" si="0"/>
        <v>1.9069767441860461</v>
      </c>
      <c r="G10" s="13">
        <f t="shared" si="1"/>
        <v>14</v>
      </c>
      <c r="H10" s="13">
        <f t="shared" si="2"/>
        <v>8</v>
      </c>
      <c r="I10" s="37">
        <f t="shared" si="4"/>
        <v>52.054794520547944</v>
      </c>
      <c r="J10" s="37">
        <f t="shared" si="3"/>
        <v>41.629893499571395</v>
      </c>
      <c r="K10" s="40"/>
    </row>
    <row r="11" spans="1:11" x14ac:dyDescent="0.3">
      <c r="A11" s="5">
        <v>75</v>
      </c>
      <c r="B11" s="13">
        <v>90.5</v>
      </c>
      <c r="C11" s="13">
        <v>52</v>
      </c>
      <c r="D11" s="13">
        <v>11</v>
      </c>
      <c r="E11" s="13">
        <v>25.1</v>
      </c>
      <c r="F11" s="13">
        <f t="shared" si="0"/>
        <v>1.9078014184397161</v>
      </c>
      <c r="G11" s="13">
        <f t="shared" si="1"/>
        <v>14</v>
      </c>
      <c r="H11" s="13">
        <f t="shared" si="2"/>
        <v>5</v>
      </c>
      <c r="I11" s="37">
        <f t="shared" si="4"/>
        <v>40.425531914893611</v>
      </c>
      <c r="J11" s="37">
        <f t="shared" si="3"/>
        <v>27.472037880318496</v>
      </c>
      <c r="K11" s="40"/>
    </row>
    <row r="12" spans="1:11" x14ac:dyDescent="0.3">
      <c r="A12" s="5">
        <v>45</v>
      </c>
      <c r="B12" s="13">
        <v>60</v>
      </c>
      <c r="C12" s="13">
        <v>36</v>
      </c>
      <c r="D12" s="13">
        <v>7</v>
      </c>
      <c r="E12" s="13">
        <v>17</v>
      </c>
      <c r="F12" s="13">
        <f t="shared" si="0"/>
        <v>1.9</v>
      </c>
      <c r="G12" s="13">
        <f t="shared" si="1"/>
        <v>16</v>
      </c>
      <c r="H12" s="13">
        <f t="shared" si="2"/>
        <v>4</v>
      </c>
      <c r="I12" s="37">
        <f t="shared" si="4"/>
        <v>32.20338983050847</v>
      </c>
      <c r="J12" s="37">
        <f t="shared" si="3"/>
        <v>17.462125432807976</v>
      </c>
      <c r="K12" s="40"/>
    </row>
    <row r="13" spans="1:11" x14ac:dyDescent="0.3">
      <c r="A13" s="5">
        <v>25</v>
      </c>
      <c r="B13" s="13">
        <v>35</v>
      </c>
      <c r="C13" s="13">
        <v>22</v>
      </c>
      <c r="D13" s="13">
        <v>4</v>
      </c>
      <c r="E13" s="13">
        <v>10.199999999999999</v>
      </c>
      <c r="F13" s="13">
        <f t="shared" si="0"/>
        <v>1.9032258064516132</v>
      </c>
      <c r="G13" s="13">
        <f t="shared" si="1"/>
        <v>14</v>
      </c>
      <c r="H13" s="13">
        <f t="shared" si="2"/>
        <v>3</v>
      </c>
      <c r="I13" s="37">
        <f t="shared" si="4"/>
        <v>28.934010152284262</v>
      </c>
      <c r="J13" s="37">
        <f t="shared" si="3"/>
        <v>13.481872598349479</v>
      </c>
      <c r="K13" s="40"/>
    </row>
    <row r="14" spans="1:11" x14ac:dyDescent="0.3">
      <c r="A14" s="5">
        <v>15</v>
      </c>
      <c r="B14" s="13">
        <v>20</v>
      </c>
      <c r="C14" s="13">
        <v>12</v>
      </c>
      <c r="D14" s="13">
        <v>2</v>
      </c>
      <c r="E14" s="13">
        <v>5.4</v>
      </c>
      <c r="F14" s="13">
        <f t="shared" si="0"/>
        <v>1.9411764705882351</v>
      </c>
      <c r="G14" s="13">
        <f t="shared" si="1"/>
        <v>10</v>
      </c>
      <c r="H14" s="13">
        <f t="shared" si="2"/>
        <v>2</v>
      </c>
      <c r="I14" s="37">
        <f t="shared" si="4"/>
        <v>27.536231884057965</v>
      </c>
      <c r="J14" s="37">
        <f t="shared" si="3"/>
        <v>11.780170299559249</v>
      </c>
      <c r="K14" s="40"/>
    </row>
    <row r="15" spans="1:11" x14ac:dyDescent="0.3">
      <c r="A15" s="5" t="s">
        <v>216</v>
      </c>
      <c r="B15" s="13">
        <v>7.5</v>
      </c>
      <c r="C15" s="13">
        <v>0</v>
      </c>
      <c r="D15" s="13">
        <v>0</v>
      </c>
      <c r="E15" s="13">
        <v>0</v>
      </c>
      <c r="F15" s="13" t="s">
        <v>0</v>
      </c>
      <c r="G15" s="13">
        <f t="shared" si="1"/>
        <v>12</v>
      </c>
      <c r="H15" s="13">
        <f t="shared" si="2"/>
        <v>2</v>
      </c>
      <c r="I15" s="37">
        <f t="shared" si="4"/>
        <v>24.050632911392402</v>
      </c>
      <c r="J15" s="37">
        <f t="shared" si="3"/>
        <v>7.5366848202975438</v>
      </c>
      <c r="K15" s="40"/>
    </row>
    <row r="17" spans="1:10" x14ac:dyDescent="0.3">
      <c r="A17" s="3" t="s">
        <v>217</v>
      </c>
    </row>
    <row r="18" spans="1:10" x14ac:dyDescent="0.3">
      <c r="A18" s="15" t="s">
        <v>218</v>
      </c>
      <c r="B18" s="3">
        <v>17.86</v>
      </c>
    </row>
    <row r="19" spans="1:10" x14ac:dyDescent="0.3">
      <c r="A19" s="15" t="s">
        <v>219</v>
      </c>
      <c r="B19" s="30">
        <v>150.51016511394229</v>
      </c>
    </row>
    <row r="20" spans="1:10" x14ac:dyDescent="0.3">
      <c r="A20" s="15" t="s">
        <v>220</v>
      </c>
      <c r="B20" s="31">
        <v>80.211689680535784</v>
      </c>
    </row>
    <row r="21" spans="1:10" x14ac:dyDescent="0.3">
      <c r="A21" s="15" t="s">
        <v>221</v>
      </c>
      <c r="B21" s="31">
        <v>215.1514784582111</v>
      </c>
    </row>
    <row r="22" spans="1:10" x14ac:dyDescent="0.3">
      <c r="A22" s="15" t="s">
        <v>222</v>
      </c>
      <c r="B22" s="16">
        <f>(B21-B20)/(2*B19)</f>
        <v>0.44827466860965981</v>
      </c>
    </row>
    <row r="23" spans="1:10" x14ac:dyDescent="0.3">
      <c r="A23" t="s">
        <v>223</v>
      </c>
      <c r="B23" s="36" t="s">
        <v>224</v>
      </c>
      <c r="C23" s="35"/>
      <c r="D23" s="35"/>
      <c r="E23" s="35"/>
      <c r="F23" s="35"/>
      <c r="G23" s="35"/>
      <c r="H23" s="35"/>
      <c r="I23" s="35"/>
      <c r="J23" s="35"/>
    </row>
    <row r="24" spans="1:10" x14ac:dyDescent="0.3">
      <c r="A24" t="s">
        <v>225</v>
      </c>
      <c r="B24" s="36" t="s">
        <v>226</v>
      </c>
      <c r="C24" s="35"/>
      <c r="D24" s="35"/>
      <c r="E24" s="35"/>
      <c r="F24" s="35"/>
      <c r="G24" s="35"/>
      <c r="H24" s="35"/>
      <c r="I24" s="35"/>
      <c r="J24" s="35"/>
    </row>
    <row r="25" spans="1:10" x14ac:dyDescent="0.3">
      <c r="A25" s="3" t="s">
        <v>227</v>
      </c>
    </row>
    <row r="26" spans="1:10" ht="28.8" x14ac:dyDescent="0.3">
      <c r="A26" s="17" t="s">
        <v>206</v>
      </c>
      <c r="B26" s="17" t="s">
        <v>207</v>
      </c>
      <c r="C26" s="17" t="s">
        <v>208</v>
      </c>
      <c r="D26" s="17" t="s">
        <v>209</v>
      </c>
      <c r="E26" s="17" t="s">
        <v>210</v>
      </c>
      <c r="F26" s="17" t="s">
        <v>211</v>
      </c>
      <c r="G26" s="17" t="s">
        <v>212</v>
      </c>
      <c r="H26" s="17" t="s">
        <v>213</v>
      </c>
      <c r="I26" s="38" t="s">
        <v>214</v>
      </c>
      <c r="J26" s="38" t="s">
        <v>215</v>
      </c>
    </row>
    <row r="27" spans="1:10" x14ac:dyDescent="0.3">
      <c r="A27" s="5">
        <v>600</v>
      </c>
      <c r="B27" s="13">
        <v>600</v>
      </c>
      <c r="C27" s="13">
        <v>100</v>
      </c>
      <c r="D27" s="13">
        <v>100</v>
      </c>
      <c r="E27" s="13">
        <v>100</v>
      </c>
      <c r="F27" s="13" t="s">
        <v>0</v>
      </c>
      <c r="G27" s="13">
        <v>0</v>
      </c>
      <c r="H27" s="13">
        <v>0</v>
      </c>
      <c r="I27" s="37">
        <v>100</v>
      </c>
      <c r="J27" s="37">
        <v>100</v>
      </c>
    </row>
    <row r="28" spans="1:10" x14ac:dyDescent="0.3">
      <c r="A28" s="5">
        <v>300</v>
      </c>
      <c r="B28" s="13">
        <v>450</v>
      </c>
      <c r="C28" s="13">
        <v>99.5</v>
      </c>
      <c r="D28" s="13">
        <v>78</v>
      </c>
      <c r="E28" s="13">
        <v>84.8</v>
      </c>
      <c r="F28" s="13">
        <f t="shared" ref="F28:F35" si="5">(C28-E28)/(E28-D28)</f>
        <v>2.1617647058823541</v>
      </c>
      <c r="G28" s="13">
        <f t="shared" ref="G28:G36" si="6">C27-C28</f>
        <v>0.5</v>
      </c>
      <c r="H28" s="13">
        <f t="shared" ref="H28:H36" si="7">D27-D28</f>
        <v>22</v>
      </c>
      <c r="I28" s="37">
        <f t="shared" ref="I28:I36" si="8">(H28*2.5)/(G28+H28*2.5)*100</f>
        <v>99.099099099099092</v>
      </c>
      <c r="J28" s="37">
        <f t="shared" ref="J28:J36" si="9">MAX(0, (I28-28.5)/(100-28.5)*100)</f>
        <v>98.73999873999874</v>
      </c>
    </row>
    <row r="29" spans="1:10" x14ac:dyDescent="0.3">
      <c r="A29" s="5">
        <v>212</v>
      </c>
      <c r="B29" s="13">
        <v>256</v>
      </c>
      <c r="C29" s="13">
        <v>92</v>
      </c>
      <c r="D29" s="13">
        <v>58</v>
      </c>
      <c r="E29" s="13">
        <v>68.7</v>
      </c>
      <c r="F29" s="13">
        <f t="shared" si="5"/>
        <v>2.1775700934579429</v>
      </c>
      <c r="G29" s="13">
        <f t="shared" si="6"/>
        <v>7.5</v>
      </c>
      <c r="H29" s="13">
        <f t="shared" si="7"/>
        <v>20</v>
      </c>
      <c r="I29" s="37">
        <f t="shared" si="8"/>
        <v>86.956521739130437</v>
      </c>
      <c r="J29" s="37">
        <f t="shared" si="9"/>
        <v>81.757373061720898</v>
      </c>
    </row>
    <row r="30" spans="1:10" x14ac:dyDescent="0.3">
      <c r="A30" s="5">
        <v>150</v>
      </c>
      <c r="B30" s="13">
        <v>181</v>
      </c>
      <c r="C30" s="13">
        <v>72</v>
      </c>
      <c r="D30" s="13">
        <v>42</v>
      </c>
      <c r="E30" s="13">
        <v>51.5</v>
      </c>
      <c r="F30" s="13">
        <f t="shared" si="5"/>
        <v>2.1578947368421053</v>
      </c>
      <c r="G30" s="13">
        <f t="shared" si="6"/>
        <v>20</v>
      </c>
      <c r="H30" s="13">
        <f t="shared" si="7"/>
        <v>16</v>
      </c>
      <c r="I30" s="37">
        <f t="shared" si="8"/>
        <v>66.666666666666657</v>
      </c>
      <c r="J30" s="37">
        <f t="shared" si="9"/>
        <v>53.379953379953371</v>
      </c>
    </row>
    <row r="31" spans="1:10" x14ac:dyDescent="0.3">
      <c r="A31" s="5">
        <v>106</v>
      </c>
      <c r="B31" s="13">
        <v>128</v>
      </c>
      <c r="C31" s="13">
        <v>55</v>
      </c>
      <c r="D31" s="13">
        <v>30</v>
      </c>
      <c r="E31" s="13">
        <v>37.9</v>
      </c>
      <c r="F31" s="13">
        <f t="shared" si="5"/>
        <v>2.1645569620253169</v>
      </c>
      <c r="G31" s="13">
        <f t="shared" si="6"/>
        <v>17</v>
      </c>
      <c r="H31" s="13">
        <f t="shared" si="7"/>
        <v>12</v>
      </c>
      <c r="I31" s="37">
        <f t="shared" si="8"/>
        <v>63.829787234042556</v>
      </c>
      <c r="J31" s="37">
        <f t="shared" si="9"/>
        <v>49.412289837821753</v>
      </c>
    </row>
    <row r="32" spans="1:10" x14ac:dyDescent="0.3">
      <c r="A32" s="5">
        <v>75</v>
      </c>
      <c r="B32" s="13">
        <v>90.5</v>
      </c>
      <c r="C32" s="13">
        <v>41</v>
      </c>
      <c r="D32" s="13">
        <v>22</v>
      </c>
      <c r="E32" s="13">
        <v>28</v>
      </c>
      <c r="F32" s="13">
        <f t="shared" si="5"/>
        <v>2.1666666666666665</v>
      </c>
      <c r="G32" s="13">
        <f t="shared" si="6"/>
        <v>14</v>
      </c>
      <c r="H32" s="13">
        <f t="shared" si="7"/>
        <v>8</v>
      </c>
      <c r="I32" s="37">
        <f t="shared" si="8"/>
        <v>58.82352941176471</v>
      </c>
      <c r="J32" s="37">
        <f t="shared" si="9"/>
        <v>42.410530645824771</v>
      </c>
    </row>
    <row r="33" spans="1:10" x14ac:dyDescent="0.3">
      <c r="A33" s="5">
        <v>45</v>
      </c>
      <c r="B33" s="13">
        <v>60</v>
      </c>
      <c r="C33" s="13">
        <v>27</v>
      </c>
      <c r="D33" s="13">
        <v>14</v>
      </c>
      <c r="E33" s="13">
        <v>18.100000000000001</v>
      </c>
      <c r="F33" s="13">
        <f t="shared" si="5"/>
        <v>2.170731707317072</v>
      </c>
      <c r="G33" s="13">
        <f t="shared" si="6"/>
        <v>14</v>
      </c>
      <c r="H33" s="13">
        <f t="shared" si="7"/>
        <v>8</v>
      </c>
      <c r="I33" s="37">
        <f t="shared" si="8"/>
        <v>58.82352941176471</v>
      </c>
      <c r="J33" s="37">
        <f t="shared" si="9"/>
        <v>42.410530645824771</v>
      </c>
    </row>
    <row r="34" spans="1:10" x14ac:dyDescent="0.3">
      <c r="A34" s="5">
        <v>25</v>
      </c>
      <c r="B34" s="13">
        <v>35</v>
      </c>
      <c r="C34" s="13">
        <v>16</v>
      </c>
      <c r="D34" s="13">
        <v>9</v>
      </c>
      <c r="E34" s="13">
        <v>11.2</v>
      </c>
      <c r="F34" s="13">
        <f t="shared" si="5"/>
        <v>2.181818181818183</v>
      </c>
      <c r="G34" s="13">
        <f t="shared" si="6"/>
        <v>11</v>
      </c>
      <c r="H34" s="13">
        <f t="shared" si="7"/>
        <v>5</v>
      </c>
      <c r="I34" s="37">
        <f t="shared" si="8"/>
        <v>53.191489361702125</v>
      </c>
      <c r="J34" s="37">
        <f t="shared" si="9"/>
        <v>34.533551554828144</v>
      </c>
    </row>
    <row r="35" spans="1:10" x14ac:dyDescent="0.3">
      <c r="A35" s="5">
        <v>15</v>
      </c>
      <c r="B35" s="13">
        <v>20</v>
      </c>
      <c r="C35" s="13">
        <v>8</v>
      </c>
      <c r="D35" s="13">
        <v>5</v>
      </c>
      <c r="E35" s="13">
        <v>6</v>
      </c>
      <c r="F35" s="13">
        <f t="shared" si="5"/>
        <v>2</v>
      </c>
      <c r="G35" s="13">
        <f t="shared" si="6"/>
        <v>8</v>
      </c>
      <c r="H35" s="13">
        <f t="shared" si="7"/>
        <v>4</v>
      </c>
      <c r="I35" s="37">
        <f t="shared" si="8"/>
        <v>55.555555555555557</v>
      </c>
      <c r="J35" s="37">
        <f t="shared" si="9"/>
        <v>37.839937839937846</v>
      </c>
    </row>
    <row r="36" spans="1:10" x14ac:dyDescent="0.3">
      <c r="A36" s="5" t="s">
        <v>216</v>
      </c>
      <c r="B36" s="13">
        <v>7.5</v>
      </c>
      <c r="C36" s="13">
        <v>0</v>
      </c>
      <c r="D36" s="13">
        <v>0</v>
      </c>
      <c r="E36" s="13">
        <v>0</v>
      </c>
      <c r="F36" s="13" t="s">
        <v>0</v>
      </c>
      <c r="G36" s="13">
        <f t="shared" si="6"/>
        <v>8</v>
      </c>
      <c r="H36" s="13">
        <f t="shared" si="7"/>
        <v>5</v>
      </c>
      <c r="I36" s="37">
        <f t="shared" si="8"/>
        <v>60.975609756097562</v>
      </c>
      <c r="J36" s="37">
        <f t="shared" si="9"/>
        <v>45.420433225311271</v>
      </c>
    </row>
  </sheetData>
  <mergeCells count="3">
    <mergeCell ref="B23:J23"/>
    <mergeCell ref="B24:J24"/>
    <mergeCell ref="K6:K15"/>
  </mergeCells>
  <phoneticPr fontId="6" type="noConversion"/>
  <pageMargins left="0.75" right="0.75" top="1" bottom="1" header="0.5" footer="0.5"/>
  <pageSetup orientation="portrait" r:id="rId1"/>
  <drawing r:id="rId2"/>
  <tableParts count="2">
    <tablePart r:id="rId3"/>
    <tablePart r:id="rId4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R251"/>
  <sheetViews>
    <sheetView workbookViewId="0">
      <pane ySplit="1" topLeftCell="A2" activePane="bottomLeft" state="frozen"/>
      <selection pane="bottomLeft"/>
    </sheetView>
  </sheetViews>
  <sheetFormatPr defaultRowHeight="14.4" x14ac:dyDescent="0.3"/>
  <cols>
    <col min="1" max="1" width="15" customWidth="1"/>
    <col min="2" max="2" width="18" customWidth="1"/>
    <col min="3" max="3" width="11" customWidth="1"/>
    <col min="4" max="4" width="20" customWidth="1"/>
    <col min="5" max="5" width="16" customWidth="1"/>
    <col min="6" max="6" width="24" customWidth="1"/>
    <col min="7" max="7" width="22" customWidth="1"/>
    <col min="8" max="8" width="23" customWidth="1"/>
    <col min="9" max="9" width="24" customWidth="1"/>
    <col min="10" max="10" width="28" customWidth="1"/>
    <col min="11" max="11" width="18" customWidth="1"/>
    <col min="12" max="12" width="19" customWidth="1"/>
    <col min="13" max="13" width="21" customWidth="1"/>
    <col min="14" max="14" width="32" customWidth="1"/>
    <col min="15" max="15" width="28" customWidth="1"/>
    <col min="16" max="16" width="27" customWidth="1"/>
    <col min="17" max="17" width="30" customWidth="1"/>
    <col min="18" max="18" width="45" customWidth="1"/>
  </cols>
  <sheetData>
    <row r="1" spans="1:18" x14ac:dyDescent="0.3">
      <c r="A1" s="4" t="s">
        <v>228</v>
      </c>
      <c r="B1" s="4" t="s">
        <v>229</v>
      </c>
      <c r="C1" s="4" t="s">
        <v>2</v>
      </c>
      <c r="D1" s="4" t="s">
        <v>8</v>
      </c>
      <c r="E1" s="4" t="s">
        <v>230</v>
      </c>
      <c r="F1" s="4" t="s">
        <v>17</v>
      </c>
      <c r="G1" s="4" t="s">
        <v>231</v>
      </c>
      <c r="H1" s="4" t="s">
        <v>232</v>
      </c>
      <c r="I1" s="4" t="s">
        <v>233</v>
      </c>
      <c r="J1" s="4" t="s">
        <v>234</v>
      </c>
      <c r="K1" s="4" t="s">
        <v>235</v>
      </c>
      <c r="L1" s="4" t="s">
        <v>236</v>
      </c>
      <c r="M1" s="4" t="s">
        <v>237</v>
      </c>
      <c r="N1" s="4" t="s">
        <v>238</v>
      </c>
      <c r="O1" s="4" t="s">
        <v>239</v>
      </c>
      <c r="P1" s="4" t="s">
        <v>240</v>
      </c>
      <c r="Q1" s="4" t="s">
        <v>241</v>
      </c>
      <c r="R1" s="4" t="s">
        <v>242</v>
      </c>
    </row>
    <row r="2" spans="1:18" x14ac:dyDescent="0.3">
      <c r="A2" s="5" t="s">
        <v>243</v>
      </c>
      <c r="B2" s="32">
        <v>45323.25</v>
      </c>
      <c r="C2" s="5" t="s">
        <v>3</v>
      </c>
      <c r="D2" s="13">
        <v>257.8</v>
      </c>
      <c r="E2" s="13">
        <v>3061.2</v>
      </c>
      <c r="F2" s="13">
        <v>71.599999999999994</v>
      </c>
      <c r="G2" s="13">
        <v>44.7</v>
      </c>
      <c r="H2" s="13">
        <v>98</v>
      </c>
      <c r="I2" s="18">
        <v>6</v>
      </c>
      <c r="J2" s="5" t="s">
        <v>244</v>
      </c>
      <c r="K2" s="13">
        <v>147.1</v>
      </c>
      <c r="L2" s="13">
        <v>67.400000000000006</v>
      </c>
      <c r="M2" s="13">
        <v>12.3</v>
      </c>
      <c r="N2" s="19">
        <v>1704</v>
      </c>
      <c r="O2" s="13">
        <v>4.5999999999999996</v>
      </c>
      <c r="P2" s="6">
        <v>8.6</v>
      </c>
      <c r="Q2" s="5" t="s">
        <v>245</v>
      </c>
      <c r="R2" s="8" t="s">
        <v>246</v>
      </c>
    </row>
    <row r="3" spans="1:18" x14ac:dyDescent="0.3">
      <c r="A3" s="9" t="s">
        <v>247</v>
      </c>
      <c r="B3" s="33">
        <v>45323.333333333343</v>
      </c>
      <c r="C3" s="9" t="s">
        <v>3</v>
      </c>
      <c r="D3" s="14">
        <v>248.7</v>
      </c>
      <c r="E3" s="14">
        <v>3087</v>
      </c>
      <c r="F3" s="14">
        <v>71.400000000000006</v>
      </c>
      <c r="G3" s="14">
        <v>45.1</v>
      </c>
      <c r="H3" s="14">
        <v>113.3</v>
      </c>
      <c r="I3" s="20">
        <v>6</v>
      </c>
      <c r="J3" s="9" t="s">
        <v>244</v>
      </c>
      <c r="K3" s="14">
        <v>145.5</v>
      </c>
      <c r="L3" s="14">
        <v>70</v>
      </c>
      <c r="M3" s="14">
        <v>11.4</v>
      </c>
      <c r="N3" s="21">
        <v>1725</v>
      </c>
      <c r="O3" s="14">
        <v>4.5</v>
      </c>
      <c r="P3" s="10">
        <v>8.3000000000000007</v>
      </c>
      <c r="Q3" s="9" t="s">
        <v>245</v>
      </c>
      <c r="R3" s="12" t="s">
        <v>246</v>
      </c>
    </row>
    <row r="4" spans="1:18" x14ac:dyDescent="0.3">
      <c r="A4" s="5" t="s">
        <v>248</v>
      </c>
      <c r="B4" s="32">
        <v>45323.416666666657</v>
      </c>
      <c r="C4" s="5" t="s">
        <v>3</v>
      </c>
      <c r="D4" s="13">
        <v>245.6</v>
      </c>
      <c r="E4" s="13">
        <v>3141.7</v>
      </c>
      <c r="F4" s="13">
        <v>72.400000000000006</v>
      </c>
      <c r="G4" s="13">
        <v>45</v>
      </c>
      <c r="H4" s="13">
        <v>97.3</v>
      </c>
      <c r="I4" s="18">
        <v>6</v>
      </c>
      <c r="J4" s="5" t="s">
        <v>244</v>
      </c>
      <c r="K4" s="13">
        <v>144.30000000000001</v>
      </c>
      <c r="L4" s="13">
        <v>69</v>
      </c>
      <c r="M4" s="13">
        <v>12.6</v>
      </c>
      <c r="N4" s="19">
        <v>1655</v>
      </c>
      <c r="O4" s="13">
        <v>4.5</v>
      </c>
      <c r="P4" s="6">
        <v>8.59</v>
      </c>
      <c r="Q4" s="5" t="s">
        <v>245</v>
      </c>
      <c r="R4" s="8" t="s">
        <v>246</v>
      </c>
    </row>
    <row r="5" spans="1:18" x14ac:dyDescent="0.3">
      <c r="A5" s="9" t="s">
        <v>249</v>
      </c>
      <c r="B5" s="33">
        <v>45323.5</v>
      </c>
      <c r="C5" s="9" t="s">
        <v>3</v>
      </c>
      <c r="D5" s="14">
        <v>253.2</v>
      </c>
      <c r="E5" s="14">
        <v>3023.1</v>
      </c>
      <c r="F5" s="14">
        <v>71.7</v>
      </c>
      <c r="G5" s="14">
        <v>44.9</v>
      </c>
      <c r="H5" s="14">
        <v>109.2</v>
      </c>
      <c r="I5" s="20">
        <v>6</v>
      </c>
      <c r="J5" s="9" t="s">
        <v>244</v>
      </c>
      <c r="K5" s="14">
        <v>147.4</v>
      </c>
      <c r="L5" s="14">
        <v>69.400000000000006</v>
      </c>
      <c r="M5" s="14">
        <v>11.9</v>
      </c>
      <c r="N5" s="21">
        <v>1653</v>
      </c>
      <c r="O5" s="14">
        <v>4.7</v>
      </c>
      <c r="P5" s="10">
        <v>8.8000000000000007</v>
      </c>
      <c r="Q5" s="9" t="s">
        <v>245</v>
      </c>
      <c r="R5" s="12" t="s">
        <v>246</v>
      </c>
    </row>
    <row r="6" spans="1:18" x14ac:dyDescent="0.3">
      <c r="A6" s="5" t="s">
        <v>250</v>
      </c>
      <c r="B6" s="32">
        <v>45323.583333333343</v>
      </c>
      <c r="C6" s="5" t="s">
        <v>4</v>
      </c>
      <c r="D6" s="13">
        <v>258.39999999999998</v>
      </c>
      <c r="E6" s="13">
        <v>3124.9</v>
      </c>
      <c r="F6" s="13">
        <v>72.099999999999994</v>
      </c>
      <c r="G6" s="13">
        <v>45.1</v>
      </c>
      <c r="H6" s="13">
        <v>102.2</v>
      </c>
      <c r="I6" s="18">
        <v>6</v>
      </c>
      <c r="J6" s="5" t="s">
        <v>244</v>
      </c>
      <c r="K6" s="13">
        <v>144.5</v>
      </c>
      <c r="L6" s="13">
        <v>71</v>
      </c>
      <c r="M6" s="13">
        <v>11.7</v>
      </c>
      <c r="N6" s="19">
        <v>1776</v>
      </c>
      <c r="O6" s="13">
        <v>4.7</v>
      </c>
      <c r="P6" s="6">
        <v>8.8699999999999992</v>
      </c>
      <c r="Q6" s="5" t="s">
        <v>245</v>
      </c>
      <c r="R6" s="8" t="s">
        <v>246</v>
      </c>
    </row>
    <row r="7" spans="1:18" x14ac:dyDescent="0.3">
      <c r="A7" s="9" t="s">
        <v>251</v>
      </c>
      <c r="B7" s="33">
        <v>45323.666666666657</v>
      </c>
      <c r="C7" s="9" t="s">
        <v>4</v>
      </c>
      <c r="D7" s="14">
        <v>241.6</v>
      </c>
      <c r="E7" s="14">
        <v>3120.5</v>
      </c>
      <c r="F7" s="14">
        <v>71.400000000000006</v>
      </c>
      <c r="G7" s="14">
        <v>43.7</v>
      </c>
      <c r="H7" s="14">
        <v>106.1</v>
      </c>
      <c r="I7" s="20">
        <v>6</v>
      </c>
      <c r="J7" s="9" t="s">
        <v>244</v>
      </c>
      <c r="K7" s="14">
        <v>148.5</v>
      </c>
      <c r="L7" s="14">
        <v>67.2</v>
      </c>
      <c r="M7" s="14">
        <v>11.3</v>
      </c>
      <c r="N7" s="21">
        <v>1716</v>
      </c>
      <c r="O7" s="14">
        <v>4.8</v>
      </c>
      <c r="P7" s="10">
        <v>8.7100000000000009</v>
      </c>
      <c r="Q7" s="9" t="s">
        <v>245</v>
      </c>
      <c r="R7" s="12" t="s">
        <v>246</v>
      </c>
    </row>
    <row r="8" spans="1:18" x14ac:dyDescent="0.3">
      <c r="A8" s="5" t="s">
        <v>252</v>
      </c>
      <c r="B8" s="32">
        <v>45323.75</v>
      </c>
      <c r="C8" s="5" t="s">
        <v>4</v>
      </c>
      <c r="D8" s="13">
        <v>255.7</v>
      </c>
      <c r="E8" s="13">
        <v>3097.9</v>
      </c>
      <c r="F8" s="13">
        <v>72.900000000000006</v>
      </c>
      <c r="G8" s="13">
        <v>45</v>
      </c>
      <c r="H8" s="13">
        <v>103.3</v>
      </c>
      <c r="I8" s="18">
        <v>6</v>
      </c>
      <c r="J8" s="5" t="s">
        <v>244</v>
      </c>
      <c r="K8" s="13">
        <v>139.4</v>
      </c>
      <c r="L8" s="13">
        <v>68.099999999999994</v>
      </c>
      <c r="M8" s="13">
        <v>12.2</v>
      </c>
      <c r="N8" s="19">
        <v>1753</v>
      </c>
      <c r="O8" s="13">
        <v>4.9000000000000004</v>
      </c>
      <c r="P8" s="6">
        <v>8.36</v>
      </c>
      <c r="Q8" s="5" t="s">
        <v>245</v>
      </c>
      <c r="R8" s="8" t="s">
        <v>246</v>
      </c>
    </row>
    <row r="9" spans="1:18" x14ac:dyDescent="0.3">
      <c r="A9" s="9" t="s">
        <v>253</v>
      </c>
      <c r="B9" s="33">
        <v>45323.833333333343</v>
      </c>
      <c r="C9" s="9" t="s">
        <v>4</v>
      </c>
      <c r="D9" s="14">
        <v>251</v>
      </c>
      <c r="E9" s="14">
        <v>3123.5</v>
      </c>
      <c r="F9" s="14">
        <v>72.7</v>
      </c>
      <c r="G9" s="14">
        <v>45.5</v>
      </c>
      <c r="H9" s="14">
        <v>108.8</v>
      </c>
      <c r="I9" s="20">
        <v>6</v>
      </c>
      <c r="J9" s="9" t="s">
        <v>244</v>
      </c>
      <c r="K9" s="14">
        <v>145.19999999999999</v>
      </c>
      <c r="L9" s="14">
        <v>69.099999999999994</v>
      </c>
      <c r="M9" s="14">
        <v>13.5</v>
      </c>
      <c r="N9" s="21">
        <v>1673</v>
      </c>
      <c r="O9" s="14">
        <v>4.7</v>
      </c>
      <c r="P9" s="10">
        <v>8.4499999999999993</v>
      </c>
      <c r="Q9" s="9" t="s">
        <v>245</v>
      </c>
      <c r="R9" s="12" t="s">
        <v>246</v>
      </c>
    </row>
    <row r="10" spans="1:18" x14ac:dyDescent="0.3">
      <c r="A10" s="5" t="s">
        <v>254</v>
      </c>
      <c r="B10" s="32">
        <v>45323.916666666657</v>
      </c>
      <c r="C10" s="5" t="s">
        <v>5</v>
      </c>
      <c r="D10" s="13">
        <v>252.3</v>
      </c>
      <c r="E10" s="13">
        <v>3143.1</v>
      </c>
      <c r="F10" s="13">
        <v>71.400000000000006</v>
      </c>
      <c r="G10" s="13">
        <v>42.9</v>
      </c>
      <c r="H10" s="13">
        <v>102.9</v>
      </c>
      <c r="I10" s="18">
        <v>6</v>
      </c>
      <c r="J10" s="5" t="s">
        <v>244</v>
      </c>
      <c r="K10" s="13">
        <v>148.19999999999999</v>
      </c>
      <c r="L10" s="13">
        <v>69.3</v>
      </c>
      <c r="M10" s="13">
        <v>12.8</v>
      </c>
      <c r="N10" s="19">
        <v>1710</v>
      </c>
      <c r="O10" s="13">
        <v>4.4000000000000004</v>
      </c>
      <c r="P10" s="6">
        <v>8.6999999999999993</v>
      </c>
      <c r="Q10" s="5" t="s">
        <v>245</v>
      </c>
      <c r="R10" s="8" t="s">
        <v>246</v>
      </c>
    </row>
    <row r="11" spans="1:18" x14ac:dyDescent="0.3">
      <c r="A11" s="9" t="s">
        <v>255</v>
      </c>
      <c r="B11" s="33">
        <v>45324</v>
      </c>
      <c r="C11" s="9" t="s">
        <v>5</v>
      </c>
      <c r="D11" s="14">
        <v>245</v>
      </c>
      <c r="E11" s="14">
        <v>3176.4</v>
      </c>
      <c r="F11" s="14">
        <v>72.099999999999994</v>
      </c>
      <c r="G11" s="14">
        <v>44.3</v>
      </c>
      <c r="H11" s="14">
        <v>101.9</v>
      </c>
      <c r="I11" s="20">
        <v>6</v>
      </c>
      <c r="J11" s="9" t="s">
        <v>244</v>
      </c>
      <c r="K11" s="14">
        <v>144.69999999999999</v>
      </c>
      <c r="L11" s="14">
        <v>68.099999999999994</v>
      </c>
      <c r="M11" s="14">
        <v>13.4</v>
      </c>
      <c r="N11" s="21">
        <v>1726</v>
      </c>
      <c r="O11" s="14">
        <v>4.5999999999999996</v>
      </c>
      <c r="P11" s="10">
        <v>8.98</v>
      </c>
      <c r="Q11" s="9" t="s">
        <v>245</v>
      </c>
      <c r="R11" s="12" t="s">
        <v>246</v>
      </c>
    </row>
    <row r="12" spans="1:18" x14ac:dyDescent="0.3">
      <c r="A12" s="5" t="s">
        <v>256</v>
      </c>
      <c r="B12" s="32">
        <v>45324.083333333343</v>
      </c>
      <c r="C12" s="5" t="s">
        <v>5</v>
      </c>
      <c r="D12" s="13">
        <v>250.3</v>
      </c>
      <c r="E12" s="13">
        <v>3126.9</v>
      </c>
      <c r="F12" s="13">
        <v>71.400000000000006</v>
      </c>
      <c r="G12" s="13">
        <v>45.1</v>
      </c>
      <c r="H12" s="13">
        <v>106.6</v>
      </c>
      <c r="I12" s="18">
        <v>6</v>
      </c>
      <c r="J12" s="5" t="s">
        <v>244</v>
      </c>
      <c r="K12" s="13">
        <v>138.4</v>
      </c>
      <c r="L12" s="13">
        <v>71.5</v>
      </c>
      <c r="M12" s="13">
        <v>13.5</v>
      </c>
      <c r="N12" s="19">
        <v>1706</v>
      </c>
      <c r="O12" s="13">
        <v>4.5</v>
      </c>
      <c r="P12" s="6">
        <v>8.67</v>
      </c>
      <c r="Q12" s="5" t="s">
        <v>245</v>
      </c>
      <c r="R12" s="8" t="s">
        <v>246</v>
      </c>
    </row>
    <row r="13" spans="1:18" x14ac:dyDescent="0.3">
      <c r="A13" s="9" t="s">
        <v>257</v>
      </c>
      <c r="B13" s="33">
        <v>45324.166666666657</v>
      </c>
      <c r="C13" s="9" t="s">
        <v>5</v>
      </c>
      <c r="D13" s="14">
        <v>250.5</v>
      </c>
      <c r="E13" s="14">
        <v>3112.4</v>
      </c>
      <c r="F13" s="14">
        <v>71.900000000000006</v>
      </c>
      <c r="G13" s="14">
        <v>45.2</v>
      </c>
      <c r="H13" s="14">
        <v>112.2</v>
      </c>
      <c r="I13" s="20">
        <v>6</v>
      </c>
      <c r="J13" s="9" t="s">
        <v>244</v>
      </c>
      <c r="K13" s="14">
        <v>147</v>
      </c>
      <c r="L13" s="14">
        <v>66.900000000000006</v>
      </c>
      <c r="M13" s="14">
        <v>13.6</v>
      </c>
      <c r="N13" s="21">
        <v>1777</v>
      </c>
      <c r="O13" s="14">
        <v>5.7</v>
      </c>
      <c r="P13" s="10">
        <v>8.3800000000000008</v>
      </c>
      <c r="Q13" s="9" t="s">
        <v>245</v>
      </c>
      <c r="R13" s="12" t="s">
        <v>246</v>
      </c>
    </row>
    <row r="14" spans="1:18" x14ac:dyDescent="0.3">
      <c r="A14" s="5" t="s">
        <v>258</v>
      </c>
      <c r="B14" s="32">
        <v>45324.25</v>
      </c>
      <c r="C14" s="5" t="s">
        <v>3</v>
      </c>
      <c r="D14" s="13">
        <v>251.5</v>
      </c>
      <c r="E14" s="13">
        <v>3027.1</v>
      </c>
      <c r="F14" s="13">
        <v>72.099999999999994</v>
      </c>
      <c r="G14" s="13">
        <v>44.4</v>
      </c>
      <c r="H14" s="13">
        <v>114.6</v>
      </c>
      <c r="I14" s="18">
        <v>6</v>
      </c>
      <c r="J14" s="5" t="s">
        <v>244</v>
      </c>
      <c r="K14" s="13">
        <v>142.30000000000001</v>
      </c>
      <c r="L14" s="13">
        <v>66</v>
      </c>
      <c r="M14" s="13">
        <v>12.1</v>
      </c>
      <c r="N14" s="19">
        <v>1650</v>
      </c>
      <c r="O14" s="13">
        <v>5</v>
      </c>
      <c r="P14" s="6">
        <v>8.19</v>
      </c>
      <c r="Q14" s="5" t="s">
        <v>245</v>
      </c>
      <c r="R14" s="8" t="s">
        <v>246</v>
      </c>
    </row>
    <row r="15" spans="1:18" x14ac:dyDescent="0.3">
      <c r="A15" s="9" t="s">
        <v>259</v>
      </c>
      <c r="B15" s="33">
        <v>45324.333333333343</v>
      </c>
      <c r="C15" s="9" t="s">
        <v>3</v>
      </c>
      <c r="D15" s="14">
        <v>250.2</v>
      </c>
      <c r="E15" s="14">
        <v>3027.3</v>
      </c>
      <c r="F15" s="14">
        <v>71.599999999999994</v>
      </c>
      <c r="G15" s="14">
        <v>46.1</v>
      </c>
      <c r="H15" s="14">
        <v>106.8</v>
      </c>
      <c r="I15" s="20">
        <v>6</v>
      </c>
      <c r="J15" s="9" t="s">
        <v>244</v>
      </c>
      <c r="K15" s="14">
        <v>142</v>
      </c>
      <c r="L15" s="14">
        <v>68.5</v>
      </c>
      <c r="M15" s="14">
        <v>12.5</v>
      </c>
      <c r="N15" s="21">
        <v>1736</v>
      </c>
      <c r="O15" s="14">
        <v>4.4000000000000004</v>
      </c>
      <c r="P15" s="10">
        <v>8.7200000000000006</v>
      </c>
      <c r="Q15" s="9" t="s">
        <v>245</v>
      </c>
      <c r="R15" s="12" t="s">
        <v>246</v>
      </c>
    </row>
    <row r="16" spans="1:18" x14ac:dyDescent="0.3">
      <c r="A16" s="5" t="s">
        <v>260</v>
      </c>
      <c r="B16" s="32">
        <v>45324.416666666657</v>
      </c>
      <c r="C16" s="5" t="s">
        <v>3</v>
      </c>
      <c r="D16" s="13">
        <v>233.8</v>
      </c>
      <c r="E16" s="13">
        <v>3078</v>
      </c>
      <c r="F16" s="13">
        <v>71.5</v>
      </c>
      <c r="G16" s="13">
        <v>45.3</v>
      </c>
      <c r="H16" s="13">
        <v>105.1</v>
      </c>
      <c r="I16" s="18">
        <v>6</v>
      </c>
      <c r="J16" s="5" t="s">
        <v>244</v>
      </c>
      <c r="K16" s="13">
        <v>140.1</v>
      </c>
      <c r="L16" s="13">
        <v>67</v>
      </c>
      <c r="M16" s="13">
        <v>12.7</v>
      </c>
      <c r="N16" s="19">
        <v>1717</v>
      </c>
      <c r="O16" s="13">
        <v>4.5999999999999996</v>
      </c>
      <c r="P16" s="6">
        <v>8.5</v>
      </c>
      <c r="Q16" s="5" t="s">
        <v>245</v>
      </c>
      <c r="R16" s="8" t="s">
        <v>246</v>
      </c>
    </row>
    <row r="17" spans="1:18" x14ac:dyDescent="0.3">
      <c r="A17" s="9" t="s">
        <v>261</v>
      </c>
      <c r="B17" s="33">
        <v>45324.5</v>
      </c>
      <c r="C17" s="9" t="s">
        <v>3</v>
      </c>
      <c r="D17" s="14">
        <v>254.2</v>
      </c>
      <c r="E17" s="14">
        <v>3081.9</v>
      </c>
      <c r="F17" s="14">
        <v>71.7</v>
      </c>
      <c r="G17" s="14">
        <v>46.5</v>
      </c>
      <c r="H17" s="14">
        <v>97.9</v>
      </c>
      <c r="I17" s="20">
        <v>6</v>
      </c>
      <c r="J17" s="9" t="s">
        <v>244</v>
      </c>
      <c r="K17" s="14">
        <v>138.5</v>
      </c>
      <c r="L17" s="14">
        <v>69.7</v>
      </c>
      <c r="M17" s="14">
        <v>12</v>
      </c>
      <c r="N17" s="21">
        <v>1708</v>
      </c>
      <c r="O17" s="14">
        <v>4.5999999999999996</v>
      </c>
      <c r="P17" s="10">
        <v>8.5500000000000007</v>
      </c>
      <c r="Q17" s="9" t="s">
        <v>245</v>
      </c>
      <c r="R17" s="12" t="s">
        <v>246</v>
      </c>
    </row>
    <row r="18" spans="1:18" x14ac:dyDescent="0.3">
      <c r="A18" s="5" t="s">
        <v>262</v>
      </c>
      <c r="B18" s="32">
        <v>45324.583333333343</v>
      </c>
      <c r="C18" s="5" t="s">
        <v>4</v>
      </c>
      <c r="D18" s="13">
        <v>259.60000000000002</v>
      </c>
      <c r="E18" s="13">
        <v>3128.1</v>
      </c>
      <c r="F18" s="13">
        <v>72.3</v>
      </c>
      <c r="G18" s="13">
        <v>43.7</v>
      </c>
      <c r="H18" s="13">
        <v>99.2</v>
      </c>
      <c r="I18" s="18">
        <v>6</v>
      </c>
      <c r="J18" s="5" t="s">
        <v>244</v>
      </c>
      <c r="K18" s="13">
        <v>135.1</v>
      </c>
      <c r="L18" s="13">
        <v>67.3</v>
      </c>
      <c r="M18" s="13">
        <v>13.3</v>
      </c>
      <c r="N18" s="19">
        <v>1738</v>
      </c>
      <c r="O18" s="13">
        <v>4.7</v>
      </c>
      <c r="P18" s="6">
        <v>8.6</v>
      </c>
      <c r="Q18" s="5" t="s">
        <v>245</v>
      </c>
      <c r="R18" s="8" t="s">
        <v>246</v>
      </c>
    </row>
    <row r="19" spans="1:18" x14ac:dyDescent="0.3">
      <c r="A19" s="9" t="s">
        <v>263</v>
      </c>
      <c r="B19" s="33">
        <v>45324.666666666657</v>
      </c>
      <c r="C19" s="9" t="s">
        <v>4</v>
      </c>
      <c r="D19" s="14">
        <v>245.9</v>
      </c>
      <c r="E19" s="14">
        <v>3107.2</v>
      </c>
      <c r="F19" s="14">
        <v>72.3</v>
      </c>
      <c r="G19" s="14">
        <v>43.5</v>
      </c>
      <c r="H19" s="14">
        <v>106.5</v>
      </c>
      <c r="I19" s="20">
        <v>6</v>
      </c>
      <c r="J19" s="9" t="s">
        <v>244</v>
      </c>
      <c r="K19" s="14">
        <v>148.30000000000001</v>
      </c>
      <c r="L19" s="14">
        <v>67.900000000000006</v>
      </c>
      <c r="M19" s="14">
        <v>13.1</v>
      </c>
      <c r="N19" s="21">
        <v>1818</v>
      </c>
      <c r="O19" s="14">
        <v>4.8</v>
      </c>
      <c r="P19" s="10">
        <v>8.68</v>
      </c>
      <c r="Q19" s="9" t="s">
        <v>245</v>
      </c>
      <c r="R19" s="12" t="s">
        <v>246</v>
      </c>
    </row>
    <row r="20" spans="1:18" x14ac:dyDescent="0.3">
      <c r="A20" s="5" t="s">
        <v>264</v>
      </c>
      <c r="B20" s="32">
        <v>45324.75</v>
      </c>
      <c r="C20" s="5" t="s">
        <v>4</v>
      </c>
      <c r="D20" s="13">
        <v>245.6</v>
      </c>
      <c r="E20" s="13">
        <v>3106.3</v>
      </c>
      <c r="F20" s="13">
        <v>72.099999999999994</v>
      </c>
      <c r="G20" s="13">
        <v>45</v>
      </c>
      <c r="H20" s="13">
        <v>99.9</v>
      </c>
      <c r="I20" s="18">
        <v>6</v>
      </c>
      <c r="J20" s="5" t="s">
        <v>244</v>
      </c>
      <c r="K20" s="13">
        <v>145.69999999999999</v>
      </c>
      <c r="L20" s="13">
        <v>70.7</v>
      </c>
      <c r="M20" s="13">
        <v>12.9</v>
      </c>
      <c r="N20" s="19">
        <v>1753</v>
      </c>
      <c r="O20" s="13">
        <v>4.7</v>
      </c>
      <c r="P20" s="6">
        <v>8.75</v>
      </c>
      <c r="Q20" s="5" t="s">
        <v>245</v>
      </c>
      <c r="R20" s="8" t="s">
        <v>246</v>
      </c>
    </row>
    <row r="21" spans="1:18" x14ac:dyDescent="0.3">
      <c r="A21" s="9" t="s">
        <v>265</v>
      </c>
      <c r="B21" s="33">
        <v>45324.833333333343</v>
      </c>
      <c r="C21" s="9" t="s">
        <v>4</v>
      </c>
      <c r="D21" s="14">
        <v>251.7</v>
      </c>
      <c r="E21" s="14">
        <v>3066.7</v>
      </c>
      <c r="F21" s="14">
        <v>72</v>
      </c>
      <c r="G21" s="14">
        <v>44</v>
      </c>
      <c r="H21" s="14">
        <v>101.8</v>
      </c>
      <c r="I21" s="20">
        <v>6</v>
      </c>
      <c r="J21" s="9" t="s">
        <v>244</v>
      </c>
      <c r="K21" s="14">
        <v>145.69999999999999</v>
      </c>
      <c r="L21" s="14">
        <v>68.900000000000006</v>
      </c>
      <c r="M21" s="14">
        <v>11.5</v>
      </c>
      <c r="N21" s="21">
        <v>1756</v>
      </c>
      <c r="O21" s="14">
        <v>5</v>
      </c>
      <c r="P21" s="10">
        <v>8.4600000000000009</v>
      </c>
      <c r="Q21" s="9" t="s">
        <v>245</v>
      </c>
      <c r="R21" s="12" t="s">
        <v>246</v>
      </c>
    </row>
    <row r="22" spans="1:18" x14ac:dyDescent="0.3">
      <c r="A22" s="5" t="s">
        <v>266</v>
      </c>
      <c r="B22" s="32">
        <v>45324.916666666657</v>
      </c>
      <c r="C22" s="5" t="s">
        <v>5</v>
      </c>
      <c r="D22" s="13">
        <v>240.8</v>
      </c>
      <c r="E22" s="13">
        <v>3094.9</v>
      </c>
      <c r="F22" s="13">
        <v>71.5</v>
      </c>
      <c r="G22" s="13">
        <v>44.9</v>
      </c>
      <c r="H22" s="13">
        <v>103.2</v>
      </c>
      <c r="I22" s="18">
        <v>6</v>
      </c>
      <c r="J22" s="5" t="s">
        <v>244</v>
      </c>
      <c r="K22" s="13">
        <v>138</v>
      </c>
      <c r="L22" s="13">
        <v>67.900000000000006</v>
      </c>
      <c r="M22" s="13">
        <v>12.3</v>
      </c>
      <c r="N22" s="19">
        <v>1742</v>
      </c>
      <c r="O22" s="13">
        <v>4.5999999999999996</v>
      </c>
      <c r="P22" s="6">
        <v>8.94</v>
      </c>
      <c r="Q22" s="5" t="s">
        <v>245</v>
      </c>
      <c r="R22" s="8" t="s">
        <v>246</v>
      </c>
    </row>
    <row r="23" spans="1:18" x14ac:dyDescent="0.3">
      <c r="A23" s="9" t="s">
        <v>267</v>
      </c>
      <c r="B23" s="33">
        <v>45325</v>
      </c>
      <c r="C23" s="9" t="s">
        <v>5</v>
      </c>
      <c r="D23" s="14">
        <v>238.5</v>
      </c>
      <c r="E23" s="14">
        <v>3145.9</v>
      </c>
      <c r="F23" s="14">
        <v>71.7</v>
      </c>
      <c r="G23" s="14">
        <v>45.5</v>
      </c>
      <c r="H23" s="14">
        <v>105.4</v>
      </c>
      <c r="I23" s="20">
        <v>6</v>
      </c>
      <c r="J23" s="9" t="s">
        <v>244</v>
      </c>
      <c r="K23" s="14">
        <v>149</v>
      </c>
      <c r="L23" s="14">
        <v>67.900000000000006</v>
      </c>
      <c r="M23" s="14">
        <v>11.6</v>
      </c>
      <c r="N23" s="21">
        <v>1769</v>
      </c>
      <c r="O23" s="14">
        <v>4.8</v>
      </c>
      <c r="P23" s="10">
        <v>8.64</v>
      </c>
      <c r="Q23" s="9" t="s">
        <v>245</v>
      </c>
      <c r="R23" s="12" t="s">
        <v>246</v>
      </c>
    </row>
    <row r="24" spans="1:18" x14ac:dyDescent="0.3">
      <c r="A24" s="5" t="s">
        <v>268</v>
      </c>
      <c r="B24" s="32">
        <v>45325.083333333343</v>
      </c>
      <c r="C24" s="5" t="s">
        <v>5</v>
      </c>
      <c r="D24" s="13">
        <v>257.39999999999998</v>
      </c>
      <c r="E24" s="13">
        <v>3063.9</v>
      </c>
      <c r="F24" s="13">
        <v>72.2</v>
      </c>
      <c r="G24" s="13">
        <v>44.3</v>
      </c>
      <c r="H24" s="13">
        <v>104.3</v>
      </c>
      <c r="I24" s="18">
        <v>6</v>
      </c>
      <c r="J24" s="5" t="s">
        <v>244</v>
      </c>
      <c r="K24" s="13">
        <v>145.30000000000001</v>
      </c>
      <c r="L24" s="13">
        <v>66.2</v>
      </c>
      <c r="M24" s="13">
        <v>11.9</v>
      </c>
      <c r="N24" s="19">
        <v>1767</v>
      </c>
      <c r="O24" s="13">
        <v>5.0999999999999996</v>
      </c>
      <c r="P24" s="6">
        <v>8.59</v>
      </c>
      <c r="Q24" s="5" t="s">
        <v>245</v>
      </c>
      <c r="R24" s="8" t="s">
        <v>246</v>
      </c>
    </row>
    <row r="25" spans="1:18" x14ac:dyDescent="0.3">
      <c r="A25" s="9" t="s">
        <v>269</v>
      </c>
      <c r="B25" s="33">
        <v>45325.166666666657</v>
      </c>
      <c r="C25" s="9" t="s">
        <v>5</v>
      </c>
      <c r="D25" s="14">
        <v>251.5</v>
      </c>
      <c r="E25" s="14">
        <v>3089.7</v>
      </c>
      <c r="F25" s="14">
        <v>72.599999999999994</v>
      </c>
      <c r="G25" s="14">
        <v>44.6</v>
      </c>
      <c r="H25" s="14">
        <v>106.2</v>
      </c>
      <c r="I25" s="20">
        <v>6</v>
      </c>
      <c r="J25" s="9" t="s">
        <v>244</v>
      </c>
      <c r="K25" s="14">
        <v>149</v>
      </c>
      <c r="L25" s="14">
        <v>67.3</v>
      </c>
      <c r="M25" s="14">
        <v>13.7</v>
      </c>
      <c r="N25" s="21">
        <v>1666</v>
      </c>
      <c r="O25" s="14">
        <v>5.3</v>
      </c>
      <c r="P25" s="10">
        <v>8.5299999999999994</v>
      </c>
      <c r="Q25" s="9" t="s">
        <v>245</v>
      </c>
      <c r="R25" s="12" t="s">
        <v>246</v>
      </c>
    </row>
    <row r="26" spans="1:18" x14ac:dyDescent="0.3">
      <c r="A26" s="5" t="s">
        <v>270</v>
      </c>
      <c r="B26" s="32">
        <v>45325.25</v>
      </c>
      <c r="C26" s="5" t="s">
        <v>3</v>
      </c>
      <c r="D26" s="13">
        <v>248.5</v>
      </c>
      <c r="E26" s="13">
        <v>3033.8</v>
      </c>
      <c r="F26" s="13">
        <v>71.5</v>
      </c>
      <c r="G26" s="13">
        <v>44</v>
      </c>
      <c r="H26" s="13">
        <v>102</v>
      </c>
      <c r="I26" s="18">
        <v>6</v>
      </c>
      <c r="J26" s="5" t="s">
        <v>244</v>
      </c>
      <c r="K26" s="13">
        <v>144.5</v>
      </c>
      <c r="L26" s="13">
        <v>69.900000000000006</v>
      </c>
      <c r="M26" s="13">
        <v>12.7</v>
      </c>
      <c r="N26" s="19">
        <v>1730</v>
      </c>
      <c r="O26" s="13">
        <v>4.5</v>
      </c>
      <c r="P26" s="6">
        <v>8.42</v>
      </c>
      <c r="Q26" s="5" t="s">
        <v>245</v>
      </c>
      <c r="R26" s="8" t="s">
        <v>246</v>
      </c>
    </row>
    <row r="27" spans="1:18" x14ac:dyDescent="0.3">
      <c r="A27" s="9" t="s">
        <v>271</v>
      </c>
      <c r="B27" s="33">
        <v>45325.333333333343</v>
      </c>
      <c r="C27" s="9" t="s">
        <v>3</v>
      </c>
      <c r="D27" s="14">
        <v>260.8</v>
      </c>
      <c r="E27" s="14">
        <v>3074.3</v>
      </c>
      <c r="F27" s="14">
        <v>72.8</v>
      </c>
      <c r="G27" s="14">
        <v>44.6</v>
      </c>
      <c r="H27" s="14">
        <v>105</v>
      </c>
      <c r="I27" s="20">
        <v>6</v>
      </c>
      <c r="J27" s="9" t="s">
        <v>244</v>
      </c>
      <c r="K27" s="14">
        <v>148.69999999999999</v>
      </c>
      <c r="L27" s="14">
        <v>70.400000000000006</v>
      </c>
      <c r="M27" s="14">
        <v>12.4</v>
      </c>
      <c r="N27" s="21">
        <v>1706</v>
      </c>
      <c r="O27" s="14">
        <v>4.8</v>
      </c>
      <c r="P27" s="10">
        <v>8.67</v>
      </c>
      <c r="Q27" s="9" t="s">
        <v>245</v>
      </c>
      <c r="R27" s="12" t="s">
        <v>246</v>
      </c>
    </row>
    <row r="28" spans="1:18" x14ac:dyDescent="0.3">
      <c r="A28" s="5" t="s">
        <v>272</v>
      </c>
      <c r="B28" s="32">
        <v>45325.416666666657</v>
      </c>
      <c r="C28" s="5" t="s">
        <v>3</v>
      </c>
      <c r="D28" s="13">
        <v>255.3</v>
      </c>
      <c r="E28" s="13">
        <v>3100.1</v>
      </c>
      <c r="F28" s="13">
        <v>72.2</v>
      </c>
      <c r="G28" s="13">
        <v>46.1</v>
      </c>
      <c r="H28" s="13">
        <v>106.9</v>
      </c>
      <c r="I28" s="18">
        <v>6</v>
      </c>
      <c r="J28" s="5" t="s">
        <v>244</v>
      </c>
      <c r="K28" s="13">
        <v>146.1</v>
      </c>
      <c r="L28" s="13">
        <v>66.2</v>
      </c>
      <c r="M28" s="13">
        <v>10.4</v>
      </c>
      <c r="N28" s="19">
        <v>1733</v>
      </c>
      <c r="O28" s="13">
        <v>4.8</v>
      </c>
      <c r="P28" s="6">
        <v>8.5</v>
      </c>
      <c r="Q28" s="5" t="s">
        <v>245</v>
      </c>
      <c r="R28" s="8" t="s">
        <v>246</v>
      </c>
    </row>
    <row r="29" spans="1:18" x14ac:dyDescent="0.3">
      <c r="A29" s="9" t="s">
        <v>273</v>
      </c>
      <c r="B29" s="33">
        <v>45325.5</v>
      </c>
      <c r="C29" s="9" t="s">
        <v>3</v>
      </c>
      <c r="D29" s="14">
        <v>251.5</v>
      </c>
      <c r="E29" s="14">
        <v>3097.9</v>
      </c>
      <c r="F29" s="14">
        <v>72.5</v>
      </c>
      <c r="G29" s="14">
        <v>44.9</v>
      </c>
      <c r="H29" s="14">
        <v>101.3</v>
      </c>
      <c r="I29" s="20">
        <v>6</v>
      </c>
      <c r="J29" s="9" t="s">
        <v>244</v>
      </c>
      <c r="K29" s="14">
        <v>148.5</v>
      </c>
      <c r="L29" s="14">
        <v>68.2</v>
      </c>
      <c r="M29" s="14">
        <v>12.9</v>
      </c>
      <c r="N29" s="21">
        <v>1703</v>
      </c>
      <c r="O29" s="14">
        <v>4.5999999999999996</v>
      </c>
      <c r="P29" s="10">
        <v>8.6199999999999992</v>
      </c>
      <c r="Q29" s="9" t="s">
        <v>245</v>
      </c>
      <c r="R29" s="12" t="s">
        <v>246</v>
      </c>
    </row>
    <row r="30" spans="1:18" x14ac:dyDescent="0.3">
      <c r="A30" s="5" t="s">
        <v>274</v>
      </c>
      <c r="B30" s="32">
        <v>45325.583333333343</v>
      </c>
      <c r="C30" s="5" t="s">
        <v>4</v>
      </c>
      <c r="D30" s="13">
        <v>250.1</v>
      </c>
      <c r="E30" s="13">
        <v>3116.8</v>
      </c>
      <c r="F30" s="13">
        <v>71.599999999999994</v>
      </c>
      <c r="G30" s="13">
        <v>43.3</v>
      </c>
      <c r="H30" s="13">
        <v>102.8</v>
      </c>
      <c r="I30" s="18">
        <v>6</v>
      </c>
      <c r="J30" s="5" t="s">
        <v>244</v>
      </c>
      <c r="K30" s="13">
        <v>147.80000000000001</v>
      </c>
      <c r="L30" s="13">
        <v>68.099999999999994</v>
      </c>
      <c r="M30" s="13">
        <v>12.3</v>
      </c>
      <c r="N30" s="19">
        <v>1754</v>
      </c>
      <c r="O30" s="13">
        <v>4.5999999999999996</v>
      </c>
      <c r="P30" s="6">
        <v>8.2899999999999991</v>
      </c>
      <c r="Q30" s="5" t="s">
        <v>245</v>
      </c>
      <c r="R30" s="8" t="s">
        <v>246</v>
      </c>
    </row>
    <row r="31" spans="1:18" x14ac:dyDescent="0.3">
      <c r="A31" s="9" t="s">
        <v>275</v>
      </c>
      <c r="B31" s="33">
        <v>45325.666666666657</v>
      </c>
      <c r="C31" s="9" t="s">
        <v>4</v>
      </c>
      <c r="D31" s="14">
        <v>249</v>
      </c>
      <c r="E31" s="14">
        <v>3083.1</v>
      </c>
      <c r="F31" s="14">
        <v>71.2</v>
      </c>
      <c r="G31" s="14">
        <v>44.7</v>
      </c>
      <c r="H31" s="14">
        <v>107.5</v>
      </c>
      <c r="I31" s="20">
        <v>6</v>
      </c>
      <c r="J31" s="9" t="s">
        <v>244</v>
      </c>
      <c r="K31" s="14">
        <v>145</v>
      </c>
      <c r="L31" s="14">
        <v>69</v>
      </c>
      <c r="M31" s="14">
        <v>14</v>
      </c>
      <c r="N31" s="21">
        <v>1707</v>
      </c>
      <c r="O31" s="14">
        <v>4.9000000000000004</v>
      </c>
      <c r="P31" s="10">
        <v>8.5</v>
      </c>
      <c r="Q31" s="9" t="s">
        <v>245</v>
      </c>
      <c r="R31" s="12" t="s">
        <v>246</v>
      </c>
    </row>
    <row r="32" spans="1:18" x14ac:dyDescent="0.3">
      <c r="A32" s="5" t="s">
        <v>276</v>
      </c>
      <c r="B32" s="32">
        <v>45325.75</v>
      </c>
      <c r="C32" s="5" t="s">
        <v>4</v>
      </c>
      <c r="D32" s="13">
        <v>244.9</v>
      </c>
      <c r="E32" s="13">
        <v>3079.5</v>
      </c>
      <c r="F32" s="13">
        <v>71.5</v>
      </c>
      <c r="G32" s="13">
        <v>45.1</v>
      </c>
      <c r="H32" s="13">
        <v>116.7</v>
      </c>
      <c r="I32" s="18">
        <v>6</v>
      </c>
      <c r="J32" s="5" t="s">
        <v>244</v>
      </c>
      <c r="K32" s="13">
        <v>142.5</v>
      </c>
      <c r="L32" s="13">
        <v>67.900000000000006</v>
      </c>
      <c r="M32" s="13">
        <v>12.4</v>
      </c>
      <c r="N32" s="19">
        <v>1733</v>
      </c>
      <c r="O32" s="13">
        <v>4.9000000000000004</v>
      </c>
      <c r="P32" s="6">
        <v>8.86</v>
      </c>
      <c r="Q32" s="5" t="s">
        <v>245</v>
      </c>
      <c r="R32" s="8" t="s">
        <v>246</v>
      </c>
    </row>
    <row r="33" spans="1:18" x14ac:dyDescent="0.3">
      <c r="A33" s="9" t="s">
        <v>277</v>
      </c>
      <c r="B33" s="33">
        <v>45325.833333333343</v>
      </c>
      <c r="C33" s="9" t="s">
        <v>4</v>
      </c>
      <c r="D33" s="14">
        <v>235.4</v>
      </c>
      <c r="E33" s="14">
        <v>3016.5</v>
      </c>
      <c r="F33" s="14">
        <v>71.5</v>
      </c>
      <c r="G33" s="14">
        <v>45.7</v>
      </c>
      <c r="H33" s="14">
        <v>97.2</v>
      </c>
      <c r="I33" s="20">
        <v>6</v>
      </c>
      <c r="J33" s="9" t="s">
        <v>244</v>
      </c>
      <c r="K33" s="14">
        <v>134.5</v>
      </c>
      <c r="L33" s="14">
        <v>69.400000000000006</v>
      </c>
      <c r="M33" s="14">
        <v>12.7</v>
      </c>
      <c r="N33" s="21">
        <v>1681</v>
      </c>
      <c r="O33" s="14">
        <v>4.5</v>
      </c>
      <c r="P33" s="10">
        <v>8.41</v>
      </c>
      <c r="Q33" s="9" t="s">
        <v>245</v>
      </c>
      <c r="R33" s="12" t="s">
        <v>246</v>
      </c>
    </row>
    <row r="34" spans="1:18" x14ac:dyDescent="0.3">
      <c r="A34" s="5" t="s">
        <v>278</v>
      </c>
      <c r="B34" s="32">
        <v>45325.916666666657</v>
      </c>
      <c r="C34" s="5" t="s">
        <v>5</v>
      </c>
      <c r="D34" s="13">
        <v>250.7</v>
      </c>
      <c r="E34" s="13">
        <v>3078.1</v>
      </c>
      <c r="F34" s="13">
        <v>72.099999999999994</v>
      </c>
      <c r="G34" s="13">
        <v>42.5</v>
      </c>
      <c r="H34" s="13">
        <v>100.7</v>
      </c>
      <c r="I34" s="18">
        <v>6</v>
      </c>
      <c r="J34" s="5" t="s">
        <v>244</v>
      </c>
      <c r="K34" s="13">
        <v>141.1</v>
      </c>
      <c r="L34" s="13">
        <v>68.099999999999994</v>
      </c>
      <c r="M34" s="13">
        <v>12.1</v>
      </c>
      <c r="N34" s="19">
        <v>1747</v>
      </c>
      <c r="O34" s="13">
        <v>4.2</v>
      </c>
      <c r="P34" s="6">
        <v>8.61</v>
      </c>
      <c r="Q34" s="5" t="s">
        <v>245</v>
      </c>
      <c r="R34" s="8" t="s">
        <v>246</v>
      </c>
    </row>
    <row r="35" spans="1:18" x14ac:dyDescent="0.3">
      <c r="A35" s="9" t="s">
        <v>279</v>
      </c>
      <c r="B35" s="33">
        <v>45326</v>
      </c>
      <c r="C35" s="9" t="s">
        <v>5</v>
      </c>
      <c r="D35" s="14">
        <v>253.4</v>
      </c>
      <c r="E35" s="14">
        <v>3165</v>
      </c>
      <c r="F35" s="14">
        <v>71.5</v>
      </c>
      <c r="G35" s="14">
        <v>45.1</v>
      </c>
      <c r="H35" s="14">
        <v>96</v>
      </c>
      <c r="I35" s="20">
        <v>6</v>
      </c>
      <c r="J35" s="9" t="s">
        <v>244</v>
      </c>
      <c r="K35" s="14">
        <v>136.6</v>
      </c>
      <c r="L35" s="14">
        <v>69.8</v>
      </c>
      <c r="M35" s="14">
        <v>12.5</v>
      </c>
      <c r="N35" s="21">
        <v>1761</v>
      </c>
      <c r="O35" s="14">
        <v>4.4000000000000004</v>
      </c>
      <c r="P35" s="10">
        <v>8.6999999999999993</v>
      </c>
      <c r="Q35" s="9" t="s">
        <v>245</v>
      </c>
      <c r="R35" s="12" t="s">
        <v>246</v>
      </c>
    </row>
    <row r="36" spans="1:18" x14ac:dyDescent="0.3">
      <c r="A36" s="5" t="s">
        <v>280</v>
      </c>
      <c r="B36" s="32">
        <v>45326.083333333343</v>
      </c>
      <c r="C36" s="5" t="s">
        <v>5</v>
      </c>
      <c r="D36" s="13">
        <v>261.2</v>
      </c>
      <c r="E36" s="13">
        <v>3114.7</v>
      </c>
      <c r="F36" s="13">
        <v>72</v>
      </c>
      <c r="G36" s="13">
        <v>44.8</v>
      </c>
      <c r="H36" s="13">
        <v>97.1</v>
      </c>
      <c r="I36" s="18">
        <v>6</v>
      </c>
      <c r="J36" s="5" t="s">
        <v>244</v>
      </c>
      <c r="K36" s="13">
        <v>149.69999999999999</v>
      </c>
      <c r="L36" s="13">
        <v>67.599999999999994</v>
      </c>
      <c r="M36" s="13">
        <v>12.9</v>
      </c>
      <c r="N36" s="19">
        <v>1665</v>
      </c>
      <c r="O36" s="13">
        <v>4.4000000000000004</v>
      </c>
      <c r="P36" s="6">
        <v>8.89</v>
      </c>
      <c r="Q36" s="5" t="s">
        <v>245</v>
      </c>
      <c r="R36" s="8" t="s">
        <v>246</v>
      </c>
    </row>
    <row r="37" spans="1:18" x14ac:dyDescent="0.3">
      <c r="A37" s="9" t="s">
        <v>281</v>
      </c>
      <c r="B37" s="33">
        <v>45326.166666666657</v>
      </c>
      <c r="C37" s="9" t="s">
        <v>5</v>
      </c>
      <c r="D37" s="14">
        <v>247.9</v>
      </c>
      <c r="E37" s="14">
        <v>3150.9</v>
      </c>
      <c r="F37" s="14">
        <v>71.8</v>
      </c>
      <c r="G37" s="14">
        <v>43.3</v>
      </c>
      <c r="H37" s="14">
        <v>109.5</v>
      </c>
      <c r="I37" s="20">
        <v>6</v>
      </c>
      <c r="J37" s="9" t="s">
        <v>244</v>
      </c>
      <c r="K37" s="14">
        <v>142.9</v>
      </c>
      <c r="L37" s="14">
        <v>69.5</v>
      </c>
      <c r="M37" s="14">
        <v>12.5</v>
      </c>
      <c r="N37" s="21">
        <v>1665</v>
      </c>
      <c r="O37" s="14">
        <v>4.8</v>
      </c>
      <c r="P37" s="10">
        <v>9.0399999999999991</v>
      </c>
      <c r="Q37" s="9" t="s">
        <v>245</v>
      </c>
      <c r="R37" s="12" t="s">
        <v>246</v>
      </c>
    </row>
    <row r="38" spans="1:18" x14ac:dyDescent="0.3">
      <c r="A38" s="5" t="s">
        <v>282</v>
      </c>
      <c r="B38" s="32">
        <v>45326.25</v>
      </c>
      <c r="C38" s="5" t="s">
        <v>3</v>
      </c>
      <c r="D38" s="13">
        <v>253</v>
      </c>
      <c r="E38" s="13">
        <v>3098</v>
      </c>
      <c r="F38" s="13">
        <v>72.400000000000006</v>
      </c>
      <c r="G38" s="13">
        <v>45</v>
      </c>
      <c r="H38" s="13">
        <v>106</v>
      </c>
      <c r="I38" s="18">
        <v>6</v>
      </c>
      <c r="J38" s="5" t="s">
        <v>244</v>
      </c>
      <c r="K38" s="13">
        <v>141.19999999999999</v>
      </c>
      <c r="L38" s="13">
        <v>68.900000000000006</v>
      </c>
      <c r="M38" s="13">
        <v>13.3</v>
      </c>
      <c r="N38" s="19">
        <v>1690</v>
      </c>
      <c r="O38" s="13">
        <v>5.2</v>
      </c>
      <c r="P38" s="6">
        <v>8.58</v>
      </c>
      <c r="Q38" s="5" t="s">
        <v>245</v>
      </c>
      <c r="R38" s="8" t="s">
        <v>246</v>
      </c>
    </row>
    <row r="39" spans="1:18" x14ac:dyDescent="0.3">
      <c r="A39" s="9" t="s">
        <v>283</v>
      </c>
      <c r="B39" s="33">
        <v>45326.333333333343</v>
      </c>
      <c r="C39" s="9" t="s">
        <v>3</v>
      </c>
      <c r="D39" s="14">
        <v>244.7</v>
      </c>
      <c r="E39" s="14">
        <v>3134.9</v>
      </c>
      <c r="F39" s="14">
        <v>71.599999999999994</v>
      </c>
      <c r="G39" s="14">
        <v>45.4</v>
      </c>
      <c r="H39" s="14">
        <v>103.5</v>
      </c>
      <c r="I39" s="20">
        <v>6</v>
      </c>
      <c r="J39" s="9" t="s">
        <v>244</v>
      </c>
      <c r="K39" s="14">
        <v>144.80000000000001</v>
      </c>
      <c r="L39" s="14">
        <v>69.2</v>
      </c>
      <c r="M39" s="14">
        <v>12.7</v>
      </c>
      <c r="N39" s="21">
        <v>1650</v>
      </c>
      <c r="O39" s="14">
        <v>4.5</v>
      </c>
      <c r="P39" s="10">
        <v>8.7899999999999991</v>
      </c>
      <c r="Q39" s="9" t="s">
        <v>245</v>
      </c>
      <c r="R39" s="12" t="s">
        <v>246</v>
      </c>
    </row>
    <row r="40" spans="1:18" x14ac:dyDescent="0.3">
      <c r="A40" s="5" t="s">
        <v>284</v>
      </c>
      <c r="B40" s="32">
        <v>45326.416666666657</v>
      </c>
      <c r="C40" s="5" t="s">
        <v>3</v>
      </c>
      <c r="D40" s="13">
        <v>249.2</v>
      </c>
      <c r="E40" s="13">
        <v>3081.7</v>
      </c>
      <c r="F40" s="13">
        <v>71</v>
      </c>
      <c r="G40" s="13">
        <v>43.9</v>
      </c>
      <c r="H40" s="13">
        <v>94.9</v>
      </c>
      <c r="I40" s="18">
        <v>6</v>
      </c>
      <c r="J40" s="5" t="s">
        <v>244</v>
      </c>
      <c r="K40" s="13">
        <v>144.6</v>
      </c>
      <c r="L40" s="13">
        <v>67.599999999999994</v>
      </c>
      <c r="M40" s="13">
        <v>11.7</v>
      </c>
      <c r="N40" s="19">
        <v>1717</v>
      </c>
      <c r="O40" s="13">
        <v>4.9000000000000004</v>
      </c>
      <c r="P40" s="6">
        <v>9.02</v>
      </c>
      <c r="Q40" s="5" t="s">
        <v>245</v>
      </c>
      <c r="R40" s="8" t="s">
        <v>246</v>
      </c>
    </row>
    <row r="41" spans="1:18" x14ac:dyDescent="0.3">
      <c r="A41" s="9" t="s">
        <v>285</v>
      </c>
      <c r="B41" s="33">
        <v>45326.5</v>
      </c>
      <c r="C41" s="9" t="s">
        <v>3</v>
      </c>
      <c r="D41" s="14">
        <v>240.9</v>
      </c>
      <c r="E41" s="14">
        <v>3140.6</v>
      </c>
      <c r="F41" s="14">
        <v>72.400000000000006</v>
      </c>
      <c r="G41" s="14">
        <v>44.2</v>
      </c>
      <c r="H41" s="14">
        <v>106</v>
      </c>
      <c r="I41" s="20">
        <v>6</v>
      </c>
      <c r="J41" s="9" t="s">
        <v>244</v>
      </c>
      <c r="K41" s="14">
        <v>143.4</v>
      </c>
      <c r="L41" s="14">
        <v>68.8</v>
      </c>
      <c r="M41" s="14">
        <v>13.7</v>
      </c>
      <c r="N41" s="21">
        <v>1741</v>
      </c>
      <c r="O41" s="14">
        <v>5</v>
      </c>
      <c r="P41" s="10">
        <v>8.51</v>
      </c>
      <c r="Q41" s="9" t="s">
        <v>245</v>
      </c>
      <c r="R41" s="12" t="s">
        <v>246</v>
      </c>
    </row>
    <row r="42" spans="1:18" x14ac:dyDescent="0.3">
      <c r="A42" s="5" t="s">
        <v>286</v>
      </c>
      <c r="B42" s="32">
        <v>45326.583333333343</v>
      </c>
      <c r="C42" s="5" t="s">
        <v>4</v>
      </c>
      <c r="D42" s="13">
        <v>241.1</v>
      </c>
      <c r="E42" s="13">
        <v>3092.7</v>
      </c>
      <c r="F42" s="13">
        <v>72.5</v>
      </c>
      <c r="G42" s="13">
        <v>43.6</v>
      </c>
      <c r="H42" s="13">
        <v>99.7</v>
      </c>
      <c r="I42" s="18">
        <v>6</v>
      </c>
      <c r="J42" s="5" t="s">
        <v>244</v>
      </c>
      <c r="K42" s="13">
        <v>145.4</v>
      </c>
      <c r="L42" s="13">
        <v>67</v>
      </c>
      <c r="M42" s="13">
        <v>11.9</v>
      </c>
      <c r="N42" s="19">
        <v>1705</v>
      </c>
      <c r="O42" s="13">
        <v>4.4000000000000004</v>
      </c>
      <c r="P42" s="6">
        <v>8.41</v>
      </c>
      <c r="Q42" s="5" t="s">
        <v>245</v>
      </c>
      <c r="R42" s="8" t="s">
        <v>246</v>
      </c>
    </row>
    <row r="43" spans="1:18" x14ac:dyDescent="0.3">
      <c r="A43" s="9" t="s">
        <v>287</v>
      </c>
      <c r="B43" s="33">
        <v>45326.666666666657</v>
      </c>
      <c r="C43" s="9" t="s">
        <v>4</v>
      </c>
      <c r="D43" s="14">
        <v>254.2</v>
      </c>
      <c r="E43" s="14">
        <v>3054.2</v>
      </c>
      <c r="F43" s="14">
        <v>70.8</v>
      </c>
      <c r="G43" s="14">
        <v>44.3</v>
      </c>
      <c r="H43" s="14">
        <v>108.7</v>
      </c>
      <c r="I43" s="20">
        <v>6</v>
      </c>
      <c r="J43" s="9" t="s">
        <v>244</v>
      </c>
      <c r="K43" s="14">
        <v>144.30000000000001</v>
      </c>
      <c r="L43" s="14">
        <v>67.8</v>
      </c>
      <c r="M43" s="14">
        <v>12.5</v>
      </c>
      <c r="N43" s="21">
        <v>1658</v>
      </c>
      <c r="O43" s="14">
        <v>4.9000000000000004</v>
      </c>
      <c r="P43" s="10">
        <v>8.68</v>
      </c>
      <c r="Q43" s="9" t="s">
        <v>245</v>
      </c>
      <c r="R43" s="12" t="s">
        <v>246</v>
      </c>
    </row>
    <row r="44" spans="1:18" x14ac:dyDescent="0.3">
      <c r="A44" s="5" t="s">
        <v>288</v>
      </c>
      <c r="B44" s="32">
        <v>45326.75</v>
      </c>
      <c r="C44" s="5" t="s">
        <v>4</v>
      </c>
      <c r="D44" s="13">
        <v>247.5</v>
      </c>
      <c r="E44" s="13">
        <v>3135.2</v>
      </c>
      <c r="F44" s="13">
        <v>71.099999999999994</v>
      </c>
      <c r="G44" s="13">
        <v>45.7</v>
      </c>
      <c r="H44" s="13">
        <v>105.8</v>
      </c>
      <c r="I44" s="18">
        <v>6</v>
      </c>
      <c r="J44" s="5" t="s">
        <v>244</v>
      </c>
      <c r="K44" s="13">
        <v>143.80000000000001</v>
      </c>
      <c r="L44" s="13">
        <v>68.5</v>
      </c>
      <c r="M44" s="13">
        <v>12.4</v>
      </c>
      <c r="N44" s="19">
        <v>1762</v>
      </c>
      <c r="O44" s="13">
        <v>4.5</v>
      </c>
      <c r="P44" s="6">
        <v>8.4499999999999993</v>
      </c>
      <c r="Q44" s="5" t="s">
        <v>245</v>
      </c>
      <c r="R44" s="8" t="s">
        <v>246</v>
      </c>
    </row>
    <row r="45" spans="1:18" x14ac:dyDescent="0.3">
      <c r="A45" s="9" t="s">
        <v>289</v>
      </c>
      <c r="B45" s="33">
        <v>45326.833333333343</v>
      </c>
      <c r="C45" s="9" t="s">
        <v>4</v>
      </c>
      <c r="D45" s="14">
        <v>256.2</v>
      </c>
      <c r="E45" s="14">
        <v>3079.2</v>
      </c>
      <c r="F45" s="14">
        <v>72.3</v>
      </c>
      <c r="G45" s="14">
        <v>46.2</v>
      </c>
      <c r="H45" s="14">
        <v>103</v>
      </c>
      <c r="I45" s="20">
        <v>6</v>
      </c>
      <c r="J45" s="9" t="s">
        <v>244</v>
      </c>
      <c r="K45" s="14">
        <v>147.4</v>
      </c>
      <c r="L45" s="14">
        <v>66.8</v>
      </c>
      <c r="M45" s="14">
        <v>13.1</v>
      </c>
      <c r="N45" s="21">
        <v>1726</v>
      </c>
      <c r="O45" s="14">
        <v>4.9000000000000004</v>
      </c>
      <c r="P45" s="10">
        <v>8.4700000000000006</v>
      </c>
      <c r="Q45" s="9" t="s">
        <v>245</v>
      </c>
      <c r="R45" s="12" t="s">
        <v>246</v>
      </c>
    </row>
    <row r="46" spans="1:18" x14ac:dyDescent="0.3">
      <c r="A46" s="5" t="s">
        <v>290</v>
      </c>
      <c r="B46" s="32">
        <v>45326.916666666657</v>
      </c>
      <c r="C46" s="5" t="s">
        <v>5</v>
      </c>
      <c r="D46" s="13">
        <v>240</v>
      </c>
      <c r="E46" s="13">
        <v>3117.6</v>
      </c>
      <c r="F46" s="13">
        <v>70.599999999999994</v>
      </c>
      <c r="G46" s="13">
        <v>44.5</v>
      </c>
      <c r="H46" s="13">
        <v>109.7</v>
      </c>
      <c r="I46" s="18">
        <v>6</v>
      </c>
      <c r="J46" s="5" t="s">
        <v>244</v>
      </c>
      <c r="K46" s="13">
        <v>145.69999999999999</v>
      </c>
      <c r="L46" s="13">
        <v>71.400000000000006</v>
      </c>
      <c r="M46" s="13">
        <v>13.3</v>
      </c>
      <c r="N46" s="19">
        <v>1697</v>
      </c>
      <c r="O46" s="13">
        <v>4.8</v>
      </c>
      <c r="P46" s="6">
        <v>8.59</v>
      </c>
      <c r="Q46" s="5" t="s">
        <v>245</v>
      </c>
      <c r="R46" s="8" t="s">
        <v>246</v>
      </c>
    </row>
    <row r="47" spans="1:18" x14ac:dyDescent="0.3">
      <c r="A47" s="9" t="s">
        <v>291</v>
      </c>
      <c r="B47" s="33">
        <v>45327</v>
      </c>
      <c r="C47" s="9" t="s">
        <v>5</v>
      </c>
      <c r="D47" s="14">
        <v>240.5</v>
      </c>
      <c r="E47" s="14">
        <v>3067.1</v>
      </c>
      <c r="F47" s="14">
        <v>71.5</v>
      </c>
      <c r="G47" s="14">
        <v>43.2</v>
      </c>
      <c r="H47" s="14">
        <v>105.2</v>
      </c>
      <c r="I47" s="20">
        <v>6</v>
      </c>
      <c r="J47" s="9" t="s">
        <v>244</v>
      </c>
      <c r="K47" s="14">
        <v>144.1</v>
      </c>
      <c r="L47" s="14">
        <v>66</v>
      </c>
      <c r="M47" s="14">
        <v>12.8</v>
      </c>
      <c r="N47" s="21">
        <v>1745</v>
      </c>
      <c r="O47" s="14">
        <v>4.9000000000000004</v>
      </c>
      <c r="P47" s="10">
        <v>8.5399999999999991</v>
      </c>
      <c r="Q47" s="9" t="s">
        <v>245</v>
      </c>
      <c r="R47" s="12" t="s">
        <v>246</v>
      </c>
    </row>
    <row r="48" spans="1:18" x14ac:dyDescent="0.3">
      <c r="A48" s="5" t="s">
        <v>292</v>
      </c>
      <c r="B48" s="32">
        <v>45327.083333333343</v>
      </c>
      <c r="C48" s="5" t="s">
        <v>5</v>
      </c>
      <c r="D48" s="13">
        <v>253.5</v>
      </c>
      <c r="E48" s="13">
        <v>3123.8</v>
      </c>
      <c r="F48" s="13">
        <v>72</v>
      </c>
      <c r="G48" s="13">
        <v>44.1</v>
      </c>
      <c r="H48" s="13">
        <v>106.4</v>
      </c>
      <c r="I48" s="18">
        <v>6</v>
      </c>
      <c r="J48" s="5" t="s">
        <v>244</v>
      </c>
      <c r="K48" s="13">
        <v>149.19999999999999</v>
      </c>
      <c r="L48" s="13">
        <v>67.599999999999994</v>
      </c>
      <c r="M48" s="13">
        <v>14.2</v>
      </c>
      <c r="N48" s="19">
        <v>1701</v>
      </c>
      <c r="O48" s="13">
        <v>4.8</v>
      </c>
      <c r="P48" s="6">
        <v>8.4700000000000006</v>
      </c>
      <c r="Q48" s="5" t="s">
        <v>245</v>
      </c>
      <c r="R48" s="8" t="s">
        <v>246</v>
      </c>
    </row>
    <row r="49" spans="1:18" x14ac:dyDescent="0.3">
      <c r="A49" s="9" t="s">
        <v>293</v>
      </c>
      <c r="B49" s="33">
        <v>45327.166666666657</v>
      </c>
      <c r="C49" s="9" t="s">
        <v>5</v>
      </c>
      <c r="D49" s="14">
        <v>251.3</v>
      </c>
      <c r="E49" s="14">
        <v>3039</v>
      </c>
      <c r="F49" s="14">
        <v>71.5</v>
      </c>
      <c r="G49" s="14">
        <v>43.9</v>
      </c>
      <c r="H49" s="14">
        <v>105.7</v>
      </c>
      <c r="I49" s="20">
        <v>6</v>
      </c>
      <c r="J49" s="9" t="s">
        <v>244</v>
      </c>
      <c r="K49" s="14">
        <v>148.5</v>
      </c>
      <c r="L49" s="14">
        <v>69.5</v>
      </c>
      <c r="M49" s="14">
        <v>10.6</v>
      </c>
      <c r="N49" s="21">
        <v>1791</v>
      </c>
      <c r="O49" s="14">
        <v>4.9000000000000004</v>
      </c>
      <c r="P49" s="10">
        <v>8.44</v>
      </c>
      <c r="Q49" s="9" t="s">
        <v>245</v>
      </c>
      <c r="R49" s="12" t="s">
        <v>246</v>
      </c>
    </row>
    <row r="50" spans="1:18" x14ac:dyDescent="0.3">
      <c r="A50" s="5" t="s">
        <v>294</v>
      </c>
      <c r="B50" s="32">
        <v>45327.25</v>
      </c>
      <c r="C50" s="5" t="s">
        <v>3</v>
      </c>
      <c r="D50" s="13">
        <v>250.9</v>
      </c>
      <c r="E50" s="13">
        <v>3106.2</v>
      </c>
      <c r="F50" s="13">
        <v>71.400000000000006</v>
      </c>
      <c r="G50" s="13">
        <v>45</v>
      </c>
      <c r="H50" s="13">
        <v>102</v>
      </c>
      <c r="I50" s="18">
        <v>6</v>
      </c>
      <c r="J50" s="5" t="s">
        <v>244</v>
      </c>
      <c r="K50" s="13">
        <v>143.6</v>
      </c>
      <c r="L50" s="13">
        <v>67.5</v>
      </c>
      <c r="M50" s="13">
        <v>11.4</v>
      </c>
      <c r="N50" s="19">
        <v>1725</v>
      </c>
      <c r="O50" s="13">
        <v>5</v>
      </c>
      <c r="P50" s="6">
        <v>8.6999999999999993</v>
      </c>
      <c r="Q50" s="5" t="s">
        <v>245</v>
      </c>
      <c r="R50" s="8" t="s">
        <v>246</v>
      </c>
    </row>
    <row r="51" spans="1:18" x14ac:dyDescent="0.3">
      <c r="A51" s="9" t="s">
        <v>295</v>
      </c>
      <c r="B51" s="33">
        <v>45327.333333333343</v>
      </c>
      <c r="C51" s="9" t="s">
        <v>3</v>
      </c>
      <c r="D51" s="14">
        <v>254.9</v>
      </c>
      <c r="E51" s="14">
        <v>3111.4</v>
      </c>
      <c r="F51" s="14">
        <v>71.5</v>
      </c>
      <c r="G51" s="14">
        <v>45.5</v>
      </c>
      <c r="H51" s="14">
        <v>98.2</v>
      </c>
      <c r="I51" s="20">
        <v>6</v>
      </c>
      <c r="J51" s="9" t="s">
        <v>244</v>
      </c>
      <c r="K51" s="14">
        <v>141.80000000000001</v>
      </c>
      <c r="L51" s="14">
        <v>67.099999999999994</v>
      </c>
      <c r="M51" s="14">
        <v>13.4</v>
      </c>
      <c r="N51" s="21">
        <v>1752</v>
      </c>
      <c r="O51" s="14">
        <v>4.9000000000000004</v>
      </c>
      <c r="P51" s="10">
        <v>8.81</v>
      </c>
      <c r="Q51" s="9" t="s">
        <v>245</v>
      </c>
      <c r="R51" s="12" t="s">
        <v>246</v>
      </c>
    </row>
    <row r="52" spans="1:18" x14ac:dyDescent="0.3">
      <c r="A52" s="5" t="s">
        <v>296</v>
      </c>
      <c r="B52" s="32">
        <v>45327.416666666657</v>
      </c>
      <c r="C52" s="5" t="s">
        <v>3</v>
      </c>
      <c r="D52" s="13">
        <v>210</v>
      </c>
      <c r="E52" s="13">
        <v>3112.2</v>
      </c>
      <c r="F52" s="13">
        <v>71.7</v>
      </c>
      <c r="G52" s="13">
        <v>45.5</v>
      </c>
      <c r="H52" s="13">
        <v>104.4</v>
      </c>
      <c r="I52" s="18">
        <v>6</v>
      </c>
      <c r="J52" s="22" t="s">
        <v>297</v>
      </c>
      <c r="K52" s="23">
        <v>122</v>
      </c>
      <c r="L52" s="13">
        <v>78</v>
      </c>
      <c r="M52" s="13">
        <v>19.5</v>
      </c>
      <c r="N52" s="24">
        <v>2050</v>
      </c>
      <c r="O52" s="13">
        <v>4.8</v>
      </c>
      <c r="P52" s="6">
        <v>10.4</v>
      </c>
      <c r="Q52" s="22" t="s">
        <v>298</v>
      </c>
      <c r="R52" s="8" t="s">
        <v>299</v>
      </c>
    </row>
    <row r="53" spans="1:18" x14ac:dyDescent="0.3">
      <c r="A53" s="9" t="s">
        <v>300</v>
      </c>
      <c r="B53" s="33">
        <v>45327.5</v>
      </c>
      <c r="C53" s="9" t="s">
        <v>3</v>
      </c>
      <c r="D53" s="14">
        <v>211.5</v>
      </c>
      <c r="E53" s="14">
        <v>3107</v>
      </c>
      <c r="F53" s="14">
        <v>72.2</v>
      </c>
      <c r="G53" s="14">
        <v>45</v>
      </c>
      <c r="H53" s="14">
        <v>95.3</v>
      </c>
      <c r="I53" s="20">
        <v>6</v>
      </c>
      <c r="J53" s="22" t="s">
        <v>297</v>
      </c>
      <c r="K53" s="23">
        <v>120.8</v>
      </c>
      <c r="L53" s="14">
        <v>78.5</v>
      </c>
      <c r="M53" s="14">
        <v>19.899999999999999</v>
      </c>
      <c r="N53" s="24">
        <v>2075</v>
      </c>
      <c r="O53" s="14">
        <v>5.2</v>
      </c>
      <c r="P53" s="10">
        <v>10.5</v>
      </c>
      <c r="Q53" s="22" t="s">
        <v>298</v>
      </c>
      <c r="R53" s="12" t="s">
        <v>299</v>
      </c>
    </row>
    <row r="54" spans="1:18" x14ac:dyDescent="0.3">
      <c r="A54" s="5" t="s">
        <v>301</v>
      </c>
      <c r="B54" s="32">
        <v>45327.583333333343</v>
      </c>
      <c r="C54" s="5" t="s">
        <v>4</v>
      </c>
      <c r="D54" s="13">
        <v>213</v>
      </c>
      <c r="E54" s="13">
        <v>3060.4</v>
      </c>
      <c r="F54" s="13">
        <v>72</v>
      </c>
      <c r="G54" s="13">
        <v>44.1</v>
      </c>
      <c r="H54" s="13">
        <v>105.5</v>
      </c>
      <c r="I54" s="18">
        <v>6</v>
      </c>
      <c r="J54" s="22" t="s">
        <v>297</v>
      </c>
      <c r="K54" s="23">
        <v>119.6</v>
      </c>
      <c r="L54" s="13">
        <v>79</v>
      </c>
      <c r="M54" s="13">
        <v>20.3</v>
      </c>
      <c r="N54" s="24">
        <v>2100</v>
      </c>
      <c r="O54" s="13">
        <v>4.5999999999999996</v>
      </c>
      <c r="P54" s="6">
        <v>10.6</v>
      </c>
      <c r="Q54" s="22" t="s">
        <v>298</v>
      </c>
      <c r="R54" s="8" t="s">
        <v>299</v>
      </c>
    </row>
    <row r="55" spans="1:18" x14ac:dyDescent="0.3">
      <c r="A55" s="9" t="s">
        <v>302</v>
      </c>
      <c r="B55" s="33">
        <v>45327.666666666657</v>
      </c>
      <c r="C55" s="9" t="s">
        <v>4</v>
      </c>
      <c r="D55" s="14">
        <v>214.5</v>
      </c>
      <c r="E55" s="14">
        <v>3141.1</v>
      </c>
      <c r="F55" s="14">
        <v>71.599999999999994</v>
      </c>
      <c r="G55" s="14">
        <v>44.5</v>
      </c>
      <c r="H55" s="14">
        <v>107.5</v>
      </c>
      <c r="I55" s="20">
        <v>6</v>
      </c>
      <c r="J55" s="22" t="s">
        <v>297</v>
      </c>
      <c r="K55" s="23">
        <v>118.4</v>
      </c>
      <c r="L55" s="14">
        <v>79.5</v>
      </c>
      <c r="M55" s="14">
        <v>20.7</v>
      </c>
      <c r="N55" s="24">
        <v>2125</v>
      </c>
      <c r="O55" s="14">
        <v>4.2</v>
      </c>
      <c r="P55" s="10">
        <v>10.7</v>
      </c>
      <c r="Q55" s="22" t="s">
        <v>298</v>
      </c>
      <c r="R55" s="12" t="s">
        <v>299</v>
      </c>
    </row>
    <row r="56" spans="1:18" x14ac:dyDescent="0.3">
      <c r="A56" s="5" t="s">
        <v>303</v>
      </c>
      <c r="B56" s="32">
        <v>45327.75</v>
      </c>
      <c r="C56" s="5" t="s">
        <v>4</v>
      </c>
      <c r="D56" s="13">
        <v>216</v>
      </c>
      <c r="E56" s="13">
        <v>3103.5</v>
      </c>
      <c r="F56" s="13">
        <v>72.099999999999994</v>
      </c>
      <c r="G56" s="13">
        <v>46</v>
      </c>
      <c r="H56" s="13">
        <v>102.5</v>
      </c>
      <c r="I56" s="18">
        <v>6</v>
      </c>
      <c r="J56" s="22" t="s">
        <v>297</v>
      </c>
      <c r="K56" s="23">
        <v>117.2</v>
      </c>
      <c r="L56" s="13">
        <v>80</v>
      </c>
      <c r="M56" s="13">
        <v>21.1</v>
      </c>
      <c r="N56" s="24">
        <v>2150</v>
      </c>
      <c r="O56" s="13">
        <v>4.9000000000000004</v>
      </c>
      <c r="P56" s="6">
        <v>10.8</v>
      </c>
      <c r="Q56" s="22" t="s">
        <v>298</v>
      </c>
      <c r="R56" s="8" t="s">
        <v>299</v>
      </c>
    </row>
    <row r="57" spans="1:18" x14ac:dyDescent="0.3">
      <c r="A57" s="9" t="s">
        <v>304</v>
      </c>
      <c r="B57" s="33">
        <v>45327.833333333343</v>
      </c>
      <c r="C57" s="9" t="s">
        <v>4</v>
      </c>
      <c r="D57" s="14">
        <v>217.5</v>
      </c>
      <c r="E57" s="14">
        <v>3045.7</v>
      </c>
      <c r="F57" s="14">
        <v>72.2</v>
      </c>
      <c r="G57" s="14">
        <v>45.8</v>
      </c>
      <c r="H57" s="14">
        <v>114.2</v>
      </c>
      <c r="I57" s="20">
        <v>6</v>
      </c>
      <c r="J57" s="22" t="s">
        <v>297</v>
      </c>
      <c r="K57" s="23">
        <v>116</v>
      </c>
      <c r="L57" s="14">
        <v>80.5</v>
      </c>
      <c r="M57" s="14">
        <v>21.5</v>
      </c>
      <c r="N57" s="24">
        <v>2175</v>
      </c>
      <c r="O57" s="14">
        <v>5.0999999999999996</v>
      </c>
      <c r="P57" s="10">
        <v>10.9</v>
      </c>
      <c r="Q57" s="22" t="s">
        <v>298</v>
      </c>
      <c r="R57" s="12" t="s">
        <v>299</v>
      </c>
    </row>
    <row r="58" spans="1:18" x14ac:dyDescent="0.3">
      <c r="A58" s="5" t="s">
        <v>305</v>
      </c>
      <c r="B58" s="32">
        <v>45327.916666666657</v>
      </c>
      <c r="C58" s="5" t="s">
        <v>5</v>
      </c>
      <c r="D58" s="13">
        <v>219</v>
      </c>
      <c r="E58" s="13">
        <v>3113.6</v>
      </c>
      <c r="F58" s="13">
        <v>72</v>
      </c>
      <c r="G58" s="13">
        <v>45.8</v>
      </c>
      <c r="H58" s="13">
        <v>111.5</v>
      </c>
      <c r="I58" s="18">
        <v>6</v>
      </c>
      <c r="J58" s="22" t="s">
        <v>297</v>
      </c>
      <c r="K58" s="23">
        <v>114.8</v>
      </c>
      <c r="L58" s="13">
        <v>81</v>
      </c>
      <c r="M58" s="13">
        <v>21.9</v>
      </c>
      <c r="N58" s="24">
        <v>2200</v>
      </c>
      <c r="O58" s="13">
        <v>5</v>
      </c>
      <c r="P58" s="6">
        <v>11</v>
      </c>
      <c r="Q58" s="22" t="s">
        <v>298</v>
      </c>
      <c r="R58" s="8" t="s">
        <v>299</v>
      </c>
    </row>
    <row r="59" spans="1:18" x14ac:dyDescent="0.3">
      <c r="A59" s="9" t="s">
        <v>306</v>
      </c>
      <c r="B59" s="33">
        <v>45328</v>
      </c>
      <c r="C59" s="9" t="s">
        <v>5</v>
      </c>
      <c r="D59" s="14">
        <v>220.5</v>
      </c>
      <c r="E59" s="14">
        <v>3058.2</v>
      </c>
      <c r="F59" s="14">
        <v>72</v>
      </c>
      <c r="G59" s="14">
        <v>44.1</v>
      </c>
      <c r="H59" s="14">
        <v>107.8</v>
      </c>
      <c r="I59" s="20">
        <v>6</v>
      </c>
      <c r="J59" s="22" t="s">
        <v>297</v>
      </c>
      <c r="K59" s="23">
        <v>113.6</v>
      </c>
      <c r="L59" s="14">
        <v>81.5</v>
      </c>
      <c r="M59" s="14">
        <v>22.3</v>
      </c>
      <c r="N59" s="24">
        <v>2225</v>
      </c>
      <c r="O59" s="14">
        <v>5.0999999999999996</v>
      </c>
      <c r="P59" s="10">
        <v>11.1</v>
      </c>
      <c r="Q59" s="22" t="s">
        <v>298</v>
      </c>
      <c r="R59" s="12" t="s">
        <v>299</v>
      </c>
    </row>
    <row r="60" spans="1:18" x14ac:dyDescent="0.3">
      <c r="A60" s="5" t="s">
        <v>307</v>
      </c>
      <c r="B60" s="32">
        <v>45328.083333333343</v>
      </c>
      <c r="C60" s="5" t="s">
        <v>5</v>
      </c>
      <c r="D60" s="13">
        <v>222</v>
      </c>
      <c r="E60" s="13">
        <v>3066.5</v>
      </c>
      <c r="F60" s="13">
        <v>71.400000000000006</v>
      </c>
      <c r="G60" s="13">
        <v>44.4</v>
      </c>
      <c r="H60" s="13">
        <v>109.3</v>
      </c>
      <c r="I60" s="18">
        <v>6</v>
      </c>
      <c r="J60" s="22" t="s">
        <v>297</v>
      </c>
      <c r="K60" s="23">
        <v>112.4</v>
      </c>
      <c r="L60" s="13">
        <v>82</v>
      </c>
      <c r="M60" s="13">
        <v>22.7</v>
      </c>
      <c r="N60" s="24">
        <v>2250</v>
      </c>
      <c r="O60" s="13">
        <v>4.4000000000000004</v>
      </c>
      <c r="P60" s="6">
        <v>11.2</v>
      </c>
      <c r="Q60" s="22" t="s">
        <v>298</v>
      </c>
      <c r="R60" s="8" t="s">
        <v>299</v>
      </c>
    </row>
    <row r="61" spans="1:18" x14ac:dyDescent="0.3">
      <c r="A61" s="9" t="s">
        <v>308</v>
      </c>
      <c r="B61" s="33">
        <v>45328.166666666657</v>
      </c>
      <c r="C61" s="9" t="s">
        <v>5</v>
      </c>
      <c r="D61" s="14">
        <v>223.5</v>
      </c>
      <c r="E61" s="14">
        <v>3044.6</v>
      </c>
      <c r="F61" s="14">
        <v>72</v>
      </c>
      <c r="G61" s="14">
        <v>44.6</v>
      </c>
      <c r="H61" s="14">
        <v>106.9</v>
      </c>
      <c r="I61" s="20">
        <v>6</v>
      </c>
      <c r="J61" s="22" t="s">
        <v>297</v>
      </c>
      <c r="K61" s="23">
        <v>111.2</v>
      </c>
      <c r="L61" s="14">
        <v>82.5</v>
      </c>
      <c r="M61" s="14">
        <v>23.1</v>
      </c>
      <c r="N61" s="24">
        <v>2275</v>
      </c>
      <c r="O61" s="14">
        <v>4.4000000000000004</v>
      </c>
      <c r="P61" s="10">
        <v>11.3</v>
      </c>
      <c r="Q61" s="22" t="s">
        <v>298</v>
      </c>
      <c r="R61" s="12" t="s">
        <v>299</v>
      </c>
    </row>
    <row r="62" spans="1:18" x14ac:dyDescent="0.3">
      <c r="A62" s="5" t="s">
        <v>309</v>
      </c>
      <c r="B62" s="32">
        <v>45328.25</v>
      </c>
      <c r="C62" s="5" t="s">
        <v>3</v>
      </c>
      <c r="D62" s="13">
        <v>225</v>
      </c>
      <c r="E62" s="13">
        <v>3067.3</v>
      </c>
      <c r="F62" s="13">
        <v>71.7</v>
      </c>
      <c r="G62" s="13">
        <v>44.1</v>
      </c>
      <c r="H62" s="13">
        <v>102.9</v>
      </c>
      <c r="I62" s="18">
        <v>6</v>
      </c>
      <c r="J62" s="22" t="s">
        <v>297</v>
      </c>
      <c r="K62" s="23">
        <v>110</v>
      </c>
      <c r="L62" s="13">
        <v>83</v>
      </c>
      <c r="M62" s="13">
        <v>23.5</v>
      </c>
      <c r="N62" s="24">
        <v>2300</v>
      </c>
      <c r="O62" s="13">
        <v>5.0999999999999996</v>
      </c>
      <c r="P62" s="6">
        <v>11.4</v>
      </c>
      <c r="Q62" s="22" t="s">
        <v>298</v>
      </c>
      <c r="R62" s="8" t="s">
        <v>299</v>
      </c>
    </row>
    <row r="63" spans="1:18" x14ac:dyDescent="0.3">
      <c r="A63" s="9" t="s">
        <v>310</v>
      </c>
      <c r="B63" s="33">
        <v>45328.333333333343</v>
      </c>
      <c r="C63" s="9" t="s">
        <v>3</v>
      </c>
      <c r="D63" s="14">
        <v>226.5</v>
      </c>
      <c r="E63" s="14">
        <v>3141.3</v>
      </c>
      <c r="F63" s="14">
        <v>72.5</v>
      </c>
      <c r="G63" s="14">
        <v>43.7</v>
      </c>
      <c r="H63" s="14">
        <v>108.8</v>
      </c>
      <c r="I63" s="20">
        <v>6</v>
      </c>
      <c r="J63" s="22" t="s">
        <v>297</v>
      </c>
      <c r="K63" s="23">
        <v>108.8</v>
      </c>
      <c r="L63" s="14">
        <v>83.5</v>
      </c>
      <c r="M63" s="14">
        <v>23.9</v>
      </c>
      <c r="N63" s="24">
        <v>2325</v>
      </c>
      <c r="O63" s="14">
        <v>5</v>
      </c>
      <c r="P63" s="10">
        <v>11.5</v>
      </c>
      <c r="Q63" s="22" t="s">
        <v>298</v>
      </c>
      <c r="R63" s="12" t="s">
        <v>299</v>
      </c>
    </row>
    <row r="64" spans="1:18" x14ac:dyDescent="0.3">
      <c r="A64" s="5" t="s">
        <v>311</v>
      </c>
      <c r="B64" s="32">
        <v>45328.416666666657</v>
      </c>
      <c r="C64" s="5" t="s">
        <v>3</v>
      </c>
      <c r="D64" s="13">
        <v>228</v>
      </c>
      <c r="E64" s="13">
        <v>3077.7</v>
      </c>
      <c r="F64" s="13">
        <v>71.900000000000006</v>
      </c>
      <c r="G64" s="13">
        <v>44.6</v>
      </c>
      <c r="H64" s="13">
        <v>103.9</v>
      </c>
      <c r="I64" s="18">
        <v>6</v>
      </c>
      <c r="J64" s="22" t="s">
        <v>297</v>
      </c>
      <c r="K64" s="23">
        <v>107.6</v>
      </c>
      <c r="L64" s="13">
        <v>84</v>
      </c>
      <c r="M64" s="13">
        <v>24.3</v>
      </c>
      <c r="N64" s="24">
        <v>2350</v>
      </c>
      <c r="O64" s="13">
        <v>4.5999999999999996</v>
      </c>
      <c r="P64" s="6">
        <v>11.6</v>
      </c>
      <c r="Q64" s="22" t="s">
        <v>298</v>
      </c>
      <c r="R64" s="8" t="s">
        <v>299</v>
      </c>
    </row>
    <row r="65" spans="1:18" x14ac:dyDescent="0.3">
      <c r="A65" s="9" t="s">
        <v>312</v>
      </c>
      <c r="B65" s="33">
        <v>45328.5</v>
      </c>
      <c r="C65" s="9" t="s">
        <v>3</v>
      </c>
      <c r="D65" s="14">
        <v>229.5</v>
      </c>
      <c r="E65" s="14">
        <v>3096.5</v>
      </c>
      <c r="F65" s="14">
        <v>71.8</v>
      </c>
      <c r="G65" s="14">
        <v>45.1</v>
      </c>
      <c r="H65" s="14">
        <v>103.8</v>
      </c>
      <c r="I65" s="20">
        <v>6</v>
      </c>
      <c r="J65" s="22" t="s">
        <v>297</v>
      </c>
      <c r="K65" s="23">
        <v>106.4</v>
      </c>
      <c r="L65" s="14">
        <v>84.5</v>
      </c>
      <c r="M65" s="14">
        <v>24.7</v>
      </c>
      <c r="N65" s="24">
        <v>2375</v>
      </c>
      <c r="O65" s="14">
        <v>4.8</v>
      </c>
      <c r="P65" s="10">
        <v>11.7</v>
      </c>
      <c r="Q65" s="22" t="s">
        <v>298</v>
      </c>
      <c r="R65" s="12" t="s">
        <v>299</v>
      </c>
    </row>
    <row r="66" spans="1:18" x14ac:dyDescent="0.3">
      <c r="A66" s="5" t="s">
        <v>313</v>
      </c>
      <c r="B66" s="32">
        <v>45328.583333333343</v>
      </c>
      <c r="C66" s="5" t="s">
        <v>4</v>
      </c>
      <c r="D66" s="13">
        <v>231</v>
      </c>
      <c r="E66" s="13">
        <v>3112.6</v>
      </c>
      <c r="F66" s="13">
        <v>71.5</v>
      </c>
      <c r="G66" s="13">
        <v>45.3</v>
      </c>
      <c r="H66" s="13">
        <v>99.6</v>
      </c>
      <c r="I66" s="18">
        <v>6</v>
      </c>
      <c r="J66" s="22" t="s">
        <v>297</v>
      </c>
      <c r="K66" s="23">
        <v>105.2</v>
      </c>
      <c r="L66" s="13">
        <v>85</v>
      </c>
      <c r="M66" s="13">
        <v>25.1</v>
      </c>
      <c r="N66" s="24">
        <v>2400</v>
      </c>
      <c r="O66" s="13">
        <v>4.5999999999999996</v>
      </c>
      <c r="P66" s="6">
        <v>11.8</v>
      </c>
      <c r="Q66" s="22" t="s">
        <v>298</v>
      </c>
      <c r="R66" s="8" t="s">
        <v>299</v>
      </c>
    </row>
    <row r="67" spans="1:18" x14ac:dyDescent="0.3">
      <c r="A67" s="9" t="s">
        <v>314</v>
      </c>
      <c r="B67" s="33">
        <v>45328.666666666657</v>
      </c>
      <c r="C67" s="9" t="s">
        <v>4</v>
      </c>
      <c r="D67" s="14">
        <v>232.5</v>
      </c>
      <c r="E67" s="14">
        <v>3150.8</v>
      </c>
      <c r="F67" s="14">
        <v>71.8</v>
      </c>
      <c r="G67" s="14">
        <v>44.3</v>
      </c>
      <c r="H67" s="14">
        <v>103.5</v>
      </c>
      <c r="I67" s="20">
        <v>6</v>
      </c>
      <c r="J67" s="22" t="s">
        <v>297</v>
      </c>
      <c r="K67" s="23">
        <v>104</v>
      </c>
      <c r="L67" s="14">
        <v>85.5</v>
      </c>
      <c r="M67" s="14">
        <v>25.5</v>
      </c>
      <c r="N67" s="24">
        <v>2425</v>
      </c>
      <c r="O67" s="14">
        <v>4.4000000000000004</v>
      </c>
      <c r="P67" s="10">
        <v>11.9</v>
      </c>
      <c r="Q67" s="22" t="s">
        <v>298</v>
      </c>
      <c r="R67" s="12" t="s">
        <v>299</v>
      </c>
    </row>
    <row r="68" spans="1:18" x14ac:dyDescent="0.3">
      <c r="A68" s="5" t="s">
        <v>315</v>
      </c>
      <c r="B68" s="32">
        <v>45328.75</v>
      </c>
      <c r="C68" s="5" t="s">
        <v>4</v>
      </c>
      <c r="D68" s="13">
        <v>246.6</v>
      </c>
      <c r="E68" s="13">
        <v>3129.1</v>
      </c>
      <c r="F68" s="13">
        <v>71.900000000000006</v>
      </c>
      <c r="G68" s="13">
        <v>44</v>
      </c>
      <c r="H68" s="13">
        <v>105</v>
      </c>
      <c r="I68" s="18">
        <v>6</v>
      </c>
      <c r="J68" s="5" t="s">
        <v>244</v>
      </c>
      <c r="K68" s="13">
        <v>147.69999999999999</v>
      </c>
      <c r="L68" s="13">
        <v>68.2</v>
      </c>
      <c r="M68" s="13">
        <v>13.5</v>
      </c>
      <c r="N68" s="19">
        <v>1755</v>
      </c>
      <c r="O68" s="13">
        <v>5.0999999999999996</v>
      </c>
      <c r="P68" s="6">
        <v>8.51</v>
      </c>
      <c r="Q68" s="5" t="s">
        <v>245</v>
      </c>
      <c r="R68" s="8" t="s">
        <v>246</v>
      </c>
    </row>
    <row r="69" spans="1:18" x14ac:dyDescent="0.3">
      <c r="A69" s="9" t="s">
        <v>316</v>
      </c>
      <c r="B69" s="33">
        <v>45328.833333333343</v>
      </c>
      <c r="C69" s="9" t="s">
        <v>4</v>
      </c>
      <c r="D69" s="14">
        <v>243.5</v>
      </c>
      <c r="E69" s="14">
        <v>3078.5</v>
      </c>
      <c r="F69" s="14">
        <v>71.900000000000006</v>
      </c>
      <c r="G69" s="14">
        <v>45.2</v>
      </c>
      <c r="H69" s="14">
        <v>94.1</v>
      </c>
      <c r="I69" s="20">
        <v>6</v>
      </c>
      <c r="J69" s="9" t="s">
        <v>244</v>
      </c>
      <c r="K69" s="14">
        <v>145</v>
      </c>
      <c r="L69" s="14">
        <v>68.7</v>
      </c>
      <c r="M69" s="14">
        <v>12.3</v>
      </c>
      <c r="N69" s="21">
        <v>1765</v>
      </c>
      <c r="O69" s="14">
        <v>4.9000000000000004</v>
      </c>
      <c r="P69" s="10">
        <v>8.86</v>
      </c>
      <c r="Q69" s="9" t="s">
        <v>245</v>
      </c>
      <c r="R69" s="12" t="s">
        <v>246</v>
      </c>
    </row>
    <row r="70" spans="1:18" x14ac:dyDescent="0.3">
      <c r="A70" s="5" t="s">
        <v>317</v>
      </c>
      <c r="B70" s="32">
        <v>45328.916666666657</v>
      </c>
      <c r="C70" s="5" t="s">
        <v>5</v>
      </c>
      <c r="D70" s="13">
        <v>248.7</v>
      </c>
      <c r="E70" s="13">
        <v>3132.8</v>
      </c>
      <c r="F70" s="13">
        <v>72.8</v>
      </c>
      <c r="G70" s="13">
        <v>45.8</v>
      </c>
      <c r="H70" s="13">
        <v>99.5</v>
      </c>
      <c r="I70" s="18">
        <v>6</v>
      </c>
      <c r="J70" s="5" t="s">
        <v>244</v>
      </c>
      <c r="K70" s="13">
        <v>144.1</v>
      </c>
      <c r="L70" s="13">
        <v>68</v>
      </c>
      <c r="M70" s="13">
        <v>12.9</v>
      </c>
      <c r="N70" s="19">
        <v>1744</v>
      </c>
      <c r="O70" s="13">
        <v>4.5</v>
      </c>
      <c r="P70" s="6">
        <v>8.61</v>
      </c>
      <c r="Q70" s="5" t="s">
        <v>245</v>
      </c>
      <c r="R70" s="8" t="s">
        <v>246</v>
      </c>
    </row>
    <row r="71" spans="1:18" x14ac:dyDescent="0.3">
      <c r="A71" s="9" t="s">
        <v>318</v>
      </c>
      <c r="B71" s="33">
        <v>45329</v>
      </c>
      <c r="C71" s="9" t="s">
        <v>5</v>
      </c>
      <c r="D71" s="14">
        <v>237.9</v>
      </c>
      <c r="E71" s="14">
        <v>3150.5</v>
      </c>
      <c r="F71" s="14">
        <v>71.5</v>
      </c>
      <c r="G71" s="14">
        <v>44.8</v>
      </c>
      <c r="H71" s="14">
        <v>103.5</v>
      </c>
      <c r="I71" s="20">
        <v>6</v>
      </c>
      <c r="J71" s="9" t="s">
        <v>244</v>
      </c>
      <c r="K71" s="14">
        <v>149</v>
      </c>
      <c r="L71" s="14">
        <v>64.2</v>
      </c>
      <c r="M71" s="14">
        <v>12.5</v>
      </c>
      <c r="N71" s="21">
        <v>1716</v>
      </c>
      <c r="O71" s="14">
        <v>4.7</v>
      </c>
      <c r="P71" s="10">
        <v>8.9499999999999993</v>
      </c>
      <c r="Q71" s="9" t="s">
        <v>245</v>
      </c>
      <c r="R71" s="12" t="s">
        <v>246</v>
      </c>
    </row>
    <row r="72" spans="1:18" x14ac:dyDescent="0.3">
      <c r="A72" s="5" t="s">
        <v>319</v>
      </c>
      <c r="B72" s="32">
        <v>45329.083333333343</v>
      </c>
      <c r="C72" s="5" t="s">
        <v>5</v>
      </c>
      <c r="D72" s="13">
        <v>244.7</v>
      </c>
      <c r="E72" s="13">
        <v>3127</v>
      </c>
      <c r="F72" s="13">
        <v>72</v>
      </c>
      <c r="G72" s="13">
        <v>45.8</v>
      </c>
      <c r="H72" s="13">
        <v>101.7</v>
      </c>
      <c r="I72" s="18">
        <v>6</v>
      </c>
      <c r="J72" s="5" t="s">
        <v>244</v>
      </c>
      <c r="K72" s="13">
        <v>142.4</v>
      </c>
      <c r="L72" s="13">
        <v>70.099999999999994</v>
      </c>
      <c r="M72" s="13">
        <v>12.8</v>
      </c>
      <c r="N72" s="19">
        <v>1665</v>
      </c>
      <c r="O72" s="13">
        <v>4.5999999999999996</v>
      </c>
      <c r="P72" s="6">
        <v>8.68</v>
      </c>
      <c r="Q72" s="5" t="s">
        <v>245</v>
      </c>
      <c r="R72" s="8" t="s">
        <v>246</v>
      </c>
    </row>
    <row r="73" spans="1:18" x14ac:dyDescent="0.3">
      <c r="A73" s="9" t="s">
        <v>320</v>
      </c>
      <c r="B73" s="33">
        <v>45329.166666666657</v>
      </c>
      <c r="C73" s="9" t="s">
        <v>5</v>
      </c>
      <c r="D73" s="14">
        <v>255</v>
      </c>
      <c r="E73" s="14">
        <v>3076.2</v>
      </c>
      <c r="F73" s="14">
        <v>70.099999999999994</v>
      </c>
      <c r="G73" s="14">
        <v>45.2</v>
      </c>
      <c r="H73" s="14">
        <v>98.9</v>
      </c>
      <c r="I73" s="20">
        <v>6</v>
      </c>
      <c r="J73" s="9" t="s">
        <v>244</v>
      </c>
      <c r="K73" s="14">
        <v>137.9</v>
      </c>
      <c r="L73" s="14">
        <v>64.3</v>
      </c>
      <c r="M73" s="14">
        <v>13.2</v>
      </c>
      <c r="N73" s="21">
        <v>1724</v>
      </c>
      <c r="O73" s="14">
        <v>4.7</v>
      </c>
      <c r="P73" s="10">
        <v>8.8800000000000008</v>
      </c>
      <c r="Q73" s="9" t="s">
        <v>245</v>
      </c>
      <c r="R73" s="12" t="s">
        <v>246</v>
      </c>
    </row>
    <row r="74" spans="1:18" x14ac:dyDescent="0.3">
      <c r="A74" s="5" t="s">
        <v>321</v>
      </c>
      <c r="B74" s="32">
        <v>45329.25</v>
      </c>
      <c r="C74" s="5" t="s">
        <v>3</v>
      </c>
      <c r="D74" s="13">
        <v>253.8</v>
      </c>
      <c r="E74" s="13">
        <v>3156.6</v>
      </c>
      <c r="F74" s="13">
        <v>71</v>
      </c>
      <c r="G74" s="13">
        <v>44.8</v>
      </c>
      <c r="H74" s="13">
        <v>96.9</v>
      </c>
      <c r="I74" s="18">
        <v>6</v>
      </c>
      <c r="J74" s="5" t="s">
        <v>244</v>
      </c>
      <c r="K74" s="13">
        <v>144.19999999999999</v>
      </c>
      <c r="L74" s="13">
        <v>68.099999999999994</v>
      </c>
      <c r="M74" s="13">
        <v>13</v>
      </c>
      <c r="N74" s="19">
        <v>1721</v>
      </c>
      <c r="O74" s="13">
        <v>5</v>
      </c>
      <c r="P74" s="6">
        <v>8.74</v>
      </c>
      <c r="Q74" s="5" t="s">
        <v>245</v>
      </c>
      <c r="R74" s="8" t="s">
        <v>246</v>
      </c>
    </row>
    <row r="75" spans="1:18" x14ac:dyDescent="0.3">
      <c r="A75" s="9" t="s">
        <v>322</v>
      </c>
      <c r="B75" s="33">
        <v>45329.333333333343</v>
      </c>
      <c r="C75" s="9" t="s">
        <v>3</v>
      </c>
      <c r="D75" s="14">
        <v>262.89999999999998</v>
      </c>
      <c r="E75" s="14">
        <v>3089</v>
      </c>
      <c r="F75" s="14">
        <v>71.2</v>
      </c>
      <c r="G75" s="14">
        <v>45</v>
      </c>
      <c r="H75" s="14">
        <v>101</v>
      </c>
      <c r="I75" s="20">
        <v>6</v>
      </c>
      <c r="J75" s="9" t="s">
        <v>244</v>
      </c>
      <c r="K75" s="14">
        <v>150.19999999999999</v>
      </c>
      <c r="L75" s="14">
        <v>68.099999999999994</v>
      </c>
      <c r="M75" s="14">
        <v>12</v>
      </c>
      <c r="N75" s="21">
        <v>1703</v>
      </c>
      <c r="O75" s="14">
        <v>5</v>
      </c>
      <c r="P75" s="10">
        <v>8.57</v>
      </c>
      <c r="Q75" s="9" t="s">
        <v>245</v>
      </c>
      <c r="R75" s="12" t="s">
        <v>246</v>
      </c>
    </row>
    <row r="76" spans="1:18" x14ac:dyDescent="0.3">
      <c r="A76" s="5" t="s">
        <v>323</v>
      </c>
      <c r="B76" s="32">
        <v>45329.416666666657</v>
      </c>
      <c r="C76" s="5" t="s">
        <v>3</v>
      </c>
      <c r="D76" s="13">
        <v>246.1</v>
      </c>
      <c r="E76" s="13">
        <v>3158.3</v>
      </c>
      <c r="F76" s="13">
        <v>71.3</v>
      </c>
      <c r="G76" s="13">
        <v>44.8</v>
      </c>
      <c r="H76" s="13">
        <v>108.3</v>
      </c>
      <c r="I76" s="18">
        <v>6</v>
      </c>
      <c r="J76" s="5" t="s">
        <v>244</v>
      </c>
      <c r="K76" s="13">
        <v>139.30000000000001</v>
      </c>
      <c r="L76" s="13">
        <v>69.2</v>
      </c>
      <c r="M76" s="13">
        <v>11.7</v>
      </c>
      <c r="N76" s="19">
        <v>1748</v>
      </c>
      <c r="O76" s="13">
        <v>4.5</v>
      </c>
      <c r="P76" s="6">
        <v>8.74</v>
      </c>
      <c r="Q76" s="5" t="s">
        <v>245</v>
      </c>
      <c r="R76" s="8" t="s">
        <v>246</v>
      </c>
    </row>
    <row r="77" spans="1:18" x14ac:dyDescent="0.3">
      <c r="A77" s="9" t="s">
        <v>324</v>
      </c>
      <c r="B77" s="33">
        <v>45329.5</v>
      </c>
      <c r="C77" s="9" t="s">
        <v>3</v>
      </c>
      <c r="D77" s="14">
        <v>256.60000000000002</v>
      </c>
      <c r="E77" s="14">
        <v>3130.2</v>
      </c>
      <c r="F77" s="14">
        <v>72</v>
      </c>
      <c r="G77" s="14">
        <v>44.6</v>
      </c>
      <c r="H77" s="14">
        <v>102.1</v>
      </c>
      <c r="I77" s="20">
        <v>6</v>
      </c>
      <c r="J77" s="9" t="s">
        <v>244</v>
      </c>
      <c r="K77" s="14">
        <v>150.1</v>
      </c>
      <c r="L77" s="14">
        <v>67.5</v>
      </c>
      <c r="M77" s="14">
        <v>11.7</v>
      </c>
      <c r="N77" s="21">
        <v>1743</v>
      </c>
      <c r="O77" s="14">
        <v>4.5999999999999996</v>
      </c>
      <c r="P77" s="10">
        <v>8.41</v>
      </c>
      <c r="Q77" s="9" t="s">
        <v>245</v>
      </c>
      <c r="R77" s="12" t="s">
        <v>246</v>
      </c>
    </row>
    <row r="78" spans="1:18" x14ac:dyDescent="0.3">
      <c r="A78" s="5" t="s">
        <v>325</v>
      </c>
      <c r="B78" s="32">
        <v>45329.583333333343</v>
      </c>
      <c r="C78" s="5" t="s">
        <v>4</v>
      </c>
      <c r="D78" s="13">
        <v>241.3</v>
      </c>
      <c r="E78" s="13">
        <v>3083.1</v>
      </c>
      <c r="F78" s="13">
        <v>71.8</v>
      </c>
      <c r="G78" s="13">
        <v>45</v>
      </c>
      <c r="H78" s="13">
        <v>109.8</v>
      </c>
      <c r="I78" s="18">
        <v>6</v>
      </c>
      <c r="J78" s="5" t="s">
        <v>244</v>
      </c>
      <c r="K78" s="13">
        <v>146.80000000000001</v>
      </c>
      <c r="L78" s="13">
        <v>68.2</v>
      </c>
      <c r="M78" s="13">
        <v>12.3</v>
      </c>
      <c r="N78" s="19">
        <v>1737</v>
      </c>
      <c r="O78" s="13">
        <v>5.2</v>
      </c>
      <c r="P78" s="6">
        <v>8.6300000000000008</v>
      </c>
      <c r="Q78" s="5" t="s">
        <v>245</v>
      </c>
      <c r="R78" s="8" t="s">
        <v>246</v>
      </c>
    </row>
    <row r="79" spans="1:18" x14ac:dyDescent="0.3">
      <c r="A79" s="9" t="s">
        <v>326</v>
      </c>
      <c r="B79" s="33">
        <v>45329.666666666657</v>
      </c>
      <c r="C79" s="9" t="s">
        <v>4</v>
      </c>
      <c r="D79" s="14">
        <v>247.2</v>
      </c>
      <c r="E79" s="14">
        <v>3065.2</v>
      </c>
      <c r="F79" s="14">
        <v>70.900000000000006</v>
      </c>
      <c r="G79" s="14">
        <v>45.3</v>
      </c>
      <c r="H79" s="14">
        <v>107.9</v>
      </c>
      <c r="I79" s="20">
        <v>6</v>
      </c>
      <c r="J79" s="9" t="s">
        <v>244</v>
      </c>
      <c r="K79" s="14">
        <v>147</v>
      </c>
      <c r="L79" s="14">
        <v>68.3</v>
      </c>
      <c r="M79" s="14">
        <v>13.6</v>
      </c>
      <c r="N79" s="21">
        <v>1703</v>
      </c>
      <c r="O79" s="14">
        <v>5.0999999999999996</v>
      </c>
      <c r="P79" s="10">
        <v>8.59</v>
      </c>
      <c r="Q79" s="9" t="s">
        <v>245</v>
      </c>
      <c r="R79" s="12" t="s">
        <v>246</v>
      </c>
    </row>
    <row r="80" spans="1:18" x14ac:dyDescent="0.3">
      <c r="A80" s="5" t="s">
        <v>327</v>
      </c>
      <c r="B80" s="32">
        <v>45329.75</v>
      </c>
      <c r="C80" s="5" t="s">
        <v>4</v>
      </c>
      <c r="D80" s="13">
        <v>246.3</v>
      </c>
      <c r="E80" s="13">
        <v>3120.7</v>
      </c>
      <c r="F80" s="13">
        <v>72</v>
      </c>
      <c r="G80" s="13">
        <v>45.1</v>
      </c>
      <c r="H80" s="13">
        <v>105.4</v>
      </c>
      <c r="I80" s="18">
        <v>6</v>
      </c>
      <c r="J80" s="5" t="s">
        <v>244</v>
      </c>
      <c r="K80" s="13">
        <v>144.9</v>
      </c>
      <c r="L80" s="13">
        <v>72.099999999999994</v>
      </c>
      <c r="M80" s="13">
        <v>13.4</v>
      </c>
      <c r="N80" s="19">
        <v>1745</v>
      </c>
      <c r="O80" s="13">
        <v>4.8</v>
      </c>
      <c r="P80" s="6">
        <v>8.8000000000000007</v>
      </c>
      <c r="Q80" s="5" t="s">
        <v>245</v>
      </c>
      <c r="R80" s="8" t="s">
        <v>246</v>
      </c>
    </row>
    <row r="81" spans="1:18" x14ac:dyDescent="0.3">
      <c r="A81" s="9" t="s">
        <v>328</v>
      </c>
      <c r="B81" s="33">
        <v>45329.833333333343</v>
      </c>
      <c r="C81" s="9" t="s">
        <v>4</v>
      </c>
      <c r="D81" s="14">
        <v>253.1</v>
      </c>
      <c r="E81" s="14">
        <v>3100.9</v>
      </c>
      <c r="F81" s="14">
        <v>71.599999999999994</v>
      </c>
      <c r="G81" s="14">
        <v>44.7</v>
      </c>
      <c r="H81" s="14">
        <v>89.1</v>
      </c>
      <c r="I81" s="20">
        <v>6</v>
      </c>
      <c r="J81" s="9" t="s">
        <v>244</v>
      </c>
      <c r="K81" s="14">
        <v>145.69999999999999</v>
      </c>
      <c r="L81" s="14">
        <v>67.8</v>
      </c>
      <c r="M81" s="14">
        <v>13.8</v>
      </c>
      <c r="N81" s="21">
        <v>1720</v>
      </c>
      <c r="O81" s="14">
        <v>4.4000000000000004</v>
      </c>
      <c r="P81" s="10">
        <v>8.59</v>
      </c>
      <c r="Q81" s="9" t="s">
        <v>245</v>
      </c>
      <c r="R81" s="12" t="s">
        <v>246</v>
      </c>
    </row>
    <row r="82" spans="1:18" x14ac:dyDescent="0.3">
      <c r="A82" s="5" t="s">
        <v>329</v>
      </c>
      <c r="B82" s="32">
        <v>45329.916666666657</v>
      </c>
      <c r="C82" s="5" t="s">
        <v>5</v>
      </c>
      <c r="D82" s="13">
        <v>243.7</v>
      </c>
      <c r="E82" s="13">
        <v>3116.6</v>
      </c>
      <c r="F82" s="13">
        <v>72</v>
      </c>
      <c r="G82" s="13">
        <v>45.6</v>
      </c>
      <c r="H82" s="13">
        <v>101</v>
      </c>
      <c r="I82" s="18">
        <v>6</v>
      </c>
      <c r="J82" s="5" t="s">
        <v>244</v>
      </c>
      <c r="K82" s="13">
        <v>145.1</v>
      </c>
      <c r="L82" s="13">
        <v>66.5</v>
      </c>
      <c r="M82" s="13">
        <v>13.1</v>
      </c>
      <c r="N82" s="19">
        <v>1738</v>
      </c>
      <c r="O82" s="13">
        <v>4.9000000000000004</v>
      </c>
      <c r="P82" s="6">
        <v>8.6</v>
      </c>
      <c r="Q82" s="5" t="s">
        <v>245</v>
      </c>
      <c r="R82" s="8" t="s">
        <v>246</v>
      </c>
    </row>
    <row r="83" spans="1:18" x14ac:dyDescent="0.3">
      <c r="A83" s="9" t="s">
        <v>330</v>
      </c>
      <c r="B83" s="33">
        <v>45330</v>
      </c>
      <c r="C83" s="9" t="s">
        <v>5</v>
      </c>
      <c r="D83" s="14">
        <v>252.5</v>
      </c>
      <c r="E83" s="14">
        <v>3156.2</v>
      </c>
      <c r="F83" s="14">
        <v>71.599999999999994</v>
      </c>
      <c r="G83" s="14">
        <v>44.9</v>
      </c>
      <c r="H83" s="14">
        <v>99.6</v>
      </c>
      <c r="I83" s="20">
        <v>6</v>
      </c>
      <c r="J83" s="9" t="s">
        <v>244</v>
      </c>
      <c r="K83" s="14">
        <v>142</v>
      </c>
      <c r="L83" s="14">
        <v>68.599999999999994</v>
      </c>
      <c r="M83" s="14">
        <v>13.4</v>
      </c>
      <c r="N83" s="21">
        <v>1711</v>
      </c>
      <c r="O83" s="14">
        <v>4.7</v>
      </c>
      <c r="P83" s="10">
        <v>8.52</v>
      </c>
      <c r="Q83" s="9" t="s">
        <v>245</v>
      </c>
      <c r="R83" s="12" t="s">
        <v>246</v>
      </c>
    </row>
    <row r="84" spans="1:18" x14ac:dyDescent="0.3">
      <c r="A84" s="5" t="s">
        <v>331</v>
      </c>
      <c r="B84" s="32">
        <v>45330.083333333343</v>
      </c>
      <c r="C84" s="5" t="s">
        <v>5</v>
      </c>
      <c r="D84" s="13">
        <v>246.8</v>
      </c>
      <c r="E84" s="13">
        <v>3110.3</v>
      </c>
      <c r="F84" s="13">
        <v>70.900000000000006</v>
      </c>
      <c r="G84" s="13">
        <v>45.8</v>
      </c>
      <c r="H84" s="13">
        <v>101.7</v>
      </c>
      <c r="I84" s="18">
        <v>6</v>
      </c>
      <c r="J84" s="5" t="s">
        <v>244</v>
      </c>
      <c r="K84" s="13">
        <v>147.5</v>
      </c>
      <c r="L84" s="13">
        <v>66.599999999999994</v>
      </c>
      <c r="M84" s="13">
        <v>13</v>
      </c>
      <c r="N84" s="19">
        <v>1743</v>
      </c>
      <c r="O84" s="13">
        <v>4.9000000000000004</v>
      </c>
      <c r="P84" s="6">
        <v>8.4</v>
      </c>
      <c r="Q84" s="5" t="s">
        <v>245</v>
      </c>
      <c r="R84" s="8" t="s">
        <v>246</v>
      </c>
    </row>
    <row r="85" spans="1:18" x14ac:dyDescent="0.3">
      <c r="A85" s="9" t="s">
        <v>332</v>
      </c>
      <c r="B85" s="33">
        <v>45330.166666666657</v>
      </c>
      <c r="C85" s="9" t="s">
        <v>5</v>
      </c>
      <c r="D85" s="14">
        <v>251.5</v>
      </c>
      <c r="E85" s="14">
        <v>3058.6</v>
      </c>
      <c r="F85" s="14">
        <v>71.599999999999994</v>
      </c>
      <c r="G85" s="14">
        <v>45.6</v>
      </c>
      <c r="H85" s="14">
        <v>109</v>
      </c>
      <c r="I85" s="20">
        <v>6</v>
      </c>
      <c r="J85" s="9" t="s">
        <v>244</v>
      </c>
      <c r="K85" s="14">
        <v>145.1</v>
      </c>
      <c r="L85" s="14">
        <v>67</v>
      </c>
      <c r="M85" s="14">
        <v>13</v>
      </c>
      <c r="N85" s="21">
        <v>1720</v>
      </c>
      <c r="O85" s="14">
        <v>4.0999999999999996</v>
      </c>
      <c r="P85" s="10">
        <v>8.76</v>
      </c>
      <c r="Q85" s="9" t="s">
        <v>245</v>
      </c>
      <c r="R85" s="12" t="s">
        <v>246</v>
      </c>
    </row>
    <row r="86" spans="1:18" x14ac:dyDescent="0.3">
      <c r="A86" s="5" t="s">
        <v>333</v>
      </c>
      <c r="B86" s="32">
        <v>45330.25</v>
      </c>
      <c r="C86" s="5" t="s">
        <v>3</v>
      </c>
      <c r="D86" s="13">
        <v>249.9</v>
      </c>
      <c r="E86" s="13">
        <v>3142.1</v>
      </c>
      <c r="F86" s="13">
        <v>71.099999999999994</v>
      </c>
      <c r="G86" s="13">
        <v>42.3</v>
      </c>
      <c r="H86" s="13">
        <v>106.4</v>
      </c>
      <c r="I86" s="18">
        <v>6</v>
      </c>
      <c r="J86" s="5" t="s">
        <v>244</v>
      </c>
      <c r="K86" s="13">
        <v>146</v>
      </c>
      <c r="L86" s="13">
        <v>66</v>
      </c>
      <c r="M86" s="13">
        <v>11.7</v>
      </c>
      <c r="N86" s="19">
        <v>1816</v>
      </c>
      <c r="O86" s="13">
        <v>4.7</v>
      </c>
      <c r="P86" s="6">
        <v>8.75</v>
      </c>
      <c r="Q86" s="5" t="s">
        <v>245</v>
      </c>
      <c r="R86" s="8" t="s">
        <v>246</v>
      </c>
    </row>
    <row r="87" spans="1:18" x14ac:dyDescent="0.3">
      <c r="A87" s="9" t="s">
        <v>334</v>
      </c>
      <c r="B87" s="33">
        <v>45330.333333333343</v>
      </c>
      <c r="C87" s="9" t="s">
        <v>3</v>
      </c>
      <c r="D87" s="14">
        <v>246.1</v>
      </c>
      <c r="E87" s="14">
        <v>3026.8</v>
      </c>
      <c r="F87" s="14">
        <v>71.7</v>
      </c>
      <c r="G87" s="14">
        <v>44.6</v>
      </c>
      <c r="H87" s="14">
        <v>103</v>
      </c>
      <c r="I87" s="20">
        <v>6</v>
      </c>
      <c r="J87" s="9" t="s">
        <v>244</v>
      </c>
      <c r="K87" s="14">
        <v>144.6</v>
      </c>
      <c r="L87" s="14">
        <v>68.900000000000006</v>
      </c>
      <c r="M87" s="14">
        <v>12.4</v>
      </c>
      <c r="N87" s="21">
        <v>1675</v>
      </c>
      <c r="O87" s="14">
        <v>4.9000000000000004</v>
      </c>
      <c r="P87" s="10">
        <v>8.2100000000000009</v>
      </c>
      <c r="Q87" s="9" t="s">
        <v>245</v>
      </c>
      <c r="R87" s="12" t="s">
        <v>246</v>
      </c>
    </row>
    <row r="88" spans="1:18" x14ac:dyDescent="0.3">
      <c r="A88" s="5" t="s">
        <v>335</v>
      </c>
      <c r="B88" s="32">
        <v>45330.416666666657</v>
      </c>
      <c r="C88" s="5" t="s">
        <v>3</v>
      </c>
      <c r="D88" s="13">
        <v>237.7</v>
      </c>
      <c r="E88" s="13">
        <v>3125.9</v>
      </c>
      <c r="F88" s="13">
        <v>72.099999999999994</v>
      </c>
      <c r="G88" s="13">
        <v>44.8</v>
      </c>
      <c r="H88" s="13">
        <v>98</v>
      </c>
      <c r="I88" s="18">
        <v>6</v>
      </c>
      <c r="J88" s="5" t="s">
        <v>244</v>
      </c>
      <c r="K88" s="13">
        <v>142.5</v>
      </c>
      <c r="L88" s="13">
        <v>68.099999999999994</v>
      </c>
      <c r="M88" s="13">
        <v>11.2</v>
      </c>
      <c r="N88" s="19">
        <v>1694</v>
      </c>
      <c r="O88" s="13">
        <v>5</v>
      </c>
      <c r="P88" s="6">
        <v>8.89</v>
      </c>
      <c r="Q88" s="5" t="s">
        <v>245</v>
      </c>
      <c r="R88" s="8" t="s">
        <v>246</v>
      </c>
    </row>
    <row r="89" spans="1:18" x14ac:dyDescent="0.3">
      <c r="A89" s="9" t="s">
        <v>336</v>
      </c>
      <c r="B89" s="33">
        <v>45330.5</v>
      </c>
      <c r="C89" s="9" t="s">
        <v>3</v>
      </c>
      <c r="D89" s="14">
        <v>247.5</v>
      </c>
      <c r="E89" s="14">
        <v>3126.5</v>
      </c>
      <c r="F89" s="14">
        <v>70.7</v>
      </c>
      <c r="G89" s="14">
        <v>45.3</v>
      </c>
      <c r="H89" s="14">
        <v>101</v>
      </c>
      <c r="I89" s="20">
        <v>6</v>
      </c>
      <c r="J89" s="9" t="s">
        <v>244</v>
      </c>
      <c r="K89" s="14">
        <v>146.1</v>
      </c>
      <c r="L89" s="14">
        <v>68.099999999999994</v>
      </c>
      <c r="M89" s="14">
        <v>13.6</v>
      </c>
      <c r="N89" s="21">
        <v>1689</v>
      </c>
      <c r="O89" s="14">
        <v>5</v>
      </c>
      <c r="P89" s="10">
        <v>8.5399999999999991</v>
      </c>
      <c r="Q89" s="9" t="s">
        <v>245</v>
      </c>
      <c r="R89" s="12" t="s">
        <v>246</v>
      </c>
    </row>
    <row r="90" spans="1:18" x14ac:dyDescent="0.3">
      <c r="A90" s="5" t="s">
        <v>337</v>
      </c>
      <c r="B90" s="32">
        <v>45330.583333333343</v>
      </c>
      <c r="C90" s="5" t="s">
        <v>4</v>
      </c>
      <c r="D90" s="13">
        <v>249.1</v>
      </c>
      <c r="E90" s="13">
        <v>3093.6</v>
      </c>
      <c r="F90" s="13">
        <v>71.3</v>
      </c>
      <c r="G90" s="13">
        <v>44.8</v>
      </c>
      <c r="H90" s="13">
        <v>104.7</v>
      </c>
      <c r="I90" s="18">
        <v>6</v>
      </c>
      <c r="J90" s="5" t="s">
        <v>244</v>
      </c>
      <c r="K90" s="13">
        <v>145.80000000000001</v>
      </c>
      <c r="L90" s="13">
        <v>68.599999999999994</v>
      </c>
      <c r="M90" s="13">
        <v>13.1</v>
      </c>
      <c r="N90" s="19">
        <v>1752</v>
      </c>
      <c r="O90" s="13">
        <v>4.5</v>
      </c>
      <c r="P90" s="6">
        <v>8.77</v>
      </c>
      <c r="Q90" s="5" t="s">
        <v>245</v>
      </c>
      <c r="R90" s="8" t="s">
        <v>246</v>
      </c>
    </row>
    <row r="91" spans="1:18" x14ac:dyDescent="0.3">
      <c r="A91" s="9" t="s">
        <v>338</v>
      </c>
      <c r="B91" s="33">
        <v>45330.666666666657</v>
      </c>
      <c r="C91" s="9" t="s">
        <v>4</v>
      </c>
      <c r="D91" s="14">
        <v>242.9</v>
      </c>
      <c r="E91" s="14">
        <v>3120.6</v>
      </c>
      <c r="F91" s="14">
        <v>72.2</v>
      </c>
      <c r="G91" s="14">
        <v>43.3</v>
      </c>
      <c r="H91" s="14">
        <v>105.5</v>
      </c>
      <c r="I91" s="20">
        <v>6</v>
      </c>
      <c r="J91" s="9" t="s">
        <v>244</v>
      </c>
      <c r="K91" s="14">
        <v>143.4</v>
      </c>
      <c r="L91" s="14">
        <v>67.400000000000006</v>
      </c>
      <c r="M91" s="14">
        <v>13.6</v>
      </c>
      <c r="N91" s="21">
        <v>1697</v>
      </c>
      <c r="O91" s="14">
        <v>4.5999999999999996</v>
      </c>
      <c r="P91" s="10">
        <v>8.6199999999999992</v>
      </c>
      <c r="Q91" s="9" t="s">
        <v>245</v>
      </c>
      <c r="R91" s="12" t="s">
        <v>246</v>
      </c>
    </row>
    <row r="92" spans="1:18" x14ac:dyDescent="0.3">
      <c r="A92" s="5" t="s">
        <v>339</v>
      </c>
      <c r="B92" s="32">
        <v>45330.75</v>
      </c>
      <c r="C92" s="5" t="s">
        <v>4</v>
      </c>
      <c r="D92" s="13">
        <v>254.1</v>
      </c>
      <c r="E92" s="13">
        <v>3095</v>
      </c>
      <c r="F92" s="13">
        <v>72.5</v>
      </c>
      <c r="G92" s="13">
        <v>45.2</v>
      </c>
      <c r="H92" s="13">
        <v>94.1</v>
      </c>
      <c r="I92" s="18">
        <v>6</v>
      </c>
      <c r="J92" s="5" t="s">
        <v>244</v>
      </c>
      <c r="K92" s="13">
        <v>143.1</v>
      </c>
      <c r="L92" s="13">
        <v>67.7</v>
      </c>
      <c r="M92" s="13">
        <v>12.9</v>
      </c>
      <c r="N92" s="19">
        <v>1628</v>
      </c>
      <c r="O92" s="13">
        <v>5.6</v>
      </c>
      <c r="P92" s="6">
        <v>8.7100000000000009</v>
      </c>
      <c r="Q92" s="5" t="s">
        <v>245</v>
      </c>
      <c r="R92" s="8" t="s">
        <v>246</v>
      </c>
    </row>
    <row r="93" spans="1:18" x14ac:dyDescent="0.3">
      <c r="A93" s="9" t="s">
        <v>340</v>
      </c>
      <c r="B93" s="33">
        <v>45330.833333333343</v>
      </c>
      <c r="C93" s="9" t="s">
        <v>4</v>
      </c>
      <c r="D93" s="14">
        <v>250.9</v>
      </c>
      <c r="E93" s="14">
        <v>3141.4</v>
      </c>
      <c r="F93" s="14">
        <v>73.2</v>
      </c>
      <c r="G93" s="14">
        <v>45.5</v>
      </c>
      <c r="H93" s="14">
        <v>109.7</v>
      </c>
      <c r="I93" s="20">
        <v>6</v>
      </c>
      <c r="J93" s="9" t="s">
        <v>244</v>
      </c>
      <c r="K93" s="14">
        <v>145.5</v>
      </c>
      <c r="L93" s="14">
        <v>68.3</v>
      </c>
      <c r="M93" s="14">
        <v>12.1</v>
      </c>
      <c r="N93" s="21">
        <v>1691</v>
      </c>
      <c r="O93" s="14">
        <v>4.5999999999999996</v>
      </c>
      <c r="P93" s="10">
        <v>8.33</v>
      </c>
      <c r="Q93" s="9" t="s">
        <v>245</v>
      </c>
      <c r="R93" s="12" t="s">
        <v>246</v>
      </c>
    </row>
    <row r="94" spans="1:18" x14ac:dyDescent="0.3">
      <c r="A94" s="5" t="s">
        <v>341</v>
      </c>
      <c r="B94" s="32">
        <v>45330.916666666657</v>
      </c>
      <c r="C94" s="5" t="s">
        <v>5</v>
      </c>
      <c r="D94" s="13">
        <v>249.5</v>
      </c>
      <c r="E94" s="13">
        <v>3041</v>
      </c>
      <c r="F94" s="13">
        <v>71.900000000000006</v>
      </c>
      <c r="G94" s="13">
        <v>44.8</v>
      </c>
      <c r="H94" s="13">
        <v>105.7</v>
      </c>
      <c r="I94" s="18">
        <v>6</v>
      </c>
      <c r="J94" s="5" t="s">
        <v>244</v>
      </c>
      <c r="K94" s="13">
        <v>143.19999999999999</v>
      </c>
      <c r="L94" s="13">
        <v>73.099999999999994</v>
      </c>
      <c r="M94" s="13">
        <v>13.6</v>
      </c>
      <c r="N94" s="19">
        <v>1676</v>
      </c>
      <c r="O94" s="13">
        <v>4.9000000000000004</v>
      </c>
      <c r="P94" s="6">
        <v>8.48</v>
      </c>
      <c r="Q94" s="5" t="s">
        <v>245</v>
      </c>
      <c r="R94" s="8" t="s">
        <v>246</v>
      </c>
    </row>
    <row r="95" spans="1:18" x14ac:dyDescent="0.3">
      <c r="A95" s="9" t="s">
        <v>342</v>
      </c>
      <c r="B95" s="33">
        <v>45331</v>
      </c>
      <c r="C95" s="9" t="s">
        <v>5</v>
      </c>
      <c r="D95" s="14">
        <v>243.9</v>
      </c>
      <c r="E95" s="14">
        <v>3053.1</v>
      </c>
      <c r="F95" s="14">
        <v>72.099999999999994</v>
      </c>
      <c r="G95" s="14">
        <v>44.3</v>
      </c>
      <c r="H95" s="14">
        <v>109.8</v>
      </c>
      <c r="I95" s="20">
        <v>6</v>
      </c>
      <c r="J95" s="9" t="s">
        <v>244</v>
      </c>
      <c r="K95" s="14">
        <v>148.5</v>
      </c>
      <c r="L95" s="14">
        <v>70.599999999999994</v>
      </c>
      <c r="M95" s="14">
        <v>11.8</v>
      </c>
      <c r="N95" s="21">
        <v>1736</v>
      </c>
      <c r="O95" s="14">
        <v>5</v>
      </c>
      <c r="P95" s="10">
        <v>8.51</v>
      </c>
      <c r="Q95" s="9" t="s">
        <v>245</v>
      </c>
      <c r="R95" s="12" t="s">
        <v>246</v>
      </c>
    </row>
    <row r="96" spans="1:18" x14ac:dyDescent="0.3">
      <c r="A96" s="5" t="s">
        <v>343</v>
      </c>
      <c r="B96" s="32">
        <v>45331.083333333343</v>
      </c>
      <c r="C96" s="5" t="s">
        <v>5</v>
      </c>
      <c r="D96" s="13">
        <v>245.4</v>
      </c>
      <c r="E96" s="13">
        <v>3156.3</v>
      </c>
      <c r="F96" s="13">
        <v>71.900000000000006</v>
      </c>
      <c r="G96" s="13">
        <v>45.3</v>
      </c>
      <c r="H96" s="13">
        <v>100.9</v>
      </c>
      <c r="I96" s="18">
        <v>6</v>
      </c>
      <c r="J96" s="5" t="s">
        <v>244</v>
      </c>
      <c r="K96" s="13">
        <v>140.69999999999999</v>
      </c>
      <c r="L96" s="13">
        <v>67.599999999999994</v>
      </c>
      <c r="M96" s="13">
        <v>12.4</v>
      </c>
      <c r="N96" s="19">
        <v>1682</v>
      </c>
      <c r="O96" s="13">
        <v>4.8</v>
      </c>
      <c r="P96" s="6">
        <v>8.26</v>
      </c>
      <c r="Q96" s="5" t="s">
        <v>245</v>
      </c>
      <c r="R96" s="8" t="s">
        <v>246</v>
      </c>
    </row>
    <row r="97" spans="1:18" x14ac:dyDescent="0.3">
      <c r="A97" s="9" t="s">
        <v>344</v>
      </c>
      <c r="B97" s="33">
        <v>45331.166666666657</v>
      </c>
      <c r="C97" s="9" t="s">
        <v>5</v>
      </c>
      <c r="D97" s="14">
        <v>243.3</v>
      </c>
      <c r="E97" s="14">
        <v>3123.5</v>
      </c>
      <c r="F97" s="14">
        <v>72.2</v>
      </c>
      <c r="G97" s="14">
        <v>44.5</v>
      </c>
      <c r="H97" s="14">
        <v>99.9</v>
      </c>
      <c r="I97" s="20">
        <v>6</v>
      </c>
      <c r="J97" s="9" t="s">
        <v>244</v>
      </c>
      <c r="K97" s="14">
        <v>141.4</v>
      </c>
      <c r="L97" s="14">
        <v>67.900000000000006</v>
      </c>
      <c r="M97" s="14">
        <v>13</v>
      </c>
      <c r="N97" s="21">
        <v>1752</v>
      </c>
      <c r="O97" s="14">
        <v>4.7</v>
      </c>
      <c r="P97" s="10">
        <v>8.3699999999999992</v>
      </c>
      <c r="Q97" s="9" t="s">
        <v>245</v>
      </c>
      <c r="R97" s="12" t="s">
        <v>246</v>
      </c>
    </row>
    <row r="98" spans="1:18" x14ac:dyDescent="0.3">
      <c r="A98" s="5" t="s">
        <v>345</v>
      </c>
      <c r="B98" s="32">
        <v>45331.25</v>
      </c>
      <c r="C98" s="5" t="s">
        <v>3</v>
      </c>
      <c r="D98" s="13">
        <v>251.6</v>
      </c>
      <c r="E98" s="13">
        <v>3071.2</v>
      </c>
      <c r="F98" s="13">
        <v>71.5</v>
      </c>
      <c r="G98" s="13">
        <v>45.9</v>
      </c>
      <c r="H98" s="13">
        <v>109.1</v>
      </c>
      <c r="I98" s="18">
        <v>6</v>
      </c>
      <c r="J98" s="5" t="s">
        <v>244</v>
      </c>
      <c r="K98" s="13">
        <v>145.6</v>
      </c>
      <c r="L98" s="13">
        <v>66.599999999999994</v>
      </c>
      <c r="M98" s="13">
        <v>12.7</v>
      </c>
      <c r="N98" s="19">
        <v>1757</v>
      </c>
      <c r="O98" s="13">
        <v>4.7</v>
      </c>
      <c r="P98" s="6">
        <v>8.8699999999999992</v>
      </c>
      <c r="Q98" s="5" t="s">
        <v>245</v>
      </c>
      <c r="R98" s="8" t="s">
        <v>246</v>
      </c>
    </row>
    <row r="99" spans="1:18" x14ac:dyDescent="0.3">
      <c r="A99" s="9" t="s">
        <v>346</v>
      </c>
      <c r="B99" s="33">
        <v>45331.333333333343</v>
      </c>
      <c r="C99" s="9" t="s">
        <v>3</v>
      </c>
      <c r="D99" s="14">
        <v>257.8</v>
      </c>
      <c r="E99" s="14">
        <v>3158.2</v>
      </c>
      <c r="F99" s="14">
        <v>72</v>
      </c>
      <c r="G99" s="14">
        <v>45.3</v>
      </c>
      <c r="H99" s="14">
        <v>112.1</v>
      </c>
      <c r="I99" s="20">
        <v>6</v>
      </c>
      <c r="J99" s="9" t="s">
        <v>244</v>
      </c>
      <c r="K99" s="14">
        <v>146.6</v>
      </c>
      <c r="L99" s="14">
        <v>67.7</v>
      </c>
      <c r="M99" s="14">
        <v>12.1</v>
      </c>
      <c r="N99" s="21">
        <v>1728</v>
      </c>
      <c r="O99" s="14">
        <v>4.4000000000000004</v>
      </c>
      <c r="P99" s="10">
        <v>8.57</v>
      </c>
      <c r="Q99" s="9" t="s">
        <v>245</v>
      </c>
      <c r="R99" s="12" t="s">
        <v>246</v>
      </c>
    </row>
    <row r="100" spans="1:18" x14ac:dyDescent="0.3">
      <c r="A100" s="5" t="s">
        <v>347</v>
      </c>
      <c r="B100" s="32">
        <v>45331.416666666657</v>
      </c>
      <c r="C100" s="5" t="s">
        <v>3</v>
      </c>
      <c r="D100" s="13">
        <v>256.60000000000002</v>
      </c>
      <c r="E100" s="13">
        <v>3023.3</v>
      </c>
      <c r="F100" s="13">
        <v>72.7</v>
      </c>
      <c r="G100" s="13">
        <v>45.7</v>
      </c>
      <c r="H100" s="13">
        <v>102.7</v>
      </c>
      <c r="I100" s="18">
        <v>6</v>
      </c>
      <c r="J100" s="5" t="s">
        <v>244</v>
      </c>
      <c r="K100" s="13">
        <v>146.9</v>
      </c>
      <c r="L100" s="13">
        <v>68.5</v>
      </c>
      <c r="M100" s="13">
        <v>13.5</v>
      </c>
      <c r="N100" s="19">
        <v>1754</v>
      </c>
      <c r="O100" s="13">
        <v>4.4000000000000004</v>
      </c>
      <c r="P100" s="6">
        <v>8.7200000000000006</v>
      </c>
      <c r="Q100" s="5" t="s">
        <v>245</v>
      </c>
      <c r="R100" s="8" t="s">
        <v>246</v>
      </c>
    </row>
    <row r="101" spans="1:18" x14ac:dyDescent="0.3">
      <c r="A101" s="9" t="s">
        <v>348</v>
      </c>
      <c r="B101" s="33">
        <v>45331.5</v>
      </c>
      <c r="C101" s="9" t="s">
        <v>3</v>
      </c>
      <c r="D101" s="14">
        <v>248.8</v>
      </c>
      <c r="E101" s="14">
        <v>3102.9</v>
      </c>
      <c r="F101" s="14">
        <v>71.400000000000006</v>
      </c>
      <c r="G101" s="14">
        <v>46.2</v>
      </c>
      <c r="H101" s="14">
        <v>110.2</v>
      </c>
      <c r="I101" s="20">
        <v>6</v>
      </c>
      <c r="J101" s="9" t="s">
        <v>244</v>
      </c>
      <c r="K101" s="14">
        <v>142.4</v>
      </c>
      <c r="L101" s="14">
        <v>66.5</v>
      </c>
      <c r="M101" s="14">
        <v>12.2</v>
      </c>
      <c r="N101" s="21">
        <v>1735</v>
      </c>
      <c r="O101" s="14">
        <v>4.9000000000000004</v>
      </c>
      <c r="P101" s="10">
        <v>8.85</v>
      </c>
      <c r="Q101" s="9" t="s">
        <v>245</v>
      </c>
      <c r="R101" s="12" t="s">
        <v>246</v>
      </c>
    </row>
    <row r="102" spans="1:18" x14ac:dyDescent="0.3">
      <c r="A102" s="5" t="s">
        <v>349</v>
      </c>
      <c r="B102" s="32">
        <v>45331.583333333343</v>
      </c>
      <c r="C102" s="5" t="s">
        <v>4</v>
      </c>
      <c r="D102" s="13">
        <v>254.7</v>
      </c>
      <c r="E102" s="13">
        <v>3133.9</v>
      </c>
      <c r="F102" s="13">
        <v>72</v>
      </c>
      <c r="G102" s="13">
        <v>43.7</v>
      </c>
      <c r="H102" s="13">
        <v>104</v>
      </c>
      <c r="I102" s="18">
        <v>6</v>
      </c>
      <c r="J102" s="5" t="s">
        <v>244</v>
      </c>
      <c r="K102" s="13">
        <v>148.69999999999999</v>
      </c>
      <c r="L102" s="13">
        <v>68.400000000000006</v>
      </c>
      <c r="M102" s="13">
        <v>12.9</v>
      </c>
      <c r="N102" s="19">
        <v>1708</v>
      </c>
      <c r="O102" s="13">
        <v>4.5</v>
      </c>
      <c r="P102" s="6">
        <v>8.58</v>
      </c>
      <c r="Q102" s="5" t="s">
        <v>245</v>
      </c>
      <c r="R102" s="8" t="s">
        <v>246</v>
      </c>
    </row>
    <row r="103" spans="1:18" x14ac:dyDescent="0.3">
      <c r="A103" s="9" t="s">
        <v>350</v>
      </c>
      <c r="B103" s="33">
        <v>45331.666666666657</v>
      </c>
      <c r="C103" s="9" t="s">
        <v>4</v>
      </c>
      <c r="D103" s="14">
        <v>251.9</v>
      </c>
      <c r="E103" s="14">
        <v>3077.1</v>
      </c>
      <c r="F103" s="14">
        <v>71.7</v>
      </c>
      <c r="G103" s="14">
        <v>44</v>
      </c>
      <c r="H103" s="14">
        <v>110.6</v>
      </c>
      <c r="I103" s="20">
        <v>6</v>
      </c>
      <c r="J103" s="9" t="s">
        <v>244</v>
      </c>
      <c r="K103" s="14">
        <v>144</v>
      </c>
      <c r="L103" s="14">
        <v>70.7</v>
      </c>
      <c r="M103" s="14">
        <v>13.7</v>
      </c>
      <c r="N103" s="21">
        <v>1717</v>
      </c>
      <c r="O103" s="14">
        <v>4.5</v>
      </c>
      <c r="P103" s="10">
        <v>8.18</v>
      </c>
      <c r="Q103" s="9" t="s">
        <v>245</v>
      </c>
      <c r="R103" s="12" t="s">
        <v>246</v>
      </c>
    </row>
    <row r="104" spans="1:18" x14ac:dyDescent="0.3">
      <c r="A104" s="5" t="s">
        <v>351</v>
      </c>
      <c r="B104" s="32">
        <v>45331.75</v>
      </c>
      <c r="C104" s="5" t="s">
        <v>4</v>
      </c>
      <c r="D104" s="13">
        <v>241.2</v>
      </c>
      <c r="E104" s="13">
        <v>3051.9</v>
      </c>
      <c r="F104" s="13">
        <v>72.599999999999994</v>
      </c>
      <c r="G104" s="13">
        <v>44.9</v>
      </c>
      <c r="H104" s="13">
        <v>106.9</v>
      </c>
      <c r="I104" s="18">
        <v>6</v>
      </c>
      <c r="J104" s="5" t="s">
        <v>244</v>
      </c>
      <c r="K104" s="13">
        <v>137.19999999999999</v>
      </c>
      <c r="L104" s="13">
        <v>66.7</v>
      </c>
      <c r="M104" s="13">
        <v>13.2</v>
      </c>
      <c r="N104" s="19">
        <v>1730</v>
      </c>
      <c r="O104" s="13">
        <v>4.8</v>
      </c>
      <c r="P104" s="6">
        <v>8.7100000000000009</v>
      </c>
      <c r="Q104" s="5" t="s">
        <v>245</v>
      </c>
      <c r="R104" s="8" t="s">
        <v>246</v>
      </c>
    </row>
    <row r="105" spans="1:18" x14ac:dyDescent="0.3">
      <c r="A105" s="9" t="s">
        <v>352</v>
      </c>
      <c r="B105" s="33">
        <v>45331.833333333343</v>
      </c>
      <c r="C105" s="9" t="s">
        <v>4</v>
      </c>
      <c r="D105" s="14">
        <v>259.8</v>
      </c>
      <c r="E105" s="14">
        <v>3092.3</v>
      </c>
      <c r="F105" s="14">
        <v>71.8</v>
      </c>
      <c r="G105" s="14">
        <v>45</v>
      </c>
      <c r="H105" s="14">
        <v>117</v>
      </c>
      <c r="I105" s="20">
        <v>6</v>
      </c>
      <c r="J105" s="9" t="s">
        <v>244</v>
      </c>
      <c r="K105" s="14">
        <v>137.69999999999999</v>
      </c>
      <c r="L105" s="14">
        <v>69.5</v>
      </c>
      <c r="M105" s="14">
        <v>12.4</v>
      </c>
      <c r="N105" s="21">
        <v>1739</v>
      </c>
      <c r="O105" s="14">
        <v>4.5999999999999996</v>
      </c>
      <c r="P105" s="10">
        <v>8.59</v>
      </c>
      <c r="Q105" s="9" t="s">
        <v>245</v>
      </c>
      <c r="R105" s="12" t="s">
        <v>246</v>
      </c>
    </row>
    <row r="106" spans="1:18" x14ac:dyDescent="0.3">
      <c r="A106" s="5" t="s">
        <v>353</v>
      </c>
      <c r="B106" s="32">
        <v>45331.916666666657</v>
      </c>
      <c r="C106" s="5" t="s">
        <v>5</v>
      </c>
      <c r="D106" s="13">
        <v>254.3</v>
      </c>
      <c r="E106" s="13">
        <v>3209</v>
      </c>
      <c r="F106" s="13">
        <v>72.3</v>
      </c>
      <c r="G106" s="13">
        <v>44.1</v>
      </c>
      <c r="H106" s="13">
        <v>102.9</v>
      </c>
      <c r="I106" s="18">
        <v>6</v>
      </c>
      <c r="J106" s="5" t="s">
        <v>244</v>
      </c>
      <c r="K106" s="13">
        <v>143.4</v>
      </c>
      <c r="L106" s="13">
        <v>65.8</v>
      </c>
      <c r="M106" s="13">
        <v>12.2</v>
      </c>
      <c r="N106" s="19">
        <v>1745</v>
      </c>
      <c r="O106" s="13">
        <v>4.4000000000000004</v>
      </c>
      <c r="P106" s="6">
        <v>8.81</v>
      </c>
      <c r="Q106" s="5" t="s">
        <v>245</v>
      </c>
      <c r="R106" s="8" t="s">
        <v>246</v>
      </c>
    </row>
    <row r="107" spans="1:18" x14ac:dyDescent="0.3">
      <c r="A107" s="9" t="s">
        <v>354</v>
      </c>
      <c r="B107" s="33">
        <v>45332</v>
      </c>
      <c r="C107" s="9" t="s">
        <v>5</v>
      </c>
      <c r="D107" s="14">
        <v>252.9</v>
      </c>
      <c r="E107" s="14">
        <v>3074.3</v>
      </c>
      <c r="F107" s="14">
        <v>71.7</v>
      </c>
      <c r="G107" s="14">
        <v>46.1</v>
      </c>
      <c r="H107" s="14">
        <v>108.7</v>
      </c>
      <c r="I107" s="20">
        <v>6</v>
      </c>
      <c r="J107" s="9" t="s">
        <v>244</v>
      </c>
      <c r="K107" s="14">
        <v>145</v>
      </c>
      <c r="L107" s="14">
        <v>68.099999999999994</v>
      </c>
      <c r="M107" s="14">
        <v>12.6</v>
      </c>
      <c r="N107" s="21">
        <v>1702</v>
      </c>
      <c r="O107" s="14">
        <v>4.2</v>
      </c>
      <c r="P107" s="10">
        <v>9.01</v>
      </c>
      <c r="Q107" s="9" t="s">
        <v>245</v>
      </c>
      <c r="R107" s="12" t="s">
        <v>246</v>
      </c>
    </row>
    <row r="108" spans="1:18" x14ac:dyDescent="0.3">
      <c r="A108" s="5" t="s">
        <v>355</v>
      </c>
      <c r="B108" s="32">
        <v>45332.083333333343</v>
      </c>
      <c r="C108" s="5" t="s">
        <v>5</v>
      </c>
      <c r="D108" s="13">
        <v>250.9</v>
      </c>
      <c r="E108" s="13">
        <v>3113.9</v>
      </c>
      <c r="F108" s="13">
        <v>71.8</v>
      </c>
      <c r="G108" s="13">
        <v>44.2</v>
      </c>
      <c r="H108" s="13">
        <v>104.1</v>
      </c>
      <c r="I108" s="18">
        <v>6</v>
      </c>
      <c r="J108" s="5" t="s">
        <v>244</v>
      </c>
      <c r="K108" s="13">
        <v>139.4</v>
      </c>
      <c r="L108" s="13">
        <v>71.900000000000006</v>
      </c>
      <c r="M108" s="13">
        <v>11.5</v>
      </c>
      <c r="N108" s="19">
        <v>1683</v>
      </c>
      <c r="O108" s="13">
        <v>4.7</v>
      </c>
      <c r="P108" s="6">
        <v>8.86</v>
      </c>
      <c r="Q108" s="5" t="s">
        <v>245</v>
      </c>
      <c r="R108" s="8" t="s">
        <v>246</v>
      </c>
    </row>
    <row r="109" spans="1:18" x14ac:dyDescent="0.3">
      <c r="A109" s="9" t="s">
        <v>356</v>
      </c>
      <c r="B109" s="33">
        <v>45332.166666666657</v>
      </c>
      <c r="C109" s="9" t="s">
        <v>5</v>
      </c>
      <c r="D109" s="14">
        <v>250.1</v>
      </c>
      <c r="E109" s="14">
        <v>3056.7</v>
      </c>
      <c r="F109" s="14">
        <v>72.599999999999994</v>
      </c>
      <c r="G109" s="14">
        <v>45.4</v>
      </c>
      <c r="H109" s="14">
        <v>107.7</v>
      </c>
      <c r="I109" s="20">
        <v>6</v>
      </c>
      <c r="J109" s="9" t="s">
        <v>244</v>
      </c>
      <c r="K109" s="14">
        <v>147.5</v>
      </c>
      <c r="L109" s="14">
        <v>72.099999999999994</v>
      </c>
      <c r="M109" s="14">
        <v>14.2</v>
      </c>
      <c r="N109" s="21">
        <v>1695</v>
      </c>
      <c r="O109" s="14">
        <v>5.3</v>
      </c>
      <c r="P109" s="10">
        <v>8.68</v>
      </c>
      <c r="Q109" s="9" t="s">
        <v>245</v>
      </c>
      <c r="R109" s="12" t="s">
        <v>246</v>
      </c>
    </row>
    <row r="110" spans="1:18" x14ac:dyDescent="0.3">
      <c r="A110" s="5" t="s">
        <v>357</v>
      </c>
      <c r="B110" s="32">
        <v>45332.25</v>
      </c>
      <c r="C110" s="5" t="s">
        <v>3</v>
      </c>
      <c r="D110" s="13">
        <v>253</v>
      </c>
      <c r="E110" s="13">
        <v>3040.8</v>
      </c>
      <c r="F110" s="13">
        <v>71.7</v>
      </c>
      <c r="G110" s="13">
        <v>44.1</v>
      </c>
      <c r="H110" s="13">
        <v>109.1</v>
      </c>
      <c r="I110" s="18">
        <v>6</v>
      </c>
      <c r="J110" s="5" t="s">
        <v>244</v>
      </c>
      <c r="K110" s="13">
        <v>148.69999999999999</v>
      </c>
      <c r="L110" s="13">
        <v>65.400000000000006</v>
      </c>
      <c r="M110" s="13">
        <v>12.5</v>
      </c>
      <c r="N110" s="19">
        <v>1759</v>
      </c>
      <c r="O110" s="13">
        <v>4.7</v>
      </c>
      <c r="P110" s="6">
        <v>8.75</v>
      </c>
      <c r="Q110" s="5" t="s">
        <v>245</v>
      </c>
      <c r="R110" s="8" t="s">
        <v>246</v>
      </c>
    </row>
    <row r="111" spans="1:18" x14ac:dyDescent="0.3">
      <c r="A111" s="9" t="s">
        <v>358</v>
      </c>
      <c r="B111" s="33">
        <v>45332.333333333343</v>
      </c>
      <c r="C111" s="9" t="s">
        <v>3</v>
      </c>
      <c r="D111" s="14">
        <v>252.1</v>
      </c>
      <c r="E111" s="14">
        <v>3112</v>
      </c>
      <c r="F111" s="14">
        <v>71.599999999999994</v>
      </c>
      <c r="G111" s="14">
        <v>43.8</v>
      </c>
      <c r="H111" s="14">
        <v>99.4</v>
      </c>
      <c r="I111" s="20">
        <v>6</v>
      </c>
      <c r="J111" s="9" t="s">
        <v>244</v>
      </c>
      <c r="K111" s="14">
        <v>147.5</v>
      </c>
      <c r="L111" s="14">
        <v>68.5</v>
      </c>
      <c r="M111" s="14">
        <v>12.4</v>
      </c>
      <c r="N111" s="21">
        <v>1705</v>
      </c>
      <c r="O111" s="14">
        <v>4.7</v>
      </c>
      <c r="P111" s="10">
        <v>8.81</v>
      </c>
      <c r="Q111" s="9" t="s">
        <v>245</v>
      </c>
      <c r="R111" s="12" t="s">
        <v>246</v>
      </c>
    </row>
    <row r="112" spans="1:18" x14ac:dyDescent="0.3">
      <c r="A112" s="5" t="s">
        <v>359</v>
      </c>
      <c r="B112" s="32">
        <v>45332.416666666657</v>
      </c>
      <c r="C112" s="5" t="s">
        <v>3</v>
      </c>
      <c r="D112" s="13">
        <v>248</v>
      </c>
      <c r="E112" s="13">
        <v>3053.1</v>
      </c>
      <c r="F112" s="13">
        <v>72.2</v>
      </c>
      <c r="G112" s="13">
        <v>53.5</v>
      </c>
      <c r="H112" s="13">
        <v>135</v>
      </c>
      <c r="I112" s="18">
        <v>6</v>
      </c>
      <c r="J112" s="25" t="s">
        <v>360</v>
      </c>
      <c r="K112" s="26">
        <v>178</v>
      </c>
      <c r="L112" s="13">
        <v>52</v>
      </c>
      <c r="M112" s="13">
        <v>12.7</v>
      </c>
      <c r="N112" s="27">
        <v>1420</v>
      </c>
      <c r="O112" s="13">
        <v>2.8</v>
      </c>
      <c r="P112" s="6">
        <v>8.7200000000000006</v>
      </c>
      <c r="Q112" s="25" t="s">
        <v>361</v>
      </c>
      <c r="R112" s="8" t="s">
        <v>362</v>
      </c>
    </row>
    <row r="113" spans="1:18" x14ac:dyDescent="0.3">
      <c r="A113" s="9" t="s">
        <v>363</v>
      </c>
      <c r="B113" s="33">
        <v>45332.5</v>
      </c>
      <c r="C113" s="9" t="s">
        <v>3</v>
      </c>
      <c r="D113" s="14">
        <v>240.7</v>
      </c>
      <c r="E113" s="14">
        <v>3107</v>
      </c>
      <c r="F113" s="14">
        <v>71.900000000000006</v>
      </c>
      <c r="G113" s="14">
        <v>54</v>
      </c>
      <c r="H113" s="14">
        <v>137</v>
      </c>
      <c r="I113" s="20">
        <v>6</v>
      </c>
      <c r="J113" s="25" t="s">
        <v>360</v>
      </c>
      <c r="K113" s="26">
        <v>180.5</v>
      </c>
      <c r="L113" s="14">
        <v>51</v>
      </c>
      <c r="M113" s="14">
        <v>11.7</v>
      </c>
      <c r="N113" s="27">
        <v>1400</v>
      </c>
      <c r="O113" s="14">
        <v>2.7</v>
      </c>
      <c r="P113" s="10">
        <v>8.39</v>
      </c>
      <c r="Q113" s="25" t="s">
        <v>361</v>
      </c>
      <c r="R113" s="12" t="s">
        <v>362</v>
      </c>
    </row>
    <row r="114" spans="1:18" x14ac:dyDescent="0.3">
      <c r="A114" s="5" t="s">
        <v>364</v>
      </c>
      <c r="B114" s="32">
        <v>45332.583333333343</v>
      </c>
      <c r="C114" s="5" t="s">
        <v>4</v>
      </c>
      <c r="D114" s="13">
        <v>255.7</v>
      </c>
      <c r="E114" s="13">
        <v>3181.4</v>
      </c>
      <c r="F114" s="13">
        <v>71.8</v>
      </c>
      <c r="G114" s="13">
        <v>54.5</v>
      </c>
      <c r="H114" s="13">
        <v>139</v>
      </c>
      <c r="I114" s="18">
        <v>6</v>
      </c>
      <c r="J114" s="25" t="s">
        <v>360</v>
      </c>
      <c r="K114" s="26">
        <v>183</v>
      </c>
      <c r="L114" s="13">
        <v>50</v>
      </c>
      <c r="M114" s="13">
        <v>11.9</v>
      </c>
      <c r="N114" s="27">
        <v>1380</v>
      </c>
      <c r="O114" s="13">
        <v>2.6</v>
      </c>
      <c r="P114" s="6">
        <v>8.58</v>
      </c>
      <c r="Q114" s="25" t="s">
        <v>361</v>
      </c>
      <c r="R114" s="8" t="s">
        <v>362</v>
      </c>
    </row>
    <row r="115" spans="1:18" x14ac:dyDescent="0.3">
      <c r="A115" s="9" t="s">
        <v>365</v>
      </c>
      <c r="B115" s="33">
        <v>45332.666666666657</v>
      </c>
      <c r="C115" s="9" t="s">
        <v>4</v>
      </c>
      <c r="D115" s="14">
        <v>247.9</v>
      </c>
      <c r="E115" s="14">
        <v>3131.1</v>
      </c>
      <c r="F115" s="14">
        <v>71.099999999999994</v>
      </c>
      <c r="G115" s="14">
        <v>55</v>
      </c>
      <c r="H115" s="14">
        <v>141</v>
      </c>
      <c r="I115" s="20">
        <v>6</v>
      </c>
      <c r="J115" s="25" t="s">
        <v>360</v>
      </c>
      <c r="K115" s="26">
        <v>185.5</v>
      </c>
      <c r="L115" s="14">
        <v>49</v>
      </c>
      <c r="M115" s="14">
        <v>12.7</v>
      </c>
      <c r="N115" s="27">
        <v>1360</v>
      </c>
      <c r="O115" s="14">
        <v>2.5</v>
      </c>
      <c r="P115" s="10">
        <v>8.64</v>
      </c>
      <c r="Q115" s="25" t="s">
        <v>361</v>
      </c>
      <c r="R115" s="12" t="s">
        <v>362</v>
      </c>
    </row>
    <row r="116" spans="1:18" x14ac:dyDescent="0.3">
      <c r="A116" s="5" t="s">
        <v>366</v>
      </c>
      <c r="B116" s="32">
        <v>45332.75</v>
      </c>
      <c r="C116" s="5" t="s">
        <v>4</v>
      </c>
      <c r="D116" s="13">
        <v>243.8</v>
      </c>
      <c r="E116" s="13">
        <v>3101.6</v>
      </c>
      <c r="F116" s="13">
        <v>71.2</v>
      </c>
      <c r="G116" s="13">
        <v>55.5</v>
      </c>
      <c r="H116" s="13">
        <v>143</v>
      </c>
      <c r="I116" s="18">
        <v>6</v>
      </c>
      <c r="J116" s="25" t="s">
        <v>360</v>
      </c>
      <c r="K116" s="26">
        <v>188</v>
      </c>
      <c r="L116" s="13">
        <v>48</v>
      </c>
      <c r="M116" s="13">
        <v>11.4</v>
      </c>
      <c r="N116" s="27">
        <v>1340</v>
      </c>
      <c r="O116" s="13">
        <v>2.4</v>
      </c>
      <c r="P116" s="6">
        <v>8.93</v>
      </c>
      <c r="Q116" s="25" t="s">
        <v>361</v>
      </c>
      <c r="R116" s="8" t="s">
        <v>362</v>
      </c>
    </row>
    <row r="117" spans="1:18" x14ac:dyDescent="0.3">
      <c r="A117" s="9" t="s">
        <v>367</v>
      </c>
      <c r="B117" s="33">
        <v>45332.833333333343</v>
      </c>
      <c r="C117" s="9" t="s">
        <v>4</v>
      </c>
      <c r="D117" s="14">
        <v>246.5</v>
      </c>
      <c r="E117" s="14">
        <v>3044.6</v>
      </c>
      <c r="F117" s="14">
        <v>72.3</v>
      </c>
      <c r="G117" s="14">
        <v>56</v>
      </c>
      <c r="H117" s="14">
        <v>145</v>
      </c>
      <c r="I117" s="20">
        <v>6</v>
      </c>
      <c r="J117" s="25" t="s">
        <v>360</v>
      </c>
      <c r="K117" s="26">
        <v>190.5</v>
      </c>
      <c r="L117" s="14">
        <v>47</v>
      </c>
      <c r="M117" s="14">
        <v>13.1</v>
      </c>
      <c r="N117" s="27">
        <v>1320</v>
      </c>
      <c r="O117" s="14">
        <v>2.2999999999999998</v>
      </c>
      <c r="P117" s="10">
        <v>8.6</v>
      </c>
      <c r="Q117" s="25" t="s">
        <v>361</v>
      </c>
      <c r="R117" s="12" t="s">
        <v>362</v>
      </c>
    </row>
    <row r="118" spans="1:18" x14ac:dyDescent="0.3">
      <c r="A118" s="5" t="s">
        <v>368</v>
      </c>
      <c r="B118" s="32">
        <v>45332.916666666657</v>
      </c>
      <c r="C118" s="5" t="s">
        <v>5</v>
      </c>
      <c r="D118" s="13">
        <v>250.9</v>
      </c>
      <c r="E118" s="13">
        <v>3103.4</v>
      </c>
      <c r="F118" s="13">
        <v>72.099999999999994</v>
      </c>
      <c r="G118" s="13">
        <v>56.5</v>
      </c>
      <c r="H118" s="13">
        <v>147</v>
      </c>
      <c r="I118" s="18">
        <v>6</v>
      </c>
      <c r="J118" s="25" t="s">
        <v>360</v>
      </c>
      <c r="K118" s="26">
        <v>193</v>
      </c>
      <c r="L118" s="13">
        <v>46</v>
      </c>
      <c r="M118" s="13">
        <v>12.5</v>
      </c>
      <c r="N118" s="27">
        <v>1300</v>
      </c>
      <c r="O118" s="13">
        <v>2.2000000000000002</v>
      </c>
      <c r="P118" s="6">
        <v>8.4600000000000009</v>
      </c>
      <c r="Q118" s="25" t="s">
        <v>361</v>
      </c>
      <c r="R118" s="8" t="s">
        <v>362</v>
      </c>
    </row>
    <row r="119" spans="1:18" x14ac:dyDescent="0.3">
      <c r="A119" s="9" t="s">
        <v>369</v>
      </c>
      <c r="B119" s="33">
        <v>45333</v>
      </c>
      <c r="C119" s="9" t="s">
        <v>5</v>
      </c>
      <c r="D119" s="14">
        <v>246</v>
      </c>
      <c r="E119" s="14">
        <v>3079.9</v>
      </c>
      <c r="F119" s="14">
        <v>72.099999999999994</v>
      </c>
      <c r="G119" s="14">
        <v>57</v>
      </c>
      <c r="H119" s="14">
        <v>149</v>
      </c>
      <c r="I119" s="20">
        <v>6</v>
      </c>
      <c r="J119" s="25" t="s">
        <v>360</v>
      </c>
      <c r="K119" s="26">
        <v>195.5</v>
      </c>
      <c r="L119" s="14">
        <v>45</v>
      </c>
      <c r="M119" s="14">
        <v>12.4</v>
      </c>
      <c r="N119" s="27">
        <v>1280</v>
      </c>
      <c r="O119" s="14">
        <v>2.1</v>
      </c>
      <c r="P119" s="10">
        <v>8.67</v>
      </c>
      <c r="Q119" s="25" t="s">
        <v>361</v>
      </c>
      <c r="R119" s="12" t="s">
        <v>362</v>
      </c>
    </row>
    <row r="120" spans="1:18" x14ac:dyDescent="0.3">
      <c r="A120" s="5" t="s">
        <v>370</v>
      </c>
      <c r="B120" s="32">
        <v>45333.083333333343</v>
      </c>
      <c r="C120" s="5" t="s">
        <v>5</v>
      </c>
      <c r="D120" s="13">
        <v>263.7</v>
      </c>
      <c r="E120" s="13">
        <v>3070.2</v>
      </c>
      <c r="F120" s="13">
        <v>72.099999999999994</v>
      </c>
      <c r="G120" s="13">
        <v>57.5</v>
      </c>
      <c r="H120" s="13">
        <v>151</v>
      </c>
      <c r="I120" s="18">
        <v>6</v>
      </c>
      <c r="J120" s="25" t="s">
        <v>360</v>
      </c>
      <c r="K120" s="26">
        <v>198</v>
      </c>
      <c r="L120" s="13">
        <v>44</v>
      </c>
      <c r="M120" s="13">
        <v>14.8</v>
      </c>
      <c r="N120" s="27">
        <v>1260</v>
      </c>
      <c r="O120" s="13">
        <v>2</v>
      </c>
      <c r="P120" s="6">
        <v>8.65</v>
      </c>
      <c r="Q120" s="25" t="s">
        <v>361</v>
      </c>
      <c r="R120" s="8" t="s">
        <v>362</v>
      </c>
    </row>
    <row r="121" spans="1:18" x14ac:dyDescent="0.3">
      <c r="A121" s="9" t="s">
        <v>371</v>
      </c>
      <c r="B121" s="33">
        <v>45333.166666666657</v>
      </c>
      <c r="C121" s="9" t="s">
        <v>5</v>
      </c>
      <c r="D121" s="14">
        <v>237.6</v>
      </c>
      <c r="E121" s="14">
        <v>3096.8</v>
      </c>
      <c r="F121" s="14">
        <v>71.8</v>
      </c>
      <c r="G121" s="14">
        <v>45.4</v>
      </c>
      <c r="H121" s="14">
        <v>109.9</v>
      </c>
      <c r="I121" s="20">
        <v>6</v>
      </c>
      <c r="J121" s="9" t="s">
        <v>244</v>
      </c>
      <c r="K121" s="14">
        <v>143.19999999999999</v>
      </c>
      <c r="L121" s="14">
        <v>68.3</v>
      </c>
      <c r="M121" s="14">
        <v>11.9</v>
      </c>
      <c r="N121" s="21">
        <v>1680</v>
      </c>
      <c r="O121" s="14">
        <v>4.9000000000000004</v>
      </c>
      <c r="P121" s="10">
        <v>8.35</v>
      </c>
      <c r="Q121" s="9" t="s">
        <v>245</v>
      </c>
      <c r="R121" s="12" t="s">
        <v>246</v>
      </c>
    </row>
    <row r="122" spans="1:18" x14ac:dyDescent="0.3">
      <c r="A122" s="5" t="s">
        <v>372</v>
      </c>
      <c r="B122" s="32">
        <v>45333.25</v>
      </c>
      <c r="C122" s="5" t="s">
        <v>3</v>
      </c>
      <c r="D122" s="13">
        <v>247.5</v>
      </c>
      <c r="E122" s="13">
        <v>3065.2</v>
      </c>
      <c r="F122" s="13">
        <v>72.099999999999994</v>
      </c>
      <c r="G122" s="13">
        <v>46.2</v>
      </c>
      <c r="H122" s="13">
        <v>98.5</v>
      </c>
      <c r="I122" s="18">
        <v>6</v>
      </c>
      <c r="J122" s="5" t="s">
        <v>244</v>
      </c>
      <c r="K122" s="13">
        <v>138.5</v>
      </c>
      <c r="L122" s="13">
        <v>68.3</v>
      </c>
      <c r="M122" s="13">
        <v>12.5</v>
      </c>
      <c r="N122" s="19">
        <v>1727</v>
      </c>
      <c r="O122" s="13">
        <v>4.7</v>
      </c>
      <c r="P122" s="6">
        <v>8.56</v>
      </c>
      <c r="Q122" s="5" t="s">
        <v>245</v>
      </c>
      <c r="R122" s="8" t="s">
        <v>246</v>
      </c>
    </row>
    <row r="123" spans="1:18" x14ac:dyDescent="0.3">
      <c r="A123" s="9" t="s">
        <v>373</v>
      </c>
      <c r="B123" s="33">
        <v>45333.333333333343</v>
      </c>
      <c r="C123" s="9" t="s">
        <v>3</v>
      </c>
      <c r="D123" s="14">
        <v>252.2</v>
      </c>
      <c r="E123" s="14">
        <v>3136.4</v>
      </c>
      <c r="F123" s="14">
        <v>70.599999999999994</v>
      </c>
      <c r="G123" s="14">
        <v>44.5</v>
      </c>
      <c r="H123" s="14">
        <v>106.1</v>
      </c>
      <c r="I123" s="20">
        <v>6</v>
      </c>
      <c r="J123" s="9" t="s">
        <v>244</v>
      </c>
      <c r="K123" s="14">
        <v>141.80000000000001</v>
      </c>
      <c r="L123" s="14">
        <v>71.099999999999994</v>
      </c>
      <c r="M123" s="14">
        <v>12</v>
      </c>
      <c r="N123" s="21">
        <v>1718</v>
      </c>
      <c r="O123" s="14">
        <v>5</v>
      </c>
      <c r="P123" s="10">
        <v>8.48</v>
      </c>
      <c r="Q123" s="9" t="s">
        <v>245</v>
      </c>
      <c r="R123" s="12" t="s">
        <v>246</v>
      </c>
    </row>
    <row r="124" spans="1:18" x14ac:dyDescent="0.3">
      <c r="A124" s="5" t="s">
        <v>374</v>
      </c>
      <c r="B124" s="32">
        <v>45333.416666666657</v>
      </c>
      <c r="C124" s="5" t="s">
        <v>3</v>
      </c>
      <c r="D124" s="13">
        <v>238.9</v>
      </c>
      <c r="E124" s="13">
        <v>3085</v>
      </c>
      <c r="F124" s="13">
        <v>72.400000000000006</v>
      </c>
      <c r="G124" s="13">
        <v>44.5</v>
      </c>
      <c r="H124" s="13">
        <v>100.8</v>
      </c>
      <c r="I124" s="18">
        <v>6</v>
      </c>
      <c r="J124" s="5" t="s">
        <v>244</v>
      </c>
      <c r="K124" s="13">
        <v>148.19999999999999</v>
      </c>
      <c r="L124" s="13">
        <v>68</v>
      </c>
      <c r="M124" s="13">
        <v>12.1</v>
      </c>
      <c r="N124" s="19">
        <v>1725</v>
      </c>
      <c r="O124" s="13">
        <v>5</v>
      </c>
      <c r="P124" s="6">
        <v>9.08</v>
      </c>
      <c r="Q124" s="5" t="s">
        <v>245</v>
      </c>
      <c r="R124" s="8" t="s">
        <v>246</v>
      </c>
    </row>
    <row r="125" spans="1:18" x14ac:dyDescent="0.3">
      <c r="A125" s="9" t="s">
        <v>375</v>
      </c>
      <c r="B125" s="33">
        <v>45333.5</v>
      </c>
      <c r="C125" s="9" t="s">
        <v>3</v>
      </c>
      <c r="D125" s="14">
        <v>255</v>
      </c>
      <c r="E125" s="14">
        <v>3140.6</v>
      </c>
      <c r="F125" s="14">
        <v>71.5</v>
      </c>
      <c r="G125" s="14">
        <v>44</v>
      </c>
      <c r="H125" s="14">
        <v>105.3</v>
      </c>
      <c r="I125" s="20">
        <v>6</v>
      </c>
      <c r="J125" s="9" t="s">
        <v>244</v>
      </c>
      <c r="K125" s="14">
        <v>145.4</v>
      </c>
      <c r="L125" s="14">
        <v>66.900000000000006</v>
      </c>
      <c r="M125" s="14">
        <v>12.4</v>
      </c>
      <c r="N125" s="21">
        <v>1733</v>
      </c>
      <c r="O125" s="14">
        <v>4.9000000000000004</v>
      </c>
      <c r="P125" s="10">
        <v>8.6999999999999993</v>
      </c>
      <c r="Q125" s="9" t="s">
        <v>245</v>
      </c>
      <c r="R125" s="12" t="s">
        <v>246</v>
      </c>
    </row>
    <row r="126" spans="1:18" x14ac:dyDescent="0.3">
      <c r="A126" s="5" t="s">
        <v>376</v>
      </c>
      <c r="B126" s="32">
        <v>45333.583333333343</v>
      </c>
      <c r="C126" s="5" t="s">
        <v>4</v>
      </c>
      <c r="D126" s="13">
        <v>251.7</v>
      </c>
      <c r="E126" s="13">
        <v>3082.3</v>
      </c>
      <c r="F126" s="13">
        <v>71.5</v>
      </c>
      <c r="G126" s="13">
        <v>43.8</v>
      </c>
      <c r="H126" s="13">
        <v>113.9</v>
      </c>
      <c r="I126" s="18">
        <v>6</v>
      </c>
      <c r="J126" s="5" t="s">
        <v>244</v>
      </c>
      <c r="K126" s="13">
        <v>145</v>
      </c>
      <c r="L126" s="13">
        <v>68.2</v>
      </c>
      <c r="M126" s="13">
        <v>11.8</v>
      </c>
      <c r="N126" s="19">
        <v>1822</v>
      </c>
      <c r="O126" s="13">
        <v>4.5</v>
      </c>
      <c r="P126" s="6">
        <v>8.51</v>
      </c>
      <c r="Q126" s="5" t="s">
        <v>245</v>
      </c>
      <c r="R126" s="8" t="s">
        <v>246</v>
      </c>
    </row>
    <row r="127" spans="1:18" x14ac:dyDescent="0.3">
      <c r="A127" s="9" t="s">
        <v>377</v>
      </c>
      <c r="B127" s="33">
        <v>45333.666666666657</v>
      </c>
      <c r="C127" s="9" t="s">
        <v>4</v>
      </c>
      <c r="D127" s="14">
        <v>252.5</v>
      </c>
      <c r="E127" s="14">
        <v>3121</v>
      </c>
      <c r="F127" s="14">
        <v>72.400000000000006</v>
      </c>
      <c r="G127" s="14">
        <v>46.2</v>
      </c>
      <c r="H127" s="14">
        <v>107.5</v>
      </c>
      <c r="I127" s="20">
        <v>6</v>
      </c>
      <c r="J127" s="9" t="s">
        <v>244</v>
      </c>
      <c r="K127" s="14">
        <v>141.30000000000001</v>
      </c>
      <c r="L127" s="14">
        <v>68.099999999999994</v>
      </c>
      <c r="M127" s="14">
        <v>12.7</v>
      </c>
      <c r="N127" s="21">
        <v>1792</v>
      </c>
      <c r="O127" s="14">
        <v>4.4000000000000004</v>
      </c>
      <c r="P127" s="10">
        <v>8.84</v>
      </c>
      <c r="Q127" s="9" t="s">
        <v>245</v>
      </c>
      <c r="R127" s="12" t="s">
        <v>246</v>
      </c>
    </row>
    <row r="128" spans="1:18" x14ac:dyDescent="0.3">
      <c r="A128" s="5" t="s">
        <v>378</v>
      </c>
      <c r="B128" s="32">
        <v>45333.75</v>
      </c>
      <c r="C128" s="5" t="s">
        <v>4</v>
      </c>
      <c r="D128" s="13">
        <v>251.1</v>
      </c>
      <c r="E128" s="13">
        <v>3129.3</v>
      </c>
      <c r="F128" s="13">
        <v>71.7</v>
      </c>
      <c r="G128" s="13">
        <v>44.1</v>
      </c>
      <c r="H128" s="13">
        <v>108.8</v>
      </c>
      <c r="I128" s="18">
        <v>6</v>
      </c>
      <c r="J128" s="5" t="s">
        <v>244</v>
      </c>
      <c r="K128" s="13">
        <v>147.30000000000001</v>
      </c>
      <c r="L128" s="13">
        <v>70</v>
      </c>
      <c r="M128" s="13">
        <v>12.5</v>
      </c>
      <c r="N128" s="19">
        <v>1699</v>
      </c>
      <c r="O128" s="13">
        <v>4.3</v>
      </c>
      <c r="P128" s="6">
        <v>8.76</v>
      </c>
      <c r="Q128" s="5" t="s">
        <v>245</v>
      </c>
      <c r="R128" s="8" t="s">
        <v>246</v>
      </c>
    </row>
    <row r="129" spans="1:18" x14ac:dyDescent="0.3">
      <c r="A129" s="9" t="s">
        <v>379</v>
      </c>
      <c r="B129" s="33">
        <v>45333.833333333343</v>
      </c>
      <c r="C129" s="9" t="s">
        <v>4</v>
      </c>
      <c r="D129" s="14">
        <v>252.5</v>
      </c>
      <c r="E129" s="14">
        <v>3066.2</v>
      </c>
      <c r="F129" s="14">
        <v>71.5</v>
      </c>
      <c r="G129" s="14">
        <v>44.4</v>
      </c>
      <c r="H129" s="14">
        <v>97.6</v>
      </c>
      <c r="I129" s="20">
        <v>6</v>
      </c>
      <c r="J129" s="9" t="s">
        <v>244</v>
      </c>
      <c r="K129" s="14">
        <v>142.1</v>
      </c>
      <c r="L129" s="14">
        <v>66.8</v>
      </c>
      <c r="M129" s="14">
        <v>12.2</v>
      </c>
      <c r="N129" s="21">
        <v>1694</v>
      </c>
      <c r="O129" s="14">
        <v>4.3</v>
      </c>
      <c r="P129" s="10">
        <v>9</v>
      </c>
      <c r="Q129" s="9" t="s">
        <v>245</v>
      </c>
      <c r="R129" s="12" t="s">
        <v>246</v>
      </c>
    </row>
    <row r="130" spans="1:18" x14ac:dyDescent="0.3">
      <c r="A130" s="5" t="s">
        <v>380</v>
      </c>
      <c r="B130" s="32">
        <v>45333.916666666657</v>
      </c>
      <c r="C130" s="5" t="s">
        <v>5</v>
      </c>
      <c r="D130" s="13">
        <v>257.5</v>
      </c>
      <c r="E130" s="13">
        <v>3072.7</v>
      </c>
      <c r="F130" s="13">
        <v>72</v>
      </c>
      <c r="G130" s="13">
        <v>45.1</v>
      </c>
      <c r="H130" s="13">
        <v>111</v>
      </c>
      <c r="I130" s="18">
        <v>6</v>
      </c>
      <c r="J130" s="5" t="s">
        <v>244</v>
      </c>
      <c r="K130" s="13">
        <v>142.1</v>
      </c>
      <c r="L130" s="13">
        <v>70.099999999999994</v>
      </c>
      <c r="M130" s="13">
        <v>12.1</v>
      </c>
      <c r="N130" s="19">
        <v>1673</v>
      </c>
      <c r="O130" s="13">
        <v>5</v>
      </c>
      <c r="P130" s="6">
        <v>8.86</v>
      </c>
      <c r="Q130" s="5" t="s">
        <v>245</v>
      </c>
      <c r="R130" s="8" t="s">
        <v>246</v>
      </c>
    </row>
    <row r="131" spans="1:18" x14ac:dyDescent="0.3">
      <c r="A131" s="9" t="s">
        <v>381</v>
      </c>
      <c r="B131" s="33">
        <v>45334</v>
      </c>
      <c r="C131" s="9" t="s">
        <v>5</v>
      </c>
      <c r="D131" s="14">
        <v>265.5</v>
      </c>
      <c r="E131" s="14">
        <v>3058</v>
      </c>
      <c r="F131" s="14">
        <v>72.2</v>
      </c>
      <c r="G131" s="14">
        <v>44.5</v>
      </c>
      <c r="H131" s="14">
        <v>108.9</v>
      </c>
      <c r="I131" s="20">
        <v>6</v>
      </c>
      <c r="J131" s="9" t="s">
        <v>244</v>
      </c>
      <c r="K131" s="14">
        <v>139.9</v>
      </c>
      <c r="L131" s="14">
        <v>66.599999999999994</v>
      </c>
      <c r="M131" s="14">
        <v>11.9</v>
      </c>
      <c r="N131" s="21">
        <v>1722</v>
      </c>
      <c r="O131" s="14">
        <v>4.5999999999999996</v>
      </c>
      <c r="P131" s="10">
        <v>8.73</v>
      </c>
      <c r="Q131" s="9" t="s">
        <v>245</v>
      </c>
      <c r="R131" s="12" t="s">
        <v>246</v>
      </c>
    </row>
    <row r="132" spans="1:18" x14ac:dyDescent="0.3">
      <c r="A132" s="5" t="s">
        <v>382</v>
      </c>
      <c r="B132" s="32">
        <v>45334.083333333343</v>
      </c>
      <c r="C132" s="5" t="s">
        <v>5</v>
      </c>
      <c r="D132" s="13">
        <v>256.2</v>
      </c>
      <c r="E132" s="13">
        <v>3121</v>
      </c>
      <c r="F132" s="13">
        <v>72.8</v>
      </c>
      <c r="G132" s="13">
        <v>45.1</v>
      </c>
      <c r="H132" s="13">
        <v>98.9</v>
      </c>
      <c r="I132" s="18">
        <v>6</v>
      </c>
      <c r="J132" s="5" t="s">
        <v>244</v>
      </c>
      <c r="K132" s="13">
        <v>149.80000000000001</v>
      </c>
      <c r="L132" s="13">
        <v>67.599999999999994</v>
      </c>
      <c r="M132" s="13">
        <v>13.2</v>
      </c>
      <c r="N132" s="19">
        <v>1775</v>
      </c>
      <c r="O132" s="13">
        <v>4.9000000000000004</v>
      </c>
      <c r="P132" s="6">
        <v>8.3000000000000007</v>
      </c>
      <c r="Q132" s="5" t="s">
        <v>245</v>
      </c>
      <c r="R132" s="8" t="s">
        <v>246</v>
      </c>
    </row>
    <row r="133" spans="1:18" x14ac:dyDescent="0.3">
      <c r="A133" s="9" t="s">
        <v>383</v>
      </c>
      <c r="B133" s="33">
        <v>45334.166666666657</v>
      </c>
      <c r="C133" s="9" t="s">
        <v>5</v>
      </c>
      <c r="D133" s="14">
        <v>244.5</v>
      </c>
      <c r="E133" s="14">
        <v>3146.3</v>
      </c>
      <c r="F133" s="14">
        <v>71.7</v>
      </c>
      <c r="G133" s="14">
        <v>44.9</v>
      </c>
      <c r="H133" s="14">
        <v>108.8</v>
      </c>
      <c r="I133" s="20">
        <v>6</v>
      </c>
      <c r="J133" s="9" t="s">
        <v>244</v>
      </c>
      <c r="K133" s="14">
        <v>147.4</v>
      </c>
      <c r="L133" s="14">
        <v>68.900000000000006</v>
      </c>
      <c r="M133" s="14">
        <v>12.3</v>
      </c>
      <c r="N133" s="21">
        <v>1709</v>
      </c>
      <c r="O133" s="14">
        <v>5.0999999999999996</v>
      </c>
      <c r="P133" s="10">
        <v>8.7100000000000009</v>
      </c>
      <c r="Q133" s="9" t="s">
        <v>245</v>
      </c>
      <c r="R133" s="12" t="s">
        <v>246</v>
      </c>
    </row>
    <row r="134" spans="1:18" x14ac:dyDescent="0.3">
      <c r="A134" s="5" t="s">
        <v>384</v>
      </c>
      <c r="B134" s="32">
        <v>45334.25</v>
      </c>
      <c r="C134" s="5" t="s">
        <v>3</v>
      </c>
      <c r="D134" s="13">
        <v>248.5</v>
      </c>
      <c r="E134" s="13">
        <v>3137.9</v>
      </c>
      <c r="F134" s="13">
        <v>71.7</v>
      </c>
      <c r="G134" s="13">
        <v>44.1</v>
      </c>
      <c r="H134" s="13">
        <v>101.2</v>
      </c>
      <c r="I134" s="18">
        <v>6</v>
      </c>
      <c r="J134" s="5" t="s">
        <v>244</v>
      </c>
      <c r="K134" s="13">
        <v>141.6</v>
      </c>
      <c r="L134" s="13">
        <v>68.099999999999994</v>
      </c>
      <c r="M134" s="13">
        <v>13.5</v>
      </c>
      <c r="N134" s="19">
        <v>1691</v>
      </c>
      <c r="O134" s="13">
        <v>4.9000000000000004</v>
      </c>
      <c r="P134" s="6">
        <v>8.4700000000000006</v>
      </c>
      <c r="Q134" s="5" t="s">
        <v>245</v>
      </c>
      <c r="R134" s="8" t="s">
        <v>246</v>
      </c>
    </row>
    <row r="135" spans="1:18" x14ac:dyDescent="0.3">
      <c r="A135" s="9" t="s">
        <v>385</v>
      </c>
      <c r="B135" s="33">
        <v>45334.333333333343</v>
      </c>
      <c r="C135" s="9" t="s">
        <v>3</v>
      </c>
      <c r="D135" s="14">
        <v>248.4</v>
      </c>
      <c r="E135" s="14">
        <v>3047.1</v>
      </c>
      <c r="F135" s="14">
        <v>71.7</v>
      </c>
      <c r="G135" s="14">
        <v>44.6</v>
      </c>
      <c r="H135" s="14">
        <v>107.7</v>
      </c>
      <c r="I135" s="20">
        <v>6</v>
      </c>
      <c r="J135" s="9" t="s">
        <v>244</v>
      </c>
      <c r="K135" s="14">
        <v>145.80000000000001</v>
      </c>
      <c r="L135" s="14">
        <v>66.7</v>
      </c>
      <c r="M135" s="14">
        <v>13.4</v>
      </c>
      <c r="N135" s="21">
        <v>1727</v>
      </c>
      <c r="O135" s="14">
        <v>4.9000000000000004</v>
      </c>
      <c r="P135" s="10">
        <v>8.6</v>
      </c>
      <c r="Q135" s="9" t="s">
        <v>245</v>
      </c>
      <c r="R135" s="12" t="s">
        <v>246</v>
      </c>
    </row>
    <row r="136" spans="1:18" x14ac:dyDescent="0.3">
      <c r="A136" s="5" t="s">
        <v>386</v>
      </c>
      <c r="B136" s="32">
        <v>45334.416666666657</v>
      </c>
      <c r="C136" s="5" t="s">
        <v>3</v>
      </c>
      <c r="D136" s="13">
        <v>246.9</v>
      </c>
      <c r="E136" s="13">
        <v>3107.6</v>
      </c>
      <c r="F136" s="13">
        <v>72.099999999999994</v>
      </c>
      <c r="G136" s="13">
        <v>43.4</v>
      </c>
      <c r="H136" s="13">
        <v>102.3</v>
      </c>
      <c r="I136" s="18">
        <v>6</v>
      </c>
      <c r="J136" s="5" t="s">
        <v>244</v>
      </c>
      <c r="K136" s="13">
        <v>144.1</v>
      </c>
      <c r="L136" s="13">
        <v>68.900000000000006</v>
      </c>
      <c r="M136" s="13">
        <v>13.5</v>
      </c>
      <c r="N136" s="19">
        <v>1692</v>
      </c>
      <c r="O136" s="13">
        <v>4.7</v>
      </c>
      <c r="P136" s="6">
        <v>8.5</v>
      </c>
      <c r="Q136" s="5" t="s">
        <v>245</v>
      </c>
      <c r="R136" s="8" t="s">
        <v>246</v>
      </c>
    </row>
    <row r="137" spans="1:18" x14ac:dyDescent="0.3">
      <c r="A137" s="9" t="s">
        <v>387</v>
      </c>
      <c r="B137" s="33">
        <v>45334.5</v>
      </c>
      <c r="C137" s="9" t="s">
        <v>3</v>
      </c>
      <c r="D137" s="14">
        <v>245.2</v>
      </c>
      <c r="E137" s="14">
        <v>3087.8</v>
      </c>
      <c r="F137" s="14">
        <v>72.3</v>
      </c>
      <c r="G137" s="14">
        <v>44</v>
      </c>
      <c r="H137" s="14">
        <v>107.1</v>
      </c>
      <c r="I137" s="20">
        <v>6</v>
      </c>
      <c r="J137" s="9" t="s">
        <v>244</v>
      </c>
      <c r="K137" s="14">
        <v>139</v>
      </c>
      <c r="L137" s="14">
        <v>67.7</v>
      </c>
      <c r="M137" s="14">
        <v>12.2</v>
      </c>
      <c r="N137" s="21">
        <v>1778</v>
      </c>
      <c r="O137" s="14">
        <v>4.7</v>
      </c>
      <c r="P137" s="10">
        <v>8.16</v>
      </c>
      <c r="Q137" s="9" t="s">
        <v>245</v>
      </c>
      <c r="R137" s="12" t="s">
        <v>246</v>
      </c>
    </row>
    <row r="138" spans="1:18" x14ac:dyDescent="0.3">
      <c r="A138" s="5" t="s">
        <v>388</v>
      </c>
      <c r="B138" s="32">
        <v>45334.583333333343</v>
      </c>
      <c r="C138" s="5" t="s">
        <v>4</v>
      </c>
      <c r="D138" s="13">
        <v>238</v>
      </c>
      <c r="E138" s="13">
        <v>3101.2</v>
      </c>
      <c r="F138" s="13">
        <v>72.2</v>
      </c>
      <c r="G138" s="13">
        <v>45.1</v>
      </c>
      <c r="H138" s="13">
        <v>105.8</v>
      </c>
      <c r="I138" s="18">
        <v>6</v>
      </c>
      <c r="J138" s="5" t="s">
        <v>244</v>
      </c>
      <c r="K138" s="13">
        <v>149.1</v>
      </c>
      <c r="L138" s="13">
        <v>67.7</v>
      </c>
      <c r="M138" s="13">
        <v>13.2</v>
      </c>
      <c r="N138" s="19">
        <v>1662</v>
      </c>
      <c r="O138" s="13">
        <v>4.5</v>
      </c>
      <c r="P138" s="6">
        <v>8.24</v>
      </c>
      <c r="Q138" s="5" t="s">
        <v>245</v>
      </c>
      <c r="R138" s="8" t="s">
        <v>246</v>
      </c>
    </row>
    <row r="139" spans="1:18" x14ac:dyDescent="0.3">
      <c r="A139" s="9" t="s">
        <v>389</v>
      </c>
      <c r="B139" s="33">
        <v>45334.666666666657</v>
      </c>
      <c r="C139" s="9" t="s">
        <v>4</v>
      </c>
      <c r="D139" s="14">
        <v>248.4</v>
      </c>
      <c r="E139" s="14">
        <v>3098.4</v>
      </c>
      <c r="F139" s="14">
        <v>71.900000000000006</v>
      </c>
      <c r="G139" s="14">
        <v>44.8</v>
      </c>
      <c r="H139" s="14">
        <v>100.4</v>
      </c>
      <c r="I139" s="20">
        <v>6</v>
      </c>
      <c r="J139" s="9" t="s">
        <v>244</v>
      </c>
      <c r="K139" s="14">
        <v>144.30000000000001</v>
      </c>
      <c r="L139" s="14">
        <v>66.3</v>
      </c>
      <c r="M139" s="14">
        <v>13.6</v>
      </c>
      <c r="N139" s="21">
        <v>1709</v>
      </c>
      <c r="O139" s="14">
        <v>4.7</v>
      </c>
      <c r="P139" s="10">
        <v>8.92</v>
      </c>
      <c r="Q139" s="9" t="s">
        <v>245</v>
      </c>
      <c r="R139" s="12" t="s">
        <v>246</v>
      </c>
    </row>
    <row r="140" spans="1:18" x14ac:dyDescent="0.3">
      <c r="A140" s="5" t="s">
        <v>390</v>
      </c>
      <c r="B140" s="32">
        <v>45334.75</v>
      </c>
      <c r="C140" s="5" t="s">
        <v>4</v>
      </c>
      <c r="D140" s="13">
        <v>242.5</v>
      </c>
      <c r="E140" s="13">
        <v>3060.6</v>
      </c>
      <c r="F140" s="13">
        <v>71.099999999999994</v>
      </c>
      <c r="G140" s="13">
        <v>44.7</v>
      </c>
      <c r="H140" s="13">
        <v>107.2</v>
      </c>
      <c r="I140" s="18">
        <v>6</v>
      </c>
      <c r="J140" s="5" t="s">
        <v>244</v>
      </c>
      <c r="K140" s="13">
        <v>147.6</v>
      </c>
      <c r="L140" s="13">
        <v>72.400000000000006</v>
      </c>
      <c r="M140" s="13">
        <v>10.7</v>
      </c>
      <c r="N140" s="19">
        <v>1741</v>
      </c>
      <c r="O140" s="13">
        <v>4.5999999999999996</v>
      </c>
      <c r="P140" s="6">
        <v>8.48</v>
      </c>
      <c r="Q140" s="5" t="s">
        <v>245</v>
      </c>
      <c r="R140" s="8" t="s">
        <v>246</v>
      </c>
    </row>
    <row r="141" spans="1:18" x14ac:dyDescent="0.3">
      <c r="A141" s="9" t="s">
        <v>391</v>
      </c>
      <c r="B141" s="33">
        <v>45334.833333333343</v>
      </c>
      <c r="C141" s="9" t="s">
        <v>4</v>
      </c>
      <c r="D141" s="14">
        <v>246.3</v>
      </c>
      <c r="E141" s="14">
        <v>3068.2</v>
      </c>
      <c r="F141" s="14">
        <v>72.8</v>
      </c>
      <c r="G141" s="14">
        <v>45.5</v>
      </c>
      <c r="H141" s="14">
        <v>105.1</v>
      </c>
      <c r="I141" s="20">
        <v>6</v>
      </c>
      <c r="J141" s="9" t="s">
        <v>244</v>
      </c>
      <c r="K141" s="14">
        <v>149.69999999999999</v>
      </c>
      <c r="L141" s="14">
        <v>66.2</v>
      </c>
      <c r="M141" s="14">
        <v>11.4</v>
      </c>
      <c r="N141" s="21">
        <v>1643</v>
      </c>
      <c r="O141" s="14">
        <v>4.5999999999999996</v>
      </c>
      <c r="P141" s="10">
        <v>8.6300000000000008</v>
      </c>
      <c r="Q141" s="9" t="s">
        <v>245</v>
      </c>
      <c r="R141" s="12" t="s">
        <v>246</v>
      </c>
    </row>
    <row r="142" spans="1:18" x14ac:dyDescent="0.3">
      <c r="A142" s="5" t="s">
        <v>392</v>
      </c>
      <c r="B142" s="32">
        <v>45334.916666666657</v>
      </c>
      <c r="C142" s="5" t="s">
        <v>5</v>
      </c>
      <c r="D142" s="13">
        <v>250.6</v>
      </c>
      <c r="E142" s="13">
        <v>3105.2</v>
      </c>
      <c r="F142" s="13">
        <v>71</v>
      </c>
      <c r="G142" s="13">
        <v>45.4</v>
      </c>
      <c r="H142" s="13">
        <v>106.2</v>
      </c>
      <c r="I142" s="18">
        <v>6</v>
      </c>
      <c r="J142" s="5" t="s">
        <v>244</v>
      </c>
      <c r="K142" s="13">
        <v>147.6</v>
      </c>
      <c r="L142" s="13">
        <v>65.7</v>
      </c>
      <c r="M142" s="13">
        <v>12.7</v>
      </c>
      <c r="N142" s="19">
        <v>1678</v>
      </c>
      <c r="O142" s="13">
        <v>4.7</v>
      </c>
      <c r="P142" s="6">
        <v>8.7100000000000009</v>
      </c>
      <c r="Q142" s="5" t="s">
        <v>245</v>
      </c>
      <c r="R142" s="8" t="s">
        <v>246</v>
      </c>
    </row>
    <row r="143" spans="1:18" x14ac:dyDescent="0.3">
      <c r="A143" s="9" t="s">
        <v>393</v>
      </c>
      <c r="B143" s="33">
        <v>45335</v>
      </c>
      <c r="C143" s="9" t="s">
        <v>5</v>
      </c>
      <c r="D143" s="14">
        <v>250.5</v>
      </c>
      <c r="E143" s="14">
        <v>3070.2</v>
      </c>
      <c r="F143" s="14">
        <v>71.8</v>
      </c>
      <c r="G143" s="14">
        <v>43.6</v>
      </c>
      <c r="H143" s="14">
        <v>110.8</v>
      </c>
      <c r="I143" s="20">
        <v>6</v>
      </c>
      <c r="J143" s="9" t="s">
        <v>244</v>
      </c>
      <c r="K143" s="14">
        <v>144.30000000000001</v>
      </c>
      <c r="L143" s="14">
        <v>70.2</v>
      </c>
      <c r="M143" s="14">
        <v>12.1</v>
      </c>
      <c r="N143" s="21">
        <v>1701</v>
      </c>
      <c r="O143" s="14">
        <v>4.5999999999999996</v>
      </c>
      <c r="P143" s="10">
        <v>8.7799999999999994</v>
      </c>
      <c r="Q143" s="9" t="s">
        <v>245</v>
      </c>
      <c r="R143" s="12" t="s">
        <v>246</v>
      </c>
    </row>
    <row r="144" spans="1:18" x14ac:dyDescent="0.3">
      <c r="A144" s="5" t="s">
        <v>394</v>
      </c>
      <c r="B144" s="32">
        <v>45335.083333333343</v>
      </c>
      <c r="C144" s="5" t="s">
        <v>5</v>
      </c>
      <c r="D144" s="13">
        <v>245.7</v>
      </c>
      <c r="E144" s="13">
        <v>3122.6</v>
      </c>
      <c r="F144" s="13">
        <v>71.599999999999994</v>
      </c>
      <c r="G144" s="13">
        <v>43.2</v>
      </c>
      <c r="H144" s="13">
        <v>102.1</v>
      </c>
      <c r="I144" s="18">
        <v>6</v>
      </c>
      <c r="J144" s="5" t="s">
        <v>244</v>
      </c>
      <c r="K144" s="13">
        <v>140.9</v>
      </c>
      <c r="L144" s="13">
        <v>68.599999999999994</v>
      </c>
      <c r="M144" s="13">
        <v>11.5</v>
      </c>
      <c r="N144" s="19">
        <v>1752</v>
      </c>
      <c r="O144" s="13">
        <v>4.8</v>
      </c>
      <c r="P144" s="6">
        <v>8.56</v>
      </c>
      <c r="Q144" s="5" t="s">
        <v>245</v>
      </c>
      <c r="R144" s="8" t="s">
        <v>246</v>
      </c>
    </row>
    <row r="145" spans="1:18" x14ac:dyDescent="0.3">
      <c r="A145" s="9" t="s">
        <v>395</v>
      </c>
      <c r="B145" s="33">
        <v>45335.166666666657</v>
      </c>
      <c r="C145" s="9" t="s">
        <v>5</v>
      </c>
      <c r="D145" s="14">
        <v>253.9</v>
      </c>
      <c r="E145" s="14">
        <v>3133.7</v>
      </c>
      <c r="F145" s="14">
        <v>71.8</v>
      </c>
      <c r="G145" s="14">
        <v>44.2</v>
      </c>
      <c r="H145" s="14">
        <v>96.1</v>
      </c>
      <c r="I145" s="20">
        <v>6</v>
      </c>
      <c r="J145" s="9" t="s">
        <v>244</v>
      </c>
      <c r="K145" s="14">
        <v>142.6</v>
      </c>
      <c r="L145" s="14">
        <v>67.599999999999994</v>
      </c>
      <c r="M145" s="14">
        <v>12.6</v>
      </c>
      <c r="N145" s="21">
        <v>1707</v>
      </c>
      <c r="O145" s="14">
        <v>5</v>
      </c>
      <c r="P145" s="10">
        <v>8.48</v>
      </c>
      <c r="Q145" s="9" t="s">
        <v>245</v>
      </c>
      <c r="R145" s="12" t="s">
        <v>246</v>
      </c>
    </row>
    <row r="146" spans="1:18" x14ac:dyDescent="0.3">
      <c r="A146" s="5" t="s">
        <v>396</v>
      </c>
      <c r="B146" s="32">
        <v>45335.25</v>
      </c>
      <c r="C146" s="5" t="s">
        <v>3</v>
      </c>
      <c r="D146" s="13">
        <v>249.7</v>
      </c>
      <c r="E146" s="13">
        <v>3141.4</v>
      </c>
      <c r="F146" s="13">
        <v>72</v>
      </c>
      <c r="G146" s="13">
        <v>44.8</v>
      </c>
      <c r="H146" s="13">
        <v>102</v>
      </c>
      <c r="I146" s="18">
        <v>6</v>
      </c>
      <c r="J146" s="5" t="s">
        <v>244</v>
      </c>
      <c r="K146" s="13">
        <v>142.80000000000001</v>
      </c>
      <c r="L146" s="13">
        <v>67.2</v>
      </c>
      <c r="M146" s="13">
        <v>12.1</v>
      </c>
      <c r="N146" s="19">
        <v>1746</v>
      </c>
      <c r="O146" s="13">
        <v>4.7</v>
      </c>
      <c r="P146" s="6">
        <v>8.33</v>
      </c>
      <c r="Q146" s="5" t="s">
        <v>245</v>
      </c>
      <c r="R146" s="8" t="s">
        <v>246</v>
      </c>
    </row>
    <row r="147" spans="1:18" x14ac:dyDescent="0.3">
      <c r="A147" s="9" t="s">
        <v>397</v>
      </c>
      <c r="B147" s="33">
        <v>45335.333333333343</v>
      </c>
      <c r="C147" s="9" t="s">
        <v>3</v>
      </c>
      <c r="D147" s="14">
        <v>260.60000000000002</v>
      </c>
      <c r="E147" s="14">
        <v>3111.2</v>
      </c>
      <c r="F147" s="14">
        <v>71</v>
      </c>
      <c r="G147" s="14">
        <v>44.4</v>
      </c>
      <c r="H147" s="14">
        <v>105.6</v>
      </c>
      <c r="I147" s="20">
        <v>6</v>
      </c>
      <c r="J147" s="9" t="s">
        <v>244</v>
      </c>
      <c r="K147" s="14">
        <v>151</v>
      </c>
      <c r="L147" s="14">
        <v>66.8</v>
      </c>
      <c r="M147" s="14">
        <v>13.3</v>
      </c>
      <c r="N147" s="21">
        <v>1768</v>
      </c>
      <c r="O147" s="14">
        <v>4.5999999999999996</v>
      </c>
      <c r="P147" s="10">
        <v>8.5399999999999991</v>
      </c>
      <c r="Q147" s="9" t="s">
        <v>245</v>
      </c>
      <c r="R147" s="12" t="s">
        <v>246</v>
      </c>
    </row>
    <row r="148" spans="1:18" x14ac:dyDescent="0.3">
      <c r="A148" s="5" t="s">
        <v>398</v>
      </c>
      <c r="B148" s="32">
        <v>45335.416666666657</v>
      </c>
      <c r="C148" s="5" t="s">
        <v>3</v>
      </c>
      <c r="D148" s="13">
        <v>243.8</v>
      </c>
      <c r="E148" s="13">
        <v>3092.9</v>
      </c>
      <c r="F148" s="13">
        <v>71.8</v>
      </c>
      <c r="G148" s="13">
        <v>45.3</v>
      </c>
      <c r="H148" s="13">
        <v>110.5</v>
      </c>
      <c r="I148" s="18">
        <v>6</v>
      </c>
      <c r="J148" s="5" t="s">
        <v>244</v>
      </c>
      <c r="K148" s="13">
        <v>142.4</v>
      </c>
      <c r="L148" s="13">
        <v>65.5</v>
      </c>
      <c r="M148" s="13">
        <v>12.5</v>
      </c>
      <c r="N148" s="19">
        <v>1730</v>
      </c>
      <c r="O148" s="13">
        <v>4.9000000000000004</v>
      </c>
      <c r="P148" s="6">
        <v>8.5299999999999994</v>
      </c>
      <c r="Q148" s="5" t="s">
        <v>245</v>
      </c>
      <c r="R148" s="8" t="s">
        <v>246</v>
      </c>
    </row>
    <row r="149" spans="1:18" x14ac:dyDescent="0.3">
      <c r="A149" s="9" t="s">
        <v>399</v>
      </c>
      <c r="B149" s="33">
        <v>45335.5</v>
      </c>
      <c r="C149" s="9" t="s">
        <v>3</v>
      </c>
      <c r="D149" s="14">
        <v>250.7</v>
      </c>
      <c r="E149" s="14">
        <v>3153</v>
      </c>
      <c r="F149" s="14">
        <v>72</v>
      </c>
      <c r="G149" s="14">
        <v>44.5</v>
      </c>
      <c r="H149" s="14">
        <v>102.5</v>
      </c>
      <c r="I149" s="20">
        <v>6</v>
      </c>
      <c r="J149" s="9" t="s">
        <v>244</v>
      </c>
      <c r="K149" s="14">
        <v>144.4</v>
      </c>
      <c r="L149" s="14">
        <v>71</v>
      </c>
      <c r="M149" s="14">
        <v>12.4</v>
      </c>
      <c r="N149" s="21">
        <v>1719</v>
      </c>
      <c r="O149" s="14">
        <v>4.7</v>
      </c>
      <c r="P149" s="10">
        <v>8.82</v>
      </c>
      <c r="Q149" s="9" t="s">
        <v>245</v>
      </c>
      <c r="R149" s="12" t="s">
        <v>246</v>
      </c>
    </row>
    <row r="150" spans="1:18" x14ac:dyDescent="0.3">
      <c r="A150" s="5" t="s">
        <v>400</v>
      </c>
      <c r="B150" s="32">
        <v>45335.583333333343</v>
      </c>
      <c r="C150" s="5" t="s">
        <v>4</v>
      </c>
      <c r="D150" s="13">
        <v>261.8</v>
      </c>
      <c r="E150" s="13">
        <v>3115.8</v>
      </c>
      <c r="F150" s="13">
        <v>71.8</v>
      </c>
      <c r="G150" s="13">
        <v>44.8</v>
      </c>
      <c r="H150" s="13">
        <v>93.1</v>
      </c>
      <c r="I150" s="18">
        <v>6</v>
      </c>
      <c r="J150" s="5" t="s">
        <v>244</v>
      </c>
      <c r="K150" s="13">
        <v>147.6</v>
      </c>
      <c r="L150" s="13">
        <v>68.7</v>
      </c>
      <c r="M150" s="13">
        <v>12.8</v>
      </c>
      <c r="N150" s="19">
        <v>1695</v>
      </c>
      <c r="O150" s="13">
        <v>4.7</v>
      </c>
      <c r="P150" s="6">
        <v>8.52</v>
      </c>
      <c r="Q150" s="5" t="s">
        <v>245</v>
      </c>
      <c r="R150" s="8" t="s">
        <v>246</v>
      </c>
    </row>
    <row r="151" spans="1:18" x14ac:dyDescent="0.3">
      <c r="A151" s="9" t="s">
        <v>401</v>
      </c>
      <c r="B151" s="33">
        <v>45335.666666666657</v>
      </c>
      <c r="C151" s="9" t="s">
        <v>4</v>
      </c>
      <c r="D151" s="14">
        <v>256.10000000000002</v>
      </c>
      <c r="E151" s="14">
        <v>3086.7</v>
      </c>
      <c r="F151" s="14">
        <v>73</v>
      </c>
      <c r="G151" s="14">
        <v>45.1</v>
      </c>
      <c r="H151" s="14">
        <v>98.6</v>
      </c>
      <c r="I151" s="20">
        <v>6</v>
      </c>
      <c r="J151" s="9" t="s">
        <v>244</v>
      </c>
      <c r="K151" s="14">
        <v>144.6</v>
      </c>
      <c r="L151" s="14">
        <v>67.5</v>
      </c>
      <c r="M151" s="14">
        <v>10.7</v>
      </c>
      <c r="N151" s="21">
        <v>1775</v>
      </c>
      <c r="O151" s="14">
        <v>5</v>
      </c>
      <c r="P151" s="10">
        <v>8.7100000000000009</v>
      </c>
      <c r="Q151" s="9" t="s">
        <v>245</v>
      </c>
      <c r="R151" s="12" t="s">
        <v>246</v>
      </c>
    </row>
    <row r="152" spans="1:18" x14ac:dyDescent="0.3">
      <c r="A152" s="5" t="s">
        <v>402</v>
      </c>
      <c r="B152" s="32">
        <v>45335.75</v>
      </c>
      <c r="C152" s="5" t="s">
        <v>4</v>
      </c>
      <c r="D152" s="13">
        <v>251</v>
      </c>
      <c r="E152" s="13">
        <v>3051.6</v>
      </c>
      <c r="F152" s="13">
        <v>71.5</v>
      </c>
      <c r="G152" s="13">
        <v>45.5</v>
      </c>
      <c r="H152" s="13">
        <v>99.7</v>
      </c>
      <c r="I152" s="18">
        <v>6</v>
      </c>
      <c r="J152" s="5" t="s">
        <v>244</v>
      </c>
      <c r="K152" s="13">
        <v>136.1</v>
      </c>
      <c r="L152" s="13">
        <v>68.2</v>
      </c>
      <c r="M152" s="13">
        <v>12.4</v>
      </c>
      <c r="N152" s="19">
        <v>1724</v>
      </c>
      <c r="O152" s="13">
        <v>5</v>
      </c>
      <c r="P152" s="6">
        <v>8.73</v>
      </c>
      <c r="Q152" s="5" t="s">
        <v>245</v>
      </c>
      <c r="R152" s="8" t="s">
        <v>246</v>
      </c>
    </row>
    <row r="153" spans="1:18" x14ac:dyDescent="0.3">
      <c r="A153" s="9" t="s">
        <v>403</v>
      </c>
      <c r="B153" s="33">
        <v>45335.833333333343</v>
      </c>
      <c r="C153" s="9" t="s">
        <v>4</v>
      </c>
      <c r="D153" s="14">
        <v>251.6</v>
      </c>
      <c r="E153" s="14">
        <v>3141.8</v>
      </c>
      <c r="F153" s="14">
        <v>70.900000000000006</v>
      </c>
      <c r="G153" s="14">
        <v>45.2</v>
      </c>
      <c r="H153" s="14">
        <v>108.1</v>
      </c>
      <c r="I153" s="20">
        <v>6</v>
      </c>
      <c r="J153" s="9" t="s">
        <v>244</v>
      </c>
      <c r="K153" s="14">
        <v>140.69999999999999</v>
      </c>
      <c r="L153" s="14">
        <v>66.2</v>
      </c>
      <c r="M153" s="14">
        <v>11.9</v>
      </c>
      <c r="N153" s="21">
        <v>1696</v>
      </c>
      <c r="O153" s="14">
        <v>5</v>
      </c>
      <c r="P153" s="10">
        <v>8.48</v>
      </c>
      <c r="Q153" s="9" t="s">
        <v>245</v>
      </c>
      <c r="R153" s="12" t="s">
        <v>246</v>
      </c>
    </row>
    <row r="154" spans="1:18" x14ac:dyDescent="0.3">
      <c r="A154" s="5" t="s">
        <v>404</v>
      </c>
      <c r="B154" s="32">
        <v>45335.916666666657</v>
      </c>
      <c r="C154" s="5" t="s">
        <v>5</v>
      </c>
      <c r="D154" s="13">
        <v>244.9</v>
      </c>
      <c r="E154" s="13">
        <v>3078.6</v>
      </c>
      <c r="F154" s="13">
        <v>72.5</v>
      </c>
      <c r="G154" s="13">
        <v>44.8</v>
      </c>
      <c r="H154" s="13">
        <v>104.1</v>
      </c>
      <c r="I154" s="18">
        <v>6</v>
      </c>
      <c r="J154" s="5" t="s">
        <v>244</v>
      </c>
      <c r="K154" s="13">
        <v>144.6</v>
      </c>
      <c r="L154" s="13">
        <v>70.400000000000006</v>
      </c>
      <c r="M154" s="13">
        <v>11.9</v>
      </c>
      <c r="N154" s="19">
        <v>1766</v>
      </c>
      <c r="O154" s="13">
        <v>4.9000000000000004</v>
      </c>
      <c r="P154" s="6">
        <v>8.57</v>
      </c>
      <c r="Q154" s="5" t="s">
        <v>245</v>
      </c>
      <c r="R154" s="8" t="s">
        <v>246</v>
      </c>
    </row>
    <row r="155" spans="1:18" x14ac:dyDescent="0.3">
      <c r="A155" s="9" t="s">
        <v>405</v>
      </c>
      <c r="B155" s="33">
        <v>45336</v>
      </c>
      <c r="C155" s="9" t="s">
        <v>5</v>
      </c>
      <c r="D155" s="14">
        <v>265</v>
      </c>
      <c r="E155" s="14">
        <v>3063.1</v>
      </c>
      <c r="F155" s="14">
        <v>71.599999999999994</v>
      </c>
      <c r="G155" s="14">
        <v>43.8</v>
      </c>
      <c r="H155" s="14">
        <v>109.8</v>
      </c>
      <c r="I155" s="20">
        <v>6</v>
      </c>
      <c r="J155" s="9" t="s">
        <v>244</v>
      </c>
      <c r="K155" s="14">
        <v>150.9</v>
      </c>
      <c r="L155" s="14">
        <v>71</v>
      </c>
      <c r="M155" s="14">
        <v>13.5</v>
      </c>
      <c r="N155" s="21">
        <v>1713</v>
      </c>
      <c r="O155" s="14">
        <v>4.7</v>
      </c>
      <c r="P155" s="10">
        <v>8.27</v>
      </c>
      <c r="Q155" s="9" t="s">
        <v>245</v>
      </c>
      <c r="R155" s="12" t="s">
        <v>246</v>
      </c>
    </row>
    <row r="156" spans="1:18" x14ac:dyDescent="0.3">
      <c r="A156" s="5" t="s">
        <v>406</v>
      </c>
      <c r="B156" s="32">
        <v>45336.083333333343</v>
      </c>
      <c r="C156" s="5" t="s">
        <v>5</v>
      </c>
      <c r="D156" s="13">
        <v>262.2</v>
      </c>
      <c r="E156" s="13">
        <v>3116.4</v>
      </c>
      <c r="F156" s="13">
        <v>71.5</v>
      </c>
      <c r="G156" s="13">
        <v>45.9</v>
      </c>
      <c r="H156" s="13">
        <v>100.1</v>
      </c>
      <c r="I156" s="18">
        <v>6</v>
      </c>
      <c r="J156" s="5" t="s">
        <v>244</v>
      </c>
      <c r="K156" s="13">
        <v>146.4</v>
      </c>
      <c r="L156" s="13">
        <v>68.2</v>
      </c>
      <c r="M156" s="13">
        <v>13</v>
      </c>
      <c r="N156" s="19">
        <v>1717</v>
      </c>
      <c r="O156" s="13">
        <v>4.4000000000000004</v>
      </c>
      <c r="P156" s="6">
        <v>8.6199999999999992</v>
      </c>
      <c r="Q156" s="5" t="s">
        <v>245</v>
      </c>
      <c r="R156" s="8" t="s">
        <v>246</v>
      </c>
    </row>
    <row r="157" spans="1:18" x14ac:dyDescent="0.3">
      <c r="A157" s="9" t="s">
        <v>407</v>
      </c>
      <c r="B157" s="33">
        <v>45336.166666666657</v>
      </c>
      <c r="C157" s="9" t="s">
        <v>5</v>
      </c>
      <c r="D157" s="14">
        <v>256.3</v>
      </c>
      <c r="E157" s="14">
        <v>3099</v>
      </c>
      <c r="F157" s="14">
        <v>72.3</v>
      </c>
      <c r="G157" s="14">
        <v>44</v>
      </c>
      <c r="H157" s="14">
        <v>104.9</v>
      </c>
      <c r="I157" s="20">
        <v>6</v>
      </c>
      <c r="J157" s="9" t="s">
        <v>244</v>
      </c>
      <c r="K157" s="14">
        <v>142.80000000000001</v>
      </c>
      <c r="L157" s="14">
        <v>69.599999999999994</v>
      </c>
      <c r="M157" s="14">
        <v>12.5</v>
      </c>
      <c r="N157" s="21">
        <v>1744</v>
      </c>
      <c r="O157" s="14">
        <v>5.0999999999999996</v>
      </c>
      <c r="P157" s="10">
        <v>8.74</v>
      </c>
      <c r="Q157" s="9" t="s">
        <v>245</v>
      </c>
      <c r="R157" s="12" t="s">
        <v>246</v>
      </c>
    </row>
    <row r="158" spans="1:18" x14ac:dyDescent="0.3">
      <c r="A158" s="5" t="s">
        <v>408</v>
      </c>
      <c r="B158" s="32">
        <v>45336.25</v>
      </c>
      <c r="C158" s="5" t="s">
        <v>3</v>
      </c>
      <c r="D158" s="13">
        <v>251.6</v>
      </c>
      <c r="E158" s="13">
        <v>3065.1</v>
      </c>
      <c r="F158" s="13">
        <v>71.8</v>
      </c>
      <c r="G158" s="13">
        <v>44.4</v>
      </c>
      <c r="H158" s="13">
        <v>103.3</v>
      </c>
      <c r="I158" s="18">
        <v>6</v>
      </c>
      <c r="J158" s="5" t="s">
        <v>244</v>
      </c>
      <c r="K158" s="13">
        <v>143.69999999999999</v>
      </c>
      <c r="L158" s="13">
        <v>67</v>
      </c>
      <c r="M158" s="13">
        <v>10.9</v>
      </c>
      <c r="N158" s="19">
        <v>1696</v>
      </c>
      <c r="O158" s="13">
        <v>4.9000000000000004</v>
      </c>
      <c r="P158" s="6">
        <v>8.33</v>
      </c>
      <c r="Q158" s="5" t="s">
        <v>245</v>
      </c>
      <c r="R158" s="8" t="s">
        <v>246</v>
      </c>
    </row>
    <row r="159" spans="1:18" x14ac:dyDescent="0.3">
      <c r="A159" s="9" t="s">
        <v>409</v>
      </c>
      <c r="B159" s="33">
        <v>45336.333333333343</v>
      </c>
      <c r="C159" s="9" t="s">
        <v>3</v>
      </c>
      <c r="D159" s="14">
        <v>250.1</v>
      </c>
      <c r="E159" s="14">
        <v>3166.5</v>
      </c>
      <c r="F159" s="14">
        <v>72.400000000000006</v>
      </c>
      <c r="G159" s="14">
        <v>46.1</v>
      </c>
      <c r="H159" s="14">
        <v>107</v>
      </c>
      <c r="I159" s="20">
        <v>6</v>
      </c>
      <c r="J159" s="9" t="s">
        <v>244</v>
      </c>
      <c r="K159" s="14">
        <v>149.1</v>
      </c>
      <c r="L159" s="14">
        <v>67.400000000000006</v>
      </c>
      <c r="M159" s="14">
        <v>12</v>
      </c>
      <c r="N159" s="21">
        <v>1624</v>
      </c>
      <c r="O159" s="14">
        <v>5.2</v>
      </c>
      <c r="P159" s="10">
        <v>8.91</v>
      </c>
      <c r="Q159" s="9" t="s">
        <v>245</v>
      </c>
      <c r="R159" s="12" t="s">
        <v>246</v>
      </c>
    </row>
    <row r="160" spans="1:18" x14ac:dyDescent="0.3">
      <c r="A160" s="5" t="s">
        <v>410</v>
      </c>
      <c r="B160" s="32">
        <v>45336.416666666657</v>
      </c>
      <c r="C160" s="5" t="s">
        <v>3</v>
      </c>
      <c r="D160" s="13">
        <v>246.7</v>
      </c>
      <c r="E160" s="13">
        <v>3091.1</v>
      </c>
      <c r="F160" s="13">
        <v>71.3</v>
      </c>
      <c r="G160" s="13">
        <v>45.1</v>
      </c>
      <c r="H160" s="13">
        <v>110.6</v>
      </c>
      <c r="I160" s="18">
        <v>6</v>
      </c>
      <c r="J160" s="5" t="s">
        <v>244</v>
      </c>
      <c r="K160" s="13">
        <v>138.9</v>
      </c>
      <c r="L160" s="13">
        <v>69.099999999999994</v>
      </c>
      <c r="M160" s="13">
        <v>12.3</v>
      </c>
      <c r="N160" s="19">
        <v>1723</v>
      </c>
      <c r="O160" s="13">
        <v>4.9000000000000004</v>
      </c>
      <c r="P160" s="6">
        <v>8.56</v>
      </c>
      <c r="Q160" s="5" t="s">
        <v>245</v>
      </c>
      <c r="R160" s="8" t="s">
        <v>246</v>
      </c>
    </row>
    <row r="161" spans="1:18" x14ac:dyDescent="0.3">
      <c r="A161" s="9" t="s">
        <v>411</v>
      </c>
      <c r="B161" s="33">
        <v>45336.5</v>
      </c>
      <c r="C161" s="9" t="s">
        <v>3</v>
      </c>
      <c r="D161" s="14">
        <v>249.4</v>
      </c>
      <c r="E161" s="14">
        <v>3092.5</v>
      </c>
      <c r="F161" s="14">
        <v>72.400000000000006</v>
      </c>
      <c r="G161" s="14">
        <v>45.1</v>
      </c>
      <c r="H161" s="14">
        <v>106.1</v>
      </c>
      <c r="I161" s="20">
        <v>6</v>
      </c>
      <c r="J161" s="9" t="s">
        <v>244</v>
      </c>
      <c r="K161" s="14">
        <v>140.6</v>
      </c>
      <c r="L161" s="14">
        <v>67.900000000000006</v>
      </c>
      <c r="M161" s="14">
        <v>13.2</v>
      </c>
      <c r="N161" s="21">
        <v>1721</v>
      </c>
      <c r="O161" s="14">
        <v>5</v>
      </c>
      <c r="P161" s="10">
        <v>8.9499999999999993</v>
      </c>
      <c r="Q161" s="9" t="s">
        <v>245</v>
      </c>
      <c r="R161" s="12" t="s">
        <v>246</v>
      </c>
    </row>
    <row r="162" spans="1:18" x14ac:dyDescent="0.3">
      <c r="A162" s="5" t="s">
        <v>412</v>
      </c>
      <c r="B162" s="32">
        <v>45336.583333333343</v>
      </c>
      <c r="C162" s="5" t="s">
        <v>4</v>
      </c>
      <c r="D162" s="13">
        <v>256.2</v>
      </c>
      <c r="E162" s="13">
        <v>3103.3</v>
      </c>
      <c r="F162" s="13">
        <v>71.5</v>
      </c>
      <c r="G162" s="13">
        <v>42.8</v>
      </c>
      <c r="H162" s="13">
        <v>104.2</v>
      </c>
      <c r="I162" s="18">
        <v>6</v>
      </c>
      <c r="J162" s="5" t="s">
        <v>244</v>
      </c>
      <c r="K162" s="13">
        <v>143.9</v>
      </c>
      <c r="L162" s="13">
        <v>69.099999999999994</v>
      </c>
      <c r="M162" s="13">
        <v>12.4</v>
      </c>
      <c r="N162" s="19">
        <v>1708</v>
      </c>
      <c r="O162" s="13">
        <v>4.3</v>
      </c>
      <c r="P162" s="6">
        <v>8.41</v>
      </c>
      <c r="Q162" s="5" t="s">
        <v>245</v>
      </c>
      <c r="R162" s="8" t="s">
        <v>246</v>
      </c>
    </row>
    <row r="163" spans="1:18" x14ac:dyDescent="0.3">
      <c r="A163" s="9" t="s">
        <v>413</v>
      </c>
      <c r="B163" s="33">
        <v>45336.666666666657</v>
      </c>
      <c r="C163" s="9" t="s">
        <v>4</v>
      </c>
      <c r="D163" s="14">
        <v>252.9</v>
      </c>
      <c r="E163" s="14">
        <v>3160.1</v>
      </c>
      <c r="F163" s="14">
        <v>71.7</v>
      </c>
      <c r="G163" s="14">
        <v>45.1</v>
      </c>
      <c r="H163" s="14">
        <v>109.8</v>
      </c>
      <c r="I163" s="20">
        <v>6</v>
      </c>
      <c r="J163" s="9" t="s">
        <v>244</v>
      </c>
      <c r="K163" s="14">
        <v>142.19999999999999</v>
      </c>
      <c r="L163" s="14">
        <v>69.099999999999994</v>
      </c>
      <c r="M163" s="14">
        <v>11.9</v>
      </c>
      <c r="N163" s="21">
        <v>1750</v>
      </c>
      <c r="O163" s="14">
        <v>4.8</v>
      </c>
      <c r="P163" s="10">
        <v>8.66</v>
      </c>
      <c r="Q163" s="9" t="s">
        <v>245</v>
      </c>
      <c r="R163" s="12" t="s">
        <v>246</v>
      </c>
    </row>
    <row r="164" spans="1:18" x14ac:dyDescent="0.3">
      <c r="A164" s="5" t="s">
        <v>414</v>
      </c>
      <c r="B164" s="32">
        <v>45336.75</v>
      </c>
      <c r="C164" s="5" t="s">
        <v>4</v>
      </c>
      <c r="D164" s="13">
        <v>245.3</v>
      </c>
      <c r="E164" s="13">
        <v>3124.7</v>
      </c>
      <c r="F164" s="13">
        <v>73.099999999999994</v>
      </c>
      <c r="G164" s="13">
        <v>44</v>
      </c>
      <c r="H164" s="13">
        <v>103.3</v>
      </c>
      <c r="I164" s="18">
        <v>6</v>
      </c>
      <c r="J164" s="5" t="s">
        <v>244</v>
      </c>
      <c r="K164" s="13">
        <v>145.80000000000001</v>
      </c>
      <c r="L164" s="13">
        <v>69.7</v>
      </c>
      <c r="M164" s="13">
        <v>12.1</v>
      </c>
      <c r="N164" s="19">
        <v>1620</v>
      </c>
      <c r="O164" s="13">
        <v>5.2</v>
      </c>
      <c r="P164" s="6">
        <v>8.75</v>
      </c>
      <c r="Q164" s="5" t="s">
        <v>245</v>
      </c>
      <c r="R164" s="8" t="s">
        <v>246</v>
      </c>
    </row>
    <row r="165" spans="1:18" x14ac:dyDescent="0.3">
      <c r="A165" s="9" t="s">
        <v>415</v>
      </c>
      <c r="B165" s="33">
        <v>45336.833333333343</v>
      </c>
      <c r="C165" s="9" t="s">
        <v>4</v>
      </c>
      <c r="D165" s="14">
        <v>239.5</v>
      </c>
      <c r="E165" s="14">
        <v>3078.7</v>
      </c>
      <c r="F165" s="14">
        <v>72.7</v>
      </c>
      <c r="G165" s="14">
        <v>46</v>
      </c>
      <c r="H165" s="14">
        <v>109.7</v>
      </c>
      <c r="I165" s="20">
        <v>6</v>
      </c>
      <c r="J165" s="9" t="s">
        <v>244</v>
      </c>
      <c r="K165" s="14">
        <v>144.4</v>
      </c>
      <c r="L165" s="14">
        <v>68.599999999999994</v>
      </c>
      <c r="M165" s="14">
        <v>12.4</v>
      </c>
      <c r="N165" s="21">
        <v>1759</v>
      </c>
      <c r="O165" s="14">
        <v>4.5</v>
      </c>
      <c r="P165" s="10">
        <v>8.44</v>
      </c>
      <c r="Q165" s="9" t="s">
        <v>245</v>
      </c>
      <c r="R165" s="12" t="s">
        <v>246</v>
      </c>
    </row>
    <row r="166" spans="1:18" x14ac:dyDescent="0.3">
      <c r="A166" s="5" t="s">
        <v>416</v>
      </c>
      <c r="B166" s="32">
        <v>45336.916666666657</v>
      </c>
      <c r="C166" s="5" t="s">
        <v>5</v>
      </c>
      <c r="D166" s="13">
        <v>256.10000000000002</v>
      </c>
      <c r="E166" s="13">
        <v>3098.4</v>
      </c>
      <c r="F166" s="13">
        <v>72.599999999999994</v>
      </c>
      <c r="G166" s="13">
        <v>44.3</v>
      </c>
      <c r="H166" s="13">
        <v>104.7</v>
      </c>
      <c r="I166" s="18">
        <v>6</v>
      </c>
      <c r="J166" s="5" t="s">
        <v>244</v>
      </c>
      <c r="K166" s="13">
        <v>141.80000000000001</v>
      </c>
      <c r="L166" s="13">
        <v>68.5</v>
      </c>
      <c r="M166" s="13">
        <v>11.3</v>
      </c>
      <c r="N166" s="19">
        <v>1702</v>
      </c>
      <c r="O166" s="13">
        <v>4.4000000000000004</v>
      </c>
      <c r="P166" s="6">
        <v>8.74</v>
      </c>
      <c r="Q166" s="5" t="s">
        <v>245</v>
      </c>
      <c r="R166" s="8" t="s">
        <v>246</v>
      </c>
    </row>
    <row r="167" spans="1:18" x14ac:dyDescent="0.3">
      <c r="A167" s="9" t="s">
        <v>417</v>
      </c>
      <c r="B167" s="33">
        <v>45337</v>
      </c>
      <c r="C167" s="9" t="s">
        <v>5</v>
      </c>
      <c r="D167" s="14">
        <v>254.3</v>
      </c>
      <c r="E167" s="14">
        <v>3039.4</v>
      </c>
      <c r="F167" s="14">
        <v>72.599999999999994</v>
      </c>
      <c r="G167" s="14">
        <v>46.8</v>
      </c>
      <c r="H167" s="14">
        <v>105.2</v>
      </c>
      <c r="I167" s="20">
        <v>6</v>
      </c>
      <c r="J167" s="9" t="s">
        <v>244</v>
      </c>
      <c r="K167" s="14">
        <v>142.80000000000001</v>
      </c>
      <c r="L167" s="14">
        <v>72.7</v>
      </c>
      <c r="M167" s="14">
        <v>11.4</v>
      </c>
      <c r="N167" s="21">
        <v>1720</v>
      </c>
      <c r="O167" s="14">
        <v>4.9000000000000004</v>
      </c>
      <c r="P167" s="10">
        <v>8.8699999999999992</v>
      </c>
      <c r="Q167" s="9" t="s">
        <v>245</v>
      </c>
      <c r="R167" s="12" t="s">
        <v>246</v>
      </c>
    </row>
    <row r="168" spans="1:18" x14ac:dyDescent="0.3">
      <c r="A168" s="5" t="s">
        <v>418</v>
      </c>
      <c r="B168" s="32">
        <v>45337.083333333343</v>
      </c>
      <c r="C168" s="5" t="s">
        <v>5</v>
      </c>
      <c r="D168" s="13">
        <v>252.2</v>
      </c>
      <c r="E168" s="13">
        <v>3082.5</v>
      </c>
      <c r="F168" s="13">
        <v>71.2</v>
      </c>
      <c r="G168" s="13">
        <v>44.5</v>
      </c>
      <c r="H168" s="13">
        <v>100</v>
      </c>
      <c r="I168" s="18">
        <v>6</v>
      </c>
      <c r="J168" s="5" t="s">
        <v>244</v>
      </c>
      <c r="K168" s="13">
        <v>145.19999999999999</v>
      </c>
      <c r="L168" s="13">
        <v>67.7</v>
      </c>
      <c r="M168" s="13">
        <v>11.3</v>
      </c>
      <c r="N168" s="19">
        <v>1763</v>
      </c>
      <c r="O168" s="13">
        <v>4.7</v>
      </c>
      <c r="P168" s="6">
        <v>8.35</v>
      </c>
      <c r="Q168" s="5" t="s">
        <v>245</v>
      </c>
      <c r="R168" s="8" t="s">
        <v>246</v>
      </c>
    </row>
    <row r="169" spans="1:18" x14ac:dyDescent="0.3">
      <c r="A169" s="9" t="s">
        <v>419</v>
      </c>
      <c r="B169" s="33">
        <v>45337.166666666657</v>
      </c>
      <c r="C169" s="9" t="s">
        <v>5</v>
      </c>
      <c r="D169" s="14">
        <v>249</v>
      </c>
      <c r="E169" s="14">
        <v>3102.4</v>
      </c>
      <c r="F169" s="14">
        <v>70.8</v>
      </c>
      <c r="G169" s="14">
        <v>45.1</v>
      </c>
      <c r="H169" s="14">
        <v>99.8</v>
      </c>
      <c r="I169" s="20">
        <v>6</v>
      </c>
      <c r="J169" s="9" t="s">
        <v>244</v>
      </c>
      <c r="K169" s="14">
        <v>151</v>
      </c>
      <c r="L169" s="14">
        <v>69.3</v>
      </c>
      <c r="M169" s="14">
        <v>12.2</v>
      </c>
      <c r="N169" s="21">
        <v>1693</v>
      </c>
      <c r="O169" s="14">
        <v>4.8</v>
      </c>
      <c r="P169" s="10">
        <v>8.7200000000000006</v>
      </c>
      <c r="Q169" s="9" t="s">
        <v>245</v>
      </c>
      <c r="R169" s="12" t="s">
        <v>246</v>
      </c>
    </row>
    <row r="170" spans="1:18" x14ac:dyDescent="0.3">
      <c r="A170" s="5" t="s">
        <v>420</v>
      </c>
      <c r="B170" s="32">
        <v>45337.25</v>
      </c>
      <c r="C170" s="5" t="s">
        <v>3</v>
      </c>
      <c r="D170" s="13">
        <v>249.8</v>
      </c>
      <c r="E170" s="13">
        <v>3092.4</v>
      </c>
      <c r="F170" s="13">
        <v>71.8</v>
      </c>
      <c r="G170" s="13">
        <v>44.3</v>
      </c>
      <c r="H170" s="13">
        <v>103.3</v>
      </c>
      <c r="I170" s="18">
        <v>6</v>
      </c>
      <c r="J170" s="5" t="s">
        <v>244</v>
      </c>
      <c r="K170" s="13">
        <v>137.69999999999999</v>
      </c>
      <c r="L170" s="13">
        <v>70</v>
      </c>
      <c r="M170" s="13">
        <v>12.7</v>
      </c>
      <c r="N170" s="19">
        <v>1692</v>
      </c>
      <c r="O170" s="13">
        <v>5.4</v>
      </c>
      <c r="P170" s="6">
        <v>8.6199999999999992</v>
      </c>
      <c r="Q170" s="5" t="s">
        <v>245</v>
      </c>
      <c r="R170" s="8" t="s">
        <v>246</v>
      </c>
    </row>
    <row r="171" spans="1:18" x14ac:dyDescent="0.3">
      <c r="A171" s="9" t="s">
        <v>421</v>
      </c>
      <c r="B171" s="33">
        <v>45337.333333333343</v>
      </c>
      <c r="C171" s="9" t="s">
        <v>3</v>
      </c>
      <c r="D171" s="14">
        <v>243.8</v>
      </c>
      <c r="E171" s="14">
        <v>3130</v>
      </c>
      <c r="F171" s="14">
        <v>72</v>
      </c>
      <c r="G171" s="14">
        <v>45.1</v>
      </c>
      <c r="H171" s="14">
        <v>102.9</v>
      </c>
      <c r="I171" s="20">
        <v>6</v>
      </c>
      <c r="J171" s="9" t="s">
        <v>244</v>
      </c>
      <c r="K171" s="14">
        <v>146.6</v>
      </c>
      <c r="L171" s="14">
        <v>68.099999999999994</v>
      </c>
      <c r="M171" s="14">
        <v>12.9</v>
      </c>
      <c r="N171" s="21">
        <v>1653</v>
      </c>
      <c r="O171" s="14">
        <v>4.7</v>
      </c>
      <c r="P171" s="10">
        <v>8.94</v>
      </c>
      <c r="Q171" s="9" t="s">
        <v>245</v>
      </c>
      <c r="R171" s="12" t="s">
        <v>246</v>
      </c>
    </row>
    <row r="172" spans="1:18" x14ac:dyDescent="0.3">
      <c r="A172" s="5" t="s">
        <v>422</v>
      </c>
      <c r="B172" s="32">
        <v>45337.416666666657</v>
      </c>
      <c r="C172" s="5" t="s">
        <v>3</v>
      </c>
      <c r="D172" s="13">
        <v>245.4</v>
      </c>
      <c r="E172" s="13">
        <v>3078.9</v>
      </c>
      <c r="F172" s="13">
        <v>71.5</v>
      </c>
      <c r="G172" s="13">
        <v>43.8</v>
      </c>
      <c r="H172" s="13">
        <v>94</v>
      </c>
      <c r="I172" s="18">
        <v>6</v>
      </c>
      <c r="J172" s="5" t="s">
        <v>244</v>
      </c>
      <c r="K172" s="13">
        <v>144.19999999999999</v>
      </c>
      <c r="L172" s="13">
        <v>68.7</v>
      </c>
      <c r="M172" s="13">
        <v>12.5</v>
      </c>
      <c r="N172" s="19">
        <v>1714</v>
      </c>
      <c r="O172" s="13">
        <v>4.8</v>
      </c>
      <c r="P172" s="6">
        <v>8.8000000000000007</v>
      </c>
      <c r="Q172" s="5" t="s">
        <v>245</v>
      </c>
      <c r="R172" s="8" t="s">
        <v>246</v>
      </c>
    </row>
    <row r="173" spans="1:18" x14ac:dyDescent="0.3">
      <c r="A173" s="9" t="s">
        <v>423</v>
      </c>
      <c r="B173" s="33">
        <v>45337.5</v>
      </c>
      <c r="C173" s="9" t="s">
        <v>3</v>
      </c>
      <c r="D173" s="14">
        <v>248.9</v>
      </c>
      <c r="E173" s="14">
        <v>3079.9</v>
      </c>
      <c r="F173" s="14">
        <v>71.599999999999994</v>
      </c>
      <c r="G173" s="14">
        <v>45.3</v>
      </c>
      <c r="H173" s="14">
        <v>112.1</v>
      </c>
      <c r="I173" s="20">
        <v>6</v>
      </c>
      <c r="J173" s="9" t="s">
        <v>244</v>
      </c>
      <c r="K173" s="14">
        <v>142.80000000000001</v>
      </c>
      <c r="L173" s="14">
        <v>68.599999999999994</v>
      </c>
      <c r="M173" s="14">
        <v>12.8</v>
      </c>
      <c r="N173" s="21">
        <v>1685</v>
      </c>
      <c r="O173" s="14">
        <v>4.8</v>
      </c>
      <c r="P173" s="10">
        <v>8.31</v>
      </c>
      <c r="Q173" s="9" t="s">
        <v>245</v>
      </c>
      <c r="R173" s="12" t="s">
        <v>246</v>
      </c>
    </row>
    <row r="174" spans="1:18" x14ac:dyDescent="0.3">
      <c r="A174" s="5" t="s">
        <v>424</v>
      </c>
      <c r="B174" s="32">
        <v>45337.583333333343</v>
      </c>
      <c r="C174" s="5" t="s">
        <v>4</v>
      </c>
      <c r="D174" s="13">
        <v>239.4</v>
      </c>
      <c r="E174" s="13">
        <v>3112.8</v>
      </c>
      <c r="F174" s="13">
        <v>71.599999999999994</v>
      </c>
      <c r="G174" s="13">
        <v>45</v>
      </c>
      <c r="H174" s="13">
        <v>104.9</v>
      </c>
      <c r="I174" s="18">
        <v>6</v>
      </c>
      <c r="J174" s="5" t="s">
        <v>244</v>
      </c>
      <c r="K174" s="13">
        <v>141.6</v>
      </c>
      <c r="L174" s="13">
        <v>68.400000000000006</v>
      </c>
      <c r="M174" s="13">
        <v>11.5</v>
      </c>
      <c r="N174" s="19">
        <v>1768</v>
      </c>
      <c r="O174" s="13">
        <v>4.4000000000000004</v>
      </c>
      <c r="P174" s="6">
        <v>8.56</v>
      </c>
      <c r="Q174" s="5" t="s">
        <v>245</v>
      </c>
      <c r="R174" s="8" t="s">
        <v>246</v>
      </c>
    </row>
    <row r="175" spans="1:18" x14ac:dyDescent="0.3">
      <c r="A175" s="9" t="s">
        <v>425</v>
      </c>
      <c r="B175" s="33">
        <v>45337.666666666657</v>
      </c>
      <c r="C175" s="9" t="s">
        <v>4</v>
      </c>
      <c r="D175" s="14">
        <v>243.7</v>
      </c>
      <c r="E175" s="14">
        <v>3120</v>
      </c>
      <c r="F175" s="14">
        <v>71.599999999999994</v>
      </c>
      <c r="G175" s="14">
        <v>44.4</v>
      </c>
      <c r="H175" s="14">
        <v>109.3</v>
      </c>
      <c r="I175" s="20">
        <v>6</v>
      </c>
      <c r="J175" s="9" t="s">
        <v>244</v>
      </c>
      <c r="K175" s="14">
        <v>145.1</v>
      </c>
      <c r="L175" s="14">
        <v>69.3</v>
      </c>
      <c r="M175" s="14">
        <v>11.7</v>
      </c>
      <c r="N175" s="21">
        <v>1670</v>
      </c>
      <c r="O175" s="14">
        <v>4.8</v>
      </c>
      <c r="P175" s="10">
        <v>8.5399999999999991</v>
      </c>
      <c r="Q175" s="9" t="s">
        <v>245</v>
      </c>
      <c r="R175" s="12" t="s">
        <v>246</v>
      </c>
    </row>
    <row r="176" spans="1:18" x14ac:dyDescent="0.3">
      <c r="A176" s="5" t="s">
        <v>426</v>
      </c>
      <c r="B176" s="32">
        <v>45337.75</v>
      </c>
      <c r="C176" s="5" t="s">
        <v>4</v>
      </c>
      <c r="D176" s="13">
        <v>253.8</v>
      </c>
      <c r="E176" s="13">
        <v>3097.2</v>
      </c>
      <c r="F176" s="13">
        <v>71.900000000000006</v>
      </c>
      <c r="G176" s="13">
        <v>43.5</v>
      </c>
      <c r="H176" s="13">
        <v>114.4</v>
      </c>
      <c r="I176" s="18">
        <v>6</v>
      </c>
      <c r="J176" s="5" t="s">
        <v>244</v>
      </c>
      <c r="K176" s="13">
        <v>144.4</v>
      </c>
      <c r="L176" s="13">
        <v>69.5</v>
      </c>
      <c r="M176" s="13">
        <v>11.8</v>
      </c>
      <c r="N176" s="19">
        <v>1730</v>
      </c>
      <c r="O176" s="13">
        <v>4.4000000000000004</v>
      </c>
      <c r="P176" s="6">
        <v>8.69</v>
      </c>
      <c r="Q176" s="5" t="s">
        <v>245</v>
      </c>
      <c r="R176" s="8" t="s">
        <v>246</v>
      </c>
    </row>
    <row r="177" spans="1:18" x14ac:dyDescent="0.3">
      <c r="A177" s="9" t="s">
        <v>427</v>
      </c>
      <c r="B177" s="33">
        <v>45337.833333333343</v>
      </c>
      <c r="C177" s="9" t="s">
        <v>4</v>
      </c>
      <c r="D177" s="14">
        <v>247.9</v>
      </c>
      <c r="E177" s="14">
        <v>3101</v>
      </c>
      <c r="F177" s="14">
        <v>72.2</v>
      </c>
      <c r="G177" s="14">
        <v>43.8</v>
      </c>
      <c r="H177" s="14">
        <v>101.6</v>
      </c>
      <c r="I177" s="20">
        <v>6</v>
      </c>
      <c r="J177" s="9" t="s">
        <v>244</v>
      </c>
      <c r="K177" s="14">
        <v>146.6</v>
      </c>
      <c r="L177" s="14">
        <v>71.599999999999994</v>
      </c>
      <c r="M177" s="14">
        <v>12.4</v>
      </c>
      <c r="N177" s="21">
        <v>1740</v>
      </c>
      <c r="O177" s="14">
        <v>4.8</v>
      </c>
      <c r="P177" s="10">
        <v>8.99</v>
      </c>
      <c r="Q177" s="9" t="s">
        <v>245</v>
      </c>
      <c r="R177" s="12" t="s">
        <v>246</v>
      </c>
    </row>
    <row r="178" spans="1:18" x14ac:dyDescent="0.3">
      <c r="A178" s="5" t="s">
        <v>428</v>
      </c>
      <c r="B178" s="32">
        <v>45337.916666666657</v>
      </c>
      <c r="C178" s="5" t="s">
        <v>5</v>
      </c>
      <c r="D178" s="13">
        <v>239.5</v>
      </c>
      <c r="E178" s="13">
        <v>3103.3</v>
      </c>
      <c r="F178" s="13">
        <v>70.8</v>
      </c>
      <c r="G178" s="13">
        <v>42.8</v>
      </c>
      <c r="H178" s="13">
        <v>106.5</v>
      </c>
      <c r="I178" s="18">
        <v>6</v>
      </c>
      <c r="J178" s="5" t="s">
        <v>244</v>
      </c>
      <c r="K178" s="13">
        <v>145.5</v>
      </c>
      <c r="L178" s="13">
        <v>68.099999999999994</v>
      </c>
      <c r="M178" s="13">
        <v>12.4</v>
      </c>
      <c r="N178" s="19">
        <v>1828</v>
      </c>
      <c r="O178" s="13">
        <v>4.7</v>
      </c>
      <c r="P178" s="6">
        <v>8.6999999999999993</v>
      </c>
      <c r="Q178" s="5" t="s">
        <v>245</v>
      </c>
      <c r="R178" s="8" t="s">
        <v>246</v>
      </c>
    </row>
    <row r="179" spans="1:18" x14ac:dyDescent="0.3">
      <c r="A179" s="9" t="s">
        <v>429</v>
      </c>
      <c r="B179" s="33">
        <v>45338</v>
      </c>
      <c r="C179" s="9" t="s">
        <v>5</v>
      </c>
      <c r="D179" s="14">
        <v>246.1</v>
      </c>
      <c r="E179" s="14">
        <v>3110.3</v>
      </c>
      <c r="F179" s="14">
        <v>71.7</v>
      </c>
      <c r="G179" s="14">
        <v>44.5</v>
      </c>
      <c r="H179" s="14">
        <v>114.1</v>
      </c>
      <c r="I179" s="20">
        <v>6</v>
      </c>
      <c r="J179" s="9" t="s">
        <v>244</v>
      </c>
      <c r="K179" s="14">
        <v>149.1</v>
      </c>
      <c r="L179" s="14">
        <v>68.7</v>
      </c>
      <c r="M179" s="14">
        <v>10.7</v>
      </c>
      <c r="N179" s="21">
        <v>1707</v>
      </c>
      <c r="O179" s="14">
        <v>5.6</v>
      </c>
      <c r="P179" s="10">
        <v>8.5500000000000007</v>
      </c>
      <c r="Q179" s="9" t="s">
        <v>245</v>
      </c>
      <c r="R179" s="12" t="s">
        <v>246</v>
      </c>
    </row>
    <row r="180" spans="1:18" x14ac:dyDescent="0.3">
      <c r="A180" s="5" t="s">
        <v>430</v>
      </c>
      <c r="B180" s="32">
        <v>45338.083333333343</v>
      </c>
      <c r="C180" s="5" t="s">
        <v>5</v>
      </c>
      <c r="D180" s="13">
        <v>256.60000000000002</v>
      </c>
      <c r="E180" s="13">
        <v>3150.5</v>
      </c>
      <c r="F180" s="13">
        <v>71.900000000000006</v>
      </c>
      <c r="G180" s="13">
        <v>44.1</v>
      </c>
      <c r="H180" s="13">
        <v>92.8</v>
      </c>
      <c r="I180" s="18">
        <v>6</v>
      </c>
      <c r="J180" s="5" t="s">
        <v>244</v>
      </c>
      <c r="K180" s="13">
        <v>147.4</v>
      </c>
      <c r="L180" s="13">
        <v>67.3</v>
      </c>
      <c r="M180" s="13">
        <v>12.6</v>
      </c>
      <c r="N180" s="19">
        <v>1676</v>
      </c>
      <c r="O180" s="13">
        <v>4.7</v>
      </c>
      <c r="P180" s="6">
        <v>8.61</v>
      </c>
      <c r="Q180" s="5" t="s">
        <v>245</v>
      </c>
      <c r="R180" s="8" t="s">
        <v>246</v>
      </c>
    </row>
    <row r="181" spans="1:18" x14ac:dyDescent="0.3">
      <c r="A181" s="9" t="s">
        <v>431</v>
      </c>
      <c r="B181" s="33">
        <v>45338.166666666657</v>
      </c>
      <c r="C181" s="9" t="s">
        <v>5</v>
      </c>
      <c r="D181" s="14">
        <v>251.6</v>
      </c>
      <c r="E181" s="14">
        <v>3061</v>
      </c>
      <c r="F181" s="14">
        <v>72.5</v>
      </c>
      <c r="G181" s="14">
        <v>44.3</v>
      </c>
      <c r="H181" s="14">
        <v>96.6</v>
      </c>
      <c r="I181" s="20">
        <v>6</v>
      </c>
      <c r="J181" s="9" t="s">
        <v>244</v>
      </c>
      <c r="K181" s="14">
        <v>144.6</v>
      </c>
      <c r="L181" s="14">
        <v>68.599999999999994</v>
      </c>
      <c r="M181" s="14">
        <v>12.6</v>
      </c>
      <c r="N181" s="21">
        <v>1767</v>
      </c>
      <c r="O181" s="14">
        <v>4.7</v>
      </c>
      <c r="P181" s="10">
        <v>8.58</v>
      </c>
      <c r="Q181" s="9" t="s">
        <v>245</v>
      </c>
      <c r="R181" s="12" t="s">
        <v>246</v>
      </c>
    </row>
    <row r="182" spans="1:18" x14ac:dyDescent="0.3">
      <c r="A182" s="5" t="s">
        <v>432</v>
      </c>
      <c r="B182" s="32">
        <v>45338.25</v>
      </c>
      <c r="C182" s="5" t="s">
        <v>3</v>
      </c>
      <c r="D182" s="13">
        <v>243.4</v>
      </c>
      <c r="E182" s="13">
        <v>3128.7</v>
      </c>
      <c r="F182" s="13">
        <v>71.900000000000006</v>
      </c>
      <c r="G182" s="13">
        <v>44.5</v>
      </c>
      <c r="H182" s="13">
        <v>95.5</v>
      </c>
      <c r="I182" s="18">
        <v>6</v>
      </c>
      <c r="J182" s="5" t="s">
        <v>244</v>
      </c>
      <c r="K182" s="13">
        <v>150.1</v>
      </c>
      <c r="L182" s="13">
        <v>66.7</v>
      </c>
      <c r="M182" s="13">
        <v>12</v>
      </c>
      <c r="N182" s="19">
        <v>1732</v>
      </c>
      <c r="O182" s="13">
        <v>4.4000000000000004</v>
      </c>
      <c r="P182" s="6">
        <v>8.3000000000000007</v>
      </c>
      <c r="Q182" s="5" t="s">
        <v>245</v>
      </c>
      <c r="R182" s="8" t="s">
        <v>246</v>
      </c>
    </row>
    <row r="183" spans="1:18" x14ac:dyDescent="0.3">
      <c r="A183" s="9" t="s">
        <v>433</v>
      </c>
      <c r="B183" s="33">
        <v>45338.333333333343</v>
      </c>
      <c r="C183" s="9" t="s">
        <v>3</v>
      </c>
      <c r="D183" s="14">
        <v>237.3</v>
      </c>
      <c r="E183" s="14">
        <v>3125.2</v>
      </c>
      <c r="F183" s="14">
        <v>71.5</v>
      </c>
      <c r="G183" s="14">
        <v>47.1</v>
      </c>
      <c r="H183" s="14">
        <v>100</v>
      </c>
      <c r="I183" s="20">
        <v>6</v>
      </c>
      <c r="J183" s="9" t="s">
        <v>244</v>
      </c>
      <c r="K183" s="14">
        <v>141.80000000000001</v>
      </c>
      <c r="L183" s="14">
        <v>67.7</v>
      </c>
      <c r="M183" s="14">
        <v>12.7</v>
      </c>
      <c r="N183" s="21">
        <v>1703</v>
      </c>
      <c r="O183" s="14">
        <v>5</v>
      </c>
      <c r="P183" s="10">
        <v>8.4</v>
      </c>
      <c r="Q183" s="9" t="s">
        <v>245</v>
      </c>
      <c r="R183" s="12" t="s">
        <v>246</v>
      </c>
    </row>
    <row r="184" spans="1:18" x14ac:dyDescent="0.3">
      <c r="A184" s="5" t="s">
        <v>434</v>
      </c>
      <c r="B184" s="32">
        <v>45338.416666666657</v>
      </c>
      <c r="C184" s="5" t="s">
        <v>3</v>
      </c>
      <c r="D184" s="13">
        <v>241.7</v>
      </c>
      <c r="E184" s="13">
        <v>3037.1</v>
      </c>
      <c r="F184" s="13">
        <v>70.5</v>
      </c>
      <c r="G184" s="13">
        <v>44.4</v>
      </c>
      <c r="H184" s="13">
        <v>103.5</v>
      </c>
      <c r="I184" s="18">
        <v>6</v>
      </c>
      <c r="J184" s="5" t="s">
        <v>244</v>
      </c>
      <c r="K184" s="13">
        <v>142.80000000000001</v>
      </c>
      <c r="L184" s="13">
        <v>70.400000000000006</v>
      </c>
      <c r="M184" s="13">
        <v>13.5</v>
      </c>
      <c r="N184" s="19">
        <v>1708</v>
      </c>
      <c r="O184" s="13">
        <v>4.3</v>
      </c>
      <c r="P184" s="6">
        <v>8.49</v>
      </c>
      <c r="Q184" s="5" t="s">
        <v>245</v>
      </c>
      <c r="R184" s="8" t="s">
        <v>246</v>
      </c>
    </row>
    <row r="185" spans="1:18" x14ac:dyDescent="0.3">
      <c r="A185" s="9" t="s">
        <v>435</v>
      </c>
      <c r="B185" s="33">
        <v>45338.5</v>
      </c>
      <c r="C185" s="9" t="s">
        <v>3</v>
      </c>
      <c r="D185" s="14">
        <v>246.4</v>
      </c>
      <c r="E185" s="14">
        <v>3077</v>
      </c>
      <c r="F185" s="14">
        <v>71.400000000000006</v>
      </c>
      <c r="G185" s="14">
        <v>44.3</v>
      </c>
      <c r="H185" s="14">
        <v>103.1</v>
      </c>
      <c r="I185" s="20">
        <v>6</v>
      </c>
      <c r="J185" s="9" t="s">
        <v>244</v>
      </c>
      <c r="K185" s="14">
        <v>142.80000000000001</v>
      </c>
      <c r="L185" s="14">
        <v>68.8</v>
      </c>
      <c r="M185" s="14">
        <v>12.8</v>
      </c>
      <c r="N185" s="21">
        <v>1688</v>
      </c>
      <c r="O185" s="14">
        <v>5.2</v>
      </c>
      <c r="P185" s="10">
        <v>8.4</v>
      </c>
      <c r="Q185" s="9" t="s">
        <v>245</v>
      </c>
      <c r="R185" s="12" t="s">
        <v>246</v>
      </c>
    </row>
    <row r="186" spans="1:18" x14ac:dyDescent="0.3">
      <c r="A186" s="5" t="s">
        <v>436</v>
      </c>
      <c r="B186" s="32">
        <v>45338.583333333343</v>
      </c>
      <c r="C186" s="5" t="s">
        <v>4</v>
      </c>
      <c r="D186" s="13">
        <v>240.3</v>
      </c>
      <c r="E186" s="13">
        <v>3113.3</v>
      </c>
      <c r="F186" s="13">
        <v>71.3</v>
      </c>
      <c r="G186" s="13">
        <v>45.1</v>
      </c>
      <c r="H186" s="13">
        <v>93</v>
      </c>
      <c r="I186" s="18">
        <v>6</v>
      </c>
      <c r="J186" s="5" t="s">
        <v>244</v>
      </c>
      <c r="K186" s="13">
        <v>149.9</v>
      </c>
      <c r="L186" s="13">
        <v>69.5</v>
      </c>
      <c r="M186" s="13">
        <v>11.3</v>
      </c>
      <c r="N186" s="19">
        <v>1668</v>
      </c>
      <c r="O186" s="13">
        <v>5.3</v>
      </c>
      <c r="P186" s="6">
        <v>8.4499999999999993</v>
      </c>
      <c r="Q186" s="5" t="s">
        <v>245</v>
      </c>
      <c r="R186" s="8" t="s">
        <v>246</v>
      </c>
    </row>
    <row r="187" spans="1:18" x14ac:dyDescent="0.3">
      <c r="A187" s="9" t="s">
        <v>437</v>
      </c>
      <c r="B187" s="33">
        <v>45338.666666666657</v>
      </c>
      <c r="C187" s="9" t="s">
        <v>4</v>
      </c>
      <c r="D187" s="14">
        <v>245</v>
      </c>
      <c r="E187" s="14">
        <v>3020.7</v>
      </c>
      <c r="F187" s="14">
        <v>71.599999999999994</v>
      </c>
      <c r="G187" s="14">
        <v>44.6</v>
      </c>
      <c r="H187" s="14">
        <v>148</v>
      </c>
      <c r="I187" s="20">
        <v>5</v>
      </c>
      <c r="J187" s="25" t="s">
        <v>438</v>
      </c>
      <c r="K187" s="26">
        <v>168</v>
      </c>
      <c r="L187" s="14">
        <v>66.2</v>
      </c>
      <c r="M187" s="14">
        <v>12.9</v>
      </c>
      <c r="N187" s="27">
        <v>1755</v>
      </c>
      <c r="O187" s="14">
        <v>4.3</v>
      </c>
      <c r="P187" s="10">
        <v>8.82</v>
      </c>
      <c r="Q187" s="25" t="s">
        <v>439</v>
      </c>
      <c r="R187" s="12" t="s">
        <v>440</v>
      </c>
    </row>
    <row r="188" spans="1:18" x14ac:dyDescent="0.3">
      <c r="A188" s="5" t="s">
        <v>441</v>
      </c>
      <c r="B188" s="32">
        <v>45338.75</v>
      </c>
      <c r="C188" s="5" t="s">
        <v>4</v>
      </c>
      <c r="D188" s="13">
        <v>250.2</v>
      </c>
      <c r="E188" s="13">
        <v>3138.2</v>
      </c>
      <c r="F188" s="13">
        <v>71.8</v>
      </c>
      <c r="G188" s="13">
        <v>42.8</v>
      </c>
      <c r="H188" s="13">
        <v>104.2</v>
      </c>
      <c r="I188" s="18">
        <v>6</v>
      </c>
      <c r="J188" s="5" t="s">
        <v>244</v>
      </c>
      <c r="K188" s="13">
        <v>148.69999999999999</v>
      </c>
      <c r="L188" s="13">
        <v>67.2</v>
      </c>
      <c r="M188" s="13">
        <v>12.2</v>
      </c>
      <c r="N188" s="19">
        <v>1713</v>
      </c>
      <c r="O188" s="13">
        <v>3.9</v>
      </c>
      <c r="P188" s="6">
        <v>8.93</v>
      </c>
      <c r="Q188" s="5" t="s">
        <v>245</v>
      </c>
      <c r="R188" s="8" t="s">
        <v>246</v>
      </c>
    </row>
    <row r="189" spans="1:18" x14ac:dyDescent="0.3">
      <c r="A189" s="9" t="s">
        <v>442</v>
      </c>
      <c r="B189" s="33">
        <v>45338.833333333343</v>
      </c>
      <c r="C189" s="9" t="s">
        <v>4</v>
      </c>
      <c r="D189" s="14">
        <v>244.6</v>
      </c>
      <c r="E189" s="14">
        <v>3117.7</v>
      </c>
      <c r="F189" s="14">
        <v>71.7</v>
      </c>
      <c r="G189" s="14">
        <v>45.8</v>
      </c>
      <c r="H189" s="14">
        <v>107</v>
      </c>
      <c r="I189" s="20">
        <v>6</v>
      </c>
      <c r="J189" s="9" t="s">
        <v>244</v>
      </c>
      <c r="K189" s="14">
        <v>144.19999999999999</v>
      </c>
      <c r="L189" s="14">
        <v>67.2</v>
      </c>
      <c r="M189" s="14">
        <v>13.1</v>
      </c>
      <c r="N189" s="21">
        <v>1654</v>
      </c>
      <c r="O189" s="14">
        <v>5</v>
      </c>
      <c r="P189" s="10">
        <v>8.3800000000000008</v>
      </c>
      <c r="Q189" s="9" t="s">
        <v>245</v>
      </c>
      <c r="R189" s="12" t="s">
        <v>246</v>
      </c>
    </row>
    <row r="190" spans="1:18" x14ac:dyDescent="0.3">
      <c r="A190" s="5" t="s">
        <v>443</v>
      </c>
      <c r="B190" s="32">
        <v>45338.916666666657</v>
      </c>
      <c r="C190" s="5" t="s">
        <v>5</v>
      </c>
      <c r="D190" s="13">
        <v>257.5</v>
      </c>
      <c r="E190" s="13">
        <v>3105.6</v>
      </c>
      <c r="F190" s="13">
        <v>72.2</v>
      </c>
      <c r="G190" s="13">
        <v>44.9</v>
      </c>
      <c r="H190" s="13">
        <v>96.2</v>
      </c>
      <c r="I190" s="18">
        <v>6</v>
      </c>
      <c r="J190" s="5" t="s">
        <v>244</v>
      </c>
      <c r="K190" s="13">
        <v>142</v>
      </c>
      <c r="L190" s="13">
        <v>69.5</v>
      </c>
      <c r="M190" s="13">
        <v>12.6</v>
      </c>
      <c r="N190" s="19">
        <v>1761</v>
      </c>
      <c r="O190" s="13">
        <v>4.9000000000000004</v>
      </c>
      <c r="P190" s="6">
        <v>8.41</v>
      </c>
      <c r="Q190" s="5" t="s">
        <v>245</v>
      </c>
      <c r="R190" s="8" t="s">
        <v>246</v>
      </c>
    </row>
    <row r="191" spans="1:18" x14ac:dyDescent="0.3">
      <c r="A191" s="9" t="s">
        <v>444</v>
      </c>
      <c r="B191" s="33">
        <v>45339</v>
      </c>
      <c r="C191" s="9" t="s">
        <v>5</v>
      </c>
      <c r="D191" s="14">
        <v>245.2</v>
      </c>
      <c r="E191" s="14">
        <v>3103.6</v>
      </c>
      <c r="F191" s="14">
        <v>70.400000000000006</v>
      </c>
      <c r="G191" s="14">
        <v>46.1</v>
      </c>
      <c r="H191" s="14">
        <v>107.2</v>
      </c>
      <c r="I191" s="20">
        <v>6</v>
      </c>
      <c r="J191" s="9" t="s">
        <v>244</v>
      </c>
      <c r="K191" s="14">
        <v>149.30000000000001</v>
      </c>
      <c r="L191" s="14">
        <v>66.099999999999994</v>
      </c>
      <c r="M191" s="14">
        <v>13.5</v>
      </c>
      <c r="N191" s="21">
        <v>1798</v>
      </c>
      <c r="O191" s="14">
        <v>4.4000000000000004</v>
      </c>
      <c r="P191" s="10">
        <v>8.75</v>
      </c>
      <c r="Q191" s="9" t="s">
        <v>245</v>
      </c>
      <c r="R191" s="12" t="s">
        <v>246</v>
      </c>
    </row>
    <row r="192" spans="1:18" x14ac:dyDescent="0.3">
      <c r="A192" s="5" t="s">
        <v>445</v>
      </c>
      <c r="B192" s="32">
        <v>45339.083333333343</v>
      </c>
      <c r="C192" s="5" t="s">
        <v>5</v>
      </c>
      <c r="D192" s="13">
        <v>250</v>
      </c>
      <c r="E192" s="13">
        <v>3045.9</v>
      </c>
      <c r="F192" s="13">
        <v>72.099999999999994</v>
      </c>
      <c r="G192" s="13">
        <v>45.5</v>
      </c>
      <c r="H192" s="13">
        <v>102</v>
      </c>
      <c r="I192" s="18">
        <v>6</v>
      </c>
      <c r="J192" s="5" t="s">
        <v>244</v>
      </c>
      <c r="K192" s="13">
        <v>149.1</v>
      </c>
      <c r="L192" s="13">
        <v>66</v>
      </c>
      <c r="M192" s="13">
        <v>11.3</v>
      </c>
      <c r="N192" s="19">
        <v>1724</v>
      </c>
      <c r="O192" s="13">
        <v>4.8</v>
      </c>
      <c r="P192" s="6">
        <v>8.4600000000000009</v>
      </c>
      <c r="Q192" s="5" t="s">
        <v>245</v>
      </c>
      <c r="R192" s="8" t="s">
        <v>246</v>
      </c>
    </row>
    <row r="193" spans="1:18" x14ac:dyDescent="0.3">
      <c r="A193" s="9" t="s">
        <v>446</v>
      </c>
      <c r="B193" s="33">
        <v>45339.166666666657</v>
      </c>
      <c r="C193" s="9" t="s">
        <v>5</v>
      </c>
      <c r="D193" s="14">
        <v>254.9</v>
      </c>
      <c r="E193" s="14">
        <v>3118.6</v>
      </c>
      <c r="F193" s="14">
        <v>72.3</v>
      </c>
      <c r="G193" s="14">
        <v>44.7</v>
      </c>
      <c r="H193" s="14">
        <v>108</v>
      </c>
      <c r="I193" s="20">
        <v>6</v>
      </c>
      <c r="J193" s="9" t="s">
        <v>244</v>
      </c>
      <c r="K193" s="14">
        <v>143.4</v>
      </c>
      <c r="L193" s="14">
        <v>71.599999999999994</v>
      </c>
      <c r="M193" s="14">
        <v>11.8</v>
      </c>
      <c r="N193" s="21">
        <v>1793</v>
      </c>
      <c r="O193" s="14">
        <v>4.8</v>
      </c>
      <c r="P193" s="10">
        <v>8.32</v>
      </c>
      <c r="Q193" s="9" t="s">
        <v>245</v>
      </c>
      <c r="R193" s="12" t="s">
        <v>246</v>
      </c>
    </row>
    <row r="194" spans="1:18" x14ac:dyDescent="0.3">
      <c r="A194" s="5" t="s">
        <v>447</v>
      </c>
      <c r="B194" s="32">
        <v>45339.25</v>
      </c>
      <c r="C194" s="5" t="s">
        <v>3</v>
      </c>
      <c r="D194" s="13">
        <v>258.2</v>
      </c>
      <c r="E194" s="13">
        <v>3104.4</v>
      </c>
      <c r="F194" s="13">
        <v>72.3</v>
      </c>
      <c r="G194" s="13">
        <v>45.8</v>
      </c>
      <c r="H194" s="13">
        <v>106.7</v>
      </c>
      <c r="I194" s="18">
        <v>6</v>
      </c>
      <c r="J194" s="5" t="s">
        <v>244</v>
      </c>
      <c r="K194" s="13">
        <v>142.9</v>
      </c>
      <c r="L194" s="13">
        <v>70</v>
      </c>
      <c r="M194" s="13">
        <v>12.5</v>
      </c>
      <c r="N194" s="19">
        <v>1744</v>
      </c>
      <c r="O194" s="13">
        <v>4.2</v>
      </c>
      <c r="P194" s="6">
        <v>8.69</v>
      </c>
      <c r="Q194" s="5" t="s">
        <v>245</v>
      </c>
      <c r="R194" s="8" t="s">
        <v>246</v>
      </c>
    </row>
    <row r="195" spans="1:18" x14ac:dyDescent="0.3">
      <c r="A195" s="9" t="s">
        <v>448</v>
      </c>
      <c r="B195" s="33">
        <v>45339.333333333343</v>
      </c>
      <c r="C195" s="9" t="s">
        <v>3</v>
      </c>
      <c r="D195" s="14">
        <v>246.2</v>
      </c>
      <c r="E195" s="14">
        <v>3157.9</v>
      </c>
      <c r="F195" s="14">
        <v>72.2</v>
      </c>
      <c r="G195" s="14">
        <v>45</v>
      </c>
      <c r="H195" s="14">
        <v>107.4</v>
      </c>
      <c r="I195" s="20">
        <v>6</v>
      </c>
      <c r="J195" s="9" t="s">
        <v>244</v>
      </c>
      <c r="K195" s="14">
        <v>141.5</v>
      </c>
      <c r="L195" s="14">
        <v>70.900000000000006</v>
      </c>
      <c r="M195" s="14">
        <v>14.1</v>
      </c>
      <c r="N195" s="21">
        <v>1733</v>
      </c>
      <c r="O195" s="14">
        <v>5.3</v>
      </c>
      <c r="P195" s="10">
        <v>8.49</v>
      </c>
      <c r="Q195" s="9" t="s">
        <v>245</v>
      </c>
      <c r="R195" s="12" t="s">
        <v>246</v>
      </c>
    </row>
    <row r="196" spans="1:18" x14ac:dyDescent="0.3">
      <c r="A196" s="5" t="s">
        <v>449</v>
      </c>
      <c r="B196" s="32">
        <v>45339.416666666657</v>
      </c>
      <c r="C196" s="5" t="s">
        <v>3</v>
      </c>
      <c r="D196" s="13">
        <v>245.2</v>
      </c>
      <c r="E196" s="13">
        <v>3101.4</v>
      </c>
      <c r="F196" s="13">
        <v>72.099999999999994</v>
      </c>
      <c r="G196" s="13">
        <v>44.5</v>
      </c>
      <c r="H196" s="13">
        <v>107.7</v>
      </c>
      <c r="I196" s="18">
        <v>6</v>
      </c>
      <c r="J196" s="5" t="s">
        <v>244</v>
      </c>
      <c r="K196" s="13">
        <v>146.1</v>
      </c>
      <c r="L196" s="13">
        <v>67</v>
      </c>
      <c r="M196" s="13">
        <v>12.9</v>
      </c>
      <c r="N196" s="19">
        <v>1750</v>
      </c>
      <c r="O196" s="13">
        <v>4.9000000000000004</v>
      </c>
      <c r="P196" s="6">
        <v>8.83</v>
      </c>
      <c r="Q196" s="5" t="s">
        <v>245</v>
      </c>
      <c r="R196" s="8" t="s">
        <v>246</v>
      </c>
    </row>
    <row r="197" spans="1:18" x14ac:dyDescent="0.3">
      <c r="A197" s="9" t="s">
        <v>450</v>
      </c>
      <c r="B197" s="33">
        <v>45339.5</v>
      </c>
      <c r="C197" s="9" t="s">
        <v>3</v>
      </c>
      <c r="D197" s="14">
        <v>242.7</v>
      </c>
      <c r="E197" s="14">
        <v>3116.4</v>
      </c>
      <c r="F197" s="14">
        <v>71.099999999999994</v>
      </c>
      <c r="G197" s="14">
        <v>43.9</v>
      </c>
      <c r="H197" s="14">
        <v>101.8</v>
      </c>
      <c r="I197" s="20">
        <v>6</v>
      </c>
      <c r="J197" s="9" t="s">
        <v>244</v>
      </c>
      <c r="K197" s="14">
        <v>141.69999999999999</v>
      </c>
      <c r="L197" s="14">
        <v>67.7</v>
      </c>
      <c r="M197" s="14">
        <v>12.3</v>
      </c>
      <c r="N197" s="21">
        <v>1749</v>
      </c>
      <c r="O197" s="14">
        <v>4.7</v>
      </c>
      <c r="P197" s="10">
        <v>8.2799999999999994</v>
      </c>
      <c r="Q197" s="9" t="s">
        <v>245</v>
      </c>
      <c r="R197" s="12" t="s">
        <v>246</v>
      </c>
    </row>
    <row r="198" spans="1:18" x14ac:dyDescent="0.3">
      <c r="A198" s="5" t="s">
        <v>451</v>
      </c>
      <c r="B198" s="32">
        <v>45339.583333333343</v>
      </c>
      <c r="C198" s="5" t="s">
        <v>4</v>
      </c>
      <c r="D198" s="13">
        <v>256.8</v>
      </c>
      <c r="E198" s="13">
        <v>3070.7</v>
      </c>
      <c r="F198" s="13">
        <v>71.8</v>
      </c>
      <c r="G198" s="13">
        <v>45.2</v>
      </c>
      <c r="H198" s="13">
        <v>106</v>
      </c>
      <c r="I198" s="18">
        <v>6</v>
      </c>
      <c r="J198" s="5" t="s">
        <v>244</v>
      </c>
      <c r="K198" s="13">
        <v>148.80000000000001</v>
      </c>
      <c r="L198" s="13">
        <v>69.2</v>
      </c>
      <c r="M198" s="13">
        <v>11.8</v>
      </c>
      <c r="N198" s="19">
        <v>1796</v>
      </c>
      <c r="O198" s="13">
        <v>4.9000000000000004</v>
      </c>
      <c r="P198" s="6">
        <v>8.57</v>
      </c>
      <c r="Q198" s="5" t="s">
        <v>245</v>
      </c>
      <c r="R198" s="8" t="s">
        <v>246</v>
      </c>
    </row>
    <row r="199" spans="1:18" x14ac:dyDescent="0.3">
      <c r="A199" s="9" t="s">
        <v>452</v>
      </c>
      <c r="B199" s="33">
        <v>45339.666666666657</v>
      </c>
      <c r="C199" s="9" t="s">
        <v>4</v>
      </c>
      <c r="D199" s="14">
        <v>255.8</v>
      </c>
      <c r="E199" s="14">
        <v>3108.7</v>
      </c>
      <c r="F199" s="14">
        <v>72</v>
      </c>
      <c r="G199" s="14">
        <v>46.8</v>
      </c>
      <c r="H199" s="14">
        <v>103.6</v>
      </c>
      <c r="I199" s="20">
        <v>6</v>
      </c>
      <c r="J199" s="9" t="s">
        <v>244</v>
      </c>
      <c r="K199" s="14">
        <v>143.9</v>
      </c>
      <c r="L199" s="14">
        <v>68.7</v>
      </c>
      <c r="M199" s="14">
        <v>13.4</v>
      </c>
      <c r="N199" s="21">
        <v>1667</v>
      </c>
      <c r="O199" s="14">
        <v>4.2</v>
      </c>
      <c r="P199" s="10">
        <v>8.48</v>
      </c>
      <c r="Q199" s="9" t="s">
        <v>245</v>
      </c>
      <c r="R199" s="12" t="s">
        <v>246</v>
      </c>
    </row>
    <row r="200" spans="1:18" x14ac:dyDescent="0.3">
      <c r="A200" s="5" t="s">
        <v>453</v>
      </c>
      <c r="B200" s="32">
        <v>45339.75</v>
      </c>
      <c r="C200" s="5" t="s">
        <v>4</v>
      </c>
      <c r="D200" s="13">
        <v>240.2</v>
      </c>
      <c r="E200" s="13">
        <v>3085.1</v>
      </c>
      <c r="F200" s="13">
        <v>72.099999999999994</v>
      </c>
      <c r="G200" s="13">
        <v>44.1</v>
      </c>
      <c r="H200" s="13">
        <v>97.9</v>
      </c>
      <c r="I200" s="18">
        <v>6</v>
      </c>
      <c r="J200" s="5" t="s">
        <v>244</v>
      </c>
      <c r="K200" s="13">
        <v>145.19999999999999</v>
      </c>
      <c r="L200" s="13">
        <v>69.8</v>
      </c>
      <c r="M200" s="13">
        <v>11.1</v>
      </c>
      <c r="N200" s="19">
        <v>1748</v>
      </c>
      <c r="O200" s="13">
        <v>5</v>
      </c>
      <c r="P200" s="6">
        <v>8.7899999999999991</v>
      </c>
      <c r="Q200" s="5" t="s">
        <v>245</v>
      </c>
      <c r="R200" s="8" t="s">
        <v>246</v>
      </c>
    </row>
    <row r="201" spans="1:18" x14ac:dyDescent="0.3">
      <c r="A201" s="9" t="s">
        <v>454</v>
      </c>
      <c r="B201" s="33">
        <v>45339.833333333343</v>
      </c>
      <c r="C201" s="9" t="s">
        <v>4</v>
      </c>
      <c r="D201" s="14">
        <v>257.3</v>
      </c>
      <c r="E201" s="14">
        <v>3177.1</v>
      </c>
      <c r="F201" s="14">
        <v>71.599999999999994</v>
      </c>
      <c r="G201" s="14">
        <v>44.9</v>
      </c>
      <c r="H201" s="14">
        <v>102.9</v>
      </c>
      <c r="I201" s="20">
        <v>6</v>
      </c>
      <c r="J201" s="9" t="s">
        <v>244</v>
      </c>
      <c r="K201" s="14">
        <v>145</v>
      </c>
      <c r="L201" s="14">
        <v>70.8</v>
      </c>
      <c r="M201" s="14">
        <v>11.4</v>
      </c>
      <c r="N201" s="21">
        <v>1689</v>
      </c>
      <c r="O201" s="14">
        <v>5.2</v>
      </c>
      <c r="P201" s="10">
        <v>8.8000000000000007</v>
      </c>
      <c r="Q201" s="9" t="s">
        <v>245</v>
      </c>
      <c r="R201" s="12" t="s">
        <v>246</v>
      </c>
    </row>
    <row r="202" spans="1:18" x14ac:dyDescent="0.3">
      <c r="A202" s="5" t="s">
        <v>455</v>
      </c>
      <c r="B202" s="32">
        <v>45339.916666666657</v>
      </c>
      <c r="C202" s="5" t="s">
        <v>5</v>
      </c>
      <c r="D202" s="13">
        <v>247.8</v>
      </c>
      <c r="E202" s="13">
        <v>3129.9</v>
      </c>
      <c r="F202" s="13">
        <v>72</v>
      </c>
      <c r="G202" s="13">
        <v>46</v>
      </c>
      <c r="H202" s="13">
        <v>105.4</v>
      </c>
      <c r="I202" s="18">
        <v>6</v>
      </c>
      <c r="J202" s="5" t="s">
        <v>244</v>
      </c>
      <c r="K202" s="13">
        <v>148.6</v>
      </c>
      <c r="L202" s="13">
        <v>72.5</v>
      </c>
      <c r="M202" s="13">
        <v>13</v>
      </c>
      <c r="N202" s="19">
        <v>1721</v>
      </c>
      <c r="O202" s="13">
        <v>5</v>
      </c>
      <c r="P202" s="6">
        <v>8.5299999999999994</v>
      </c>
      <c r="Q202" s="5" t="s">
        <v>245</v>
      </c>
      <c r="R202" s="8" t="s">
        <v>246</v>
      </c>
    </row>
    <row r="203" spans="1:18" x14ac:dyDescent="0.3">
      <c r="A203" s="9" t="s">
        <v>456</v>
      </c>
      <c r="B203" s="33">
        <v>45340</v>
      </c>
      <c r="C203" s="9" t="s">
        <v>5</v>
      </c>
      <c r="D203" s="14">
        <v>264.3</v>
      </c>
      <c r="E203" s="14">
        <v>3106.3</v>
      </c>
      <c r="F203" s="14">
        <v>71.599999999999994</v>
      </c>
      <c r="G203" s="14">
        <v>44.1</v>
      </c>
      <c r="H203" s="14">
        <v>110.5</v>
      </c>
      <c r="I203" s="20">
        <v>6</v>
      </c>
      <c r="J203" s="9" t="s">
        <v>244</v>
      </c>
      <c r="K203" s="14">
        <v>148</v>
      </c>
      <c r="L203" s="14">
        <v>67.8</v>
      </c>
      <c r="M203" s="14">
        <v>13</v>
      </c>
      <c r="N203" s="21">
        <v>1667</v>
      </c>
      <c r="O203" s="14">
        <v>4.9000000000000004</v>
      </c>
      <c r="P203" s="10">
        <v>8.69</v>
      </c>
      <c r="Q203" s="9" t="s">
        <v>245</v>
      </c>
      <c r="R203" s="12" t="s">
        <v>246</v>
      </c>
    </row>
    <row r="204" spans="1:18" x14ac:dyDescent="0.3">
      <c r="A204" s="5" t="s">
        <v>457</v>
      </c>
      <c r="B204" s="32">
        <v>45340.083333333343</v>
      </c>
      <c r="C204" s="5" t="s">
        <v>5</v>
      </c>
      <c r="D204" s="13">
        <v>260.2</v>
      </c>
      <c r="E204" s="13">
        <v>3073</v>
      </c>
      <c r="F204" s="13">
        <v>71</v>
      </c>
      <c r="G204" s="13">
        <v>44.1</v>
      </c>
      <c r="H204" s="13">
        <v>98.3</v>
      </c>
      <c r="I204" s="18">
        <v>6</v>
      </c>
      <c r="J204" s="5" t="s">
        <v>244</v>
      </c>
      <c r="K204" s="13">
        <v>149.69999999999999</v>
      </c>
      <c r="L204" s="13">
        <v>70.8</v>
      </c>
      <c r="M204" s="13">
        <v>12.8</v>
      </c>
      <c r="N204" s="19">
        <v>1762</v>
      </c>
      <c r="O204" s="13">
        <v>4.8</v>
      </c>
      <c r="P204" s="6">
        <v>8.58</v>
      </c>
      <c r="Q204" s="5" t="s">
        <v>245</v>
      </c>
      <c r="R204" s="8" t="s">
        <v>246</v>
      </c>
    </row>
    <row r="205" spans="1:18" x14ac:dyDescent="0.3">
      <c r="A205" s="9" t="s">
        <v>458</v>
      </c>
      <c r="B205" s="33">
        <v>45340.166666666657</v>
      </c>
      <c r="C205" s="9" t="s">
        <v>5</v>
      </c>
      <c r="D205" s="14">
        <v>248</v>
      </c>
      <c r="E205" s="14">
        <v>3089.1</v>
      </c>
      <c r="F205" s="14">
        <v>70.900000000000006</v>
      </c>
      <c r="G205" s="14">
        <v>45</v>
      </c>
      <c r="H205" s="14">
        <v>104.8</v>
      </c>
      <c r="I205" s="20">
        <v>6</v>
      </c>
      <c r="J205" s="9" t="s">
        <v>244</v>
      </c>
      <c r="K205" s="14">
        <v>147.6</v>
      </c>
      <c r="L205" s="14">
        <v>68.599999999999994</v>
      </c>
      <c r="M205" s="14">
        <v>12.4</v>
      </c>
      <c r="N205" s="21">
        <v>1689</v>
      </c>
      <c r="O205" s="14">
        <v>4.8</v>
      </c>
      <c r="P205" s="10">
        <v>8.75</v>
      </c>
      <c r="Q205" s="9" t="s">
        <v>245</v>
      </c>
      <c r="R205" s="12" t="s">
        <v>246</v>
      </c>
    </row>
    <row r="206" spans="1:18" x14ac:dyDescent="0.3">
      <c r="A206" s="5" t="s">
        <v>459</v>
      </c>
      <c r="B206" s="32">
        <v>45340.25</v>
      </c>
      <c r="C206" s="5" t="s">
        <v>3</v>
      </c>
      <c r="D206" s="13">
        <v>243.1</v>
      </c>
      <c r="E206" s="13">
        <v>3103.1</v>
      </c>
      <c r="F206" s="13">
        <v>71.900000000000006</v>
      </c>
      <c r="G206" s="13">
        <v>44.2</v>
      </c>
      <c r="H206" s="13">
        <v>102.1</v>
      </c>
      <c r="I206" s="18">
        <v>6</v>
      </c>
      <c r="J206" s="5" t="s">
        <v>244</v>
      </c>
      <c r="K206" s="13">
        <v>145.80000000000001</v>
      </c>
      <c r="L206" s="13">
        <v>66.8</v>
      </c>
      <c r="M206" s="13">
        <v>12.8</v>
      </c>
      <c r="N206" s="19">
        <v>1688</v>
      </c>
      <c r="O206" s="13">
        <v>5.0999999999999996</v>
      </c>
      <c r="P206" s="6">
        <v>9.07</v>
      </c>
      <c r="Q206" s="5" t="s">
        <v>245</v>
      </c>
      <c r="R206" s="8" t="s">
        <v>246</v>
      </c>
    </row>
    <row r="207" spans="1:18" x14ac:dyDescent="0.3">
      <c r="A207" s="9" t="s">
        <v>460</v>
      </c>
      <c r="B207" s="33">
        <v>45340.333333333343</v>
      </c>
      <c r="C207" s="9" t="s">
        <v>3</v>
      </c>
      <c r="D207" s="14">
        <v>244.8</v>
      </c>
      <c r="E207" s="14">
        <v>3118.7</v>
      </c>
      <c r="F207" s="14">
        <v>71.400000000000006</v>
      </c>
      <c r="G207" s="14">
        <v>45.6</v>
      </c>
      <c r="H207" s="14">
        <v>98.7</v>
      </c>
      <c r="I207" s="20">
        <v>6</v>
      </c>
      <c r="J207" s="9" t="s">
        <v>244</v>
      </c>
      <c r="K207" s="14">
        <v>146.69999999999999</v>
      </c>
      <c r="L207" s="14">
        <v>67.2</v>
      </c>
      <c r="M207" s="14">
        <v>12.3</v>
      </c>
      <c r="N207" s="21">
        <v>1683</v>
      </c>
      <c r="O207" s="14">
        <v>5</v>
      </c>
      <c r="P207" s="10">
        <v>8.43</v>
      </c>
      <c r="Q207" s="9" t="s">
        <v>245</v>
      </c>
      <c r="R207" s="12" t="s">
        <v>246</v>
      </c>
    </row>
    <row r="208" spans="1:18" x14ac:dyDescent="0.3">
      <c r="A208" s="5" t="s">
        <v>461</v>
      </c>
      <c r="B208" s="32">
        <v>45340.416666666657</v>
      </c>
      <c r="C208" s="5" t="s">
        <v>3</v>
      </c>
      <c r="D208" s="13">
        <v>253.3</v>
      </c>
      <c r="E208" s="13">
        <v>3088</v>
      </c>
      <c r="F208" s="13">
        <v>71.7</v>
      </c>
      <c r="G208" s="13">
        <v>44.9</v>
      </c>
      <c r="H208" s="13">
        <v>101.2</v>
      </c>
      <c r="I208" s="18">
        <v>6</v>
      </c>
      <c r="J208" s="5" t="s">
        <v>244</v>
      </c>
      <c r="K208" s="13">
        <v>145.69999999999999</v>
      </c>
      <c r="L208" s="13">
        <v>70.8</v>
      </c>
      <c r="M208" s="13">
        <v>11.9</v>
      </c>
      <c r="N208" s="19">
        <v>1761</v>
      </c>
      <c r="O208" s="13">
        <v>5.2</v>
      </c>
      <c r="P208" s="6">
        <v>8.44</v>
      </c>
      <c r="Q208" s="5" t="s">
        <v>245</v>
      </c>
      <c r="R208" s="8" t="s">
        <v>246</v>
      </c>
    </row>
    <row r="209" spans="1:18" x14ac:dyDescent="0.3">
      <c r="A209" s="9" t="s">
        <v>462</v>
      </c>
      <c r="B209" s="33">
        <v>45340.5</v>
      </c>
      <c r="C209" s="9" t="s">
        <v>3</v>
      </c>
      <c r="D209" s="14">
        <v>241.3</v>
      </c>
      <c r="E209" s="14">
        <v>3110.6</v>
      </c>
      <c r="F209" s="14">
        <v>71.5</v>
      </c>
      <c r="G209" s="14">
        <v>46.3</v>
      </c>
      <c r="H209" s="14">
        <v>105.2</v>
      </c>
      <c r="I209" s="20">
        <v>6</v>
      </c>
      <c r="J209" s="9" t="s">
        <v>244</v>
      </c>
      <c r="K209" s="14">
        <v>142.19999999999999</v>
      </c>
      <c r="L209" s="14">
        <v>66.8</v>
      </c>
      <c r="M209" s="14">
        <v>13.4</v>
      </c>
      <c r="N209" s="21">
        <v>1700</v>
      </c>
      <c r="O209" s="14">
        <v>4.8</v>
      </c>
      <c r="P209" s="10">
        <v>8.7899999999999991</v>
      </c>
      <c r="Q209" s="9" t="s">
        <v>245</v>
      </c>
      <c r="R209" s="12" t="s">
        <v>246</v>
      </c>
    </row>
    <row r="210" spans="1:18" x14ac:dyDescent="0.3">
      <c r="A210" s="5" t="s">
        <v>463</v>
      </c>
      <c r="B210" s="32">
        <v>45340.583333333343</v>
      </c>
      <c r="C210" s="5" t="s">
        <v>4</v>
      </c>
      <c r="D210" s="13">
        <v>247.1</v>
      </c>
      <c r="E210" s="13">
        <v>3098.4</v>
      </c>
      <c r="F210" s="13">
        <v>71.8</v>
      </c>
      <c r="G210" s="13">
        <v>45.3</v>
      </c>
      <c r="H210" s="13">
        <v>108</v>
      </c>
      <c r="I210" s="18">
        <v>6</v>
      </c>
      <c r="J210" s="5" t="s">
        <v>244</v>
      </c>
      <c r="K210" s="13">
        <v>144.19999999999999</v>
      </c>
      <c r="L210" s="13">
        <v>68.599999999999994</v>
      </c>
      <c r="M210" s="13">
        <v>12.2</v>
      </c>
      <c r="N210" s="19">
        <v>1668</v>
      </c>
      <c r="O210" s="13">
        <v>4.9000000000000004</v>
      </c>
      <c r="P210" s="6">
        <v>8.98</v>
      </c>
      <c r="Q210" s="5" t="s">
        <v>245</v>
      </c>
      <c r="R210" s="8" t="s">
        <v>246</v>
      </c>
    </row>
    <row r="211" spans="1:18" x14ac:dyDescent="0.3">
      <c r="A211" s="9" t="s">
        <v>464</v>
      </c>
      <c r="B211" s="33">
        <v>45340.666666666657</v>
      </c>
      <c r="C211" s="9" t="s">
        <v>4</v>
      </c>
      <c r="D211" s="14">
        <v>244.7</v>
      </c>
      <c r="E211" s="14">
        <v>3072.9</v>
      </c>
      <c r="F211" s="14">
        <v>71.3</v>
      </c>
      <c r="G211" s="14">
        <v>45.4</v>
      </c>
      <c r="H211" s="14">
        <v>107.2</v>
      </c>
      <c r="I211" s="20">
        <v>6</v>
      </c>
      <c r="J211" s="9" t="s">
        <v>244</v>
      </c>
      <c r="K211" s="14">
        <v>144.4</v>
      </c>
      <c r="L211" s="14">
        <v>67.099999999999994</v>
      </c>
      <c r="M211" s="14">
        <v>12.6</v>
      </c>
      <c r="N211" s="21">
        <v>1665</v>
      </c>
      <c r="O211" s="14">
        <v>4.8</v>
      </c>
      <c r="P211" s="10">
        <v>8.77</v>
      </c>
      <c r="Q211" s="9" t="s">
        <v>245</v>
      </c>
      <c r="R211" s="12" t="s">
        <v>246</v>
      </c>
    </row>
    <row r="212" spans="1:18" x14ac:dyDescent="0.3">
      <c r="A212" s="5" t="s">
        <v>465</v>
      </c>
      <c r="B212" s="32">
        <v>45340.75</v>
      </c>
      <c r="C212" s="5" t="s">
        <v>4</v>
      </c>
      <c r="D212" s="13">
        <v>275</v>
      </c>
      <c r="E212" s="13">
        <v>3046.4</v>
      </c>
      <c r="F212" s="13">
        <v>72.7</v>
      </c>
      <c r="G212" s="13">
        <v>44.3</v>
      </c>
      <c r="H212" s="13">
        <v>110.7</v>
      </c>
      <c r="I212" s="18">
        <v>6</v>
      </c>
      <c r="J212" s="22" t="s">
        <v>244</v>
      </c>
      <c r="K212" s="23">
        <v>159.4</v>
      </c>
      <c r="L212" s="13">
        <v>58.3</v>
      </c>
      <c r="M212" s="13">
        <v>12.9</v>
      </c>
      <c r="N212" s="24">
        <v>1524</v>
      </c>
      <c r="O212" s="13">
        <v>3.4</v>
      </c>
      <c r="P212" s="6">
        <v>8.52</v>
      </c>
      <c r="Q212" s="22" t="s">
        <v>466</v>
      </c>
      <c r="R212" s="8" t="s">
        <v>467</v>
      </c>
    </row>
    <row r="213" spans="1:18" x14ac:dyDescent="0.3">
      <c r="A213" s="9" t="s">
        <v>468</v>
      </c>
      <c r="B213" s="33">
        <v>45340.833333333343</v>
      </c>
      <c r="C213" s="9" t="s">
        <v>4</v>
      </c>
      <c r="D213" s="14">
        <v>275</v>
      </c>
      <c r="E213" s="14">
        <v>3057.6</v>
      </c>
      <c r="F213" s="14">
        <v>72.8</v>
      </c>
      <c r="G213" s="14">
        <v>45.5</v>
      </c>
      <c r="H213" s="14">
        <v>109.8</v>
      </c>
      <c r="I213" s="20">
        <v>6</v>
      </c>
      <c r="J213" s="22" t="s">
        <v>244</v>
      </c>
      <c r="K213" s="23">
        <v>164.3</v>
      </c>
      <c r="L213" s="14">
        <v>58</v>
      </c>
      <c r="M213" s="14">
        <v>14.1</v>
      </c>
      <c r="N213" s="24">
        <v>1555</v>
      </c>
      <c r="O213" s="14">
        <v>3.4</v>
      </c>
      <c r="P213" s="10">
        <v>8.68</v>
      </c>
      <c r="Q213" s="22" t="s">
        <v>466</v>
      </c>
      <c r="R213" s="12" t="s">
        <v>467</v>
      </c>
    </row>
    <row r="214" spans="1:18" x14ac:dyDescent="0.3">
      <c r="A214" s="5" t="s">
        <v>469</v>
      </c>
      <c r="B214" s="32">
        <v>45340.916666666657</v>
      </c>
      <c r="C214" s="5" t="s">
        <v>5</v>
      </c>
      <c r="D214" s="13">
        <v>275</v>
      </c>
      <c r="E214" s="13">
        <v>3062.3</v>
      </c>
      <c r="F214" s="13">
        <v>71.400000000000006</v>
      </c>
      <c r="G214" s="13">
        <v>45.6</v>
      </c>
      <c r="H214" s="13">
        <v>91.4</v>
      </c>
      <c r="I214" s="18">
        <v>6</v>
      </c>
      <c r="J214" s="22" t="s">
        <v>244</v>
      </c>
      <c r="K214" s="23">
        <v>159.80000000000001</v>
      </c>
      <c r="L214" s="13">
        <v>60.3</v>
      </c>
      <c r="M214" s="13">
        <v>12.1</v>
      </c>
      <c r="N214" s="24">
        <v>1567</v>
      </c>
      <c r="O214" s="13">
        <v>3.4</v>
      </c>
      <c r="P214" s="6">
        <v>8.49</v>
      </c>
      <c r="Q214" s="22" t="s">
        <v>466</v>
      </c>
      <c r="R214" s="8" t="s">
        <v>467</v>
      </c>
    </row>
    <row r="215" spans="1:18" x14ac:dyDescent="0.3">
      <c r="A215" s="9" t="s">
        <v>470</v>
      </c>
      <c r="B215" s="33">
        <v>45341</v>
      </c>
      <c r="C215" s="9" t="s">
        <v>5</v>
      </c>
      <c r="D215" s="14">
        <v>275</v>
      </c>
      <c r="E215" s="14">
        <v>3155.4</v>
      </c>
      <c r="F215" s="14">
        <v>71.599999999999994</v>
      </c>
      <c r="G215" s="14">
        <v>44.9</v>
      </c>
      <c r="H215" s="14">
        <v>104.7</v>
      </c>
      <c r="I215" s="20">
        <v>6</v>
      </c>
      <c r="J215" s="22" t="s">
        <v>244</v>
      </c>
      <c r="K215" s="23">
        <v>158.69999999999999</v>
      </c>
      <c r="L215" s="14">
        <v>58</v>
      </c>
      <c r="M215" s="14">
        <v>12.6</v>
      </c>
      <c r="N215" s="24">
        <v>1506</v>
      </c>
      <c r="O215" s="14">
        <v>3.4</v>
      </c>
      <c r="P215" s="10">
        <v>8.42</v>
      </c>
      <c r="Q215" s="22" t="s">
        <v>466</v>
      </c>
      <c r="R215" s="12" t="s">
        <v>467</v>
      </c>
    </row>
    <row r="216" spans="1:18" x14ac:dyDescent="0.3">
      <c r="A216" s="5" t="s">
        <v>471</v>
      </c>
      <c r="B216" s="32">
        <v>45341.083333333343</v>
      </c>
      <c r="C216" s="5" t="s">
        <v>5</v>
      </c>
      <c r="D216" s="13">
        <v>275</v>
      </c>
      <c r="E216" s="13">
        <v>3148</v>
      </c>
      <c r="F216" s="13">
        <v>72.5</v>
      </c>
      <c r="G216" s="13">
        <v>44.8</v>
      </c>
      <c r="H216" s="13">
        <v>104.6</v>
      </c>
      <c r="I216" s="18">
        <v>6</v>
      </c>
      <c r="J216" s="22" t="s">
        <v>244</v>
      </c>
      <c r="K216" s="23">
        <v>160.69999999999999</v>
      </c>
      <c r="L216" s="13">
        <v>58.3</v>
      </c>
      <c r="M216" s="13">
        <v>12.2</v>
      </c>
      <c r="N216" s="24">
        <v>1522</v>
      </c>
      <c r="O216" s="13">
        <v>3.4</v>
      </c>
      <c r="P216" s="6">
        <v>8.77</v>
      </c>
      <c r="Q216" s="22" t="s">
        <v>466</v>
      </c>
      <c r="R216" s="8" t="s">
        <v>467</v>
      </c>
    </row>
    <row r="217" spans="1:18" x14ac:dyDescent="0.3">
      <c r="A217" s="9" t="s">
        <v>472</v>
      </c>
      <c r="B217" s="33">
        <v>45341.166666666657</v>
      </c>
      <c r="C217" s="9" t="s">
        <v>5</v>
      </c>
      <c r="D217" s="14">
        <v>275</v>
      </c>
      <c r="E217" s="14">
        <v>3012.9</v>
      </c>
      <c r="F217" s="14">
        <v>71.7</v>
      </c>
      <c r="G217" s="14">
        <v>45.6</v>
      </c>
      <c r="H217" s="14">
        <v>101.8</v>
      </c>
      <c r="I217" s="20">
        <v>6</v>
      </c>
      <c r="J217" s="22" t="s">
        <v>244</v>
      </c>
      <c r="K217" s="23">
        <v>163.9</v>
      </c>
      <c r="L217" s="14">
        <v>57.4</v>
      </c>
      <c r="M217" s="14">
        <v>12.8</v>
      </c>
      <c r="N217" s="24">
        <v>1539</v>
      </c>
      <c r="O217" s="14">
        <v>3.4</v>
      </c>
      <c r="P217" s="10">
        <v>8.8699999999999992</v>
      </c>
      <c r="Q217" s="22" t="s">
        <v>466</v>
      </c>
      <c r="R217" s="12" t="s">
        <v>467</v>
      </c>
    </row>
    <row r="218" spans="1:18" x14ac:dyDescent="0.3">
      <c r="A218" s="5" t="s">
        <v>473</v>
      </c>
      <c r="B218" s="32">
        <v>45341.25</v>
      </c>
      <c r="C218" s="5" t="s">
        <v>3</v>
      </c>
      <c r="D218" s="13">
        <v>275</v>
      </c>
      <c r="E218" s="13">
        <v>3122.5</v>
      </c>
      <c r="F218" s="13">
        <v>70.8</v>
      </c>
      <c r="G218" s="13">
        <v>45.6</v>
      </c>
      <c r="H218" s="13">
        <v>102.2</v>
      </c>
      <c r="I218" s="18">
        <v>6</v>
      </c>
      <c r="J218" s="22" t="s">
        <v>244</v>
      </c>
      <c r="K218" s="23">
        <v>159.30000000000001</v>
      </c>
      <c r="L218" s="13">
        <v>57</v>
      </c>
      <c r="M218" s="13">
        <v>12.7</v>
      </c>
      <c r="N218" s="24">
        <v>1523</v>
      </c>
      <c r="O218" s="13">
        <v>3.4</v>
      </c>
      <c r="P218" s="6">
        <v>8.8800000000000008</v>
      </c>
      <c r="Q218" s="22" t="s">
        <v>466</v>
      </c>
      <c r="R218" s="8" t="s">
        <v>467</v>
      </c>
    </row>
    <row r="219" spans="1:18" x14ac:dyDescent="0.3">
      <c r="A219" s="9" t="s">
        <v>474</v>
      </c>
      <c r="B219" s="33">
        <v>45341.333333333343</v>
      </c>
      <c r="C219" s="9" t="s">
        <v>3</v>
      </c>
      <c r="D219" s="14">
        <v>275</v>
      </c>
      <c r="E219" s="14">
        <v>3127.1</v>
      </c>
      <c r="F219" s="14">
        <v>71.7</v>
      </c>
      <c r="G219" s="14">
        <v>45</v>
      </c>
      <c r="H219" s="14">
        <v>102</v>
      </c>
      <c r="I219" s="20">
        <v>6</v>
      </c>
      <c r="J219" s="22" t="s">
        <v>244</v>
      </c>
      <c r="K219" s="23">
        <v>163.5</v>
      </c>
      <c r="L219" s="14">
        <v>57.9</v>
      </c>
      <c r="M219" s="14">
        <v>13.3</v>
      </c>
      <c r="N219" s="24">
        <v>1508</v>
      </c>
      <c r="O219" s="14">
        <v>3.4</v>
      </c>
      <c r="P219" s="10">
        <v>8.5299999999999994</v>
      </c>
      <c r="Q219" s="22" t="s">
        <v>466</v>
      </c>
      <c r="R219" s="12" t="s">
        <v>467</v>
      </c>
    </row>
    <row r="220" spans="1:18" x14ac:dyDescent="0.3">
      <c r="A220" s="5" t="s">
        <v>475</v>
      </c>
      <c r="B220" s="32">
        <v>45341.416666666657</v>
      </c>
      <c r="C220" s="5" t="s">
        <v>3</v>
      </c>
      <c r="D220" s="13">
        <v>275</v>
      </c>
      <c r="E220" s="13">
        <v>3103</v>
      </c>
      <c r="F220" s="13">
        <v>72.3</v>
      </c>
      <c r="G220" s="13">
        <v>44.7</v>
      </c>
      <c r="H220" s="13">
        <v>99</v>
      </c>
      <c r="I220" s="18">
        <v>6</v>
      </c>
      <c r="J220" s="22" t="s">
        <v>244</v>
      </c>
      <c r="K220" s="23">
        <v>160.80000000000001</v>
      </c>
      <c r="L220" s="13">
        <v>57</v>
      </c>
      <c r="M220" s="13">
        <v>12.6</v>
      </c>
      <c r="N220" s="24">
        <v>1543</v>
      </c>
      <c r="O220" s="13">
        <v>3.4</v>
      </c>
      <c r="P220" s="6">
        <v>8.48</v>
      </c>
      <c r="Q220" s="22" t="s">
        <v>466</v>
      </c>
      <c r="R220" s="8" t="s">
        <v>467</v>
      </c>
    </row>
    <row r="221" spans="1:18" x14ac:dyDescent="0.3">
      <c r="A221" s="9" t="s">
        <v>476</v>
      </c>
      <c r="B221" s="33">
        <v>45341.5</v>
      </c>
      <c r="C221" s="9" t="s">
        <v>3</v>
      </c>
      <c r="D221" s="14">
        <v>275</v>
      </c>
      <c r="E221" s="14">
        <v>3089</v>
      </c>
      <c r="F221" s="14">
        <v>71.7</v>
      </c>
      <c r="G221" s="14">
        <v>46</v>
      </c>
      <c r="H221" s="14">
        <v>107.5</v>
      </c>
      <c r="I221" s="20">
        <v>6</v>
      </c>
      <c r="J221" s="22" t="s">
        <v>244</v>
      </c>
      <c r="K221" s="23">
        <v>160.80000000000001</v>
      </c>
      <c r="L221" s="14">
        <v>57.8</v>
      </c>
      <c r="M221" s="14">
        <v>13</v>
      </c>
      <c r="N221" s="24">
        <v>1501</v>
      </c>
      <c r="O221" s="14">
        <v>3.4</v>
      </c>
      <c r="P221" s="10">
        <v>8.5299999999999994</v>
      </c>
      <c r="Q221" s="22" t="s">
        <v>466</v>
      </c>
      <c r="R221" s="12" t="s">
        <v>467</v>
      </c>
    </row>
    <row r="222" spans="1:18" x14ac:dyDescent="0.3">
      <c r="A222" s="5" t="s">
        <v>477</v>
      </c>
      <c r="B222" s="32">
        <v>45341.583333333343</v>
      </c>
      <c r="C222" s="5" t="s">
        <v>4</v>
      </c>
      <c r="D222" s="13">
        <v>275</v>
      </c>
      <c r="E222" s="13">
        <v>3139.5</v>
      </c>
      <c r="F222" s="13">
        <v>70.599999999999994</v>
      </c>
      <c r="G222" s="13">
        <v>45.6</v>
      </c>
      <c r="H222" s="13">
        <v>100.9</v>
      </c>
      <c r="I222" s="18">
        <v>6</v>
      </c>
      <c r="J222" s="22" t="s">
        <v>244</v>
      </c>
      <c r="K222" s="23">
        <v>163.19999999999999</v>
      </c>
      <c r="L222" s="13">
        <v>59.1</v>
      </c>
      <c r="M222" s="13">
        <v>12.5</v>
      </c>
      <c r="N222" s="24">
        <v>1544</v>
      </c>
      <c r="O222" s="13">
        <v>3.4</v>
      </c>
      <c r="P222" s="6">
        <v>8.35</v>
      </c>
      <c r="Q222" s="22" t="s">
        <v>466</v>
      </c>
      <c r="R222" s="8" t="s">
        <v>467</v>
      </c>
    </row>
    <row r="223" spans="1:18" x14ac:dyDescent="0.3">
      <c r="A223" s="9" t="s">
        <v>478</v>
      </c>
      <c r="B223" s="33">
        <v>45341.666666666657</v>
      </c>
      <c r="C223" s="9" t="s">
        <v>4</v>
      </c>
      <c r="D223" s="14">
        <v>263.89999999999998</v>
      </c>
      <c r="E223" s="14">
        <v>3081.5</v>
      </c>
      <c r="F223" s="14">
        <v>72.400000000000006</v>
      </c>
      <c r="G223" s="14">
        <v>44.7</v>
      </c>
      <c r="H223" s="14">
        <v>111.2</v>
      </c>
      <c r="I223" s="20">
        <v>6</v>
      </c>
      <c r="J223" s="9" t="s">
        <v>244</v>
      </c>
      <c r="K223" s="14">
        <v>145</v>
      </c>
      <c r="L223" s="14">
        <v>67.900000000000006</v>
      </c>
      <c r="M223" s="14">
        <v>13.5</v>
      </c>
      <c r="N223" s="21">
        <v>1702</v>
      </c>
      <c r="O223" s="14">
        <v>4.4000000000000004</v>
      </c>
      <c r="P223" s="10">
        <v>8.5</v>
      </c>
      <c r="Q223" s="9" t="s">
        <v>245</v>
      </c>
      <c r="R223" s="12" t="s">
        <v>246</v>
      </c>
    </row>
    <row r="224" spans="1:18" x14ac:dyDescent="0.3">
      <c r="A224" s="5" t="s">
        <v>479</v>
      </c>
      <c r="B224" s="32">
        <v>45341.75</v>
      </c>
      <c r="C224" s="5" t="s">
        <v>4</v>
      </c>
      <c r="D224" s="13">
        <v>253.7</v>
      </c>
      <c r="E224" s="13">
        <v>3148.7</v>
      </c>
      <c r="F224" s="13">
        <v>71.900000000000006</v>
      </c>
      <c r="G224" s="13">
        <v>45.9</v>
      </c>
      <c r="H224" s="13">
        <v>98.2</v>
      </c>
      <c r="I224" s="18">
        <v>6</v>
      </c>
      <c r="J224" s="5" t="s">
        <v>244</v>
      </c>
      <c r="K224" s="13">
        <v>143.4</v>
      </c>
      <c r="L224" s="13">
        <v>68.099999999999994</v>
      </c>
      <c r="M224" s="13">
        <v>12.4</v>
      </c>
      <c r="N224" s="19">
        <v>1722</v>
      </c>
      <c r="O224" s="13">
        <v>5</v>
      </c>
      <c r="P224" s="6">
        <v>8.51</v>
      </c>
      <c r="Q224" s="5" t="s">
        <v>245</v>
      </c>
      <c r="R224" s="8" t="s">
        <v>246</v>
      </c>
    </row>
    <row r="225" spans="1:18" x14ac:dyDescent="0.3">
      <c r="A225" s="9" t="s">
        <v>480</v>
      </c>
      <c r="B225" s="33">
        <v>45341.833333333343</v>
      </c>
      <c r="C225" s="9" t="s">
        <v>4</v>
      </c>
      <c r="D225" s="14">
        <v>250.8</v>
      </c>
      <c r="E225" s="14">
        <v>3098.4</v>
      </c>
      <c r="F225" s="14">
        <v>71.2</v>
      </c>
      <c r="G225" s="14">
        <v>44.7</v>
      </c>
      <c r="H225" s="14">
        <v>104.3</v>
      </c>
      <c r="I225" s="20">
        <v>6</v>
      </c>
      <c r="J225" s="9" t="s">
        <v>244</v>
      </c>
      <c r="K225" s="14">
        <v>144.4</v>
      </c>
      <c r="L225" s="14">
        <v>68.5</v>
      </c>
      <c r="M225" s="14">
        <v>12.6</v>
      </c>
      <c r="N225" s="21">
        <v>1704</v>
      </c>
      <c r="O225" s="14">
        <v>5.2</v>
      </c>
      <c r="P225" s="10">
        <v>8.3699999999999992</v>
      </c>
      <c r="Q225" s="9" t="s">
        <v>245</v>
      </c>
      <c r="R225" s="12" t="s">
        <v>246</v>
      </c>
    </row>
    <row r="226" spans="1:18" x14ac:dyDescent="0.3">
      <c r="A226" s="5" t="s">
        <v>481</v>
      </c>
      <c r="B226" s="32">
        <v>45341.916666666657</v>
      </c>
      <c r="C226" s="5" t="s">
        <v>5</v>
      </c>
      <c r="D226" s="13">
        <v>245.7</v>
      </c>
      <c r="E226" s="13">
        <v>3197.3</v>
      </c>
      <c r="F226" s="13">
        <v>71.2</v>
      </c>
      <c r="G226" s="13">
        <v>43.7</v>
      </c>
      <c r="H226" s="13">
        <v>108.7</v>
      </c>
      <c r="I226" s="18">
        <v>6</v>
      </c>
      <c r="J226" s="5" t="s">
        <v>244</v>
      </c>
      <c r="K226" s="13">
        <v>137.69999999999999</v>
      </c>
      <c r="L226" s="13">
        <v>68.099999999999994</v>
      </c>
      <c r="M226" s="13">
        <v>14.2</v>
      </c>
      <c r="N226" s="19">
        <v>1665</v>
      </c>
      <c r="O226" s="13">
        <v>4.2</v>
      </c>
      <c r="P226" s="6">
        <v>8.3000000000000007</v>
      </c>
      <c r="Q226" s="5" t="s">
        <v>245</v>
      </c>
      <c r="R226" s="8" t="s">
        <v>246</v>
      </c>
    </row>
    <row r="227" spans="1:18" x14ac:dyDescent="0.3">
      <c r="A227" s="9" t="s">
        <v>482</v>
      </c>
      <c r="B227" s="33">
        <v>45342</v>
      </c>
      <c r="C227" s="9" t="s">
        <v>5</v>
      </c>
      <c r="D227" s="14">
        <v>255.4</v>
      </c>
      <c r="E227" s="14">
        <v>3139.4</v>
      </c>
      <c r="F227" s="14">
        <v>71.5</v>
      </c>
      <c r="G227" s="14">
        <v>45.3</v>
      </c>
      <c r="H227" s="14">
        <v>112</v>
      </c>
      <c r="I227" s="20">
        <v>6</v>
      </c>
      <c r="J227" s="9" t="s">
        <v>244</v>
      </c>
      <c r="K227" s="14">
        <v>151.30000000000001</v>
      </c>
      <c r="L227" s="14">
        <v>68.099999999999994</v>
      </c>
      <c r="M227" s="14">
        <v>10.7</v>
      </c>
      <c r="N227" s="21">
        <v>1691</v>
      </c>
      <c r="O227" s="14">
        <v>4.7</v>
      </c>
      <c r="P227" s="10">
        <v>8.5500000000000007</v>
      </c>
      <c r="Q227" s="9" t="s">
        <v>245</v>
      </c>
      <c r="R227" s="12" t="s">
        <v>246</v>
      </c>
    </row>
    <row r="228" spans="1:18" x14ac:dyDescent="0.3">
      <c r="A228" s="5" t="s">
        <v>483</v>
      </c>
      <c r="B228" s="32">
        <v>45342.083333333343</v>
      </c>
      <c r="C228" s="5" t="s">
        <v>5</v>
      </c>
      <c r="D228" s="13">
        <v>248.9</v>
      </c>
      <c r="E228" s="13">
        <v>3139.2</v>
      </c>
      <c r="F228" s="13">
        <v>72.599999999999994</v>
      </c>
      <c r="G228" s="13">
        <v>44.7</v>
      </c>
      <c r="H228" s="13">
        <v>110.5</v>
      </c>
      <c r="I228" s="18">
        <v>6</v>
      </c>
      <c r="J228" s="5" t="s">
        <v>244</v>
      </c>
      <c r="K228" s="13">
        <v>146.30000000000001</v>
      </c>
      <c r="L228" s="13">
        <v>68.599999999999994</v>
      </c>
      <c r="M228" s="13">
        <v>13.2</v>
      </c>
      <c r="N228" s="19">
        <v>1722</v>
      </c>
      <c r="O228" s="13">
        <v>5.4</v>
      </c>
      <c r="P228" s="6">
        <v>8.31</v>
      </c>
      <c r="Q228" s="5" t="s">
        <v>245</v>
      </c>
      <c r="R228" s="8" t="s">
        <v>246</v>
      </c>
    </row>
    <row r="229" spans="1:18" x14ac:dyDescent="0.3">
      <c r="A229" s="9" t="s">
        <v>484</v>
      </c>
      <c r="B229" s="33">
        <v>45342.166666666657</v>
      </c>
      <c r="C229" s="9" t="s">
        <v>5</v>
      </c>
      <c r="D229" s="14">
        <v>246.9</v>
      </c>
      <c r="E229" s="14">
        <v>3095.6</v>
      </c>
      <c r="F229" s="14">
        <v>72.099999999999994</v>
      </c>
      <c r="G229" s="14">
        <v>45.8</v>
      </c>
      <c r="H229" s="14">
        <v>104.9</v>
      </c>
      <c r="I229" s="20">
        <v>6</v>
      </c>
      <c r="J229" s="9" t="s">
        <v>244</v>
      </c>
      <c r="K229" s="14">
        <v>140</v>
      </c>
      <c r="L229" s="14">
        <v>69.8</v>
      </c>
      <c r="M229" s="14">
        <v>13.1</v>
      </c>
      <c r="N229" s="21">
        <v>1652</v>
      </c>
      <c r="O229" s="14">
        <v>4.8</v>
      </c>
      <c r="P229" s="10">
        <v>8.2799999999999994</v>
      </c>
      <c r="Q229" s="9" t="s">
        <v>245</v>
      </c>
      <c r="R229" s="12" t="s">
        <v>246</v>
      </c>
    </row>
    <row r="230" spans="1:18" x14ac:dyDescent="0.3">
      <c r="A230" s="5" t="s">
        <v>485</v>
      </c>
      <c r="B230" s="32">
        <v>45342.25</v>
      </c>
      <c r="C230" s="5" t="s">
        <v>3</v>
      </c>
      <c r="D230" s="13">
        <v>246</v>
      </c>
      <c r="E230" s="13">
        <v>3068.4</v>
      </c>
      <c r="F230" s="13">
        <v>72.3</v>
      </c>
      <c r="G230" s="13">
        <v>44.9</v>
      </c>
      <c r="H230" s="13">
        <v>98.6</v>
      </c>
      <c r="I230" s="18">
        <v>6</v>
      </c>
      <c r="J230" s="5" t="s">
        <v>244</v>
      </c>
      <c r="K230" s="13">
        <v>148.1</v>
      </c>
      <c r="L230" s="13">
        <v>66.3</v>
      </c>
      <c r="M230" s="13">
        <v>12.8</v>
      </c>
      <c r="N230" s="19">
        <v>1691</v>
      </c>
      <c r="O230" s="13">
        <v>4.7</v>
      </c>
      <c r="P230" s="6">
        <v>8.6999999999999993</v>
      </c>
      <c r="Q230" s="5" t="s">
        <v>245</v>
      </c>
      <c r="R230" s="8" t="s">
        <v>246</v>
      </c>
    </row>
    <row r="231" spans="1:18" x14ac:dyDescent="0.3">
      <c r="A231" s="9" t="s">
        <v>486</v>
      </c>
      <c r="B231" s="33">
        <v>45342.333333333343</v>
      </c>
      <c r="C231" s="9" t="s">
        <v>3</v>
      </c>
      <c r="D231" s="14">
        <v>253.1</v>
      </c>
      <c r="E231" s="14">
        <v>3146.8</v>
      </c>
      <c r="F231" s="14">
        <v>71.8</v>
      </c>
      <c r="G231" s="14">
        <v>45</v>
      </c>
      <c r="H231" s="14">
        <v>102.8</v>
      </c>
      <c r="I231" s="20">
        <v>6</v>
      </c>
      <c r="J231" s="9" t="s">
        <v>244</v>
      </c>
      <c r="K231" s="14">
        <v>145.6</v>
      </c>
      <c r="L231" s="14">
        <v>69.2</v>
      </c>
      <c r="M231" s="14">
        <v>12.4</v>
      </c>
      <c r="N231" s="21">
        <v>1656</v>
      </c>
      <c r="O231" s="14">
        <v>4.9000000000000004</v>
      </c>
      <c r="P231" s="10">
        <v>8.67</v>
      </c>
      <c r="Q231" s="9" t="s">
        <v>245</v>
      </c>
      <c r="R231" s="12" t="s">
        <v>246</v>
      </c>
    </row>
    <row r="232" spans="1:18" x14ac:dyDescent="0.3">
      <c r="A232" s="5" t="s">
        <v>487</v>
      </c>
      <c r="B232" s="32">
        <v>45342.416666666657</v>
      </c>
      <c r="C232" s="5" t="s">
        <v>3</v>
      </c>
      <c r="D232" s="13">
        <v>245.9</v>
      </c>
      <c r="E232" s="13">
        <v>3055</v>
      </c>
      <c r="F232" s="13">
        <v>72.7</v>
      </c>
      <c r="G232" s="13">
        <v>45.2</v>
      </c>
      <c r="H232" s="13">
        <v>103.9</v>
      </c>
      <c r="I232" s="18">
        <v>6</v>
      </c>
      <c r="J232" s="5" t="s">
        <v>244</v>
      </c>
      <c r="K232" s="13">
        <v>141</v>
      </c>
      <c r="L232" s="13">
        <v>67.3</v>
      </c>
      <c r="M232" s="13">
        <v>13.5</v>
      </c>
      <c r="N232" s="19">
        <v>1724</v>
      </c>
      <c r="O232" s="13">
        <v>4.5999999999999996</v>
      </c>
      <c r="P232" s="6">
        <v>8.6999999999999993</v>
      </c>
      <c r="Q232" s="5" t="s">
        <v>245</v>
      </c>
      <c r="R232" s="8" t="s">
        <v>246</v>
      </c>
    </row>
    <row r="233" spans="1:18" x14ac:dyDescent="0.3">
      <c r="A233" s="9" t="s">
        <v>488</v>
      </c>
      <c r="B233" s="33">
        <v>45342.5</v>
      </c>
      <c r="C233" s="9" t="s">
        <v>3</v>
      </c>
      <c r="D233" s="14">
        <v>245.1</v>
      </c>
      <c r="E233" s="14">
        <v>3152.5</v>
      </c>
      <c r="F233" s="14">
        <v>72.599999999999994</v>
      </c>
      <c r="G233" s="14">
        <v>44.4</v>
      </c>
      <c r="H233" s="14">
        <v>101.9</v>
      </c>
      <c r="I233" s="20">
        <v>6</v>
      </c>
      <c r="J233" s="9" t="s">
        <v>244</v>
      </c>
      <c r="K233" s="14">
        <v>135.80000000000001</v>
      </c>
      <c r="L233" s="14">
        <v>66.3</v>
      </c>
      <c r="M233" s="14">
        <v>11.4</v>
      </c>
      <c r="N233" s="21">
        <v>1724</v>
      </c>
      <c r="O233" s="14">
        <v>4.7</v>
      </c>
      <c r="P233" s="10">
        <v>8.33</v>
      </c>
      <c r="Q233" s="9" t="s">
        <v>245</v>
      </c>
      <c r="R233" s="12" t="s">
        <v>246</v>
      </c>
    </row>
    <row r="234" spans="1:18" x14ac:dyDescent="0.3">
      <c r="A234" s="5" t="s">
        <v>489</v>
      </c>
      <c r="B234" s="32">
        <v>45342.583333333343</v>
      </c>
      <c r="C234" s="5" t="s">
        <v>4</v>
      </c>
      <c r="D234" s="13">
        <v>248.3</v>
      </c>
      <c r="E234" s="13">
        <v>3117.7</v>
      </c>
      <c r="F234" s="13">
        <v>72.099999999999994</v>
      </c>
      <c r="G234" s="13">
        <v>43.3</v>
      </c>
      <c r="H234" s="13">
        <v>104.4</v>
      </c>
      <c r="I234" s="18">
        <v>6</v>
      </c>
      <c r="J234" s="5" t="s">
        <v>244</v>
      </c>
      <c r="K234" s="13">
        <v>140.19999999999999</v>
      </c>
      <c r="L234" s="13">
        <v>69.900000000000006</v>
      </c>
      <c r="M234" s="13">
        <v>13.1</v>
      </c>
      <c r="N234" s="19">
        <v>1688</v>
      </c>
      <c r="O234" s="13">
        <v>4.5999999999999996</v>
      </c>
      <c r="P234" s="6">
        <v>8.51</v>
      </c>
      <c r="Q234" s="5" t="s">
        <v>245</v>
      </c>
      <c r="R234" s="8" t="s">
        <v>246</v>
      </c>
    </row>
    <row r="235" spans="1:18" x14ac:dyDescent="0.3">
      <c r="A235" s="9" t="s">
        <v>490</v>
      </c>
      <c r="B235" s="33">
        <v>45342.666666666657</v>
      </c>
      <c r="C235" s="9" t="s">
        <v>4</v>
      </c>
      <c r="D235" s="14">
        <v>236.5</v>
      </c>
      <c r="E235" s="14">
        <v>3111.8</v>
      </c>
      <c r="F235" s="14">
        <v>71.599999999999994</v>
      </c>
      <c r="G235" s="14">
        <v>45.6</v>
      </c>
      <c r="H235" s="14">
        <v>99.5</v>
      </c>
      <c r="I235" s="20">
        <v>6</v>
      </c>
      <c r="J235" s="9" t="s">
        <v>244</v>
      </c>
      <c r="K235" s="14">
        <v>142.80000000000001</v>
      </c>
      <c r="L235" s="14">
        <v>66.2</v>
      </c>
      <c r="M235" s="14">
        <v>11.7</v>
      </c>
      <c r="N235" s="21">
        <v>1678</v>
      </c>
      <c r="O235" s="14">
        <v>5.0999999999999996</v>
      </c>
      <c r="P235" s="10">
        <v>8.4600000000000009</v>
      </c>
      <c r="Q235" s="9" t="s">
        <v>245</v>
      </c>
      <c r="R235" s="12" t="s">
        <v>246</v>
      </c>
    </row>
    <row r="236" spans="1:18" x14ac:dyDescent="0.3">
      <c r="A236" s="5" t="s">
        <v>491</v>
      </c>
      <c r="B236" s="32">
        <v>45342.75</v>
      </c>
      <c r="C236" s="5" t="s">
        <v>4</v>
      </c>
      <c r="D236" s="13">
        <v>250.7</v>
      </c>
      <c r="E236" s="13">
        <v>3086.7</v>
      </c>
      <c r="F236" s="13">
        <v>71</v>
      </c>
      <c r="G236" s="13">
        <v>44.7</v>
      </c>
      <c r="H236" s="13">
        <v>108</v>
      </c>
      <c r="I236" s="18">
        <v>6</v>
      </c>
      <c r="J236" s="5" t="s">
        <v>244</v>
      </c>
      <c r="K236" s="13">
        <v>140.80000000000001</v>
      </c>
      <c r="L236" s="13">
        <v>69.7</v>
      </c>
      <c r="M236" s="13">
        <v>11.8</v>
      </c>
      <c r="N236" s="19">
        <v>1703</v>
      </c>
      <c r="O236" s="13">
        <v>5</v>
      </c>
      <c r="P236" s="6">
        <v>8.4700000000000006</v>
      </c>
      <c r="Q236" s="5" t="s">
        <v>245</v>
      </c>
      <c r="R236" s="8" t="s">
        <v>246</v>
      </c>
    </row>
    <row r="237" spans="1:18" x14ac:dyDescent="0.3">
      <c r="A237" s="9" t="s">
        <v>492</v>
      </c>
      <c r="B237" s="33">
        <v>45342.833333333343</v>
      </c>
      <c r="C237" s="9" t="s">
        <v>4</v>
      </c>
      <c r="D237" s="14">
        <v>250.2</v>
      </c>
      <c r="E237" s="14">
        <v>3089</v>
      </c>
      <c r="F237" s="14">
        <v>71.900000000000006</v>
      </c>
      <c r="G237" s="14">
        <v>42.9</v>
      </c>
      <c r="H237" s="14">
        <v>95.9</v>
      </c>
      <c r="I237" s="20">
        <v>6</v>
      </c>
      <c r="J237" s="9" t="s">
        <v>244</v>
      </c>
      <c r="K237" s="14">
        <v>147.19999999999999</v>
      </c>
      <c r="L237" s="14">
        <v>70.099999999999994</v>
      </c>
      <c r="M237" s="14">
        <v>11.8</v>
      </c>
      <c r="N237" s="21">
        <v>1711</v>
      </c>
      <c r="O237" s="14">
        <v>4.9000000000000004</v>
      </c>
      <c r="P237" s="10">
        <v>8.74</v>
      </c>
      <c r="Q237" s="9" t="s">
        <v>245</v>
      </c>
      <c r="R237" s="12" t="s">
        <v>246</v>
      </c>
    </row>
    <row r="238" spans="1:18" x14ac:dyDescent="0.3">
      <c r="A238" s="5" t="s">
        <v>493</v>
      </c>
      <c r="B238" s="32">
        <v>45342.916666666657</v>
      </c>
      <c r="C238" s="5" t="s">
        <v>5</v>
      </c>
      <c r="D238" s="13">
        <v>237.8</v>
      </c>
      <c r="E238" s="13">
        <v>3069</v>
      </c>
      <c r="F238" s="13">
        <v>71.599999999999994</v>
      </c>
      <c r="G238" s="13">
        <v>45.4</v>
      </c>
      <c r="H238" s="13">
        <v>117.5</v>
      </c>
      <c r="I238" s="18">
        <v>6</v>
      </c>
      <c r="J238" s="5" t="s">
        <v>244</v>
      </c>
      <c r="K238" s="13">
        <v>144.19999999999999</v>
      </c>
      <c r="L238" s="13">
        <v>66.400000000000006</v>
      </c>
      <c r="M238" s="13">
        <v>12.8</v>
      </c>
      <c r="N238" s="19">
        <v>1766</v>
      </c>
      <c r="O238" s="13">
        <v>4.8</v>
      </c>
      <c r="P238" s="6">
        <v>8.42</v>
      </c>
      <c r="Q238" s="5" t="s">
        <v>245</v>
      </c>
      <c r="R238" s="8" t="s">
        <v>246</v>
      </c>
    </row>
    <row r="239" spans="1:18" x14ac:dyDescent="0.3">
      <c r="A239" s="9" t="s">
        <v>494</v>
      </c>
      <c r="B239" s="33">
        <v>45343</v>
      </c>
      <c r="C239" s="9" t="s">
        <v>5</v>
      </c>
      <c r="D239" s="14">
        <v>255.7</v>
      </c>
      <c r="E239" s="14">
        <v>3123.2</v>
      </c>
      <c r="F239" s="14">
        <v>71.2</v>
      </c>
      <c r="G239" s="14">
        <v>45.1</v>
      </c>
      <c r="H239" s="14">
        <v>110</v>
      </c>
      <c r="I239" s="20">
        <v>6</v>
      </c>
      <c r="J239" s="9" t="s">
        <v>244</v>
      </c>
      <c r="K239" s="14">
        <v>149.1</v>
      </c>
      <c r="L239" s="14">
        <v>68.400000000000006</v>
      </c>
      <c r="M239" s="14">
        <v>12.2</v>
      </c>
      <c r="N239" s="21">
        <v>1762</v>
      </c>
      <c r="O239" s="14">
        <v>4.4000000000000004</v>
      </c>
      <c r="P239" s="10">
        <v>8.69</v>
      </c>
      <c r="Q239" s="9" t="s">
        <v>245</v>
      </c>
      <c r="R239" s="12" t="s">
        <v>246</v>
      </c>
    </row>
    <row r="240" spans="1:18" x14ac:dyDescent="0.3">
      <c r="A240" s="5" t="s">
        <v>495</v>
      </c>
      <c r="B240" s="32">
        <v>45343.083333333343</v>
      </c>
      <c r="C240" s="5" t="s">
        <v>5</v>
      </c>
      <c r="D240" s="13">
        <v>241.8</v>
      </c>
      <c r="E240" s="13">
        <v>3137.3</v>
      </c>
      <c r="F240" s="13">
        <v>71.599999999999994</v>
      </c>
      <c r="G240" s="13">
        <v>45.8</v>
      </c>
      <c r="H240" s="13">
        <v>107.5</v>
      </c>
      <c r="I240" s="18">
        <v>6</v>
      </c>
      <c r="J240" s="5" t="s">
        <v>244</v>
      </c>
      <c r="K240" s="13">
        <v>140.69999999999999</v>
      </c>
      <c r="L240" s="13">
        <v>70.599999999999994</v>
      </c>
      <c r="M240" s="13">
        <v>13.7</v>
      </c>
      <c r="N240" s="19">
        <v>1750</v>
      </c>
      <c r="O240" s="13">
        <v>4.5999999999999996</v>
      </c>
      <c r="P240" s="6">
        <v>8.5399999999999991</v>
      </c>
      <c r="Q240" s="5" t="s">
        <v>245</v>
      </c>
      <c r="R240" s="8" t="s">
        <v>246</v>
      </c>
    </row>
    <row r="241" spans="1:18" x14ac:dyDescent="0.3">
      <c r="A241" s="9" t="s">
        <v>496</v>
      </c>
      <c r="B241" s="33">
        <v>45343.166666666657</v>
      </c>
      <c r="C241" s="9" t="s">
        <v>5</v>
      </c>
      <c r="D241" s="14">
        <v>250.9</v>
      </c>
      <c r="E241" s="14">
        <v>3075.4</v>
      </c>
      <c r="F241" s="14">
        <v>72.8</v>
      </c>
      <c r="G241" s="14">
        <v>44.9</v>
      </c>
      <c r="H241" s="14">
        <v>91.5</v>
      </c>
      <c r="I241" s="20">
        <v>6</v>
      </c>
      <c r="J241" s="9" t="s">
        <v>244</v>
      </c>
      <c r="K241" s="14">
        <v>146.19999999999999</v>
      </c>
      <c r="L241" s="14">
        <v>68</v>
      </c>
      <c r="M241" s="14">
        <v>12.4</v>
      </c>
      <c r="N241" s="21">
        <v>1707</v>
      </c>
      <c r="O241" s="14">
        <v>5</v>
      </c>
      <c r="P241" s="10">
        <v>8.82</v>
      </c>
      <c r="Q241" s="9" t="s">
        <v>245</v>
      </c>
      <c r="R241" s="12" t="s">
        <v>246</v>
      </c>
    </row>
    <row r="242" spans="1:18" x14ac:dyDescent="0.3">
      <c r="A242" s="5" t="s">
        <v>497</v>
      </c>
      <c r="B242" s="32">
        <v>45343.25</v>
      </c>
      <c r="C242" s="5" t="s">
        <v>3</v>
      </c>
      <c r="D242" s="13">
        <v>251.7</v>
      </c>
      <c r="E242" s="13">
        <v>3088.1</v>
      </c>
      <c r="F242" s="13">
        <v>71.8</v>
      </c>
      <c r="G242" s="13">
        <v>44.8</v>
      </c>
      <c r="H242" s="13">
        <v>101</v>
      </c>
      <c r="I242" s="18">
        <v>6</v>
      </c>
      <c r="J242" s="5" t="s">
        <v>244</v>
      </c>
      <c r="K242" s="13">
        <v>147</v>
      </c>
      <c r="L242" s="13">
        <v>69.2</v>
      </c>
      <c r="M242" s="13">
        <v>13.7</v>
      </c>
      <c r="N242" s="19">
        <v>1763</v>
      </c>
      <c r="O242" s="13">
        <v>4.5999999999999996</v>
      </c>
      <c r="P242" s="6">
        <v>8.76</v>
      </c>
      <c r="Q242" s="5" t="s">
        <v>245</v>
      </c>
      <c r="R242" s="8" t="s">
        <v>246</v>
      </c>
    </row>
    <row r="243" spans="1:18" x14ac:dyDescent="0.3">
      <c r="A243" s="9" t="s">
        <v>498</v>
      </c>
      <c r="B243" s="33">
        <v>45343.333333333343</v>
      </c>
      <c r="C243" s="9" t="s">
        <v>3</v>
      </c>
      <c r="D243" s="14">
        <v>244.3</v>
      </c>
      <c r="E243" s="14">
        <v>3124.4</v>
      </c>
      <c r="F243" s="14">
        <v>71.5</v>
      </c>
      <c r="G243" s="14">
        <v>44</v>
      </c>
      <c r="H243" s="14">
        <v>106.4</v>
      </c>
      <c r="I243" s="20">
        <v>6</v>
      </c>
      <c r="J243" s="9" t="s">
        <v>244</v>
      </c>
      <c r="K243" s="14">
        <v>135.6</v>
      </c>
      <c r="L243" s="14">
        <v>65.900000000000006</v>
      </c>
      <c r="M243" s="14">
        <v>12.4</v>
      </c>
      <c r="N243" s="21">
        <v>1722</v>
      </c>
      <c r="O243" s="14">
        <v>4.7</v>
      </c>
      <c r="P243" s="10">
        <v>8.2799999999999994</v>
      </c>
      <c r="Q243" s="9" t="s">
        <v>245</v>
      </c>
      <c r="R243" s="12" t="s">
        <v>246</v>
      </c>
    </row>
    <row r="244" spans="1:18" x14ac:dyDescent="0.3">
      <c r="A244" s="5" t="s">
        <v>499</v>
      </c>
      <c r="B244" s="32">
        <v>45343.416666666657</v>
      </c>
      <c r="C244" s="5" t="s">
        <v>3</v>
      </c>
      <c r="D244" s="13">
        <v>245.1</v>
      </c>
      <c r="E244" s="13">
        <v>3113.7</v>
      </c>
      <c r="F244" s="13">
        <v>72.099999999999994</v>
      </c>
      <c r="G244" s="13">
        <v>44.8</v>
      </c>
      <c r="H244" s="13">
        <v>110.8</v>
      </c>
      <c r="I244" s="18">
        <v>6</v>
      </c>
      <c r="J244" s="5" t="s">
        <v>244</v>
      </c>
      <c r="K244" s="13">
        <v>146.4</v>
      </c>
      <c r="L244" s="13">
        <v>67.400000000000006</v>
      </c>
      <c r="M244" s="13">
        <v>12.3</v>
      </c>
      <c r="N244" s="19">
        <v>1670</v>
      </c>
      <c r="O244" s="13">
        <v>4.8</v>
      </c>
      <c r="P244" s="6">
        <v>8.82</v>
      </c>
      <c r="Q244" s="5" t="s">
        <v>245</v>
      </c>
      <c r="R244" s="8" t="s">
        <v>246</v>
      </c>
    </row>
    <row r="245" spans="1:18" x14ac:dyDescent="0.3">
      <c r="A245" s="9" t="s">
        <v>500</v>
      </c>
      <c r="B245" s="33">
        <v>45343.5</v>
      </c>
      <c r="C245" s="9" t="s">
        <v>3</v>
      </c>
      <c r="D245" s="14">
        <v>254.1</v>
      </c>
      <c r="E245" s="14">
        <v>3149.1</v>
      </c>
      <c r="F245" s="14">
        <v>71.599999999999994</v>
      </c>
      <c r="G245" s="14">
        <v>45.9</v>
      </c>
      <c r="H245" s="14">
        <v>104</v>
      </c>
      <c r="I245" s="20">
        <v>6</v>
      </c>
      <c r="J245" s="9" t="s">
        <v>244</v>
      </c>
      <c r="K245" s="14">
        <v>150.19999999999999</v>
      </c>
      <c r="L245" s="14">
        <v>68.5</v>
      </c>
      <c r="M245" s="14">
        <v>13.1</v>
      </c>
      <c r="N245" s="21">
        <v>1771</v>
      </c>
      <c r="O245" s="14">
        <v>4.7</v>
      </c>
      <c r="P245" s="10">
        <v>8.64</v>
      </c>
      <c r="Q245" s="9" t="s">
        <v>245</v>
      </c>
      <c r="R245" s="12" t="s">
        <v>246</v>
      </c>
    </row>
    <row r="246" spans="1:18" x14ac:dyDescent="0.3">
      <c r="A246" s="5" t="s">
        <v>501</v>
      </c>
      <c r="B246" s="32">
        <v>45343.583333333343</v>
      </c>
      <c r="C246" s="5" t="s">
        <v>4</v>
      </c>
      <c r="D246" s="13">
        <v>257.7</v>
      </c>
      <c r="E246" s="13">
        <v>3095.3</v>
      </c>
      <c r="F246" s="13">
        <v>71</v>
      </c>
      <c r="G246" s="13">
        <v>46.5</v>
      </c>
      <c r="H246" s="13">
        <v>102.7</v>
      </c>
      <c r="I246" s="18">
        <v>6</v>
      </c>
      <c r="J246" s="5" t="s">
        <v>244</v>
      </c>
      <c r="K246" s="13">
        <v>145.6</v>
      </c>
      <c r="L246" s="13">
        <v>70.2</v>
      </c>
      <c r="M246" s="13">
        <v>12</v>
      </c>
      <c r="N246" s="19">
        <v>1684</v>
      </c>
      <c r="O246" s="13">
        <v>4.9000000000000004</v>
      </c>
      <c r="P246" s="6">
        <v>8.24</v>
      </c>
      <c r="Q246" s="5" t="s">
        <v>245</v>
      </c>
      <c r="R246" s="8" t="s">
        <v>246</v>
      </c>
    </row>
    <row r="247" spans="1:18" x14ac:dyDescent="0.3">
      <c r="A247" s="9" t="s">
        <v>502</v>
      </c>
      <c r="B247" s="33">
        <v>45343.666666666657</v>
      </c>
      <c r="C247" s="9" t="s">
        <v>4</v>
      </c>
      <c r="D247" s="14">
        <v>248.3</v>
      </c>
      <c r="E247" s="14">
        <v>3108.6</v>
      </c>
      <c r="F247" s="14">
        <v>71.599999999999994</v>
      </c>
      <c r="G247" s="14">
        <v>43.6</v>
      </c>
      <c r="H247" s="14">
        <v>113</v>
      </c>
      <c r="I247" s="20">
        <v>6</v>
      </c>
      <c r="J247" s="9" t="s">
        <v>244</v>
      </c>
      <c r="K247" s="14">
        <v>145.4</v>
      </c>
      <c r="L247" s="14">
        <v>70.599999999999994</v>
      </c>
      <c r="M247" s="14">
        <v>12.3</v>
      </c>
      <c r="N247" s="21">
        <v>1689</v>
      </c>
      <c r="O247" s="14">
        <v>4.9000000000000004</v>
      </c>
      <c r="P247" s="10">
        <v>8.56</v>
      </c>
      <c r="Q247" s="9" t="s">
        <v>245</v>
      </c>
      <c r="R247" s="12" t="s">
        <v>246</v>
      </c>
    </row>
    <row r="248" spans="1:18" x14ac:dyDescent="0.3">
      <c r="A248" s="5" t="s">
        <v>503</v>
      </c>
      <c r="B248" s="32">
        <v>45343.75</v>
      </c>
      <c r="C248" s="5" t="s">
        <v>4</v>
      </c>
      <c r="D248" s="13">
        <v>242.9</v>
      </c>
      <c r="E248" s="13">
        <v>3151.4</v>
      </c>
      <c r="F248" s="13">
        <v>71.400000000000006</v>
      </c>
      <c r="G248" s="13">
        <v>43.3</v>
      </c>
      <c r="H248" s="13">
        <v>111.6</v>
      </c>
      <c r="I248" s="18">
        <v>6</v>
      </c>
      <c r="J248" s="5" t="s">
        <v>244</v>
      </c>
      <c r="K248" s="13">
        <v>143.19999999999999</v>
      </c>
      <c r="L248" s="13">
        <v>67.599999999999994</v>
      </c>
      <c r="M248" s="13">
        <v>11.1</v>
      </c>
      <c r="N248" s="19">
        <v>1780</v>
      </c>
      <c r="O248" s="13">
        <v>4.4000000000000004</v>
      </c>
      <c r="P248" s="6">
        <v>8.61</v>
      </c>
      <c r="Q248" s="5" t="s">
        <v>245</v>
      </c>
      <c r="R248" s="8" t="s">
        <v>246</v>
      </c>
    </row>
    <row r="249" spans="1:18" x14ac:dyDescent="0.3">
      <c r="A249" s="9" t="s">
        <v>504</v>
      </c>
      <c r="B249" s="33">
        <v>45343.833333333343</v>
      </c>
      <c r="C249" s="9" t="s">
        <v>4</v>
      </c>
      <c r="D249" s="14">
        <v>255.5</v>
      </c>
      <c r="E249" s="14">
        <v>3114.8</v>
      </c>
      <c r="F249" s="14">
        <v>71.8</v>
      </c>
      <c r="G249" s="14">
        <v>43.4</v>
      </c>
      <c r="H249" s="14">
        <v>101</v>
      </c>
      <c r="I249" s="20">
        <v>6</v>
      </c>
      <c r="J249" s="9" t="s">
        <v>244</v>
      </c>
      <c r="K249" s="14">
        <v>145.69999999999999</v>
      </c>
      <c r="L249" s="14">
        <v>67.3</v>
      </c>
      <c r="M249" s="14">
        <v>12.7</v>
      </c>
      <c r="N249" s="21">
        <v>1743</v>
      </c>
      <c r="O249" s="14">
        <v>5.0999999999999996</v>
      </c>
      <c r="P249" s="10">
        <v>8.35</v>
      </c>
      <c r="Q249" s="9" t="s">
        <v>245</v>
      </c>
      <c r="R249" s="12" t="s">
        <v>246</v>
      </c>
    </row>
    <row r="250" spans="1:18" x14ac:dyDescent="0.3">
      <c r="A250" s="5" t="s">
        <v>505</v>
      </c>
      <c r="B250" s="32">
        <v>45343.916666666657</v>
      </c>
      <c r="C250" s="5" t="s">
        <v>5</v>
      </c>
      <c r="D250" s="13">
        <v>263.2</v>
      </c>
      <c r="E250" s="13">
        <v>3126.9</v>
      </c>
      <c r="F250" s="13">
        <v>71.8</v>
      </c>
      <c r="G250" s="13">
        <v>45.7</v>
      </c>
      <c r="H250" s="13">
        <v>116.8</v>
      </c>
      <c r="I250" s="18">
        <v>6</v>
      </c>
      <c r="J250" s="5" t="s">
        <v>244</v>
      </c>
      <c r="K250" s="13">
        <v>140</v>
      </c>
      <c r="L250" s="13">
        <v>68.2</v>
      </c>
      <c r="M250" s="13">
        <v>10.6</v>
      </c>
      <c r="N250" s="19">
        <v>1726</v>
      </c>
      <c r="O250" s="13">
        <v>4.9000000000000004</v>
      </c>
      <c r="P250" s="6">
        <v>8.59</v>
      </c>
      <c r="Q250" s="5" t="s">
        <v>245</v>
      </c>
      <c r="R250" s="8" t="s">
        <v>246</v>
      </c>
    </row>
    <row r="251" spans="1:18" x14ac:dyDescent="0.3">
      <c r="A251" s="9" t="s">
        <v>506</v>
      </c>
      <c r="B251" s="33">
        <v>45344</v>
      </c>
      <c r="C251" s="9" t="s">
        <v>5</v>
      </c>
      <c r="D251" s="14">
        <v>246.1</v>
      </c>
      <c r="E251" s="14">
        <v>3028.3</v>
      </c>
      <c r="F251" s="14">
        <v>72</v>
      </c>
      <c r="G251" s="14">
        <v>46</v>
      </c>
      <c r="H251" s="14">
        <v>102</v>
      </c>
      <c r="I251" s="20">
        <v>6</v>
      </c>
      <c r="J251" s="9" t="s">
        <v>244</v>
      </c>
      <c r="K251" s="14">
        <v>146.5</v>
      </c>
      <c r="L251" s="14">
        <v>66.099999999999994</v>
      </c>
      <c r="M251" s="14">
        <v>12.9</v>
      </c>
      <c r="N251" s="21">
        <v>1706</v>
      </c>
      <c r="O251" s="14">
        <v>4.5999999999999996</v>
      </c>
      <c r="P251" s="10">
        <v>8.4499999999999993</v>
      </c>
      <c r="Q251" s="9" t="s">
        <v>245</v>
      </c>
      <c r="R251" s="12" t="s">
        <v>246</v>
      </c>
    </row>
  </sheetData>
  <autoFilter ref="A1:R251" xr:uid="{00000000-0009-0000-0000-000004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Ch02_Grinding_Mill_Energy</vt:lpstr>
      <vt:lpstr>Ch02_Cyclone_PSD_Tromp</vt:lpstr>
      <vt:lpstr>Ch02_Shift_KPI_Monitoring_SPC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Amin Hadi</cp:lastModifiedBy>
  <dcterms:created xsi:type="dcterms:W3CDTF">2026-10-02T05:58:06Z</dcterms:created>
  <dcterms:modified xsi:type="dcterms:W3CDTF">2026-10-04T08:20:31Z</dcterms:modified>
</cp:coreProperties>
</file>