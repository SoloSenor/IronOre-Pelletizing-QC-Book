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C\Downloads\"/>
    </mc:Choice>
  </mc:AlternateContent>
  <xr:revisionPtr revIDLastSave="0" documentId="13_ncr:1_{4DF57171-974F-4D46-95DD-C8DC7A5497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Process_Hourly" sheetId="1" r:id="rId1"/>
    <sheet name="Fact_QC_Samples" sheetId="2" r:id="rId2"/>
    <sheet name="Ergun_Equation_Lab" sheetId="3" r:id="rId3"/>
    <sheet name="Dim_Zones_Campaigns" sheetId="4" r:id="rId4"/>
  </sheets>
  <definedNames>
    <definedName name="dp">Ergun_Equation_Lab!$A$8</definedName>
    <definedName name="L">Ergun_Equation_Lab!$A$10</definedName>
    <definedName name="vs">Ergun_Equation_Lab!$A$9</definedName>
    <definedName name="ε">Ergun_Equation_Lab!$A$6</definedName>
    <definedName name="μg">Ergun_Equation_Lab!$A$4</definedName>
    <definedName name="ρg">Ergun_Equation_Lab!$A$5</definedName>
    <definedName name="ϕ">Ergun_Equation_Lab!$A$7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 a="1"/>
  <c r="R3" i="1" a="1"/>
  <c r="R4" i="1" a="1"/>
  <c r="R5" i="1" a="1"/>
  <c r="R6" i="1" a="1"/>
  <c r="R7" i="1" a="1"/>
  <c r="R8" i="1" a="1"/>
  <c r="R9" i="1" a="1"/>
  <c r="R10" i="1" a="1"/>
  <c r="R11" i="1" a="1"/>
  <c r="R12" i="1" a="1"/>
  <c r="R13" i="1" a="1"/>
  <c r="R14" i="1" a="1"/>
  <c r="R15" i="1" a="1"/>
  <c r="R16" i="1" a="1"/>
  <c r="R17" i="1" a="1"/>
  <c r="R18" i="1" a="1"/>
  <c r="R19" i="1" a="1"/>
  <c r="R20" i="1" a="1"/>
  <c r="R21" i="1" a="1"/>
  <c r="R22" i="1" a="1"/>
  <c r="R23" i="1" a="1"/>
  <c r="R24" i="1" a="1"/>
  <c r="R25" i="1" a="1"/>
  <c r="R26" i="1" a="1"/>
  <c r="R27" i="1" a="1"/>
  <c r="R28" i="1" a="1"/>
  <c r="R29" i="1" a="1"/>
  <c r="R30" i="1" a="1"/>
  <c r="R31" i="1" a="1"/>
  <c r="R32" i="1" a="1"/>
  <c r="R33" i="1" a="1"/>
  <c r="R34" i="1" a="1"/>
  <c r="R35" i="1" a="1"/>
  <c r="R36" i="1" a="1"/>
  <c r="R37" i="1" a="1"/>
  <c r="R38" i="1" a="1"/>
  <c r="R39" i="1" a="1"/>
  <c r="R40" i="1" a="1"/>
  <c r="R41" i="1" a="1"/>
  <c r="R42" i="1" a="1"/>
  <c r="R43" i="1" a="1"/>
  <c r="R44" i="1" a="1"/>
  <c r="R45" i="1" a="1"/>
  <c r="R46" i="1" a="1"/>
  <c r="R47" i="1" a="1"/>
  <c r="R48" i="1" a="1"/>
  <c r="R49" i="1" a="1"/>
  <c r="R50" i="1" a="1"/>
  <c r="R51" i="1" a="1"/>
  <c r="R52" i="1" a="1"/>
  <c r="R53" i="1" a="1"/>
  <c r="R54" i="1" a="1"/>
  <c r="R55" i="1" a="1"/>
  <c r="R56" i="1" a="1"/>
  <c r="R57" i="1" a="1"/>
  <c r="R58" i="1" a="1"/>
  <c r="R59" i="1" a="1"/>
  <c r="R60" i="1" a="1"/>
  <c r="R61" i="1" a="1"/>
  <c r="R62" i="1" a="1"/>
  <c r="R63" i="1" a="1"/>
  <c r="R64" i="1" a="1"/>
  <c r="R65" i="1" a="1"/>
  <c r="R66" i="1" a="1"/>
  <c r="R67" i="1" a="1"/>
  <c r="R68" i="1" a="1"/>
  <c r="R69" i="1" a="1"/>
  <c r="R70" i="1" a="1"/>
  <c r="R71" i="1" a="1"/>
  <c r="R72" i="1" a="1"/>
  <c r="R73" i="1" a="1"/>
  <c r="R74" i="1" a="1"/>
  <c r="R75" i="1" a="1"/>
  <c r="R76" i="1" a="1"/>
  <c r="R77" i="1" a="1"/>
  <c r="R78" i="1" a="1"/>
  <c r="R79" i="1" a="1"/>
  <c r="R80" i="1" a="1"/>
  <c r="R81" i="1" a="1"/>
  <c r="R82" i="1" a="1"/>
  <c r="R83" i="1" a="1"/>
  <c r="R84" i="1" a="1"/>
  <c r="R85" i="1" a="1"/>
  <c r="R86" i="1" a="1"/>
  <c r="R87" i="1" a="1"/>
  <c r="R88" i="1" a="1"/>
  <c r="R89" i="1" a="1"/>
  <c r="R90" i="1" a="1"/>
  <c r="R91" i="1" a="1"/>
  <c r="R92" i="1" a="1"/>
  <c r="R93" i="1" a="1"/>
  <c r="R94" i="1" a="1"/>
  <c r="R95" i="1" a="1"/>
  <c r="R96" i="1" a="1"/>
  <c r="R97" i="1" a="1"/>
  <c r="R98" i="1" a="1"/>
  <c r="R99" i="1" a="1"/>
  <c r="R100" i="1" a="1"/>
  <c r="R101" i="1" a="1"/>
  <c r="R102" i="1" a="1"/>
  <c r="R103" i="1" a="1"/>
  <c r="R104" i="1" a="1"/>
  <c r="R105" i="1" a="1"/>
  <c r="R106" i="1" a="1"/>
  <c r="R107" i="1" a="1"/>
  <c r="R108" i="1" a="1"/>
  <c r="R109" i="1" a="1"/>
  <c r="R110" i="1" a="1"/>
  <c r="R111" i="1" a="1"/>
  <c r="R112" i="1" a="1"/>
  <c r="R113" i="1" a="1"/>
  <c r="R114" i="1" a="1"/>
  <c r="R115" i="1" a="1"/>
  <c r="R116" i="1" a="1"/>
  <c r="R117" i="1" a="1"/>
  <c r="R118" i="1" a="1"/>
  <c r="R119" i="1" a="1"/>
  <c r="R120" i="1" a="1"/>
  <c r="R121" i="1" a="1"/>
  <c r="R122" i="1" a="1"/>
  <c r="R123" i="1" a="1"/>
  <c r="R124" i="1" a="1"/>
  <c r="R125" i="1" a="1"/>
  <c r="R126" i="1" a="1"/>
  <c r="R127" i="1" a="1"/>
  <c r="R128" i="1" a="1"/>
  <c r="R129" i="1" a="1"/>
  <c r="R130" i="1" a="1"/>
  <c r="R131" i="1" a="1"/>
  <c r="R132" i="1" a="1"/>
  <c r="R133" i="1" a="1"/>
  <c r="R134" i="1" a="1"/>
  <c r="R135" i="1" a="1"/>
  <c r="R136" i="1" a="1"/>
  <c r="R137" i="1" a="1"/>
  <c r="R138" i="1" a="1"/>
  <c r="R139" i="1" a="1"/>
  <c r="R140" i="1" a="1"/>
  <c r="R141" i="1" a="1"/>
  <c r="R142" i="1" a="1"/>
  <c r="R143" i="1" a="1"/>
  <c r="R144" i="1" a="1"/>
  <c r="R145" i="1" a="1"/>
  <c r="R146" i="1" a="1"/>
  <c r="R147" i="1" a="1"/>
  <c r="R148" i="1" a="1"/>
  <c r="R149" i="1" a="1"/>
  <c r="R150" i="1" a="1"/>
  <c r="R151" i="1" a="1"/>
  <c r="R152" i="1" a="1"/>
  <c r="R153" i="1" a="1"/>
  <c r="R154" i="1" a="1"/>
  <c r="R155" i="1" a="1"/>
  <c r="R156" i="1" a="1"/>
  <c r="R157" i="1" a="1"/>
  <c r="R158" i="1" a="1"/>
  <c r="R159" i="1" a="1"/>
  <c r="R160" i="1" a="1"/>
  <c r="R161" i="1" a="1"/>
  <c r="R162" i="1" a="1"/>
  <c r="R163" i="1" a="1"/>
  <c r="R164" i="1" a="1"/>
  <c r="R165" i="1" a="1"/>
  <c r="R166" i="1" a="1"/>
  <c r="R167" i="1" a="1"/>
  <c r="R168" i="1" a="1"/>
  <c r="R169" i="1" a="1"/>
  <c r="R170" i="1" a="1"/>
  <c r="R171" i="1" a="1"/>
  <c r="R172" i="1" a="1"/>
  <c r="R173" i="1" a="1"/>
  <c r="R174" i="1" a="1"/>
  <c r="R175" i="1" a="1"/>
  <c r="R176" i="1" a="1"/>
  <c r="R177" i="1" a="1"/>
  <c r="R178" i="1" a="1"/>
  <c r="R179" i="1" a="1"/>
  <c r="R180" i="1" a="1"/>
  <c r="R181" i="1" a="1"/>
  <c r="R182" i="1" a="1"/>
  <c r="R183" i="1" a="1"/>
  <c r="R184" i="1" a="1"/>
  <c r="R185" i="1" a="1"/>
  <c r="R186" i="1" a="1"/>
  <c r="R187" i="1" a="1"/>
  <c r="R188" i="1" a="1"/>
  <c r="R189" i="1" a="1"/>
  <c r="R190" i="1" a="1"/>
  <c r="R191" i="1" a="1"/>
  <c r="R192" i="1" a="1"/>
  <c r="R193" i="1" a="1"/>
  <c r="R194" i="1" a="1"/>
  <c r="R195" i="1" a="1"/>
  <c r="R196" i="1" a="1"/>
  <c r="R197" i="1" a="1"/>
  <c r="R198" i="1" a="1"/>
  <c r="R199" i="1" a="1"/>
  <c r="R200" i="1" a="1"/>
  <c r="R201" i="1" a="1"/>
  <c r="R202" i="1" a="1"/>
  <c r="R203" i="1" a="1"/>
  <c r="R204" i="1" a="1"/>
  <c r="R205" i="1" a="1"/>
  <c r="R206" i="1" a="1"/>
  <c r="R207" i="1" a="1"/>
  <c r="R208" i="1" a="1"/>
  <c r="R209" i="1" a="1"/>
  <c r="R210" i="1" a="1"/>
  <c r="R211" i="1" a="1"/>
  <c r="R212" i="1" a="1"/>
  <c r="R213" i="1" a="1"/>
  <c r="R214" i="1" a="1"/>
  <c r="R215" i="1" a="1"/>
  <c r="R216" i="1" a="1"/>
  <c r="R217" i="1" a="1"/>
  <c r="R218" i="1" a="1"/>
  <c r="R219" i="1" a="1"/>
  <c r="R220" i="1" a="1"/>
  <c r="R221" i="1" a="1"/>
  <c r="R222" i="1" a="1"/>
  <c r="R223" i="1" a="1"/>
  <c r="R224" i="1" a="1"/>
  <c r="R225" i="1" a="1"/>
  <c r="R226" i="1" a="1"/>
  <c r="R227" i="1" a="1"/>
  <c r="R228" i="1" a="1"/>
  <c r="R229" i="1" a="1"/>
  <c r="R230" i="1" a="1"/>
  <c r="R231" i="1" a="1"/>
  <c r="R232" i="1" a="1"/>
  <c r="R233" i="1" a="1"/>
  <c r="R234" i="1" a="1"/>
  <c r="R235" i="1" a="1"/>
  <c r="R236" i="1" a="1"/>
  <c r="R237" i="1" a="1"/>
  <c r="R238" i="1" a="1"/>
  <c r="R239" i="1" a="1"/>
  <c r="R240" i="1" a="1"/>
  <c r="R241" i="1" a="1"/>
  <c r="R242" i="1" a="1"/>
  <c r="R243" i="1" a="1"/>
  <c r="R244" i="1" a="1"/>
  <c r="R245" i="1" a="1"/>
  <c r="R246" i="1" a="1"/>
  <c r="R247" i="1" a="1"/>
  <c r="R248" i="1" a="1"/>
  <c r="R249" i="1" a="1"/>
  <c r="R250" i="1" a="1"/>
  <c r="R251" i="1" a="1"/>
  <c r="R252" i="1" a="1"/>
  <c r="R253" i="1" a="1"/>
  <c r="R254" i="1" a="1"/>
  <c r="R255" i="1" a="1"/>
  <c r="R256" i="1" a="1"/>
  <c r="R257" i="1" a="1"/>
  <c r="R258" i="1" a="1"/>
  <c r="R259" i="1" a="1"/>
  <c r="R260" i="1" a="1"/>
  <c r="R261" i="1" a="1"/>
  <c r="R262" i="1" a="1"/>
  <c r="R263" i="1" a="1"/>
  <c r="R264" i="1" a="1"/>
  <c r="R265" i="1" a="1"/>
  <c r="R266" i="1" a="1"/>
  <c r="R267" i="1" a="1"/>
  <c r="R268" i="1" a="1"/>
  <c r="R269" i="1" a="1"/>
  <c r="R270" i="1" a="1"/>
  <c r="R271" i="1" a="1"/>
  <c r="R272" i="1" a="1"/>
  <c r="R273" i="1" a="1"/>
  <c r="R274" i="1" a="1"/>
  <c r="R275" i="1" a="1"/>
  <c r="R276" i="1" a="1"/>
  <c r="R277" i="1" a="1"/>
  <c r="R278" i="1" a="1"/>
  <c r="R279" i="1" a="1"/>
  <c r="R280" i="1" a="1"/>
  <c r="R281" i="1" a="1"/>
  <c r="R282" i="1" a="1"/>
  <c r="R283" i="1" a="1"/>
  <c r="R284" i="1" a="1"/>
  <c r="R285" i="1" a="1"/>
  <c r="R286" i="1" a="1"/>
  <c r="R287" i="1" a="1"/>
  <c r="R288" i="1" a="1"/>
  <c r="R289" i="1" a="1"/>
  <c r="R290" i="1" a="1"/>
  <c r="R291" i="1" a="1"/>
  <c r="R292" i="1" a="1"/>
  <c r="R293" i="1" a="1"/>
  <c r="R294" i="1" a="1"/>
  <c r="R295" i="1" a="1"/>
  <c r="R296" i="1" a="1"/>
  <c r="R297" i="1" a="1"/>
  <c r="R298" i="1" a="1"/>
  <c r="R299" i="1" a="1"/>
  <c r="R300" i="1" a="1"/>
  <c r="R301" i="1" a="1"/>
  <c r="R302" i="1" a="1"/>
  <c r="R303" i="1" a="1"/>
  <c r="R304" i="1" a="1"/>
  <c r="R305" i="1" a="1"/>
  <c r="R306" i="1" a="1"/>
  <c r="R307" i="1" a="1"/>
  <c r="R308" i="1" a="1"/>
  <c r="R309" i="1" a="1"/>
  <c r="R310" i="1" a="1"/>
  <c r="R311" i="1" a="1"/>
  <c r="R312" i="1" a="1"/>
  <c r="R313" i="1" a="1"/>
  <c r="R314" i="1" a="1"/>
  <c r="R315" i="1" a="1"/>
  <c r="R316" i="1" a="1"/>
  <c r="R317" i="1" a="1"/>
  <c r="R318" i="1" a="1"/>
  <c r="R319" i="1" a="1"/>
  <c r="R320" i="1" a="1"/>
  <c r="R321" i="1" a="1"/>
  <c r="R322" i="1" a="1"/>
  <c r="R323" i="1" a="1"/>
  <c r="R324" i="1" a="1"/>
  <c r="R325" i="1" a="1"/>
  <c r="R326" i="1" a="1"/>
  <c r="R327" i="1" a="1"/>
  <c r="R328" i="1" a="1"/>
  <c r="R329" i="1" a="1"/>
  <c r="R330" i="1" a="1"/>
  <c r="R331" i="1" a="1"/>
  <c r="R332" i="1" a="1"/>
  <c r="R333" i="1" a="1"/>
  <c r="R334" i="1" a="1"/>
  <c r="R335" i="1" a="1"/>
  <c r="R336" i="1" a="1"/>
  <c r="R337" i="1" a="1"/>
  <c r="R338" i="1" a="1"/>
  <c r="R339" i="1" a="1"/>
  <c r="R340" i="1" a="1"/>
  <c r="R341" i="1" a="1"/>
  <c r="R342" i="1" a="1"/>
  <c r="R343" i="1" a="1"/>
  <c r="R344" i="1" a="1"/>
  <c r="R345" i="1" a="1"/>
  <c r="R346" i="1" a="1"/>
  <c r="R347" i="1" a="1"/>
  <c r="R348" i="1" a="1"/>
  <c r="R349" i="1" a="1"/>
  <c r="R350" i="1" a="1"/>
  <c r="R351" i="1" a="1"/>
  <c r="R352" i="1" a="1"/>
  <c r="R353" i="1" a="1"/>
  <c r="R354" i="1" a="1"/>
  <c r="R355" i="1" a="1"/>
  <c r="R356" i="1" a="1"/>
  <c r="R357" i="1" a="1"/>
  <c r="R358" i="1" a="1"/>
  <c r="R359" i="1" a="1"/>
  <c r="R360" i="1" a="1"/>
  <c r="R361" i="1" a="1"/>
  <c r="R362" i="1" a="1"/>
  <c r="R363" i="1" a="1"/>
  <c r="R364" i="1" a="1"/>
  <c r="R365" i="1" a="1"/>
  <c r="R366" i="1" a="1"/>
  <c r="R367" i="1" a="1"/>
  <c r="R368" i="1" a="1"/>
  <c r="R369" i="1" a="1"/>
  <c r="R370" i="1" a="1"/>
  <c r="R371" i="1" a="1"/>
  <c r="R372" i="1" a="1"/>
  <c r="R373" i="1" a="1"/>
  <c r="R374" i="1" a="1"/>
  <c r="R375" i="1" a="1"/>
  <c r="R376" i="1" a="1"/>
  <c r="R377" i="1" a="1"/>
  <c r="R378" i="1" a="1"/>
  <c r="R379" i="1" a="1"/>
  <c r="R380" i="1" a="1"/>
  <c r="R381" i="1" a="1"/>
  <c r="R382" i="1" a="1"/>
  <c r="R383" i="1" a="1"/>
  <c r="R384" i="1" a="1"/>
  <c r="R385" i="1" a="1"/>
  <c r="R386" i="1" a="1"/>
  <c r="R387" i="1" a="1"/>
  <c r="R388" i="1" a="1"/>
  <c r="R389" i="1" a="1"/>
  <c r="R390" i="1" a="1"/>
  <c r="R391" i="1" a="1"/>
  <c r="R392" i="1" a="1"/>
  <c r="R393" i="1" a="1"/>
  <c r="R394" i="1" a="1"/>
  <c r="R395" i="1" a="1"/>
  <c r="R396" i="1" a="1"/>
  <c r="R397" i="1" a="1"/>
  <c r="R398" i="1" a="1"/>
  <c r="R399" i="1" a="1"/>
  <c r="R400" i="1" a="1"/>
  <c r="R401" i="1" a="1"/>
  <c r="R402" i="1" a="1"/>
  <c r="R403" i="1" a="1"/>
  <c r="R404" i="1" a="1"/>
  <c r="R405" i="1" a="1"/>
  <c r="R406" i="1" a="1"/>
  <c r="R407" i="1" a="1"/>
  <c r="R408" i="1" a="1"/>
  <c r="R409" i="1" a="1"/>
  <c r="R410" i="1" a="1"/>
  <c r="R411" i="1" a="1"/>
  <c r="R412" i="1" a="1"/>
  <c r="R413" i="1" a="1"/>
  <c r="R414" i="1" a="1"/>
  <c r="R415" i="1" a="1"/>
  <c r="R416" i="1" a="1"/>
  <c r="R417" i="1" a="1"/>
  <c r="R418" i="1" a="1"/>
  <c r="R419" i="1" a="1"/>
  <c r="R420" i="1" a="1"/>
  <c r="R421" i="1" a="1"/>
  <c r="R422" i="1" a="1"/>
  <c r="R423" i="1" a="1"/>
  <c r="R424" i="1" a="1"/>
  <c r="R425" i="1" a="1"/>
  <c r="R426" i="1" a="1"/>
  <c r="R427" i="1" a="1"/>
  <c r="R428" i="1" a="1"/>
  <c r="R429" i="1" a="1"/>
  <c r="R430" i="1" a="1"/>
  <c r="R431" i="1" a="1"/>
  <c r="R432" i="1" a="1"/>
  <c r="R433" i="1" a="1"/>
  <c r="R434" i="1" a="1"/>
  <c r="R435" i="1" a="1"/>
  <c r="R436" i="1" a="1"/>
  <c r="R437" i="1" a="1"/>
  <c r="R438" i="1" a="1"/>
  <c r="R439" i="1" a="1"/>
  <c r="R440" i="1" a="1"/>
  <c r="R441" i="1" a="1"/>
  <c r="R442" i="1" a="1"/>
  <c r="R443" i="1" a="1"/>
  <c r="R444" i="1" a="1"/>
  <c r="R445" i="1" a="1"/>
  <c r="R446" i="1" a="1"/>
  <c r="R447" i="1" a="1"/>
  <c r="R448" i="1" a="1"/>
  <c r="R449" i="1" a="1"/>
  <c r="R450" i="1" a="1"/>
  <c r="R451" i="1" a="1"/>
  <c r="R452" i="1" a="1"/>
  <c r="R453" i="1" a="1"/>
  <c r="R454" i="1" a="1"/>
  <c r="R455" i="1" a="1"/>
  <c r="R456" i="1" a="1"/>
  <c r="R457" i="1" a="1"/>
  <c r="R458" i="1" a="1"/>
  <c r="R459" i="1" a="1"/>
  <c r="R460" i="1" a="1"/>
  <c r="R461" i="1" a="1"/>
  <c r="R462" i="1" a="1"/>
  <c r="R463" i="1" a="1"/>
  <c r="R464" i="1" a="1"/>
  <c r="R465" i="1" a="1"/>
  <c r="R466" i="1" a="1"/>
  <c r="R467" i="1" a="1"/>
  <c r="R468" i="1" a="1"/>
  <c r="R469" i="1" a="1"/>
  <c r="R470" i="1" a="1"/>
  <c r="R471" i="1" a="1"/>
  <c r="R472" i="1" a="1"/>
  <c r="R473" i="1" a="1"/>
  <c r="R474" i="1" a="1"/>
  <c r="R475" i="1" a="1"/>
  <c r="R476" i="1" a="1"/>
  <c r="R477" i="1" a="1"/>
  <c r="R478" i="1" a="1"/>
  <c r="R479" i="1" a="1"/>
  <c r="R480" i="1" a="1"/>
  <c r="R481" i="1" a="1"/>
  <c r="R482" i="1" a="1"/>
  <c r="R483" i="1" a="1"/>
  <c r="R484" i="1" a="1"/>
  <c r="R485" i="1" a="1"/>
  <c r="R486" i="1" a="1"/>
  <c r="R487" i="1" a="1"/>
  <c r="R488" i="1" a="1"/>
  <c r="R489" i="1" a="1"/>
  <c r="R490" i="1" a="1"/>
  <c r="R491" i="1" a="1"/>
  <c r="R492" i="1" a="1"/>
  <c r="R493" i="1" a="1"/>
  <c r="R494" i="1" a="1"/>
  <c r="R495" i="1" a="1"/>
  <c r="R496" i="1" a="1"/>
  <c r="R497" i="1" a="1"/>
  <c r="R498" i="1" a="1"/>
  <c r="R499" i="1" a="1"/>
  <c r="R500" i="1" a="1"/>
  <c r="R501" i="1" a="1"/>
  <c r="R502" i="1" a="1"/>
  <c r="R503" i="1" a="1"/>
  <c r="R504" i="1" a="1"/>
  <c r="R505" i="1" a="1"/>
  <c r="R506" i="1" a="1"/>
  <c r="R507" i="1" a="1"/>
  <c r="R508" i="1" a="1"/>
  <c r="R509" i="1" a="1"/>
  <c r="R510" i="1" a="1"/>
  <c r="R511" i="1" a="1"/>
  <c r="R512" i="1" a="1"/>
  <c r="R513" i="1" a="1"/>
  <c r="R514" i="1" a="1"/>
  <c r="R515" i="1" a="1"/>
  <c r="R516" i="1" a="1"/>
  <c r="R517" i="1" a="1"/>
  <c r="R518" i="1" a="1"/>
  <c r="R519" i="1" a="1"/>
  <c r="R520" i="1" a="1"/>
  <c r="R521" i="1" a="1"/>
  <c r="R522" i="1" a="1"/>
  <c r="R523" i="1" a="1"/>
  <c r="R524" i="1" a="1"/>
  <c r="R525" i="1" a="1"/>
  <c r="R526" i="1" a="1"/>
  <c r="R527" i="1" a="1"/>
  <c r="R528" i="1" a="1"/>
  <c r="R529" i="1" a="1"/>
  <c r="R530" i="1" a="1"/>
  <c r="R531" i="1" a="1"/>
  <c r="R532" i="1" a="1"/>
  <c r="R533" i="1" a="1"/>
  <c r="R534" i="1" a="1"/>
  <c r="R535" i="1" a="1"/>
  <c r="R536" i="1" a="1"/>
  <c r="R537" i="1" a="1"/>
  <c r="R538" i="1" a="1"/>
  <c r="R539" i="1" a="1"/>
  <c r="R540" i="1" a="1"/>
  <c r="R541" i="1" a="1"/>
  <c r="R542" i="1" a="1"/>
  <c r="R543" i="1" a="1"/>
  <c r="R544" i="1" a="1"/>
  <c r="R545" i="1" a="1"/>
  <c r="R546" i="1" a="1"/>
  <c r="R547" i="1" a="1"/>
  <c r="R548" i="1" a="1"/>
  <c r="R549" i="1" a="1"/>
  <c r="R550" i="1" a="1"/>
  <c r="R551" i="1" a="1"/>
  <c r="R552" i="1" a="1"/>
  <c r="R553" i="1" a="1"/>
  <c r="R554" i="1" a="1"/>
  <c r="R555" i="1" a="1"/>
  <c r="R556" i="1" a="1"/>
  <c r="R557" i="1" a="1"/>
  <c r="R558" i="1" a="1"/>
  <c r="R559" i="1" a="1"/>
  <c r="R560" i="1" a="1"/>
  <c r="R561" i="1" a="1"/>
  <c r="R562" i="1" a="1"/>
  <c r="R563" i="1" a="1"/>
  <c r="R564" i="1" a="1"/>
  <c r="R565" i="1" a="1"/>
  <c r="R566" i="1" a="1"/>
  <c r="R567" i="1" a="1"/>
  <c r="R568" i="1" a="1"/>
  <c r="R569" i="1" a="1"/>
  <c r="R570" i="1" a="1"/>
  <c r="R571" i="1" a="1"/>
  <c r="R572" i="1" a="1"/>
  <c r="R573" i="1" a="1"/>
  <c r="R574" i="1" a="1"/>
  <c r="R575" i="1" a="1"/>
  <c r="R576" i="1" a="1"/>
  <c r="R577" i="1" a="1"/>
  <c r="R578" i="1" a="1"/>
  <c r="R579" i="1" a="1"/>
  <c r="R580" i="1" a="1"/>
  <c r="R581" i="1" a="1"/>
  <c r="R582" i="1" a="1"/>
  <c r="R583" i="1" a="1"/>
  <c r="R584" i="1" a="1"/>
  <c r="R585" i="1" a="1"/>
  <c r="R586" i="1" a="1"/>
  <c r="R587" i="1" a="1"/>
  <c r="R588" i="1" a="1"/>
  <c r="R589" i="1" a="1"/>
  <c r="R590" i="1" a="1"/>
  <c r="R591" i="1" a="1"/>
  <c r="R592" i="1" a="1"/>
  <c r="R593" i="1" a="1"/>
  <c r="R594" i="1" a="1"/>
  <c r="R595" i="1" a="1"/>
  <c r="R596" i="1" a="1"/>
  <c r="R597" i="1" a="1"/>
  <c r="R598" i="1" a="1"/>
  <c r="R599" i="1" a="1"/>
  <c r="R600" i="1" a="1"/>
  <c r="R601" i="1" a="1"/>
  <c r="R602" i="1" a="1"/>
  <c r="R603" i="1" a="1"/>
  <c r="R604" i="1" a="1"/>
  <c r="R605" i="1" a="1"/>
  <c r="R606" i="1" a="1"/>
  <c r="R607" i="1" a="1"/>
  <c r="R608" i="1" a="1"/>
  <c r="R609" i="1" a="1"/>
  <c r="R610" i="1" a="1"/>
  <c r="R611" i="1" a="1"/>
  <c r="R612" i="1" a="1"/>
  <c r="R613" i="1" a="1"/>
  <c r="R614" i="1" a="1"/>
  <c r="R615" i="1" a="1"/>
  <c r="R616" i="1" a="1"/>
  <c r="R617" i="1" a="1"/>
  <c r="R618" i="1" a="1"/>
  <c r="R619" i="1" a="1"/>
  <c r="R620" i="1" a="1"/>
  <c r="R621" i="1" a="1"/>
  <c r="R622" i="1" a="1"/>
  <c r="R623" i="1" a="1"/>
  <c r="R624" i="1" a="1"/>
  <c r="R625" i="1" a="1"/>
  <c r="R626" i="1" a="1"/>
  <c r="R627" i="1" a="1"/>
  <c r="R628" i="1" a="1"/>
  <c r="R629" i="1" a="1"/>
  <c r="R630" i="1" a="1"/>
  <c r="R631" i="1" a="1"/>
  <c r="R632" i="1" a="1"/>
  <c r="R633" i="1" a="1"/>
  <c r="R634" i="1" a="1"/>
  <c r="R635" i="1" a="1"/>
  <c r="R636" i="1" a="1"/>
  <c r="R637" i="1" a="1"/>
  <c r="R638" i="1" a="1"/>
  <c r="R639" i="1" a="1"/>
  <c r="R640" i="1" a="1"/>
  <c r="R641" i="1" a="1"/>
  <c r="R642" i="1" a="1"/>
  <c r="R643" i="1" a="1"/>
  <c r="R644" i="1" a="1"/>
  <c r="R645" i="1" a="1"/>
  <c r="R646" i="1" a="1"/>
  <c r="R647" i="1" a="1"/>
  <c r="R648" i="1" a="1"/>
  <c r="R649" i="1" a="1"/>
  <c r="R650" i="1" a="1"/>
  <c r="R651" i="1" a="1"/>
  <c r="R652" i="1" a="1"/>
  <c r="R653" i="1" a="1"/>
  <c r="R654" i="1" a="1"/>
  <c r="R655" i="1" a="1"/>
  <c r="R656" i="1" a="1"/>
  <c r="R657" i="1" a="1"/>
  <c r="R658" i="1" a="1"/>
  <c r="R659" i="1" a="1"/>
  <c r="R660" i="1" a="1"/>
  <c r="R661" i="1" a="1"/>
  <c r="R662" i="1" a="1"/>
  <c r="R663" i="1" a="1"/>
  <c r="R664" i="1" a="1"/>
  <c r="R665" i="1" a="1"/>
  <c r="R666" i="1" a="1"/>
  <c r="R667" i="1" a="1"/>
  <c r="R668" i="1" a="1"/>
  <c r="R669" i="1" a="1"/>
  <c r="R670" i="1" a="1"/>
  <c r="R671" i="1" a="1"/>
  <c r="R672" i="1" a="1"/>
  <c r="R673" i="1" a="1"/>
  <c r="R674" i="1" a="1"/>
  <c r="R675" i="1" a="1"/>
  <c r="R676" i="1" a="1"/>
  <c r="R677" i="1" a="1"/>
  <c r="R678" i="1" a="1"/>
  <c r="R679" i="1" a="1"/>
  <c r="R680" i="1" a="1"/>
  <c r="R681" i="1" a="1"/>
  <c r="R682" i="1" a="1"/>
  <c r="R683" i="1" a="1"/>
  <c r="R684" i="1" a="1"/>
  <c r="R685" i="1" a="1"/>
  <c r="R686" i="1" a="1"/>
  <c r="R687" i="1" a="1"/>
  <c r="R688" i="1" a="1"/>
  <c r="R689" i="1" a="1"/>
  <c r="R690" i="1" a="1"/>
  <c r="R691" i="1" a="1"/>
  <c r="R692" i="1" a="1"/>
  <c r="R693" i="1" a="1"/>
  <c r="R694" i="1" a="1"/>
  <c r="R695" i="1" a="1"/>
  <c r="R696" i="1" a="1"/>
  <c r="R697" i="1" a="1"/>
  <c r="R698" i="1" a="1"/>
  <c r="R699" i="1" a="1"/>
  <c r="R700" i="1" a="1"/>
  <c r="R701" i="1" a="1"/>
  <c r="R702" i="1" a="1"/>
  <c r="R703" i="1" a="1"/>
  <c r="R704" i="1" a="1"/>
  <c r="R705" i="1" a="1"/>
  <c r="R706" i="1" a="1"/>
  <c r="R707" i="1" a="1"/>
  <c r="R708" i="1" a="1"/>
  <c r="R709" i="1" a="1"/>
  <c r="R710" i="1" a="1"/>
  <c r="R711" i="1" a="1"/>
  <c r="R712" i="1" a="1"/>
  <c r="R713" i="1" a="1"/>
  <c r="R714" i="1" a="1"/>
  <c r="R715" i="1" a="1"/>
  <c r="R716" i="1" a="1"/>
  <c r="R717" i="1" a="1"/>
  <c r="R718" i="1" a="1"/>
  <c r="R719" i="1" a="1"/>
  <c r="R720" i="1" a="1"/>
  <c r="R721" i="1" a="1"/>
  <c r="Q2" i="1" a="1"/>
  <c r="Q3" i="1" a="1"/>
  <c r="Q4" i="1" a="1"/>
  <c r="Q5" i="1" a="1"/>
  <c r="Q6" i="1" a="1"/>
  <c r="Q7" i="1" a="1"/>
  <c r="Q8" i="1" a="1"/>
  <c r="Q9" i="1" a="1"/>
  <c r="Q10" i="1" a="1"/>
  <c r="Q11" i="1" a="1"/>
  <c r="Q12" i="1" a="1"/>
  <c r="Q13" i="1" a="1"/>
  <c r="Q14" i="1" a="1"/>
  <c r="Q15" i="1" a="1"/>
  <c r="Q16" i="1" a="1"/>
  <c r="Q17" i="1" a="1"/>
  <c r="Q18" i="1" a="1"/>
  <c r="Q19" i="1" a="1"/>
  <c r="Q20" i="1" a="1"/>
  <c r="Q21" i="1" a="1"/>
  <c r="Q22" i="1" a="1"/>
  <c r="Q23" i="1" a="1"/>
  <c r="Q24" i="1" a="1"/>
  <c r="Q25" i="1" a="1"/>
  <c r="Q26" i="1" a="1"/>
  <c r="Q27" i="1" a="1"/>
  <c r="Q28" i="1" a="1"/>
  <c r="Q29" i="1" a="1"/>
  <c r="Q30" i="1" a="1"/>
  <c r="Q31" i="1" a="1"/>
  <c r="Q32" i="1" a="1"/>
  <c r="Q33" i="1" a="1"/>
  <c r="Q34" i="1" a="1"/>
  <c r="Q35" i="1" a="1"/>
  <c r="Q36" i="1" a="1"/>
  <c r="Q37" i="1" a="1"/>
  <c r="Q38" i="1" a="1"/>
  <c r="Q39" i="1" a="1"/>
  <c r="Q40" i="1" a="1"/>
  <c r="Q41" i="1" a="1"/>
  <c r="Q42" i="1" a="1"/>
  <c r="Q43" i="1" a="1"/>
  <c r="Q44" i="1" a="1"/>
  <c r="Q45" i="1" a="1"/>
  <c r="Q46" i="1" a="1"/>
  <c r="Q47" i="1" a="1"/>
  <c r="Q48" i="1" a="1"/>
  <c r="Q49" i="1" a="1"/>
  <c r="Q50" i="1" a="1"/>
  <c r="Q51" i="1" a="1"/>
  <c r="Q52" i="1" a="1"/>
  <c r="Q53" i="1" a="1"/>
  <c r="Q54" i="1" a="1"/>
  <c r="Q55" i="1" a="1"/>
  <c r="Q56" i="1" a="1"/>
  <c r="Q57" i="1" a="1"/>
  <c r="Q58" i="1" a="1"/>
  <c r="Q59" i="1" a="1"/>
  <c r="Q60" i="1" a="1"/>
  <c r="Q61" i="1" a="1"/>
  <c r="Q62" i="1" a="1"/>
  <c r="Q63" i="1" a="1"/>
  <c r="Q64" i="1" a="1"/>
  <c r="Q65" i="1" a="1"/>
  <c r="Q66" i="1" a="1"/>
  <c r="Q67" i="1" a="1"/>
  <c r="Q68" i="1" a="1"/>
  <c r="Q69" i="1" a="1"/>
  <c r="Q70" i="1" a="1"/>
  <c r="Q71" i="1" a="1"/>
  <c r="Q72" i="1" a="1"/>
  <c r="Q73" i="1" a="1"/>
  <c r="Q74" i="1" a="1"/>
  <c r="Q75" i="1" a="1"/>
  <c r="Q76" i="1" a="1"/>
  <c r="Q77" i="1" a="1"/>
  <c r="Q78" i="1" a="1"/>
  <c r="Q79" i="1" a="1"/>
  <c r="Q80" i="1" a="1"/>
  <c r="Q81" i="1" a="1"/>
  <c r="Q82" i="1" a="1"/>
  <c r="Q83" i="1" a="1"/>
  <c r="Q84" i="1" a="1"/>
  <c r="Q85" i="1" a="1"/>
  <c r="Q86" i="1" a="1"/>
  <c r="Q87" i="1" a="1"/>
  <c r="Q88" i="1" a="1"/>
  <c r="Q89" i="1" a="1"/>
  <c r="Q90" i="1" a="1"/>
  <c r="Q91" i="1" a="1"/>
  <c r="Q92" i="1" a="1"/>
  <c r="Q93" i="1" a="1"/>
  <c r="Q94" i="1" a="1"/>
  <c r="Q95" i="1" a="1"/>
  <c r="Q96" i="1" a="1"/>
  <c r="Q97" i="1" a="1"/>
  <c r="Q98" i="1" a="1"/>
  <c r="Q99" i="1" a="1"/>
  <c r="Q100" i="1" a="1"/>
  <c r="Q101" i="1" a="1"/>
  <c r="Q102" i="1" a="1"/>
  <c r="Q103" i="1" a="1"/>
  <c r="Q104" i="1" a="1"/>
  <c r="Q105" i="1" a="1"/>
  <c r="Q106" i="1" a="1"/>
  <c r="Q107" i="1" a="1"/>
  <c r="Q108" i="1" a="1"/>
  <c r="Q109" i="1" a="1"/>
  <c r="Q110" i="1" a="1"/>
  <c r="Q111" i="1" a="1"/>
  <c r="Q112" i="1" a="1"/>
  <c r="Q113" i="1" a="1"/>
  <c r="Q114" i="1" a="1"/>
  <c r="Q115" i="1" a="1"/>
  <c r="Q116" i="1" a="1"/>
  <c r="Q117" i="1" a="1"/>
  <c r="Q118" i="1" a="1"/>
  <c r="Q119" i="1" a="1"/>
  <c r="Q120" i="1" a="1"/>
  <c r="Q121" i="1" a="1"/>
  <c r="Q122" i="1" a="1"/>
  <c r="Q123" i="1" a="1"/>
  <c r="Q124" i="1" a="1"/>
  <c r="Q125" i="1" a="1"/>
  <c r="Q126" i="1" a="1"/>
  <c r="Q127" i="1" a="1"/>
  <c r="Q128" i="1" a="1"/>
  <c r="Q129" i="1" a="1"/>
  <c r="Q130" i="1" a="1"/>
  <c r="Q131" i="1" a="1"/>
  <c r="Q132" i="1" a="1"/>
  <c r="Q133" i="1" a="1"/>
  <c r="Q134" i="1" a="1"/>
  <c r="Q135" i="1" a="1"/>
  <c r="Q136" i="1" a="1"/>
  <c r="Q137" i="1" a="1"/>
  <c r="Q138" i="1" a="1"/>
  <c r="Q139" i="1" a="1"/>
  <c r="Q140" i="1" a="1"/>
  <c r="Q141" i="1" a="1"/>
  <c r="Q142" i="1" a="1"/>
  <c r="Q143" i="1" a="1"/>
  <c r="Q144" i="1" a="1"/>
  <c r="Q145" i="1" a="1"/>
  <c r="Q146" i="1" a="1"/>
  <c r="Q147" i="1" a="1"/>
  <c r="Q148" i="1" a="1"/>
  <c r="Q149" i="1" a="1"/>
  <c r="Q150" i="1" a="1"/>
  <c r="Q151" i="1" a="1"/>
  <c r="Q152" i="1" a="1"/>
  <c r="Q153" i="1" a="1"/>
  <c r="Q154" i="1" a="1"/>
  <c r="Q155" i="1" a="1"/>
  <c r="Q156" i="1" a="1"/>
  <c r="Q157" i="1" a="1"/>
  <c r="Q158" i="1" a="1"/>
  <c r="Q159" i="1" a="1"/>
  <c r="Q160" i="1" a="1"/>
  <c r="Q161" i="1" a="1"/>
  <c r="Q162" i="1" a="1"/>
  <c r="Q163" i="1" a="1"/>
  <c r="Q164" i="1" a="1"/>
  <c r="Q165" i="1" a="1"/>
  <c r="Q166" i="1" a="1"/>
  <c r="Q167" i="1" a="1"/>
  <c r="Q168" i="1" a="1"/>
  <c r="Q169" i="1" a="1"/>
  <c r="Q170" i="1" a="1"/>
  <c r="Q171" i="1" a="1"/>
  <c r="Q172" i="1" a="1"/>
  <c r="Q173" i="1" a="1"/>
  <c r="Q174" i="1" a="1"/>
  <c r="Q175" i="1" a="1"/>
  <c r="Q176" i="1" a="1"/>
  <c r="Q177" i="1" a="1"/>
  <c r="Q178" i="1" a="1"/>
  <c r="Q179" i="1" a="1"/>
  <c r="Q180" i="1" a="1"/>
  <c r="Q181" i="1" a="1"/>
  <c r="Q182" i="1" a="1"/>
  <c r="Q183" i="1" a="1"/>
  <c r="Q184" i="1" a="1"/>
  <c r="Q185" i="1" a="1"/>
  <c r="Q186" i="1" a="1"/>
  <c r="Q187" i="1" a="1"/>
  <c r="Q188" i="1" a="1"/>
  <c r="Q189" i="1" a="1"/>
  <c r="Q190" i="1" a="1"/>
  <c r="Q191" i="1" a="1"/>
  <c r="Q192" i="1" a="1"/>
  <c r="Q193" i="1" a="1"/>
  <c r="Q194" i="1" a="1"/>
  <c r="Q195" i="1" a="1"/>
  <c r="Q196" i="1" a="1"/>
  <c r="Q197" i="1" a="1"/>
  <c r="Q198" i="1" a="1"/>
  <c r="Q199" i="1" a="1"/>
  <c r="Q200" i="1" a="1"/>
  <c r="Q201" i="1" a="1"/>
  <c r="Q202" i="1" a="1"/>
  <c r="Q203" i="1" a="1"/>
  <c r="Q204" i="1" a="1"/>
  <c r="Q205" i="1" a="1"/>
  <c r="Q206" i="1" a="1"/>
  <c r="Q207" i="1" a="1"/>
  <c r="Q208" i="1" a="1"/>
  <c r="Q209" i="1" a="1"/>
  <c r="Q210" i="1" a="1"/>
  <c r="Q211" i="1" a="1"/>
  <c r="Q212" i="1" a="1"/>
  <c r="Q213" i="1" a="1"/>
  <c r="Q214" i="1" a="1"/>
  <c r="Q215" i="1" a="1"/>
  <c r="Q216" i="1" a="1"/>
  <c r="Q217" i="1" a="1"/>
  <c r="Q218" i="1" a="1"/>
  <c r="Q219" i="1" a="1"/>
  <c r="Q220" i="1" a="1"/>
  <c r="Q221" i="1" a="1"/>
  <c r="Q222" i="1" a="1"/>
  <c r="Q223" i="1" a="1"/>
  <c r="Q224" i="1" a="1"/>
  <c r="Q225" i="1" a="1"/>
  <c r="Q226" i="1" a="1"/>
  <c r="Q227" i="1" a="1"/>
  <c r="Q228" i="1" a="1"/>
  <c r="Q229" i="1" a="1"/>
  <c r="Q230" i="1" a="1"/>
  <c r="Q231" i="1" a="1"/>
  <c r="Q232" i="1" a="1"/>
  <c r="Q233" i="1" a="1"/>
  <c r="Q234" i="1" a="1"/>
  <c r="Q235" i="1" a="1"/>
  <c r="Q236" i="1" a="1"/>
  <c r="Q237" i="1" a="1"/>
  <c r="Q238" i="1" a="1"/>
  <c r="Q239" i="1" a="1"/>
  <c r="Q240" i="1" a="1"/>
  <c r="Q241" i="1" a="1"/>
  <c r="Q242" i="1" a="1"/>
  <c r="Q243" i="1" a="1"/>
  <c r="Q244" i="1" a="1"/>
  <c r="Q245" i="1" a="1"/>
  <c r="Q246" i="1" a="1"/>
  <c r="Q247" i="1" a="1"/>
  <c r="Q248" i="1" a="1"/>
  <c r="Q249" i="1" a="1"/>
  <c r="Q250" i="1" a="1"/>
  <c r="Q251" i="1" a="1"/>
  <c r="Q252" i="1" a="1"/>
  <c r="Q253" i="1" a="1"/>
  <c r="Q254" i="1" a="1"/>
  <c r="Q255" i="1" a="1"/>
  <c r="Q256" i="1" a="1"/>
  <c r="Q257" i="1" a="1"/>
  <c r="Q258" i="1" a="1"/>
  <c r="Q259" i="1" a="1"/>
  <c r="Q260" i="1" a="1"/>
  <c r="Q261" i="1" a="1"/>
  <c r="Q262" i="1" a="1"/>
  <c r="Q263" i="1" a="1"/>
  <c r="Q264" i="1" a="1"/>
  <c r="Q265" i="1" a="1"/>
  <c r="Q266" i="1" a="1"/>
  <c r="Q267" i="1" a="1"/>
  <c r="Q268" i="1" a="1"/>
  <c r="Q269" i="1" a="1"/>
  <c r="Q270" i="1" a="1"/>
  <c r="Q271" i="1" a="1"/>
  <c r="Q272" i="1" a="1"/>
  <c r="Q273" i="1" a="1"/>
  <c r="Q274" i="1" a="1"/>
  <c r="Q275" i="1" a="1"/>
  <c r="Q276" i="1" a="1"/>
  <c r="Q277" i="1" a="1"/>
  <c r="Q278" i="1" a="1"/>
  <c r="Q279" i="1" a="1"/>
  <c r="Q280" i="1" a="1"/>
  <c r="Q281" i="1" a="1"/>
  <c r="Q282" i="1" a="1"/>
  <c r="Q283" i="1" a="1"/>
  <c r="Q284" i="1" a="1"/>
  <c r="Q285" i="1" a="1"/>
  <c r="Q286" i="1" a="1"/>
  <c r="Q287" i="1" a="1"/>
  <c r="Q288" i="1" a="1"/>
  <c r="Q289" i="1" a="1"/>
  <c r="Q290" i="1" a="1"/>
  <c r="Q291" i="1" a="1"/>
  <c r="Q292" i="1" a="1"/>
  <c r="Q293" i="1" a="1"/>
  <c r="Q294" i="1" a="1"/>
  <c r="Q295" i="1" a="1"/>
  <c r="Q296" i="1" a="1"/>
  <c r="Q297" i="1" a="1"/>
  <c r="Q298" i="1" a="1"/>
  <c r="Q299" i="1" a="1"/>
  <c r="Q300" i="1" a="1"/>
  <c r="Q301" i="1" a="1"/>
  <c r="Q302" i="1" a="1"/>
  <c r="Q303" i="1" a="1"/>
  <c r="Q304" i="1" a="1"/>
  <c r="Q305" i="1" a="1"/>
  <c r="Q306" i="1" a="1"/>
  <c r="Q307" i="1" a="1"/>
  <c r="Q308" i="1" a="1"/>
  <c r="Q309" i="1" a="1"/>
  <c r="Q310" i="1" a="1"/>
  <c r="Q311" i="1" a="1"/>
  <c r="Q312" i="1" a="1"/>
  <c r="Q313" i="1" a="1"/>
  <c r="Q314" i="1" a="1"/>
  <c r="Q315" i="1" a="1"/>
  <c r="Q316" i="1" a="1"/>
  <c r="Q317" i="1" a="1"/>
  <c r="Q318" i="1" a="1"/>
  <c r="Q319" i="1" a="1"/>
  <c r="Q320" i="1" a="1"/>
  <c r="Q321" i="1" a="1"/>
  <c r="Q322" i="1" a="1"/>
  <c r="Q323" i="1" a="1"/>
  <c r="Q324" i="1" a="1"/>
  <c r="Q325" i="1" a="1"/>
  <c r="Q326" i="1" a="1"/>
  <c r="Q327" i="1" a="1"/>
  <c r="Q328" i="1" a="1"/>
  <c r="Q329" i="1" a="1"/>
  <c r="Q330" i="1" a="1"/>
  <c r="Q331" i="1" a="1"/>
  <c r="Q332" i="1" a="1"/>
  <c r="Q333" i="1" a="1"/>
  <c r="Q334" i="1" a="1"/>
  <c r="Q335" i="1" a="1"/>
  <c r="Q336" i="1" a="1"/>
  <c r="Q337" i="1" a="1"/>
  <c r="Q338" i="1" a="1"/>
  <c r="Q339" i="1" a="1"/>
  <c r="Q340" i="1" a="1"/>
  <c r="Q341" i="1" a="1"/>
  <c r="Q342" i="1" a="1"/>
  <c r="Q343" i="1" a="1"/>
  <c r="Q344" i="1" a="1"/>
  <c r="Q345" i="1" a="1"/>
  <c r="Q346" i="1" a="1"/>
  <c r="Q347" i="1" a="1"/>
  <c r="Q348" i="1" a="1"/>
  <c r="Q349" i="1" a="1"/>
  <c r="Q350" i="1" a="1"/>
  <c r="Q351" i="1" a="1"/>
  <c r="Q352" i="1" a="1"/>
  <c r="Q353" i="1" a="1"/>
  <c r="Q354" i="1" a="1"/>
  <c r="Q355" i="1" a="1"/>
  <c r="Q356" i="1" a="1"/>
  <c r="Q357" i="1" a="1"/>
  <c r="Q358" i="1" a="1"/>
  <c r="Q359" i="1" a="1"/>
  <c r="Q360" i="1" a="1"/>
  <c r="Q361" i="1" a="1"/>
  <c r="Q362" i="1" a="1"/>
  <c r="Q363" i="1" a="1"/>
  <c r="Q364" i="1" a="1"/>
  <c r="Q365" i="1" a="1"/>
  <c r="Q366" i="1" a="1"/>
  <c r="Q367" i="1" a="1"/>
  <c r="Q368" i="1" a="1"/>
  <c r="Q369" i="1" a="1"/>
  <c r="Q370" i="1" a="1"/>
  <c r="Q371" i="1" a="1"/>
  <c r="Q372" i="1" a="1"/>
  <c r="Q373" i="1" a="1"/>
  <c r="Q374" i="1" a="1"/>
  <c r="Q375" i="1" a="1"/>
  <c r="Q376" i="1" a="1"/>
  <c r="Q377" i="1" a="1"/>
  <c r="Q378" i="1" a="1"/>
  <c r="Q379" i="1" a="1"/>
  <c r="Q380" i="1" a="1"/>
  <c r="Q381" i="1" a="1"/>
  <c r="Q382" i="1" a="1"/>
  <c r="Q383" i="1" a="1"/>
  <c r="Q384" i="1" a="1"/>
  <c r="Q385" i="1" a="1"/>
  <c r="Q386" i="1" a="1"/>
  <c r="Q387" i="1" a="1"/>
  <c r="Q388" i="1" a="1"/>
  <c r="Q389" i="1" a="1"/>
  <c r="Q390" i="1" a="1"/>
  <c r="Q391" i="1" a="1"/>
  <c r="Q392" i="1" a="1"/>
  <c r="Q393" i="1" a="1"/>
  <c r="Q394" i="1" a="1"/>
  <c r="Q395" i="1" a="1"/>
  <c r="Q396" i="1" a="1"/>
  <c r="Q397" i="1" a="1"/>
  <c r="Q398" i="1" a="1"/>
  <c r="Q399" i="1" a="1"/>
  <c r="Q400" i="1" a="1"/>
  <c r="Q401" i="1" a="1"/>
  <c r="Q402" i="1" a="1"/>
  <c r="Q403" i="1" a="1"/>
  <c r="Q404" i="1" a="1"/>
  <c r="Q405" i="1" a="1"/>
  <c r="Q406" i="1" a="1"/>
  <c r="Q407" i="1" a="1"/>
  <c r="Q408" i="1" a="1"/>
  <c r="Q409" i="1" a="1"/>
  <c r="Q410" i="1" a="1"/>
  <c r="Q411" i="1" a="1"/>
  <c r="Q412" i="1" a="1"/>
  <c r="Q413" i="1" a="1"/>
  <c r="Q414" i="1" a="1"/>
  <c r="Q415" i="1" a="1"/>
  <c r="Q416" i="1" a="1"/>
  <c r="Q417" i="1" a="1"/>
  <c r="Q418" i="1" a="1"/>
  <c r="Q419" i="1" a="1"/>
  <c r="Q420" i="1" a="1"/>
  <c r="Q421" i="1" a="1"/>
  <c r="Q422" i="1" a="1"/>
  <c r="Q423" i="1" a="1"/>
  <c r="Q424" i="1" a="1"/>
  <c r="Q425" i="1" a="1"/>
  <c r="Q426" i="1" a="1"/>
  <c r="Q427" i="1" a="1"/>
  <c r="Q428" i="1" a="1"/>
  <c r="Q429" i="1" a="1"/>
  <c r="Q430" i="1" a="1"/>
  <c r="Q431" i="1" a="1"/>
  <c r="Q432" i="1" a="1"/>
  <c r="Q433" i="1" a="1"/>
  <c r="Q434" i="1" a="1"/>
  <c r="Q435" i="1" a="1"/>
  <c r="Q436" i="1" a="1"/>
  <c r="Q437" i="1" a="1"/>
  <c r="Q438" i="1" a="1"/>
  <c r="Q439" i="1" a="1"/>
  <c r="Q440" i="1" a="1"/>
  <c r="Q441" i="1" a="1"/>
  <c r="Q442" i="1" a="1"/>
  <c r="Q443" i="1" a="1"/>
  <c r="Q444" i="1" a="1"/>
  <c r="Q445" i="1" a="1"/>
  <c r="Q446" i="1" a="1"/>
  <c r="Q447" i="1" a="1"/>
  <c r="Q448" i="1" a="1"/>
  <c r="Q449" i="1" a="1"/>
  <c r="Q450" i="1" a="1"/>
  <c r="Q451" i="1" a="1"/>
  <c r="Q452" i="1" a="1"/>
  <c r="Q453" i="1" a="1"/>
  <c r="Q454" i="1" a="1"/>
  <c r="Q455" i="1" a="1"/>
  <c r="Q456" i="1" a="1"/>
  <c r="Q457" i="1" a="1"/>
  <c r="Q458" i="1" a="1"/>
  <c r="Q459" i="1" a="1"/>
  <c r="Q460" i="1" a="1"/>
  <c r="Q461" i="1" a="1"/>
  <c r="Q462" i="1" a="1"/>
  <c r="Q463" i="1" a="1"/>
  <c r="Q464" i="1" a="1"/>
  <c r="Q465" i="1" a="1"/>
  <c r="Q466" i="1" a="1"/>
  <c r="Q467" i="1" a="1"/>
  <c r="Q468" i="1" a="1"/>
  <c r="Q469" i="1" a="1"/>
  <c r="Q470" i="1" a="1"/>
  <c r="Q471" i="1" a="1"/>
  <c r="Q472" i="1" a="1"/>
  <c r="Q473" i="1" a="1"/>
  <c r="Q474" i="1" a="1"/>
  <c r="Q475" i="1" a="1"/>
  <c r="Q476" i="1" a="1"/>
  <c r="Q477" i="1" a="1"/>
  <c r="Q478" i="1" a="1"/>
  <c r="Q479" i="1" a="1"/>
  <c r="Q480" i="1" a="1"/>
  <c r="Q481" i="1" a="1"/>
  <c r="Q482" i="1" a="1"/>
  <c r="Q483" i="1" a="1"/>
  <c r="Q484" i="1" a="1"/>
  <c r="Q485" i="1" a="1"/>
  <c r="Q486" i="1" a="1"/>
  <c r="Q487" i="1" a="1"/>
  <c r="Q488" i="1" a="1"/>
  <c r="Q489" i="1" a="1"/>
  <c r="Q490" i="1" a="1"/>
  <c r="Q491" i="1" a="1"/>
  <c r="Q492" i="1" a="1"/>
  <c r="Q493" i="1" a="1"/>
  <c r="Q494" i="1" a="1"/>
  <c r="Q495" i="1" a="1"/>
  <c r="Q496" i="1" a="1"/>
  <c r="Q497" i="1" a="1"/>
  <c r="Q498" i="1" a="1"/>
  <c r="Q499" i="1" a="1"/>
  <c r="Q500" i="1" a="1"/>
  <c r="Q501" i="1" a="1"/>
  <c r="Q502" i="1" a="1"/>
  <c r="Q503" i="1" a="1"/>
  <c r="Q504" i="1" a="1"/>
  <c r="Q505" i="1" a="1"/>
  <c r="Q506" i="1" a="1"/>
  <c r="Q507" i="1" a="1"/>
  <c r="Q508" i="1" a="1"/>
  <c r="Q509" i="1" a="1"/>
  <c r="Q510" i="1" a="1"/>
  <c r="Q511" i="1" a="1"/>
  <c r="Q512" i="1" a="1"/>
  <c r="Q513" i="1" a="1"/>
  <c r="Q514" i="1" a="1"/>
  <c r="Q515" i="1" a="1"/>
  <c r="Q516" i="1" a="1"/>
  <c r="Q517" i="1" a="1"/>
  <c r="Q518" i="1" a="1"/>
  <c r="Q519" i="1" a="1"/>
  <c r="Q520" i="1" a="1"/>
  <c r="Q521" i="1" a="1"/>
  <c r="Q522" i="1" a="1"/>
  <c r="Q523" i="1" a="1"/>
  <c r="Q524" i="1" a="1"/>
  <c r="Q525" i="1" a="1"/>
  <c r="Q526" i="1" a="1"/>
  <c r="Q527" i="1" a="1"/>
  <c r="Q528" i="1" a="1"/>
  <c r="Q529" i="1" a="1"/>
  <c r="Q530" i="1" a="1"/>
  <c r="Q531" i="1" a="1"/>
  <c r="Q532" i="1" a="1"/>
  <c r="Q533" i="1" a="1"/>
  <c r="Q534" i="1" a="1"/>
  <c r="Q535" i="1" a="1"/>
  <c r="Q536" i="1" a="1"/>
  <c r="Q537" i="1" a="1"/>
  <c r="Q538" i="1" a="1"/>
  <c r="Q539" i="1" a="1"/>
  <c r="Q540" i="1" a="1"/>
  <c r="Q541" i="1" a="1"/>
  <c r="Q542" i="1" a="1"/>
  <c r="Q543" i="1" a="1"/>
  <c r="Q544" i="1" a="1"/>
  <c r="Q545" i="1" a="1"/>
  <c r="Q546" i="1" a="1"/>
  <c r="Q547" i="1" a="1"/>
  <c r="Q548" i="1" a="1"/>
  <c r="Q549" i="1" a="1"/>
  <c r="Q550" i="1" a="1"/>
  <c r="Q551" i="1" a="1"/>
  <c r="Q552" i="1" a="1"/>
  <c r="Q553" i="1" a="1"/>
  <c r="Q554" i="1" a="1"/>
  <c r="Q555" i="1" a="1"/>
  <c r="Q556" i="1" a="1"/>
  <c r="Q557" i="1" a="1"/>
  <c r="Q558" i="1" a="1"/>
  <c r="Q559" i="1" a="1"/>
  <c r="Q560" i="1" a="1"/>
  <c r="Q561" i="1" a="1"/>
  <c r="Q562" i="1" a="1"/>
  <c r="Q563" i="1" a="1"/>
  <c r="Q564" i="1" a="1"/>
  <c r="Q565" i="1" a="1"/>
  <c r="Q566" i="1" a="1"/>
  <c r="Q567" i="1" a="1"/>
  <c r="Q568" i="1" a="1"/>
  <c r="Q569" i="1" a="1"/>
  <c r="Q570" i="1" a="1"/>
  <c r="Q571" i="1" a="1"/>
  <c r="Q572" i="1" a="1"/>
  <c r="Q573" i="1" a="1"/>
  <c r="Q574" i="1" a="1"/>
  <c r="Q575" i="1" a="1"/>
  <c r="Q576" i="1" a="1"/>
  <c r="Q577" i="1" a="1"/>
  <c r="Q578" i="1" a="1"/>
  <c r="Q579" i="1" a="1"/>
  <c r="Q580" i="1" a="1"/>
  <c r="Q581" i="1" a="1"/>
  <c r="Q582" i="1" a="1"/>
  <c r="Q583" i="1" a="1"/>
  <c r="Q584" i="1" a="1"/>
  <c r="Q585" i="1" a="1"/>
  <c r="Q586" i="1" a="1"/>
  <c r="Q587" i="1" a="1"/>
  <c r="Q588" i="1" a="1"/>
  <c r="Q589" i="1" a="1"/>
  <c r="Q590" i="1" a="1"/>
  <c r="Q591" i="1" a="1"/>
  <c r="Q592" i="1" a="1"/>
  <c r="Q593" i="1" a="1"/>
  <c r="Q594" i="1" a="1"/>
  <c r="Q595" i="1" a="1"/>
  <c r="Q596" i="1" a="1"/>
  <c r="Q597" i="1" a="1"/>
  <c r="Q598" i="1" a="1"/>
  <c r="Q599" i="1" a="1"/>
  <c r="Q600" i="1" a="1"/>
  <c r="Q601" i="1" a="1"/>
  <c r="Q602" i="1" a="1"/>
  <c r="Q603" i="1" a="1"/>
  <c r="Q604" i="1" a="1"/>
  <c r="Q605" i="1" a="1"/>
  <c r="Q606" i="1" a="1"/>
  <c r="Q607" i="1" a="1"/>
  <c r="Q608" i="1" a="1"/>
  <c r="Q609" i="1" a="1"/>
  <c r="Q610" i="1" a="1"/>
  <c r="Q611" i="1" a="1"/>
  <c r="Q612" i="1" a="1"/>
  <c r="Q613" i="1" a="1"/>
  <c r="Q614" i="1" a="1"/>
  <c r="Q615" i="1" a="1"/>
  <c r="Q616" i="1" a="1"/>
  <c r="Q617" i="1" a="1"/>
  <c r="Q618" i="1" a="1"/>
  <c r="Q619" i="1" a="1"/>
  <c r="Q620" i="1" a="1"/>
  <c r="Q621" i="1" a="1"/>
  <c r="Q622" i="1" a="1"/>
  <c r="Q623" i="1" a="1"/>
  <c r="Q624" i="1" a="1"/>
  <c r="Q625" i="1" a="1"/>
  <c r="Q626" i="1" a="1"/>
  <c r="Q627" i="1" a="1"/>
  <c r="Q628" i="1" a="1"/>
  <c r="Q629" i="1" a="1"/>
  <c r="Q630" i="1" a="1"/>
  <c r="Q631" i="1" a="1"/>
  <c r="Q632" i="1" a="1"/>
  <c r="Q633" i="1" a="1"/>
  <c r="Q634" i="1" a="1"/>
  <c r="Q635" i="1" a="1"/>
  <c r="Q636" i="1" a="1"/>
  <c r="Q637" i="1" a="1"/>
  <c r="Q638" i="1" a="1"/>
  <c r="Q639" i="1" a="1"/>
  <c r="Q640" i="1" a="1"/>
  <c r="Q641" i="1" a="1"/>
  <c r="Q642" i="1" a="1"/>
  <c r="Q643" i="1" a="1"/>
  <c r="Q644" i="1" a="1"/>
  <c r="Q645" i="1" a="1"/>
  <c r="Q646" i="1" a="1"/>
  <c r="Q647" i="1" a="1"/>
  <c r="Q648" i="1" a="1"/>
  <c r="Q649" i="1" a="1"/>
  <c r="Q650" i="1" a="1"/>
  <c r="Q651" i="1" a="1"/>
  <c r="Q652" i="1" a="1"/>
  <c r="Q653" i="1" a="1"/>
  <c r="Q654" i="1" a="1"/>
  <c r="Q655" i="1" a="1"/>
  <c r="Q656" i="1" a="1"/>
  <c r="Q657" i="1" a="1"/>
  <c r="Q658" i="1" a="1"/>
  <c r="Q659" i="1" a="1"/>
  <c r="Q660" i="1" a="1"/>
  <c r="Q661" i="1" a="1"/>
  <c r="Q662" i="1" a="1"/>
  <c r="Q663" i="1" a="1"/>
  <c r="Q664" i="1" a="1"/>
  <c r="Q665" i="1" a="1"/>
  <c r="Q666" i="1" a="1"/>
  <c r="Q667" i="1" a="1"/>
  <c r="Q668" i="1" a="1"/>
  <c r="Q669" i="1" a="1"/>
  <c r="Q670" i="1" a="1"/>
  <c r="Q671" i="1" a="1"/>
  <c r="Q672" i="1" a="1"/>
  <c r="Q673" i="1" a="1"/>
  <c r="Q674" i="1" a="1"/>
  <c r="Q675" i="1" a="1"/>
  <c r="Q676" i="1" a="1"/>
  <c r="Q677" i="1" a="1"/>
  <c r="Q678" i="1" a="1"/>
  <c r="Q679" i="1" a="1"/>
  <c r="Q680" i="1" a="1"/>
  <c r="Q681" i="1" a="1"/>
  <c r="Q682" i="1" a="1"/>
  <c r="Q683" i="1" a="1"/>
  <c r="Q684" i="1" a="1"/>
  <c r="Q685" i="1" a="1"/>
  <c r="Q686" i="1" a="1"/>
  <c r="Q687" i="1" a="1"/>
  <c r="Q688" i="1" a="1"/>
  <c r="Q689" i="1" a="1"/>
  <c r="Q690" i="1" a="1"/>
  <c r="Q691" i="1" a="1"/>
  <c r="Q692" i="1" a="1"/>
  <c r="Q693" i="1" a="1"/>
  <c r="Q694" i="1" a="1"/>
  <c r="Q695" i="1" a="1"/>
  <c r="Q696" i="1" a="1"/>
  <c r="Q697" i="1" a="1"/>
  <c r="Q698" i="1" a="1"/>
  <c r="Q699" i="1" a="1"/>
  <c r="Q700" i="1" a="1"/>
  <c r="Q701" i="1" a="1"/>
  <c r="Q702" i="1" a="1"/>
  <c r="Q703" i="1" a="1"/>
  <c r="Q704" i="1" a="1"/>
  <c r="Q705" i="1" a="1"/>
  <c r="Q706" i="1" a="1"/>
  <c r="Q707" i="1" a="1"/>
  <c r="Q708" i="1" a="1"/>
  <c r="Q709" i="1" a="1"/>
  <c r="Q710" i="1" a="1"/>
  <c r="Q711" i="1" a="1"/>
  <c r="Q712" i="1" a="1"/>
  <c r="Q713" i="1" a="1"/>
  <c r="Q714" i="1" a="1"/>
  <c r="Q715" i="1" a="1"/>
  <c r="Q716" i="1" a="1"/>
  <c r="Q717" i="1" a="1"/>
  <c r="Q718" i="1" a="1"/>
  <c r="Q719" i="1" a="1"/>
  <c r="Q720" i="1" a="1"/>
  <c r="Q721" i="1" a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B13" i="3"/>
  <c r="B15" i="3"/>
  <c r="B14" i="3"/>
  <c r="A20" i="3"/>
  <c r="J48" i="3"/>
  <c r="I48" i="3"/>
  <c r="K48" i="3" s="1"/>
  <c r="J47" i="3"/>
  <c r="I47" i="3"/>
  <c r="J46" i="3"/>
  <c r="I46" i="3"/>
  <c r="K46" i="3" s="1"/>
  <c r="J45" i="3"/>
  <c r="I45" i="3"/>
  <c r="J44" i="3"/>
  <c r="I44" i="3"/>
  <c r="J43" i="3"/>
  <c r="I43" i="3"/>
  <c r="K43" i="3" s="1"/>
  <c r="J42" i="3"/>
  <c r="I42" i="3"/>
  <c r="J41" i="3"/>
  <c r="I41" i="3"/>
  <c r="K41" i="3" s="1"/>
  <c r="J40" i="3"/>
  <c r="I40" i="3"/>
  <c r="K40" i="3" s="1"/>
  <c r="J39" i="3"/>
  <c r="I39" i="3"/>
  <c r="K39" i="3" s="1"/>
  <c r="J38" i="3"/>
  <c r="I38" i="3"/>
  <c r="J37" i="3"/>
  <c r="I37" i="3"/>
  <c r="K37" i="3" s="1"/>
  <c r="K47" i="3" l="1"/>
  <c r="K42" i="3"/>
  <c r="B16" i="3"/>
  <c r="K45" i="3"/>
  <c r="K44" i="3"/>
  <c r="K38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<sst xmlns="http://schemas.openxmlformats.org/spreadsheetml/2006/main" count="2850" uniqueCount="1045">
  <si>
    <t>Timestamp</t>
  </si>
  <si>
    <t>Shift</t>
  </si>
  <si>
    <t>Campaign</t>
  </si>
  <si>
    <t>Bed_Height_mm</t>
  </si>
  <si>
    <t>Pallet_Speed_mpm</t>
  </si>
  <si>
    <t>Temp_UDD_C</t>
  </si>
  <si>
    <t>Temp_DDD_C</t>
  </si>
  <si>
    <t>Temp_PH_C</t>
  </si>
  <si>
    <t>Temp_Firing_C</t>
  </si>
  <si>
    <t>Temp_AfterFiring_C</t>
  </si>
  <si>
    <t>Temp_Cooling_C</t>
  </si>
  <si>
    <t>Windbox_Avg_DP_kPa</t>
  </si>
  <si>
    <t>Total_Gas_Flow_Nm3h</t>
  </si>
  <si>
    <t>Main_Burner_Gas_Nm3h</t>
  </si>
  <si>
    <t>O2_Firing_pct</t>
  </si>
  <si>
    <t>2025-03-01 00:00:00</t>
  </si>
  <si>
    <t>Night (22-06)</t>
  </si>
  <si>
    <t>Camp_A_DR_Fluxed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</si>
  <si>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</si>
  <si>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</si>
  <si>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</si>
  <si>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</si>
  <si>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</si>
  <si>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</si>
  <si>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Morning (06-14)</t>
  </si>
  <si>
    <t>2025-03-01 07:00:00</t>
  </si>
  <si>
    <t>2025-03-01 08:00:00</t>
  </si>
  <si>
    <t>2025-03-01 09:00:00</t>
  </si>
  <si>
    <t>2025-03-01 10:00:00</t>
  </si>
  <si>
    <t>2025-03-01 11:00:00</t>
  </si>
  <si>
    <t>2025-03-01 12:00:00</t>
  </si>
  <si>
    <t>2025-03-01 13:00:00</t>
  </si>
  <si>
    <t>2025-03-01 14:00:00</t>
  </si>
  <si>
    <t>Evening (14-22)</t>
  </si>
  <si>
    <t>2025-03-01 15:00:00</t>
  </si>
  <si>
    <t>2025-03-01 16:00:00</t>
  </si>
  <si>
    <t>2025-03-01 17:00:00</t>
  </si>
  <si>
    <t>2025-03-01 18:00:00</t>
  </si>
  <si>
    <t>2025-03-01 19:00:00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</si>
  <si>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</si>
  <si>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</si>
  <si>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</si>
  <si>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</si>
  <si>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</si>
  <si>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</si>
  <si>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</si>
  <si>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</si>
  <si>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</si>
  <si>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</si>
  <si>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</si>
  <si>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</si>
  <si>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</si>
  <si>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</si>
  <si>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2025-03-02 10:00:00</t>
  </si>
  <si>
    <t>2025-03-02 11:00:00</t>
  </si>
  <si>
    <t>2025-03-02 12:00:00</t>
  </si>
  <si>
    <t>2025-03-02 13:00:00</t>
  </si>
  <si>
    <t>2025-03-02 14:00:00</t>
  </si>
  <si>
    <t>2025-03-02 15:00:00</t>
  </si>
  <si>
    <t>2025-03-02 16:00:00</t>
  </si>
  <si>
    <t>2025-03-02 17:00:00</t>
  </si>
  <si>
    <t>2025-03-02 18:00:00</t>
  </si>
  <si>
    <t>2025-03-02 19:00:00</t>
  </si>
  <si>
    <t>2025-03-02 20:00:00</t>
  </si>
  <si>
    <t>2025-03-02 21:00:00</t>
  </si>
  <si>
    <t>2025-03-02 22:00:00</t>
  </si>
  <si>
    <t>2025-03-02 23:00:00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</si>
  <si>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</si>
  <si>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</si>
  <si>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</si>
  <si>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</si>
  <si>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</si>
  <si>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</si>
  <si>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</si>
  <si>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</si>
  <si>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</si>
  <si>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</si>
  <si>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2025-03-03 10:00:00</t>
  </si>
  <si>
    <t>2025-03-03 11:00:00</t>
  </si>
  <si>
    <t>2025-03-03 12:00:00</t>
  </si>
  <si>
    <t>2025-03-03 13:00:00</t>
  </si>
  <si>
    <t>2025-03-03 14:00:00</t>
  </si>
  <si>
    <t>2025-03-03 15:00:00</t>
  </si>
  <si>
    <t>2025-03-03 16:00:00</t>
  </si>
  <si>
    <t>2025-03-03 17:00:00</t>
  </si>
  <si>
    <t>2025-03-03 18:00:00</t>
  </si>
  <si>
    <t>2025-03-03 19:00:00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</si>
  <si>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</si>
  <si>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</si>
  <si>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</si>
  <si>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</si>
  <si>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</si>
  <si>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</si>
  <si>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</si>
  <si>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</si>
  <si>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</si>
  <si>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</si>
  <si>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</si>
  <si>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</si>
  <si>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</si>
  <si>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</si>
  <si>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</si>
  <si>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2025-03-04 11:00:00</t>
  </si>
  <si>
    <t>2025-03-04 12:00:00</t>
  </si>
  <si>
    <t>2025-03-04 13:00:00</t>
  </si>
  <si>
    <t>2025-03-04 14:00:00</t>
  </si>
  <si>
    <t>2025-03-04 15:00:00</t>
  </si>
  <si>
    <t>2025-03-04 16:00:00</t>
  </si>
  <si>
    <t>2025-03-04 17:00:00</t>
  </si>
  <si>
    <t>2025-03-04 18:00:00</t>
  </si>
  <si>
    <t>2025-03-04 19:00:00</t>
  </si>
  <si>
    <t>2025-03-04 20:00:00</t>
  </si>
  <si>
    <t>2025-03-04 21:00:00</t>
  </si>
  <si>
    <t>2025-03-04 22:00:00</t>
  </si>
  <si>
    <t>2025-03-04 23:00:00</t>
  </si>
  <si>
    <t>2025-03-05 00:00:00</t>
  </si>
  <si>
    <t>2025-03-05 01:00:00</t>
  </si>
  <si>
    <t>2025-03-05 02:00:00</t>
  </si>
  <si>
    <t>2025-03-05 03:00:00</t>
  </si>
  <si>
    <t>2025-03-05 04:00:00</t>
  </si>
  <si>
    <t>2025-03-05 05:00:00</t>
  </si>
  <si>
    <t>2025-03-05 06:00:00</t>
  </si>
  <si>
    <t>2025-03-05 07:00:00</t>
  </si>
  <si>
    <t>2025-03-05 08:00:00</t>
  </si>
  <si>
    <t>2025-03-05 09:00:00</t>
  </si>
  <si>
    <t>2025-03-05 10:00:00</t>
  </si>
  <si>
    <t>2025-03-05 11:00:00</t>
  </si>
  <si>
    <t>2025-03-05 12:00:00</t>
  </si>
  <si>
    <t>2025-03-05 13:00:00</t>
  </si>
  <si>
    <t>2025-03-05 14:00:00</t>
  </si>
  <si>
    <t>2025-03-05 15:00:00</t>
  </si>
  <si>
    <t>2025-03-05 16:00:00</t>
  </si>
  <si>
    <t>2025-03-05 17:00:00</t>
  </si>
  <si>
    <t>2025-03-05 18:00:00</t>
  </si>
  <si>
    <t>2025-03-05 19:00:00</t>
  </si>
  <si>
    <t>2025-03-05 20:00:00</t>
  </si>
  <si>
    <t>2025-03-05 21:00:00</t>
  </si>
  <si>
    <t>2025-03-05 22:00:00</t>
  </si>
  <si>
    <t>2025-03-05 23:00:00</t>
  </si>
  <si>
    <t>2025-03-06 00:00:00</t>
  </si>
  <si>
    <t>2025-03-06 01:00:00</t>
  </si>
  <si>
    <t>2025-03-06 02:00:00</t>
  </si>
  <si>
    <t>2025-03-06 03:00:00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</si>
  <si>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</si>
  <si>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</si>
  <si>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</si>
  <si>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</si>
  <si>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</si>
  <si>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</si>
  <si>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</si>
  <si>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</si>
  <si>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</si>
  <si>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2025-03-06 13:00:00</t>
  </si>
  <si>
    <t>2025-03-06 14:00:00</t>
  </si>
  <si>
    <t>2025-03-06 15:00:00</t>
  </si>
  <si>
    <t>2025-03-06 16:00:00</t>
  </si>
  <si>
    <t>2025-03-06 17:00:00</t>
  </si>
  <si>
    <t>2025-03-06 18:00:00</t>
  </si>
  <si>
    <t>2025-03-06 19:00:00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</si>
  <si>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</si>
  <si>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</si>
  <si>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</si>
  <si>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</si>
  <si>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</si>
  <si>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</si>
  <si>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</si>
  <si>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</si>
  <si>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</si>
  <si>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</si>
  <si>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</si>
  <si>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</si>
  <si>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</si>
  <si>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</si>
  <si>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</si>
  <si>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</si>
  <si>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2025-03-07 12:00:00</t>
  </si>
  <si>
    <t>2025-03-07 13:00:00</t>
  </si>
  <si>
    <t>2025-03-07 14:00:00</t>
  </si>
  <si>
    <t>2025-03-07 15:00:00</t>
  </si>
  <si>
    <t>2025-03-07 16:00:00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</si>
  <si>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</si>
  <si>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</si>
  <si>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</si>
  <si>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</si>
  <si>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</si>
  <si>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</si>
  <si>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</si>
  <si>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</si>
  <si>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</si>
  <si>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</si>
  <si>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</si>
  <si>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</si>
  <si>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</si>
  <si>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</si>
  <si>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</si>
  <si>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</si>
  <si>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</si>
  <si>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2025-03-08 10:00:00</t>
  </si>
  <si>
    <t>2025-03-08 11:00:00</t>
  </si>
  <si>
    <t>2025-03-08 12:00:00</t>
  </si>
  <si>
    <t>2025-03-08 13:00:00</t>
  </si>
  <si>
    <t>2025-03-08 14:00:00</t>
  </si>
  <si>
    <t>2025-03-08 15:00:00</t>
  </si>
  <si>
    <t>2025-03-08 16:00:00</t>
  </si>
  <si>
    <t>2025-03-08 17:00:00</t>
  </si>
  <si>
    <t>2025-03-08 18:00:00</t>
  </si>
  <si>
    <t>2025-03-08 19:00:00</t>
  </si>
  <si>
    <t>2025-03-08 20:00:00</t>
  </si>
  <si>
    <t>2025-03-08 21:00:00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</si>
  <si>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</si>
  <si>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</si>
  <si>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</si>
  <si>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</si>
  <si>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</si>
  <si>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</si>
  <si>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</si>
  <si>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</si>
  <si>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</si>
  <si>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</si>
  <si>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</si>
  <si>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</si>
  <si>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2025-03-09 10:00:00</t>
  </si>
  <si>
    <t>2025-03-09 11:00:00</t>
  </si>
  <si>
    <t>2025-03-09 12:00:00</t>
  </si>
  <si>
    <t>2025-03-09 13:00:00</t>
  </si>
  <si>
    <t>2025-03-09 14:00:00</t>
  </si>
  <si>
    <t>2025-03-09 15:00:00</t>
  </si>
  <si>
    <t>2025-03-09 16:00:00</t>
  </si>
  <si>
    <t>2025-03-09 17:00:00</t>
  </si>
  <si>
    <t>2025-03-09 18:00:00</t>
  </si>
  <si>
    <t>2025-03-09 19:00:00</t>
  </si>
  <si>
    <t>2025-03-09 20:00:00</t>
  </si>
  <si>
    <t>2025-03-09 21:00:00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</si>
  <si>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</si>
  <si>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</si>
  <si>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</si>
  <si>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</si>
  <si>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</si>
  <si>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</si>
  <si>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</si>
  <si>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</si>
  <si>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</si>
  <si>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</si>
  <si>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</si>
  <si>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</si>
  <si>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</si>
  <si>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2025-03-10 11:00:00</t>
  </si>
  <si>
    <t>2025-03-10 12:00:00</t>
  </si>
  <si>
    <t>2025-03-10 13:00:00</t>
  </si>
  <si>
    <t>2025-03-10 14:00:00</t>
  </si>
  <si>
    <t>2025-03-10 15:00:00</t>
  </si>
  <si>
    <t>2025-03-10 16:00:00</t>
  </si>
  <si>
    <t>2025-03-10 17:00:00</t>
  </si>
  <si>
    <t>2025-03-10 18:00:00</t>
  </si>
  <si>
    <t>2025-03-10 19:00:00</t>
  </si>
  <si>
    <t>2025-03-10 20:00:00</t>
  </si>
  <si>
    <t>2025-03-10 21:00:00</t>
  </si>
  <si>
    <t>2025-03-10 22:00:00</t>
  </si>
  <si>
    <t>2025-03-10 23:00:00</t>
  </si>
  <si>
    <t>2025-03-11 00:00:00</t>
  </si>
  <si>
    <t>Camp_B_BF_Basic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</si>
  <si>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</si>
  <si>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</si>
  <si>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</si>
  <si>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</si>
  <si>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</si>
  <si>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</si>
  <si>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</si>
  <si>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</si>
  <si>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</si>
  <si>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</si>
  <si>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</si>
  <si>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</si>
  <si>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</si>
  <si>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2025-03-11 14:00:00</t>
  </si>
  <si>
    <t>2025-03-11 15:00:00</t>
  </si>
  <si>
    <t>2025-03-11 16:00:00</t>
  </si>
  <si>
    <t>2025-03-11 17:00:00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</si>
  <si>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</si>
  <si>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</si>
  <si>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</si>
  <si>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</si>
  <si>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</si>
  <si>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</si>
  <si>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</si>
  <si>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</si>
  <si>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</si>
  <si>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</si>
  <si>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</si>
  <si>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</si>
  <si>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</si>
  <si>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</si>
  <si>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</si>
  <si>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</si>
  <si>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2025-03-12 10:00:00</t>
  </si>
  <si>
    <t>2025-03-12 11:00:00</t>
  </si>
  <si>
    <t>2025-03-12 12:00:00</t>
  </si>
  <si>
    <t>2025-03-12 13:00:00</t>
  </si>
  <si>
    <t>2025-03-12 14:00:00</t>
  </si>
  <si>
    <t>2025-03-12 15:00:00</t>
  </si>
  <si>
    <t>2025-03-12 16:00:00</t>
  </si>
  <si>
    <t>2025-03-12 17:00:00</t>
  </si>
  <si>
    <t>2025-03-12 18:00:00</t>
  </si>
  <si>
    <t>2025-03-12 19:00:00</t>
  </si>
  <si>
    <t>2025-03-12 20:00:00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</si>
  <si>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</si>
  <si>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</si>
  <si>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</si>
  <si>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</si>
  <si>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</si>
  <si>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</si>
  <si>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</si>
  <si>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</si>
  <si>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</si>
  <si>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</si>
  <si>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</si>
  <si>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</si>
  <si>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</si>
  <si>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</si>
  <si>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</si>
  <si>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</si>
  <si>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</si>
  <si>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2025-03-13 14:00:00</t>
  </si>
  <si>
    <t>2025-03-13 15:00:00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</si>
  <si>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</si>
  <si>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</si>
  <si>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</si>
  <si>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</si>
  <si>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</si>
  <si>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</si>
  <si>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</si>
  <si>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</si>
  <si>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</si>
  <si>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</si>
  <si>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</si>
  <si>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</si>
  <si>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</si>
  <si>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</si>
  <si>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</si>
  <si>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</si>
  <si>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</si>
  <si>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</si>
  <si>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2025-03-14 10:00:00</t>
  </si>
  <si>
    <t>2025-03-14 11:00:00</t>
  </si>
  <si>
    <t>2025-03-14 12:00:00</t>
  </si>
  <si>
    <t>2025-03-14 13:00:00</t>
  </si>
  <si>
    <t>2025-03-14 14:00:00</t>
  </si>
  <si>
    <t>2025-03-14 15:00:00</t>
  </si>
  <si>
    <t>2025-03-14 16:00:00</t>
  </si>
  <si>
    <t>2025-03-14 17:00:00</t>
  </si>
  <si>
    <t>2025-03-14 18:00:00</t>
  </si>
  <si>
    <t>2025-03-14 19:00:00</t>
  </si>
  <si>
    <t>2025-03-14 20:00:00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</si>
  <si>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</si>
  <si>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</si>
  <si>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</si>
  <si>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</si>
  <si>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</si>
  <si>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</si>
  <si>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2025-03-15 03:00:00</t>
  </si>
  <si>
    <t>2025-03-15 04:00:00</t>
  </si>
  <si>
    <t>2025-03-15 05:00:00</t>
  </si>
  <si>
    <t>2025-03-15 06:00:00</t>
  </si>
  <si>
    <t>2025-03-15 07:00:00</t>
  </si>
  <si>
    <t>2025-03-15 08:00:00</t>
  </si>
  <si>
    <t>2025-03-15 09:00:00</t>
  </si>
  <si>
    <t>2025-03-15 10:00:00</t>
  </si>
  <si>
    <t>2025-03-15 11:00:00</t>
  </si>
  <si>
    <t>2025-03-15 12:00:00</t>
  </si>
  <si>
    <t>2025-03-15 13:00:00</t>
  </si>
  <si>
    <t>2025-03-15 14:00:00</t>
  </si>
  <si>
    <t>2025-03-15 15:00:00</t>
  </si>
  <si>
    <t>2025-03-15 16:00:00</t>
  </si>
  <si>
    <t>2025-03-15 17:00:00</t>
  </si>
  <si>
    <t>2025-03-15 18:00:00</t>
  </si>
  <si>
    <t>2025-03-15 19:00:00</t>
  </si>
  <si>
    <t>2025-03-15 20:00:00</t>
  </si>
  <si>
    <t>2025-03-15 21:00:00</t>
  </si>
  <si>
    <t>2025-03-15 22:00:00</t>
  </si>
  <si>
    <t>2025-03-15 23:00:00</t>
  </si>
  <si>
    <t>2025-03-16 00:00:00</t>
  </si>
  <si>
    <t>2025-03-16 01:00:00</t>
  </si>
  <si>
    <t>2025-03-16 02:00:00</t>
  </si>
  <si>
    <t>2025-03-16 03:00:00</t>
  </si>
  <si>
    <t>2025-03-16 04:00:00</t>
  </si>
  <si>
    <t>2025-03-16 05:00:00</t>
  </si>
  <si>
    <t>2025-03-16 06:00:00</t>
  </si>
  <si>
    <t>2025-03-16 07:00:00</t>
  </si>
  <si>
    <t>2025-03-16 08:00:00</t>
  </si>
  <si>
    <t>2025-03-16 09:00:00</t>
  </si>
  <si>
    <t>2025-03-16 10:00:00</t>
  </si>
  <si>
    <t>2025-03-16 11:00:00</t>
  </si>
  <si>
    <t>2025-03-16 12:00:00</t>
  </si>
  <si>
    <t>2025-03-16 13:00:00</t>
  </si>
  <si>
    <t>2025-03-16 14:00:00</t>
  </si>
  <si>
    <t>2025-03-16 15:00:00</t>
  </si>
  <si>
    <t>2025-03-16 16:00:00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</si>
  <si>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</si>
  <si>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</si>
  <si>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</si>
  <si>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</si>
  <si>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</si>
  <si>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</si>
  <si>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</si>
  <si>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</si>
  <si>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</si>
  <si>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</si>
  <si>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</si>
  <si>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</si>
  <si>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</si>
  <si>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</si>
  <si>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</si>
  <si>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</si>
  <si>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</si>
  <si>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</si>
  <si>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2025-03-17 11:00:00</t>
  </si>
  <si>
    <t>2025-03-17 12:00:00</t>
  </si>
  <si>
    <t>2025-03-17 13:00:00</t>
  </si>
  <si>
    <t>2025-03-17 14:00:00</t>
  </si>
  <si>
    <t>2025-03-17 15:00:00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</si>
  <si>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</si>
  <si>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</si>
  <si>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</si>
  <si>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</si>
  <si>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</si>
  <si>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</si>
  <si>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</si>
  <si>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</si>
  <si>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</si>
  <si>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</si>
  <si>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</si>
  <si>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</si>
  <si>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</si>
  <si>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</si>
  <si>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</si>
  <si>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</si>
  <si>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</si>
  <si>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</si>
  <si>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</si>
  <si>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2025-03-18 11:00:00</t>
  </si>
  <si>
    <t>2025-03-18 12:00:00</t>
  </si>
  <si>
    <t>2025-03-18 13:00:00</t>
  </si>
  <si>
    <t>2025-03-18 14:00:00</t>
  </si>
  <si>
    <t>2025-03-18 15:00:00</t>
  </si>
  <si>
    <t>2025-03-18 16:00:00</t>
  </si>
  <si>
    <t>2025-03-18 17:00:00</t>
  </si>
  <si>
    <t>2025-03-18 18:00:00</t>
  </si>
  <si>
    <t>2025-03-18 19:00:00</t>
  </si>
  <si>
    <t>2025-03-18 20:00:00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</si>
  <si>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</si>
  <si>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</si>
  <si>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</si>
  <si>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</si>
  <si>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</si>
  <si>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</si>
  <si>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</si>
  <si>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</si>
  <si>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</si>
  <si>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</si>
  <si>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</si>
  <si>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</si>
  <si>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</si>
  <si>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</si>
  <si>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</si>
  <si>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2025-03-19 12:00:00</t>
  </si>
  <si>
    <t>2025-03-19 13:00:00</t>
  </si>
  <si>
    <t>2025-03-19 14:00:00</t>
  </si>
  <si>
    <t>2025-03-19 15:00:00</t>
  </si>
  <si>
    <t>2025-03-19 16:00:00</t>
  </si>
  <si>
    <t>2025-03-19 17:00:00</t>
  </si>
  <si>
    <t>2025-03-19 18:00:00</t>
  </si>
  <si>
    <t>2025-03-19 19:00:00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</si>
  <si>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</si>
  <si>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</si>
  <si>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</si>
  <si>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</si>
  <si>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</si>
  <si>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</si>
  <si>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</si>
  <si>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</si>
  <si>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</si>
  <si>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</si>
  <si>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</si>
  <si>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</si>
  <si>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</si>
  <si>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</si>
  <si>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2025-03-20 10:00:00</t>
  </si>
  <si>
    <t>2025-03-20 11:00:00</t>
  </si>
  <si>
    <t>2025-03-20 12:00:00</t>
  </si>
  <si>
    <t>2025-03-20 13:00:00</t>
  </si>
  <si>
    <t>2025-03-20 14:00:00</t>
  </si>
  <si>
    <t>2025-03-20 15:00:00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</si>
  <si>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</si>
  <si>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</si>
  <si>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</si>
  <si>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</si>
  <si>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</si>
  <si>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</si>
  <si>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</si>
  <si>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</si>
  <si>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</si>
  <si>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Camp_C_DR_Premium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</si>
  <si>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</si>
  <si>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</si>
  <si>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</si>
  <si>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</si>
  <si>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</si>
  <si>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</si>
  <si>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</si>
  <si>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</si>
  <si>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</si>
  <si>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2025-03-21 10:00:00</t>
  </si>
  <si>
    <t>2025-03-21 11:00:00</t>
  </si>
  <si>
    <t>2025-03-21 12:00:00</t>
  </si>
  <si>
    <t>2025-03-21 13:00:00</t>
  </si>
  <si>
    <t>2025-03-21 14:00:00</t>
  </si>
  <si>
    <t>2025-03-21 15:00:00</t>
  </si>
  <si>
    <t>2025-03-21 16:00:00</t>
  </si>
  <si>
    <t>2025-03-21 17:00:00</t>
  </si>
  <si>
    <t>2025-03-21 18:00:00</t>
  </si>
  <si>
    <t>2025-03-21 19:00:00</t>
  </si>
  <si>
    <t>2025-03-21 20:00:00</t>
  </si>
  <si>
    <t>2025-03-21 21:00:00</t>
  </si>
  <si>
    <t>2025-03-21 22:00:00</t>
  </si>
  <si>
    <t>2025-03-21 23:00:00</t>
  </si>
  <si>
    <t>2025-03-22 00:00:00</t>
  </si>
  <si>
    <t>2025-03-22 01:00:00</t>
  </si>
  <si>
    <t>2025-03-22 02:00:00</t>
  </si>
  <si>
    <t>2025-03-22 03:00:00</t>
  </si>
  <si>
    <t>2025-03-22 04:00:00</t>
  </si>
  <si>
    <t>2025-03-22 05:00:00</t>
  </si>
  <si>
    <t>2025-03-22 06:00:00</t>
  </si>
  <si>
    <t>2025-03-22 07:00:00</t>
  </si>
  <si>
    <t>2025-03-22 08:00:00</t>
  </si>
  <si>
    <t>2025-03-22 09:00:00</t>
  </si>
  <si>
    <t>2025-03-22 10:00:00</t>
  </si>
  <si>
    <t>2025-03-22 11:00:00</t>
  </si>
  <si>
    <t>2025-03-22 12:00:00</t>
  </si>
  <si>
    <t>2025-03-22 13:00:00</t>
  </si>
  <si>
    <t>2025-03-22 14:00:00</t>
  </si>
  <si>
    <t>2025-03-22 15:00:00</t>
  </si>
  <si>
    <t>2025-03-22 16:00:00</t>
  </si>
  <si>
    <t>2025-03-22 17:00:00</t>
  </si>
  <si>
    <t>2025-03-22 18:00:00</t>
  </si>
  <si>
    <t>2025-03-22 19:00:00</t>
  </si>
  <si>
    <t>2025-03-22 20:00:00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</si>
  <si>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</si>
  <si>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</si>
  <si>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</si>
  <si>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</si>
  <si>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</si>
  <si>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</si>
  <si>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</si>
  <si>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</si>
  <si>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</si>
  <si>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</si>
  <si>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</si>
  <si>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</si>
  <si>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</si>
  <si>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</si>
  <si>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</si>
  <si>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</si>
  <si>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2025-03-23 13:00:00</t>
  </si>
  <si>
    <t>2025-03-23 14:00:00</t>
  </si>
  <si>
    <t>2025-03-23 15:00:00</t>
  </si>
  <si>
    <t>2025-03-23 16:00:00</t>
  </si>
  <si>
    <t>2025-03-23 17:00:00</t>
  </si>
  <si>
    <t>2025-03-23 18:00:00</t>
  </si>
  <si>
    <t>2025-03-23 19:00:00</t>
  </si>
  <si>
    <t>2025-03-23 20:00:00</t>
  </si>
  <si>
    <t>2025-03-23 21:00:00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</si>
  <si>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</si>
  <si>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</si>
  <si>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</si>
  <si>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</si>
  <si>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</si>
  <si>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</si>
  <si>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</si>
  <si>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</si>
  <si>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</si>
  <si>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</si>
  <si>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</si>
  <si>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</si>
  <si>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</si>
  <si>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</si>
  <si>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2025-03-24 12:00:00</t>
  </si>
  <si>
    <t>2025-03-24 13:00:00</t>
  </si>
  <si>
    <t>2025-03-24 14:00:00</t>
  </si>
  <si>
    <t>2025-03-24 15:00:00</t>
  </si>
  <si>
    <t>2025-03-24 16:00:00</t>
  </si>
  <si>
    <t>2025-03-24 17:00:00</t>
  </si>
  <si>
    <t>2025-03-24 18:00:00</t>
  </si>
  <si>
    <t>2025-03-24 19:00:00</t>
  </si>
  <si>
    <t>2025-03-24 20:00:00</t>
  </si>
  <si>
    <t>2025-03-24 21:00:00</t>
  </si>
  <si>
    <t>2025-03-24 22:00:00</t>
  </si>
  <si>
    <t>2025-03-24 23:00:00</t>
  </si>
  <si>
    <t>2025-03-25 00:00:00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</si>
  <si>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</si>
  <si>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</si>
  <si>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</si>
  <si>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</si>
  <si>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</si>
  <si>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</si>
  <si>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</si>
  <si>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</si>
  <si>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</si>
  <si>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</si>
  <si>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</si>
  <si>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2025-03-25 12:00:00</t>
  </si>
  <si>
    <t>2025-03-25 13:00:00</t>
  </si>
  <si>
    <t>2025-03-25 14:00:00</t>
  </si>
  <si>
    <t>2025-03-25 15:00:00</t>
  </si>
  <si>
    <t>2025-03-25 16:00:00</t>
  </si>
  <si>
    <t>2025-03-25 17:00:00</t>
  </si>
  <si>
    <t>2025-03-25 18:00:00</t>
  </si>
  <si>
    <t>2025-03-25 19:00:00</t>
  </si>
  <si>
    <t>2025-03-25 20:00:00</t>
  </si>
  <si>
    <t>2025-03-25 21:00:00</t>
  </si>
  <si>
    <t>2025-03-25 22:00:00</t>
  </si>
  <si>
    <t>2025-03-25 23:00:00</t>
  </si>
  <si>
    <t>2025-03-26 00:00:00</t>
  </si>
  <si>
    <t>2025-03-26 01:00:00</t>
  </si>
  <si>
    <t>2025-03-26 02:00:00</t>
  </si>
  <si>
    <t>2025-03-26 03:00:00</t>
  </si>
  <si>
    <t>2025-03-26 04:00:00</t>
  </si>
  <si>
    <t>2025-03-26 05:00:00</t>
  </si>
  <si>
    <t>2025-03-26 06:00:00</t>
  </si>
  <si>
    <t>2025-03-26 07:00:00</t>
  </si>
  <si>
    <t>2025-03-26 08:00:00</t>
  </si>
  <si>
    <t>2025-03-26 09:00:00</t>
  </si>
  <si>
    <t>2025-03-26 10:00:00</t>
  </si>
  <si>
    <t>2025-03-26 11:00:00</t>
  </si>
  <si>
    <t>2025-03-26 12:00:00</t>
  </si>
  <si>
    <t>2025-03-26 13:00:00</t>
  </si>
  <si>
    <t>2025-03-26 14:00:00</t>
  </si>
  <si>
    <t>2025-03-26 15:00:00</t>
  </si>
  <si>
    <t>2025-03-26 16:00:00</t>
  </si>
  <si>
    <t>2025-03-26 17:00:00</t>
  </si>
  <si>
    <t>2025-03-26 18:00:00</t>
  </si>
  <si>
    <t>2025-03-26 19:00:00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</si>
  <si>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</si>
  <si>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</si>
  <si>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</si>
  <si>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</si>
  <si>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</si>
  <si>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</si>
  <si>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</si>
  <si>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</si>
  <si>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</si>
  <si>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</si>
  <si>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</si>
  <si>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</si>
  <si>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</si>
  <si>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</si>
  <si>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2025-03-27 10:00:00</t>
  </si>
  <si>
    <t>2025-03-27 11:00:00</t>
  </si>
  <si>
    <t>2025-03-27 12:00:00</t>
  </si>
  <si>
    <t>2025-03-27 13:00:00</t>
  </si>
  <si>
    <t>2025-03-27 14:00:00</t>
  </si>
  <si>
    <t>2025-03-27 15:00:00</t>
  </si>
  <si>
    <t>2025-03-27 16:00:00</t>
  </si>
  <si>
    <t>2025-03-27 17:00:00</t>
  </si>
  <si>
    <t>2025-03-27 18:00:00</t>
  </si>
  <si>
    <t>2025-03-27 19:00:00</t>
  </si>
  <si>
    <t>2025-03-27 20:00:00</t>
  </si>
  <si>
    <t>2025-03-27 21:00:00</t>
  </si>
  <si>
    <t>2025-03-27 22:00:00</t>
  </si>
  <si>
    <t>2025-03-27 23:00:00</t>
  </si>
  <si>
    <t>2025-03-28 00:00:00</t>
  </si>
  <si>
    <t>2025-03-28 01:00:00</t>
  </si>
  <si>
    <t>2025-03-28 02:00:00</t>
  </si>
  <si>
    <t>2025-03-28 03:00:00</t>
  </si>
  <si>
    <t>2025-03-28 04:00:00</t>
  </si>
  <si>
    <t>2025-03-28 05:00:00</t>
  </si>
  <si>
    <t>2025-03-28 06:00:00</t>
  </si>
  <si>
    <t>2025-03-28 07:00:00</t>
  </si>
  <si>
    <t>2025-03-28 08:00:00</t>
  </si>
  <si>
    <t>2025-03-28 09:00:00</t>
  </si>
  <si>
    <t>2025-03-28 10:00:00</t>
  </si>
  <si>
    <t>2025-03-28 11:00:00</t>
  </si>
  <si>
    <t>2025-03-28 12:00:00</t>
  </si>
  <si>
    <t>2025-03-28 13:00:00</t>
  </si>
  <si>
    <t>2025-03-28 14:00:00</t>
  </si>
  <si>
    <t>2025-03-28 15:00:00</t>
  </si>
  <si>
    <t>2025-03-28 16:00:00</t>
  </si>
  <si>
    <t>2025-03-28 17:00:00</t>
  </si>
  <si>
    <t>2025-03-28 18:00:00</t>
  </si>
  <si>
    <t>2025-03-28 19:00:00</t>
  </si>
  <si>
    <t>2025-03-28 20:00:00</t>
  </si>
  <si>
    <t>2025-03-28 21:00:00</t>
  </si>
  <si>
    <t>2025-03-28 22:00:00</t>
  </si>
  <si>
    <t>2025-03-28 23:00:00</t>
  </si>
  <si>
    <t>2025-03-29 00:00:00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</si>
  <si>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</si>
  <si>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</si>
  <si>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</si>
  <si>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</si>
  <si>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</si>
  <si>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</si>
  <si>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</si>
  <si>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</si>
  <si>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</si>
  <si>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</si>
  <si>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</si>
  <si>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</si>
  <si>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</si>
  <si>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</si>
  <si>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</si>
  <si>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</si>
  <si>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</si>
  <si>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</si>
  <si>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2025-03-29 19:00:00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</si>
  <si>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</si>
  <si>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</si>
  <si>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</si>
  <si>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</si>
  <si>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</si>
  <si>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</si>
  <si>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</si>
  <si>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</si>
  <si>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</si>
  <si>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</si>
  <si>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</si>
  <si>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</si>
  <si>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</si>
  <si>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</si>
  <si>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2025-03-30 10:00:00</t>
  </si>
  <si>
    <t>2025-03-30 11:00:00</t>
  </si>
  <si>
    <t>2025-03-30 12:00:00</t>
  </si>
  <si>
    <t>2025-03-30 13:00:00</t>
  </si>
  <si>
    <t>2025-03-30 14:00:00</t>
  </si>
  <si>
    <t>2025-03-30 15:00:00</t>
  </si>
  <si>
    <t>2025-03-30 16:00:00</t>
  </si>
  <si>
    <t>2025-03-30 17:00:00</t>
  </si>
  <si>
    <t>2025-03-30 18:00:00</t>
  </si>
  <si>
    <t>2025-03-30 19:00:00</t>
  </si>
  <si>
    <t>2025-03-30 20:00:00</t>
  </si>
  <si>
    <t>2025-03-30 21:00:00</t>
  </si>
  <si>
    <t>2025-03-30 22:00:00</t>
  </si>
  <si>
    <t>2025-03-30 23:00:00</t>
  </si>
  <si>
    <t>Sample_ID</t>
  </si>
  <si>
    <t>Sample_Timestamp</t>
  </si>
  <si>
    <t>Feed_Fe_pct</t>
  </si>
  <si>
    <t>Feed_FeO_pct</t>
  </si>
  <si>
    <t>Feed_SiO2_pct</t>
  </si>
  <si>
    <t>Feed_Al2O3_pct</t>
  </si>
  <si>
    <t>Feed_CaO_pct</t>
  </si>
  <si>
    <t>Feed_MgO_pct</t>
  </si>
  <si>
    <t>Basicity_B2</t>
  </si>
  <si>
    <t>Basicity_B4</t>
  </si>
  <si>
    <t>Blaine_cm2g</t>
  </si>
  <si>
    <t>Green_Moisture_pct</t>
  </si>
  <si>
    <t>CCS_Mean_daN</t>
  </si>
  <si>
    <t>CCS_StdDev_daN</t>
  </si>
  <si>
    <t>CCS_Min_daN</t>
  </si>
  <si>
    <t>ISO_Tumble_pct</t>
  </si>
  <si>
    <t>Abrasion_Index_pct</t>
  </si>
  <si>
    <t>Porosity_pct</t>
  </si>
  <si>
    <t>Pellets_FeO_pct</t>
  </si>
  <si>
    <t>Black_Core_pct</t>
  </si>
  <si>
    <t>Process_Link_Timestamp</t>
  </si>
  <si>
    <t>Linked_Temp_Firing_C</t>
  </si>
  <si>
    <t>Linked_O2_Firing_pct</t>
  </si>
  <si>
    <t>Linked_Bed_Height_mm</t>
  </si>
  <si>
    <t>Linked_Pallet_Speed_mpm</t>
  </si>
  <si>
    <t>QC-0001</t>
  </si>
  <si>
    <t>QC-0002</t>
  </si>
  <si>
    <t>QC-0003</t>
  </si>
  <si>
    <t>QC-0004</t>
  </si>
  <si>
    <t>QC-0005</t>
  </si>
  <si>
    <t>QC-0006</t>
  </si>
  <si>
    <t>QC-0007</t>
  </si>
  <si>
    <t>QC-0008</t>
  </si>
  <si>
    <t>QC-0009</t>
  </si>
  <si>
    <t>QC-0010</t>
  </si>
  <si>
    <t>QC-0011</t>
  </si>
  <si>
    <t>QC-0012</t>
  </si>
  <si>
    <t>QC-0013</t>
  </si>
  <si>
    <t>QC-0014</t>
  </si>
  <si>
    <t>QC-0015</t>
  </si>
  <si>
    <t>QC-0016</t>
  </si>
  <si>
    <t>QC-0017</t>
  </si>
  <si>
    <t>QC-0018</t>
  </si>
  <si>
    <t>QC-0019</t>
  </si>
  <si>
    <t>QC-0020</t>
  </si>
  <si>
    <t>QC-0021</t>
  </si>
  <si>
    <t>QC-0022</t>
  </si>
  <si>
    <t>QC-0023</t>
  </si>
  <si>
    <t>QC-0024</t>
  </si>
  <si>
    <t>QC-0025</t>
  </si>
  <si>
    <t>QC-0026</t>
  </si>
  <si>
    <t>QC-0027</t>
  </si>
  <si>
    <t>QC-0028</t>
  </si>
  <si>
    <t>QC-0029</t>
  </si>
  <si>
    <t>QC-0030</t>
  </si>
  <si>
    <t>QC-0031</t>
  </si>
  <si>
    <t>QC-0032</t>
  </si>
  <si>
    <t>QC-0033</t>
  </si>
  <si>
    <t>QC-0034</t>
  </si>
  <si>
    <t>QC-0035</t>
  </si>
  <si>
    <t>QC-0036</t>
  </si>
  <si>
    <t>QC-0037</t>
  </si>
  <si>
    <t>QC-0038</t>
  </si>
  <si>
    <t>QC-0039</t>
  </si>
  <si>
    <t>QC-0040</t>
  </si>
  <si>
    <t>QC-0041</t>
  </si>
  <si>
    <t>QC-0042</t>
  </si>
  <si>
    <t>QC-0043</t>
  </si>
  <si>
    <t>QC-0044</t>
  </si>
  <si>
    <t>QC-0045</t>
  </si>
  <si>
    <t>QC-0046</t>
  </si>
  <si>
    <t>QC-0047</t>
  </si>
  <si>
    <t>QC-0048</t>
  </si>
  <si>
    <t>QC-0049</t>
  </si>
  <si>
    <t>QC-0050</t>
  </si>
  <si>
    <t>QC-0051</t>
  </si>
  <si>
    <t>QC-0052</t>
  </si>
  <si>
    <t>QC-0053</t>
  </si>
  <si>
    <t>QC-0054</t>
  </si>
  <si>
    <t>QC-0055</t>
  </si>
  <si>
    <t>QC-0056</t>
  </si>
  <si>
    <t>QC-0057</t>
  </si>
  <si>
    <t>QC-0058</t>
  </si>
  <si>
    <t>QC-0059</t>
  </si>
  <si>
    <t>QC-0060</t>
  </si>
  <si>
    <t>QC-0061</t>
  </si>
  <si>
    <t>QC-0062</t>
  </si>
  <si>
    <t>QC-0063</t>
  </si>
  <si>
    <t>QC-0064</t>
  </si>
  <si>
    <t>QC-0065</t>
  </si>
  <si>
    <t>QC-0066</t>
  </si>
  <si>
    <t>QC-0067</t>
  </si>
  <si>
    <t>QC-0068</t>
  </si>
  <si>
    <t>QC-0069</t>
  </si>
  <si>
    <t>QC-0070</t>
  </si>
  <si>
    <t>QC-0071</t>
  </si>
  <si>
    <t>QC-0072</t>
  </si>
  <si>
    <t>QC-0073</t>
  </si>
  <si>
    <t>QC-0074</t>
  </si>
  <si>
    <t>QC-0075</t>
  </si>
  <si>
    <t>QC-0076</t>
  </si>
  <si>
    <t>QC-0077</t>
  </si>
  <si>
    <t>QC-0078</t>
  </si>
  <si>
    <t>QC-0079</t>
  </si>
  <si>
    <t>QC-0080</t>
  </si>
  <si>
    <t>QC-0081</t>
  </si>
  <si>
    <t>QC-0082</t>
  </si>
  <si>
    <t>QC-0083</t>
  </si>
  <si>
    <t>QC-0084</t>
  </si>
  <si>
    <t>QC-0085</t>
  </si>
  <si>
    <t>QC-0086</t>
  </si>
  <si>
    <t>QC-0087</t>
  </si>
  <si>
    <t>QC-0088</t>
  </si>
  <si>
    <t>QC-0089</t>
  </si>
  <si>
    <t>QC-0090</t>
  </si>
  <si>
    <t>QC-0091</t>
  </si>
  <si>
    <t>QC-0092</t>
  </si>
  <si>
    <t>QC-0093</t>
  </si>
  <si>
    <t>QC-0094</t>
  </si>
  <si>
    <t>QC-0095</t>
  </si>
  <si>
    <t>QC-0096</t>
  </si>
  <si>
    <t>QC-0097</t>
  </si>
  <si>
    <t>QC-0098</t>
  </si>
  <si>
    <t>QC-0099</t>
  </si>
  <si>
    <t>QC-0100</t>
  </si>
  <si>
    <t>QC-0101</t>
  </si>
  <si>
    <t>QC-0102</t>
  </si>
  <si>
    <t>QC-0103</t>
  </si>
  <si>
    <t>QC-0104</t>
  </si>
  <si>
    <t>QC-0105</t>
  </si>
  <si>
    <t>QC-0106</t>
  </si>
  <si>
    <t>QC-0107</t>
  </si>
  <si>
    <t>QC-0108</t>
  </si>
  <si>
    <t>QC-0109</t>
  </si>
  <si>
    <t>QC-0110</t>
  </si>
  <si>
    <t>QC-0111</t>
  </si>
  <si>
    <t>QC-0112</t>
  </si>
  <si>
    <t>QC-0113</t>
  </si>
  <si>
    <t>QC-0114</t>
  </si>
  <si>
    <t>QC-0115</t>
  </si>
  <si>
    <t>QC-0116</t>
  </si>
  <si>
    <t>QC-0117</t>
  </si>
  <si>
    <t>QC-0118</t>
  </si>
  <si>
    <t>QC-0119</t>
  </si>
  <si>
    <t>QC-0120</t>
  </si>
  <si>
    <t>QC-0121</t>
  </si>
  <si>
    <t>QC-0122</t>
  </si>
  <si>
    <t>QC-0123</t>
  </si>
  <si>
    <t>QC-0124</t>
  </si>
  <si>
    <t>QC-0125</t>
  </si>
  <si>
    <t>QC-0126</t>
  </si>
  <si>
    <t>QC-0127</t>
  </si>
  <si>
    <t>QC-0128</t>
  </si>
  <si>
    <t>QC-0129</t>
  </si>
  <si>
    <t>QC-0130</t>
  </si>
  <si>
    <t>QC-0131</t>
  </si>
  <si>
    <t>QC-0132</t>
  </si>
  <si>
    <t>QC-0133</t>
  </si>
  <si>
    <t>QC-0134</t>
  </si>
  <si>
    <t>QC-0135</t>
  </si>
  <si>
    <t>QC-0136</t>
  </si>
  <si>
    <t>QC-0137</t>
  </si>
  <si>
    <t>QC-0138</t>
  </si>
  <si>
    <t>QC-0139</t>
  </si>
  <si>
    <t>QC-0140</t>
  </si>
  <si>
    <t>QC-0141</t>
  </si>
  <si>
    <t>QC-0142</t>
  </si>
  <si>
    <t>QC-0143</t>
  </si>
  <si>
    <t>QC-0144</t>
  </si>
  <si>
    <t>QC-0145</t>
  </si>
  <si>
    <t>QC-0146</t>
  </si>
  <si>
    <t>QC-0147</t>
  </si>
  <si>
    <t>QC-0148</t>
  </si>
  <si>
    <t>QC-0149</t>
  </si>
  <si>
    <t>QC-0150</t>
  </si>
  <si>
    <t>QC-0151</t>
  </si>
  <si>
    <t>QC-0152</t>
  </si>
  <si>
    <t>QC-0153</t>
  </si>
  <si>
    <t>QC-0154</t>
  </si>
  <si>
    <t>QC-0155</t>
  </si>
  <si>
    <t>QC-0156</t>
  </si>
  <si>
    <t>QC-0157</t>
  </si>
  <si>
    <t>QC-0158</t>
  </si>
  <si>
    <t>QC-0159</t>
  </si>
  <si>
    <t>QC-0160</t>
  </si>
  <si>
    <t>QC-0161</t>
  </si>
  <si>
    <t>QC-0162</t>
  </si>
  <si>
    <t>QC-0163</t>
  </si>
  <si>
    <t>QC-0164</t>
  </si>
  <si>
    <t>QC-0165</t>
  </si>
  <si>
    <t>QC-0166</t>
  </si>
  <si>
    <t>QC-0167</t>
  </si>
  <si>
    <t>QC-0168</t>
  </si>
  <si>
    <t>QC-0169</t>
  </si>
  <si>
    <t>QC-0170</t>
  </si>
  <si>
    <t>QC-0171</t>
  </si>
  <si>
    <t>QC-0172</t>
  </si>
  <si>
    <t>QC-0173</t>
  </si>
  <si>
    <t>QC-0174</t>
  </si>
  <si>
    <t>QC-0175</t>
  </si>
  <si>
    <t>QC-0176</t>
  </si>
  <si>
    <t>QC-0177</t>
  </si>
  <si>
    <t>QC-0178</t>
  </si>
  <si>
    <t>QC-0179</t>
  </si>
  <si>
    <t>QC-0180</t>
  </si>
  <si>
    <t>Ergun Equation Hydrodynamic Modeling across Straight Grate Zones (ISO / Chemical Engineering Principles)</t>
  </si>
  <si>
    <t>ΔP/L = 150 * [(1-ε)² / ε³] * (μ * vs / dp²) + 1.75 * [(1-ε) / ε³] * (ρ * vs² / dp)  |  Units: ΔP [Pa], L [m], dp [m], μ [Pa.s], ρ [kg/m³], vs [m/s]</t>
  </si>
  <si>
    <t>Furnace_Zone</t>
  </si>
  <si>
    <t>Gas_Temp_C</t>
  </si>
  <si>
    <t>Bed_Height_L_m</t>
  </si>
  <si>
    <t>Pellet_dp_mm</t>
  </si>
  <si>
    <t>Void_Fraction_eps</t>
  </si>
  <si>
    <t>Gas_Density_kgm3</t>
  </si>
  <si>
    <t>Gas_Viscosity_Pas</t>
  </si>
  <si>
    <t>Superficial_Vel_vs_ms</t>
  </si>
  <si>
    <t>Viscous_Term_Pa_m</t>
  </si>
  <si>
    <t>Inertial_Term_Pa_m</t>
  </si>
  <si>
    <t>Total_DP_kPa</t>
  </si>
  <si>
    <t>Updraft Drying (UDD)</t>
  </si>
  <si>
    <t>Downdraft Drying (DDD)</t>
  </si>
  <si>
    <t>Preheating (PH)</t>
  </si>
  <si>
    <t>Firing Zone (Peak)</t>
  </si>
  <si>
    <t>After-Firing / Soaking</t>
  </si>
  <si>
    <t>Cooling Zone 1</t>
  </si>
  <si>
    <t>Cooling Zone 2</t>
  </si>
  <si>
    <t>Firing - High Fines (dp=10mm)</t>
  </si>
  <si>
    <t>Firing - Low Porosity (eps=0.33)</t>
  </si>
  <si>
    <t>UDD - High Moisture/Dense (eps=0.35)</t>
  </si>
  <si>
    <t>PH - High Gas Flow (vs=2.1 m/s)</t>
  </si>
  <si>
    <t>Firing - Coarse Pellets (dp=14mm)</t>
  </si>
  <si>
    <t>Dimension: Straight Grate Thermal Zones &amp; Operating Ranges</t>
  </si>
  <si>
    <t>Zone_Code</t>
  </si>
  <si>
    <t>Zone_Name</t>
  </si>
  <si>
    <t>Flow_Direction</t>
  </si>
  <si>
    <t>Target_Temp_Min_C</t>
  </si>
  <si>
    <t>Target_Temp_Max_C</t>
  </si>
  <si>
    <t>Primary_Reaction_Phenomenon</t>
  </si>
  <si>
    <t>QC_Critical_Risks</t>
  </si>
  <si>
    <t>Z1_UDD</t>
  </si>
  <si>
    <t>Updraft Drying</t>
  </si>
  <si>
    <t>Updraft (Bottom-to-Top)</t>
  </si>
  <si>
    <t>Free water evaporation, surface moisture removal</t>
  </si>
  <si>
    <t>Decrepitation / Spalling from steam pressure</t>
  </si>
  <si>
    <t>Z2_DDD</t>
  </si>
  <si>
    <t>Downdraft Drying</t>
  </si>
  <si>
    <t>Downdraft (Top-to-Bottom)</t>
  </si>
  <si>
    <t>Uniform bed drying, downward heat front</t>
  </si>
  <si>
    <t>Re-condensation in bottom layers, plastic deformation</t>
  </si>
  <si>
    <t>Z3_PH</t>
  </si>
  <si>
    <t>Preheating</t>
  </si>
  <si>
    <t>Magnetite oxidation (Fe3O4 -&gt; Fe2O3), flux calcination</t>
  </si>
  <si>
    <t>Incomplete oxidation, core-shell thermal gradients</t>
  </si>
  <si>
    <t>Z4_FIR</t>
  </si>
  <si>
    <t>Firing Zone</t>
  </si>
  <si>
    <t>Solid-state &amp; liquid-phase sintering, recrystallization</t>
  </si>
  <si>
    <t>Excess liquid phase, cluster formation, ring formation</t>
  </si>
  <si>
    <t>Z5_AFT</t>
  </si>
  <si>
    <t>Thermal soaking, calcium ferrite bond stabilization</t>
  </si>
  <si>
    <t>Thermal shock, insufficient soaking / core weakness</t>
  </si>
  <si>
    <t>Z6_COL</t>
  </si>
  <si>
    <t>Cooling Zone</t>
  </si>
  <si>
    <t>Updraft (Recuperation Air)</t>
  </si>
  <si>
    <t>Heat recovery to burners/PH, pellet stabilization</t>
  </si>
  <si>
    <t>Microcracks from excessive quenching, dust generation</t>
  </si>
  <si>
    <t>Dimension: Production Campaigns &amp; Specification Limits</t>
  </si>
  <si>
    <t>Campaign_Code</t>
  </si>
  <si>
    <t>Target_Market</t>
  </si>
  <si>
    <t>Target_Basicity_B2</t>
  </si>
  <si>
    <t>Target_CCS_Min_daN</t>
  </si>
  <si>
    <t>Target_Tumble_Min_pct</t>
  </si>
  <si>
    <t>Target_Abrasion_Max_pct</t>
  </si>
  <si>
    <t>Target_FeO_Max_pct</t>
  </si>
  <si>
    <t>Direct Reduction (Midrex/HYL)</t>
  </si>
  <si>
    <t>0.85 - 0.92</t>
  </si>
  <si>
    <t>Blast Furnace (High Basicity)</t>
  </si>
  <si>
    <t>1.10 - 1.25</t>
  </si>
  <si>
    <t>Direct Reduction Premium</t>
  </si>
  <si>
    <t>0.95 - 1.05</t>
  </si>
  <si>
    <t>Parameter</t>
  </si>
  <si>
    <t>Value</t>
  </si>
  <si>
    <t>Unite</t>
  </si>
  <si>
    <t>Description</t>
  </si>
  <si>
    <t>ε</t>
  </si>
  <si>
    <t>ϕ</t>
  </si>
  <si>
    <t>dp</t>
  </si>
  <si>
    <t>vs</t>
  </si>
  <si>
    <t>L</t>
  </si>
  <si>
    <t>Pa.s</t>
  </si>
  <si>
    <t>kg/m3</t>
  </si>
  <si>
    <t>_</t>
  </si>
  <si>
    <t>m</t>
  </si>
  <si>
    <t>m/s</t>
  </si>
  <si>
    <t>μg</t>
  </si>
  <si>
    <t>ρg</t>
  </si>
  <si>
    <t>Delta P Total</t>
  </si>
  <si>
    <t>kPa</t>
  </si>
  <si>
    <t>Delta P Viscous</t>
  </si>
  <si>
    <t>Delta P Inertial</t>
  </si>
  <si>
    <t>Calculation Check</t>
  </si>
  <si>
    <t>Must be ~ 0</t>
  </si>
  <si>
    <t>Temp_Deviation_Target</t>
  </si>
  <si>
    <t>Zone_Status</t>
  </si>
  <si>
    <t>Rolling_Avg_Temp_Firing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</si>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</sst>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color rgb="FFFFFFFF"/>
      <name val="Calibri"/>
    </font>
    <font>
      <i/>
      <sz val="10"/>
      <color rgb="FFFFFFFF"/>
      <name val="Calibri"/>
    </font>
    <font>
      <b/>
      <sz val="12"/>
      <color rgb="FFFFFFFF"/>
      <name val="Calibri"/>
    </font>
    <font>
      <sz val="11"/>
      <color theme="1"/>
      <name val="Aptos Narrow"/>
      <family val="2"/>
    </font>
    <font>
      <sz val="10"/>
      <color theme="1"/>
      <name val="Arial Unicode MS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4A777A"/>
        <bgColor rgb="FF4A777A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1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0" xfId="0" applyFont="1"/>
    <xf numFmtId="11" fontId="0" fillId="0" borderId="0" xfId="0" applyNumberFormat="1"/>
    <xf numFmtId="0" fontId="6" fillId="0" borderId="0" xfId="0" applyFont="1"/>
    <xf numFmtId="0" fontId="0" fillId="0" borderId="2" xfId="0" applyBorder="1"/>
    <xf numFmtId="2" fontId="0" fillId="0" borderId="2" xfId="0" applyNumberFormat="1" applyBorder="1"/>
    <xf numFmtId="164" fontId="0" fillId="0" borderId="2" xfId="0" applyNumberFormat="1" applyBorder="1"/>
    <xf numFmtId="2" fontId="0" fillId="0" borderId="3" xfId="0" applyNumberFormat="1" applyBorder="1"/>
    <xf numFmtId="0" fontId="7" fillId="2" borderId="0" xfId="0" applyFont="1" applyFill="1" applyAlignment="1">
      <alignment horizontal="center" vertical="center" wrapText="1"/>
    </xf>
    <xf numFmtId="0" fontId="0" fillId="0" borderId="3" xfId="0" applyBorder="1"/>
    <xf numFmtId="0" fontId="7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33">
    <dxf>
      <numFmt numFmtId="2" formatCode="0.0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numFmt numFmtId="2" formatCode="0.0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2" formatCode="0.0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FFFF00"/>
        </patternFill>
      </fill>
    </dxf>
    <dxf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A777A"/>
          <bgColor rgb="FF4A777A"/>
        </patternFill>
      </fill>
      <alignment horizontal="center" vertical="center" textRotation="0" wrapText="0" indent="0" justifyLastLine="0" shrinkToFit="0" readingOrder="0"/>
    </dxf>
    <dxf>
      <numFmt numFmtId="2" formatCode="0.0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4" formatCode="#,##0.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4" formatCode="#,##0.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2" formatCode="0.0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2" formatCode="0.0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4" formatCode="#,##0.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4" formatCode="#,##0.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2" formatCode="0.0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2" formatCode="0.0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2" formatCode="0.0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2" formatCode="0.0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2" formatCode="0.0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B365D"/>
          <bgColor rgb="FF1B365D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719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9FC98-6DC5-477C-8D6F-FE929B9A4046}" name="tbl_Process" displayName="tbl_Process" ref="A1:R721" totalsRowShown="0" headerRowDxfId="32" tableBorderDxfId="31">
  <autoFilter ref="A1:R721" xr:uid="{13E9FC98-6DC5-477C-8D6F-FE929B9A4046}"/>
  <tableColumns count="18">
    <tableColumn id="1" xr3:uid="{60C3B154-725F-45E8-B1DF-D24B13CBA7A9}" name="Timestamp" dataDxfId="30"/>
    <tableColumn id="2" xr3:uid="{005C6FC3-012A-4653-B68E-34662076C400}" name="Shift" dataDxfId="29"/>
    <tableColumn id="3" xr3:uid="{7FF807C2-09A0-4B79-9573-6E9808B627ED}" name="Campaign" dataDxfId="28"/>
    <tableColumn id="4" xr3:uid="{9DE1EE99-71EA-43DA-9A64-471E7892F05E}" name="Bed_Height_mm" dataDxfId="27"/>
    <tableColumn id="5" xr3:uid="{DEFA24E9-6ECA-4380-AB23-0154677F7F84}" name="Pallet_Speed_mpm" dataDxfId="26"/>
    <tableColumn id="6" xr3:uid="{19DEF166-18B7-407B-B92E-2A18FA797765}" name="Temp_UDD_C" dataDxfId="25"/>
    <tableColumn id="7" xr3:uid="{6740AB46-B491-48E0-A0D7-A4F661E66C64}" name="Temp_DDD_C" dataDxfId="24"/>
    <tableColumn id="8" xr3:uid="{B2E8CFE5-4E6E-4445-9209-4BC82128D6CC}" name="Temp_PH_C" dataDxfId="23"/>
    <tableColumn id="9" xr3:uid="{A9B3E487-9AE1-4840-A178-1E158883397E}" name="Temp_Firing_C" dataDxfId="22"/>
    <tableColumn id="10" xr3:uid="{65585C03-B235-4C0B-9043-CB84A3C9A241}" name="Temp_AfterFiring_C" dataDxfId="21"/>
    <tableColumn id="11" xr3:uid="{BE02F75D-EEA9-453A-9688-1CEBB1D30FAC}" name="Temp_Cooling_C" dataDxfId="20"/>
    <tableColumn id="12" xr3:uid="{9F771C01-5AB3-45E9-958E-51476015E1DA}" name="Windbox_Avg_DP_kPa" dataDxfId="19"/>
    <tableColumn id="13" xr3:uid="{EF4A863C-240D-4B3E-A6F7-C8566A212FB1}" name="Total_Gas_Flow_Nm3h" dataDxfId="18"/>
    <tableColumn id="14" xr3:uid="{9ED6635B-24B6-445D-BE98-7D3E70D90A8E}" name="Main_Burner_Gas_Nm3h" dataDxfId="17"/>
    <tableColumn id="15" xr3:uid="{D7AC2367-EDBC-41F9-BA2B-B99EED48C45D}" name="O2_Firing_pct" dataDxfId="16"/>
    <tableColumn id="16" xr3:uid="{D9982D0B-2633-4C30-8E62-AA60E5814892}" name="Zone_Status" dataDxfId="4">
      <calculatedColumnFormula>IF(L2&gt;4.5,"CRITICAL",IF(OR(I2&lt;1250,I2&gt;1330),"WARNING","NORMAL"))</calculatedColumnFormula>
    </tableColumn>
    <tableColumn id="17" xr3:uid="{E3743457-B7D9-4B60-B8F0-772A5064E522}" name="Rolling_Avg_Temp_Firing" dataDxfId="3">
      <calculatedColumnFormula array="1">AVERAGE(OFFSET(tbl_Process[[#This Row],[Temp_Firing_C]], MAX(1-ROW()+ROW(tbl_Process[#Headers]), -23), 0, MIN(ROW()-ROW(tbl_Process[#Headers]), 24), 1))</calculatedColumnFormula>
    </tableColumn>
    <tableColumn id="18" xr3:uid="{93EE685E-B67C-491A-A823-2315E1391867}" name="Column1" dataDxfId="0">
      <calculatedColumnFormula array="1">tbl_Process[Temp_Firing_C] - AVERAGE(tbl_Zones[[Target_Temp_Min_C]:[Target_Temp_Max_C]])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B754FE-8EF1-4500-9BC5-732709A311D6}" name="tbl_Zones" displayName="tbl_Zones" ref="A2:H8" totalsRowShown="0" headerRowDxfId="15" tableBorderDxfId="14">
  <autoFilter ref="A2:H8" xr:uid="{BCB754FE-8EF1-4500-9BC5-732709A311D6}"/>
  <tableColumns count="8">
    <tableColumn id="1" xr3:uid="{05B568E5-4388-46B8-B349-829C4A957DEF}" name="Zone_Code" dataDxfId="13"/>
    <tableColumn id="2" xr3:uid="{0ED440EA-A06F-4463-AD5B-6C11088DC360}" name="Zone_Name" dataDxfId="12"/>
    <tableColumn id="3" xr3:uid="{404B17C9-8F9A-4113-962B-0F88AAB5AA0D}" name="Flow_Direction" dataDxfId="11"/>
    <tableColumn id="4" xr3:uid="{88DC01D7-BDC4-4D32-8B51-160000C963FC}" name="Target_Temp_Min_C" dataDxfId="10"/>
    <tableColumn id="5" xr3:uid="{449468BB-EEAE-44F1-86E5-1943F50786CD}" name="Target_Temp_Max_C" dataDxfId="9"/>
    <tableColumn id="6" xr3:uid="{2670BF3E-83F2-4577-9B41-0A6859D3B044}" name="Primary_Reaction_Phenomenon" dataDxfId="8"/>
    <tableColumn id="7" xr3:uid="{14FF7D8E-80FE-407A-AD16-56FB48C775D7}" name="QC_Critical_Risks" dataDxfId="7"/>
    <tableColumn id="8" xr3:uid="{8017366F-C8E8-4BB8-83F5-0D9ABBDDCFB3}" name="Temp_Deviation_Target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topLeftCell="L1" workbookViewId="0">
      <selection activeCell="R3" sqref="R3"/>
    </sheetView>
  </sheetViews>
  <sheetFormatPr defaultRowHeight="14.4" x14ac:dyDescent="0.3"/>
  <cols>
    <col min="1" max="1" width="22" customWidth="1"/>
    <col min="2" max="2" width="18" customWidth="1"/>
    <col min="3" max="3" width="20" customWidth="1"/>
    <col min="4" max="4" width="16.88671875" customWidth="1"/>
    <col min="5" max="5" width="19.21875" customWidth="1"/>
    <col min="6" max="6" width="14.5546875" customWidth="1"/>
    <col min="7" max="7" width="14.44140625" customWidth="1"/>
    <col min="8" max="8" width="13.109375" customWidth="1"/>
    <col min="9" max="9" width="16" customWidth="1"/>
    <col min="10" max="10" width="21" customWidth="1"/>
    <col min="11" max="11" width="17.109375" customWidth="1"/>
    <col min="12" max="13" width="22.109375" customWidth="1"/>
    <col min="14" max="14" width="24" customWidth="1"/>
    <col min="15" max="15" width="16" customWidth="1"/>
  </cols>
  <sheetData>
    <row r="1" spans="1:1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7" t="s">
        <v>1042</v>
      </c>
      <c r="Q1" s="1" t="s">
        <v>1043</v>
      </c>
      <c r="R1" s="17" t="s">
        <v>1044</v>
      </c>
    </row>
    <row r="2" spans="1:18" x14ac:dyDescent="0.3">
      <c r="A2" s="2" t="s">
        <v>15</v>
      </c>
      <c r="B2" s="2" t="s">
        <v>16</v>
      </c>
      <c r="C2" s="2" t="s">
        <v>17</v>
      </c>
      <c r="D2" s="3">
        <v>421.2</v>
      </c>
      <c r="E2" s="3">
        <v>3.12</v>
      </c>
      <c r="F2" s="3">
        <v>324.5</v>
      </c>
      <c r="G2" s="3">
        <v>386.6</v>
      </c>
      <c r="H2" s="3">
        <v>936.6</v>
      </c>
      <c r="I2" s="4">
        <v>1294.5999999999999</v>
      </c>
      <c r="J2" s="4">
        <v>1230.4000000000001</v>
      </c>
      <c r="K2" s="3">
        <v>158.4</v>
      </c>
      <c r="L2" s="3">
        <v>4.08</v>
      </c>
      <c r="M2" s="4">
        <v>416042</v>
      </c>
      <c r="N2" s="4">
        <v>8541</v>
      </c>
      <c r="O2" s="3">
        <v>14.36</v>
      </c>
      <c r="P2" s="16" t="str">
        <f t="shared" ref="P2:P65" si="0">IF(L2&gt;4.5,"CRITICAL",IF(OR(I2&lt;1250,I2&gt;1330),"WARNING","NORMAL"))</f>
        <v>NORMAL</v>
      </c>
      <c r="Q2" s="3" cm="1">
        <f t="array" aca="1" ref="Q2" ca="1">AVERAGE(OFFSET(tbl_Process[[#This Row],[Temp_Firing_C]], MAX(1-ROW()+ROW(tbl_Process[#Headers]), -23), 0, MIN(ROW()-ROW(tbl_Process[#Headers]), 24), 1))</f>
        <v>1294.5999999999999</v>
      </c>
      <c r="R2" s="16" t="e" cm="1" vm="1">
        <f t="array" aca="1" ref="R2" ca="1">tbl_Process[Temp_Firing_C] - AVERAGE(tbl_Zones[[Target_Temp_Min_C]:[Target_Temp_Max_C]])</f>
        <v>#VALUE!</v>
      </c>
    </row>
    <row r="3" spans="1:18" x14ac:dyDescent="0.3">
      <c r="A3" s="2" t="s">
        <v>18</v>
      </c>
      <c r="B3" s="2" t="s">
        <v>16</v>
      </c>
      <c r="C3" s="2" t="s">
        <v>17</v>
      </c>
      <c r="D3" s="3">
        <v>420.3</v>
      </c>
      <c r="E3" s="3">
        <v>3.29</v>
      </c>
      <c r="F3" s="3">
        <v>323.3</v>
      </c>
      <c r="G3" s="3">
        <v>374.6</v>
      </c>
      <c r="H3" s="3">
        <v>965.4</v>
      </c>
      <c r="I3" s="4">
        <v>1298.5999999999999</v>
      </c>
      <c r="J3" s="4">
        <v>1238.9000000000001</v>
      </c>
      <c r="K3" s="3">
        <v>160.1</v>
      </c>
      <c r="L3" s="3">
        <v>4.09</v>
      </c>
      <c r="M3" s="4">
        <v>417365</v>
      </c>
      <c r="N3" s="4">
        <v>8630</v>
      </c>
      <c r="O3" s="3">
        <v>14.06</v>
      </c>
      <c r="P3" s="3" t="str">
        <f t="shared" si="0"/>
        <v>NORMAL</v>
      </c>
      <c r="Q3" s="3" cm="1">
        <f t="array" aca="1" ref="Q3" ca="1">AVERAGE(OFFSET(tbl_Process[[#This Row],[Temp_Firing_C]], MAX(1-ROW()+ROW(tbl_Process[#Headers]), -23), 0, MIN(ROW()-ROW(tbl_Process[#Headers]), 24), 1))</f>
        <v>1296.5999999999999</v>
      </c>
      <c r="R3" s="3" t="e" cm="1" vm="1">
        <f t="array" aca="1" ref="R3" ca="1">tbl_Process[Temp_Firing_C] - AVERAGE(tbl_Zones[[Target_Temp_Min_C]:[Target_Temp_Max_C]])</f>
        <v>#VALUE!</v>
      </c>
    </row>
    <row r="4" spans="1:18" x14ac:dyDescent="0.3">
      <c r="A4" s="2" t="s">
        <v>19</v>
      </c>
      <c r="B4" s="2" t="s">
        <v>16</v>
      </c>
      <c r="C4" s="2" t="s">
        <v>17</v>
      </c>
      <c r="D4" s="3">
        <v>418.3</v>
      </c>
      <c r="E4" s="3">
        <v>3.17</v>
      </c>
      <c r="F4" s="3">
        <v>324.10000000000002</v>
      </c>
      <c r="G4" s="3">
        <v>383.8</v>
      </c>
      <c r="H4" s="3">
        <v>966.8</v>
      </c>
      <c r="I4" s="4">
        <v>1310.9</v>
      </c>
      <c r="J4" s="4">
        <v>1258.7</v>
      </c>
      <c r="K4" s="3">
        <v>158.6</v>
      </c>
      <c r="L4" s="3">
        <v>4</v>
      </c>
      <c r="M4" s="4">
        <v>419114</v>
      </c>
      <c r="N4" s="4">
        <v>8705</v>
      </c>
      <c r="O4" s="3">
        <v>14.32</v>
      </c>
      <c r="P4" s="3" t="str">
        <f t="shared" si="0"/>
        <v>NORMAL</v>
      </c>
      <c r="Q4" s="3" cm="1">
        <f t="array" aca="1" ref="Q4" ca="1">AVERAGE(OFFSET(tbl_Process[[#This Row],[Temp_Firing_C]], MAX(1-ROW()+ROW(tbl_Process[#Headers]), -23), 0, MIN(ROW()-ROW(tbl_Process[#Headers]), 24), 1))</f>
        <v>1301.3666666666666</v>
      </c>
      <c r="R4" s="3" t="e" cm="1" vm="1">
        <f t="array" aca="1" ref="R4" ca="1">tbl_Process[Temp_Firing_C] - AVERAGE(tbl_Zones[[Target_Temp_Min_C]:[Target_Temp_Max_C]])</f>
        <v>#VALUE!</v>
      </c>
    </row>
    <row r="5" spans="1:18" x14ac:dyDescent="0.3">
      <c r="A5" s="2" t="s">
        <v>20</v>
      </c>
      <c r="B5" s="2" t="s">
        <v>16</v>
      </c>
      <c r="C5" s="2" t="s">
        <v>17</v>
      </c>
      <c r="D5" s="3">
        <v>419.5</v>
      </c>
      <c r="E5" s="3">
        <v>3.13</v>
      </c>
      <c r="F5" s="3">
        <v>316.39999999999998</v>
      </c>
      <c r="G5" s="3">
        <v>386.3</v>
      </c>
      <c r="H5" s="3">
        <v>971.6</v>
      </c>
      <c r="I5" s="4">
        <v>1312.9</v>
      </c>
      <c r="J5" s="4">
        <v>1243.9000000000001</v>
      </c>
      <c r="K5" s="3">
        <v>162</v>
      </c>
      <c r="L5" s="3">
        <v>4.08</v>
      </c>
      <c r="M5" s="4">
        <v>423087</v>
      </c>
      <c r="N5" s="4">
        <v>8759</v>
      </c>
      <c r="O5" s="3">
        <v>14.05</v>
      </c>
      <c r="P5" s="3" t="str">
        <f t="shared" si="0"/>
        <v>NORMAL</v>
      </c>
      <c r="Q5" s="3" cm="1">
        <f t="array" aca="1" ref="Q5" ca="1">AVERAGE(OFFSET(tbl_Process[[#This Row],[Temp_Firing_C]], MAX(1-ROW()+ROW(tbl_Process[#Headers]), -23), 0, MIN(ROW()-ROW(tbl_Process[#Headers]), 24), 1))</f>
        <v>1304.25</v>
      </c>
      <c r="R5" s="3" t="e" cm="1" vm="1">
        <f t="array" aca="1" ref="R5" ca="1">tbl_Process[Temp_Firing_C] - AVERAGE(tbl_Zones[[Target_Temp_Min_C]:[Target_Temp_Max_C]])</f>
        <v>#VALUE!</v>
      </c>
    </row>
    <row r="6" spans="1:18" x14ac:dyDescent="0.3">
      <c r="A6" s="2" t="s">
        <v>21</v>
      </c>
      <c r="B6" s="2" t="s">
        <v>16</v>
      </c>
      <c r="C6" s="2" t="s">
        <v>17</v>
      </c>
      <c r="D6" s="3">
        <v>422.7</v>
      </c>
      <c r="E6" s="3">
        <v>3.21</v>
      </c>
      <c r="F6" s="3">
        <v>323.39999999999998</v>
      </c>
      <c r="G6" s="3">
        <v>386.6</v>
      </c>
      <c r="H6" s="3">
        <v>945.8</v>
      </c>
      <c r="I6" s="4">
        <v>1306.9000000000001</v>
      </c>
      <c r="J6" s="4">
        <v>1239.0999999999999</v>
      </c>
      <c r="K6" s="3">
        <v>157.9</v>
      </c>
      <c r="L6" s="3">
        <v>4.09</v>
      </c>
      <c r="M6" s="4">
        <v>426474</v>
      </c>
      <c r="N6" s="4">
        <v>8479</v>
      </c>
      <c r="O6" s="3">
        <v>14.46</v>
      </c>
      <c r="P6" s="3" t="str">
        <f t="shared" si="0"/>
        <v>NORMAL</v>
      </c>
      <c r="Q6" s="3" cm="1">
        <f t="array" aca="1" ref="Q6" ca="1">AVERAGE(OFFSET(tbl_Process[[#This Row],[Temp_Firing_C]], MAX(1-ROW()+ROW(tbl_Process[#Headers]), -23), 0, MIN(ROW()-ROW(tbl_Process[#Headers]), 24), 1))</f>
        <v>1304.78</v>
      </c>
      <c r="R6" s="3" t="e" cm="1" vm="1">
        <f t="array" aca="1" ref="R6" ca="1">tbl_Process[Temp_Firing_C] - AVERAGE(tbl_Zones[[Target_Temp_Min_C]:[Target_Temp_Max_C]])</f>
        <v>#VALUE!</v>
      </c>
    </row>
    <row r="7" spans="1:18" x14ac:dyDescent="0.3">
      <c r="A7" s="2" t="s">
        <v>22</v>
      </c>
      <c r="B7" s="2" t="s">
        <v>16</v>
      </c>
      <c r="C7" s="2" t="s">
        <v>17</v>
      </c>
      <c r="D7" s="3">
        <v>413.3</v>
      </c>
      <c r="E7" s="3">
        <v>3.17</v>
      </c>
      <c r="F7" s="3">
        <v>322.89999999999998</v>
      </c>
      <c r="G7" s="3">
        <v>386.6</v>
      </c>
      <c r="H7" s="3">
        <v>972.3</v>
      </c>
      <c r="I7" s="4">
        <v>1316.4</v>
      </c>
      <c r="J7" s="4">
        <v>1249.3</v>
      </c>
      <c r="K7" s="3">
        <v>159</v>
      </c>
      <c r="L7" s="3">
        <v>4.1100000000000003</v>
      </c>
      <c r="M7" s="4">
        <v>422282</v>
      </c>
      <c r="N7" s="4">
        <v>8544</v>
      </c>
      <c r="O7" s="3">
        <v>13.88</v>
      </c>
      <c r="P7" s="3" t="str">
        <f t="shared" si="0"/>
        <v>NORMAL</v>
      </c>
      <c r="Q7" s="3" cm="1">
        <f t="array" aca="1" ref="Q7" ca="1">AVERAGE(OFFSET(tbl_Process[[#This Row],[Temp_Firing_C]], MAX(1-ROW()+ROW(tbl_Process[#Headers]), -23), 0, MIN(ROW()-ROW(tbl_Process[#Headers]), 24), 1))</f>
        <v>1306.7166666666665</v>
      </c>
      <c r="R7" s="3" t="e" cm="1" vm="1">
        <f t="array" aca="1" ref="R7" ca="1">tbl_Process[Temp_Firing_C] - AVERAGE(tbl_Zones[[Target_Temp_Min_C]:[Target_Temp_Max_C]])</f>
        <v>#VALUE!</v>
      </c>
    </row>
    <row r="8" spans="1:18" x14ac:dyDescent="0.3">
      <c r="A8" s="2" t="s">
        <v>23</v>
      </c>
      <c r="B8" s="2" t="s">
        <v>24</v>
      </c>
      <c r="C8" s="2" t="s">
        <v>17</v>
      </c>
      <c r="D8" s="3">
        <v>416.3</v>
      </c>
      <c r="E8" s="3">
        <v>3.24</v>
      </c>
      <c r="F8" s="3">
        <v>322.89999999999998</v>
      </c>
      <c r="G8" s="3">
        <v>387.5</v>
      </c>
      <c r="H8" s="3">
        <v>958.9</v>
      </c>
      <c r="I8" s="4">
        <v>1311.7</v>
      </c>
      <c r="J8" s="4">
        <v>1250.5</v>
      </c>
      <c r="K8" s="3">
        <v>159.80000000000001</v>
      </c>
      <c r="L8" s="3">
        <v>4.1100000000000003</v>
      </c>
      <c r="M8" s="4">
        <v>419789</v>
      </c>
      <c r="N8" s="4">
        <v>8597</v>
      </c>
      <c r="O8" s="3">
        <v>14.03</v>
      </c>
      <c r="P8" s="3" t="str">
        <f t="shared" si="0"/>
        <v>NORMAL</v>
      </c>
      <c r="Q8" s="3" cm="1">
        <f t="array" aca="1" ref="Q8" ca="1">AVERAGE(OFFSET(tbl_Process[[#This Row],[Temp_Firing_C]], MAX(1-ROW()+ROW(tbl_Process[#Headers]), -23), 0, MIN(ROW()-ROW(tbl_Process[#Headers]), 24), 1))</f>
        <v>1307.4285714285713</v>
      </c>
      <c r="R8" s="3" t="e" cm="1" vm="1">
        <f t="array" aca="1" ref="R8" ca="1">tbl_Process[Temp_Firing_C] - AVERAGE(tbl_Zones[[Target_Temp_Min_C]:[Target_Temp_Max_C]])</f>
        <v>#VALUE!</v>
      </c>
    </row>
    <row r="9" spans="1:18" x14ac:dyDescent="0.3">
      <c r="A9" s="2" t="s">
        <v>25</v>
      </c>
      <c r="B9" s="2" t="s">
        <v>24</v>
      </c>
      <c r="C9" s="2" t="s">
        <v>17</v>
      </c>
      <c r="D9" s="3">
        <v>415.2</v>
      </c>
      <c r="E9" s="3">
        <v>3.24</v>
      </c>
      <c r="F9" s="3">
        <v>319.3</v>
      </c>
      <c r="G9" s="3">
        <v>382.8</v>
      </c>
      <c r="H9" s="3">
        <v>969.9</v>
      </c>
      <c r="I9" s="4">
        <v>1314.1</v>
      </c>
      <c r="J9" s="4">
        <v>1253.0999999999999</v>
      </c>
      <c r="K9" s="3">
        <v>160.9</v>
      </c>
      <c r="L9" s="3">
        <v>3.99</v>
      </c>
      <c r="M9" s="4">
        <v>422259</v>
      </c>
      <c r="N9" s="4">
        <v>8467</v>
      </c>
      <c r="O9" s="3">
        <v>13.86</v>
      </c>
      <c r="P9" s="3" t="str">
        <f t="shared" si="0"/>
        <v>NORMAL</v>
      </c>
      <c r="Q9" s="3" cm="1">
        <f t="array" aca="1" ref="Q9" ca="1">AVERAGE(OFFSET(tbl_Process[[#This Row],[Temp_Firing_C]], MAX(1-ROW()+ROW(tbl_Process[#Headers]), -23), 0, MIN(ROW()-ROW(tbl_Process[#Headers]), 24), 1))</f>
        <v>1308.2625</v>
      </c>
      <c r="R9" s="3" t="e" cm="1" vm="1">
        <f t="array" aca="1" ref="R9" ca="1">tbl_Process[Temp_Firing_C] - AVERAGE(tbl_Zones[[Target_Temp_Min_C]:[Target_Temp_Max_C]])</f>
        <v>#VALUE!</v>
      </c>
    </row>
    <row r="10" spans="1:18" x14ac:dyDescent="0.3">
      <c r="A10" s="2" t="s">
        <v>26</v>
      </c>
      <c r="B10" s="2" t="s">
        <v>24</v>
      </c>
      <c r="C10" s="2" t="s">
        <v>17</v>
      </c>
      <c r="D10" s="3">
        <v>414.7</v>
      </c>
      <c r="E10" s="3">
        <v>3.12</v>
      </c>
      <c r="F10" s="3">
        <v>324.39999999999998</v>
      </c>
      <c r="G10" s="3">
        <v>376.3</v>
      </c>
      <c r="H10" s="3">
        <v>959.5</v>
      </c>
      <c r="I10" s="4">
        <v>1320.7</v>
      </c>
      <c r="J10" s="4">
        <v>1253.5999999999999</v>
      </c>
      <c r="K10" s="3">
        <v>165</v>
      </c>
      <c r="L10" s="3">
        <v>3.89</v>
      </c>
      <c r="M10" s="4">
        <v>423007</v>
      </c>
      <c r="N10" s="4">
        <v>8634</v>
      </c>
      <c r="O10" s="3">
        <v>14.01</v>
      </c>
      <c r="P10" s="3" t="str">
        <f t="shared" si="0"/>
        <v>NORMAL</v>
      </c>
      <c r="Q10" s="3" cm="1">
        <f t="array" aca="1" ref="Q10" ca="1">AVERAGE(OFFSET(tbl_Process[[#This Row],[Temp_Firing_C]], MAX(1-ROW()+ROW(tbl_Process[#Headers]), -23), 0, MIN(ROW()-ROW(tbl_Process[#Headers]), 24), 1))</f>
        <v>1309.6444444444446</v>
      </c>
      <c r="R10" s="3" t="e" cm="1" vm="1">
        <f t="array" aca="1" ref="R10" ca="1">tbl_Process[Temp_Firing_C] - AVERAGE(tbl_Zones[[Target_Temp_Min_C]:[Target_Temp_Max_C]])</f>
        <v>#VALUE!</v>
      </c>
    </row>
    <row r="11" spans="1:18" x14ac:dyDescent="0.3">
      <c r="A11" s="2" t="s">
        <v>27</v>
      </c>
      <c r="B11" s="2" t="s">
        <v>24</v>
      </c>
      <c r="C11" s="2" t="s">
        <v>17</v>
      </c>
      <c r="D11" s="3">
        <v>423.4</v>
      </c>
      <c r="E11" s="3">
        <v>3.06</v>
      </c>
      <c r="F11" s="3">
        <v>324.5</v>
      </c>
      <c r="G11" s="3">
        <v>384.1</v>
      </c>
      <c r="H11" s="3">
        <v>956.6</v>
      </c>
      <c r="I11" s="4">
        <v>1298.4000000000001</v>
      </c>
      <c r="J11" s="4">
        <v>1233.8</v>
      </c>
      <c r="K11" s="3">
        <v>158.6</v>
      </c>
      <c r="L11" s="3">
        <v>4.12</v>
      </c>
      <c r="M11" s="4">
        <v>419788</v>
      </c>
      <c r="N11" s="4">
        <v>8673</v>
      </c>
      <c r="O11" s="3">
        <v>14</v>
      </c>
      <c r="P11" s="3" t="str">
        <f t="shared" si="0"/>
        <v>NORMAL</v>
      </c>
      <c r="Q11" s="3" cm="1">
        <f t="array" aca="1" ref="Q11" ca="1">AVERAGE(OFFSET(tbl_Process[[#This Row],[Temp_Firing_C]], MAX(1-ROW()+ROW(tbl_Process[#Headers]), -23), 0, MIN(ROW()-ROW(tbl_Process[#Headers]), 24), 1))</f>
        <v>1308.52</v>
      </c>
      <c r="R11" s="3" t="e" cm="1" vm="1">
        <f t="array" aca="1" ref="R11" ca="1">tbl_Process[Temp_Firing_C] - AVERAGE(tbl_Zones[[Target_Temp_Min_C]:[Target_Temp_Max_C]])</f>
        <v>#VALUE!</v>
      </c>
    </row>
    <row r="12" spans="1:18" x14ac:dyDescent="0.3">
      <c r="A12" s="2" t="s">
        <v>28</v>
      </c>
      <c r="B12" s="2" t="s">
        <v>24</v>
      </c>
      <c r="C12" s="2" t="s">
        <v>17</v>
      </c>
      <c r="D12" s="3">
        <v>415.9</v>
      </c>
      <c r="E12" s="3">
        <v>3.21</v>
      </c>
      <c r="F12" s="3">
        <v>322.89999999999998</v>
      </c>
      <c r="G12" s="3">
        <v>391.7</v>
      </c>
      <c r="H12" s="3">
        <v>973.3</v>
      </c>
      <c r="I12" s="4">
        <v>1312.2</v>
      </c>
      <c r="J12" s="4">
        <v>1256</v>
      </c>
      <c r="K12" s="3">
        <v>155.1</v>
      </c>
      <c r="L12" s="3">
        <v>3.97</v>
      </c>
      <c r="M12" s="4">
        <v>418953</v>
      </c>
      <c r="N12" s="4">
        <v>8600</v>
      </c>
      <c r="O12" s="3">
        <v>13.78</v>
      </c>
      <c r="P12" s="3" t="str">
        <f t="shared" si="0"/>
        <v>NORMAL</v>
      </c>
      <c r="Q12" s="3" cm="1">
        <f t="array" aca="1" ref="Q12" ca="1">AVERAGE(OFFSET(tbl_Process[[#This Row],[Temp_Firing_C]], MAX(1-ROW()+ROW(tbl_Process[#Headers]), -23), 0, MIN(ROW()-ROW(tbl_Process[#Headers]), 24), 1))</f>
        <v>1308.8545454545456</v>
      </c>
      <c r="R12" s="3" t="e" cm="1" vm="1">
        <f t="array" aca="1" ref="R12" ca="1">tbl_Process[Temp_Firing_C] - AVERAGE(tbl_Zones[[Target_Temp_Min_C]:[Target_Temp_Max_C]])</f>
        <v>#VALUE!</v>
      </c>
    </row>
    <row r="13" spans="1:18" x14ac:dyDescent="0.3">
      <c r="A13" s="2" t="s">
        <v>29</v>
      </c>
      <c r="B13" s="2" t="s">
        <v>24</v>
      </c>
      <c r="C13" s="2" t="s">
        <v>17</v>
      </c>
      <c r="D13" s="3">
        <v>422.5</v>
      </c>
      <c r="E13" s="3">
        <v>3.18</v>
      </c>
      <c r="F13" s="3">
        <v>312.5</v>
      </c>
      <c r="G13" s="3">
        <v>374.7</v>
      </c>
      <c r="H13" s="3">
        <v>966.5</v>
      </c>
      <c r="I13" s="4">
        <v>1315.3</v>
      </c>
      <c r="J13" s="4">
        <v>1262.3</v>
      </c>
      <c r="K13" s="3">
        <v>175.5</v>
      </c>
      <c r="L13" s="3">
        <v>4.16</v>
      </c>
      <c r="M13" s="4">
        <v>419291</v>
      </c>
      <c r="N13" s="4">
        <v>8428</v>
      </c>
      <c r="O13" s="3">
        <v>14.32</v>
      </c>
      <c r="P13" s="3" t="str">
        <f t="shared" si="0"/>
        <v>NORMAL</v>
      </c>
      <c r="Q13" s="3" cm="1">
        <f t="array" aca="1" ref="Q13" ca="1">AVERAGE(OFFSET(tbl_Process[[#This Row],[Temp_Firing_C]], MAX(1-ROW()+ROW(tbl_Process[#Headers]), -23), 0, MIN(ROW()-ROW(tbl_Process[#Headers]), 24), 1))</f>
        <v>1309.3916666666667</v>
      </c>
      <c r="R13" s="3" t="e" cm="1" vm="1">
        <f t="array" aca="1" ref="R13" ca="1">tbl_Process[Temp_Firing_C] - AVERAGE(tbl_Zones[[Target_Temp_Min_C]:[Target_Temp_Max_C]])</f>
        <v>#VALUE!</v>
      </c>
    </row>
    <row r="14" spans="1:18" x14ac:dyDescent="0.3">
      <c r="A14" s="2" t="s">
        <v>30</v>
      </c>
      <c r="B14" s="2" t="s">
        <v>24</v>
      </c>
      <c r="C14" s="2" t="s">
        <v>17</v>
      </c>
      <c r="D14" s="3">
        <v>416.7</v>
      </c>
      <c r="E14" s="3">
        <v>3.17</v>
      </c>
      <c r="F14" s="3">
        <v>317.39999999999998</v>
      </c>
      <c r="G14" s="3">
        <v>380.4</v>
      </c>
      <c r="H14" s="3">
        <v>974.9</v>
      </c>
      <c r="I14" s="4">
        <v>1309</v>
      </c>
      <c r="J14" s="4">
        <v>1243</v>
      </c>
      <c r="K14" s="3">
        <v>155.5</v>
      </c>
      <c r="L14" s="3">
        <v>3.84</v>
      </c>
      <c r="M14" s="4">
        <v>419918</v>
      </c>
      <c r="N14" s="4">
        <v>8602</v>
      </c>
      <c r="O14" s="3">
        <v>14.56</v>
      </c>
      <c r="P14" s="3" t="str">
        <f t="shared" si="0"/>
        <v>NORMAL</v>
      </c>
      <c r="Q14" s="3" cm="1">
        <f t="array" aca="1" ref="Q14" ca="1">AVERAGE(OFFSET(tbl_Process[[#This Row],[Temp_Firing_C]], MAX(1-ROW()+ROW(tbl_Process[#Headers]), -23), 0, MIN(ROW()-ROW(tbl_Process[#Headers]), 24), 1))</f>
        <v>1309.3615384615384</v>
      </c>
      <c r="R14" s="3" t="e" cm="1" vm="1">
        <f t="array" aca="1" ref="R14" ca="1">tbl_Process[Temp_Firing_C] - AVERAGE(tbl_Zones[[Target_Temp_Min_C]:[Target_Temp_Max_C]])</f>
        <v>#VALUE!</v>
      </c>
    </row>
    <row r="15" spans="1:18" x14ac:dyDescent="0.3">
      <c r="A15" s="2" t="s">
        <v>31</v>
      </c>
      <c r="B15" s="2" t="s">
        <v>24</v>
      </c>
      <c r="C15" s="2" t="s">
        <v>17</v>
      </c>
      <c r="D15" s="3">
        <v>420.5</v>
      </c>
      <c r="E15" s="3">
        <v>3.28</v>
      </c>
      <c r="F15" s="3">
        <v>317.7</v>
      </c>
      <c r="G15" s="3">
        <v>372.7</v>
      </c>
      <c r="H15" s="3">
        <v>949.9</v>
      </c>
      <c r="I15" s="4">
        <v>1301.2</v>
      </c>
      <c r="J15" s="4">
        <v>1249</v>
      </c>
      <c r="K15" s="3">
        <v>156.4</v>
      </c>
      <c r="L15" s="3">
        <v>4.22</v>
      </c>
      <c r="M15" s="4">
        <v>417056</v>
      </c>
      <c r="N15" s="4">
        <v>8626</v>
      </c>
      <c r="O15" s="3">
        <v>14.2</v>
      </c>
      <c r="P15" s="3" t="str">
        <f t="shared" si="0"/>
        <v>NORMAL</v>
      </c>
      <c r="Q15" s="3" cm="1">
        <f t="array" aca="1" ref="Q15" ca="1">AVERAGE(OFFSET(tbl_Process[[#This Row],[Temp_Firing_C]], MAX(1-ROW()+ROW(tbl_Process[#Headers]), -23), 0, MIN(ROW()-ROW(tbl_Process[#Headers]), 24), 1))</f>
        <v>1308.7785714285715</v>
      </c>
      <c r="R15" s="3" t="e" cm="1" vm="1">
        <f t="array" aca="1" ref="R15" ca="1">tbl_Process[Temp_Firing_C] - AVERAGE(tbl_Zones[[Target_Temp_Min_C]:[Target_Temp_Max_C]])</f>
        <v>#VALUE!</v>
      </c>
    </row>
    <row r="16" spans="1:18" x14ac:dyDescent="0.3">
      <c r="A16" s="2" t="s">
        <v>32</v>
      </c>
      <c r="B16" s="2" t="s">
        <v>33</v>
      </c>
      <c r="C16" s="2" t="s">
        <v>17</v>
      </c>
      <c r="D16" s="3">
        <v>419.4</v>
      </c>
      <c r="E16" s="3">
        <v>3.2</v>
      </c>
      <c r="F16" s="3">
        <v>316.5</v>
      </c>
      <c r="G16" s="3">
        <v>383.7</v>
      </c>
      <c r="H16" s="3">
        <v>955.4</v>
      </c>
      <c r="I16" s="4">
        <v>1296.4000000000001</v>
      </c>
      <c r="J16" s="4">
        <v>1223.7</v>
      </c>
      <c r="K16" s="3">
        <v>161.19999999999999</v>
      </c>
      <c r="L16" s="3">
        <v>4.2699999999999996</v>
      </c>
      <c r="M16" s="4">
        <v>419912</v>
      </c>
      <c r="N16" s="4">
        <v>8443</v>
      </c>
      <c r="O16" s="3">
        <v>14.32</v>
      </c>
      <c r="P16" s="3" t="str">
        <f t="shared" si="0"/>
        <v>NORMAL</v>
      </c>
      <c r="Q16" s="3" cm="1">
        <f t="array" aca="1" ref="Q16" ca="1">AVERAGE(OFFSET(tbl_Process[[#This Row],[Temp_Firing_C]], MAX(1-ROW()+ROW(tbl_Process[#Headers]), -23), 0, MIN(ROW()-ROW(tbl_Process[#Headers]), 24), 1))</f>
        <v>1307.9533333333336</v>
      </c>
      <c r="R16" s="3" t="e" cm="1" vm="1">
        <f t="array" aca="1" ref="R16" ca="1">tbl_Process[Temp_Firing_C] - AVERAGE(tbl_Zones[[Target_Temp_Min_C]:[Target_Temp_Max_C]])</f>
        <v>#VALUE!</v>
      </c>
    </row>
    <row r="17" spans="1:18" x14ac:dyDescent="0.3">
      <c r="A17" s="2" t="s">
        <v>34</v>
      </c>
      <c r="B17" s="2" t="s">
        <v>33</v>
      </c>
      <c r="C17" s="2" t="s">
        <v>17</v>
      </c>
      <c r="D17" s="3">
        <v>425.2</v>
      </c>
      <c r="E17" s="3">
        <v>3.22</v>
      </c>
      <c r="F17" s="3">
        <v>317.8</v>
      </c>
      <c r="G17" s="3">
        <v>388</v>
      </c>
      <c r="H17" s="3">
        <v>965.6</v>
      </c>
      <c r="I17" s="4">
        <v>1317.9</v>
      </c>
      <c r="J17" s="4">
        <v>1254</v>
      </c>
      <c r="K17" s="3">
        <v>154</v>
      </c>
      <c r="L17" s="3">
        <v>3.99</v>
      </c>
      <c r="M17" s="4">
        <v>429000</v>
      </c>
      <c r="N17" s="4">
        <v>8922</v>
      </c>
      <c r="O17" s="3">
        <v>13.82</v>
      </c>
      <c r="P17" s="3" t="str">
        <f t="shared" si="0"/>
        <v>NORMAL</v>
      </c>
      <c r="Q17" s="3" cm="1">
        <f t="array" aca="1" ref="Q17" ca="1">AVERAGE(OFFSET(tbl_Process[[#This Row],[Temp_Firing_C]], MAX(1-ROW()+ROW(tbl_Process[#Headers]), -23), 0, MIN(ROW()-ROW(tbl_Process[#Headers]), 24), 1))</f>
        <v>1308.5750000000003</v>
      </c>
      <c r="R17" s="3" t="e" cm="1" vm="1">
        <f t="array" aca="1" ref="R17" ca="1">tbl_Process[Temp_Firing_C] - AVERAGE(tbl_Zones[[Target_Temp_Min_C]:[Target_Temp_Max_C]])</f>
        <v>#VALUE!</v>
      </c>
    </row>
    <row r="18" spans="1:18" x14ac:dyDescent="0.3">
      <c r="A18" s="2" t="s">
        <v>35</v>
      </c>
      <c r="B18" s="2" t="s">
        <v>33</v>
      </c>
      <c r="C18" s="2" t="s">
        <v>17</v>
      </c>
      <c r="D18" s="3">
        <v>418.5</v>
      </c>
      <c r="E18" s="3">
        <v>3.32</v>
      </c>
      <c r="F18" s="3">
        <v>313.39999999999998</v>
      </c>
      <c r="G18" s="3">
        <v>373.8</v>
      </c>
      <c r="H18" s="3">
        <v>967.8</v>
      </c>
      <c r="I18" s="4">
        <v>1302</v>
      </c>
      <c r="J18" s="4">
        <v>1237</v>
      </c>
      <c r="K18" s="3">
        <v>159.19999999999999</v>
      </c>
      <c r="L18" s="3">
        <v>4.1399999999999997</v>
      </c>
      <c r="M18" s="4">
        <v>425286</v>
      </c>
      <c r="N18" s="4">
        <v>8535</v>
      </c>
      <c r="O18" s="3">
        <v>14.33</v>
      </c>
      <c r="P18" s="3" t="str">
        <f t="shared" si="0"/>
        <v>NORMAL</v>
      </c>
      <c r="Q18" s="3" cm="1">
        <f t="array" aca="1" ref="Q18" ca="1">AVERAGE(OFFSET(tbl_Process[[#This Row],[Temp_Firing_C]], MAX(1-ROW()+ROW(tbl_Process[#Headers]), -23), 0, MIN(ROW()-ROW(tbl_Process[#Headers]), 24), 1))</f>
        <v>1308.1882352941179</v>
      </c>
      <c r="R18" s="3" t="e" cm="1" vm="1">
        <f t="array" aca="1" ref="R18" ca="1">tbl_Process[Temp_Firing_C] - AVERAGE(tbl_Zones[[Target_Temp_Min_C]:[Target_Temp_Max_C]])</f>
        <v>#VALUE!</v>
      </c>
    </row>
    <row r="19" spans="1:18" x14ac:dyDescent="0.3">
      <c r="A19" s="2" t="s">
        <v>36</v>
      </c>
      <c r="B19" s="2" t="s">
        <v>33</v>
      </c>
      <c r="C19" s="2" t="s">
        <v>17</v>
      </c>
      <c r="D19" s="3">
        <v>411.8</v>
      </c>
      <c r="E19" s="3">
        <v>3.2</v>
      </c>
      <c r="F19" s="3">
        <v>314.89999999999998</v>
      </c>
      <c r="G19" s="3">
        <v>371.4</v>
      </c>
      <c r="H19" s="3">
        <v>949.4</v>
      </c>
      <c r="I19" s="4">
        <v>1302.3</v>
      </c>
      <c r="J19" s="4">
        <v>1242.8</v>
      </c>
      <c r="K19" s="3">
        <v>153.4</v>
      </c>
      <c r="L19" s="3">
        <v>4</v>
      </c>
      <c r="M19" s="4">
        <v>418719</v>
      </c>
      <c r="N19" s="4">
        <v>8488</v>
      </c>
      <c r="O19" s="3">
        <v>14.46</v>
      </c>
      <c r="P19" s="3" t="str">
        <f t="shared" si="0"/>
        <v>NORMAL</v>
      </c>
      <c r="Q19" s="3" cm="1">
        <f t="array" aca="1" ref="Q19" ca="1">AVERAGE(OFFSET(tbl_Process[[#This Row],[Temp_Firing_C]], MAX(1-ROW()+ROW(tbl_Process[#Headers]), -23), 0, MIN(ROW()-ROW(tbl_Process[#Headers]), 24), 1))</f>
        <v>1307.8611111111113</v>
      </c>
      <c r="R19" s="3" t="e" cm="1" vm="1">
        <f t="array" aca="1" ref="R19" ca="1">tbl_Process[Temp_Firing_C] - AVERAGE(tbl_Zones[[Target_Temp_Min_C]:[Target_Temp_Max_C]])</f>
        <v>#VALUE!</v>
      </c>
    </row>
    <row r="20" spans="1:18" x14ac:dyDescent="0.3">
      <c r="A20" s="2" t="s">
        <v>37</v>
      </c>
      <c r="B20" s="2" t="s">
        <v>33</v>
      </c>
      <c r="C20" s="2" t="s">
        <v>17</v>
      </c>
      <c r="D20" s="3">
        <v>422.2</v>
      </c>
      <c r="E20" s="3">
        <v>3.31</v>
      </c>
      <c r="F20" s="3">
        <v>319.10000000000002</v>
      </c>
      <c r="G20" s="3">
        <v>375.1</v>
      </c>
      <c r="H20" s="3">
        <v>957.3</v>
      </c>
      <c r="I20" s="4">
        <v>1306.9000000000001</v>
      </c>
      <c r="J20" s="4">
        <v>1243</v>
      </c>
      <c r="K20" s="3">
        <v>154.6</v>
      </c>
      <c r="L20" s="3">
        <v>4.1500000000000004</v>
      </c>
      <c r="M20" s="4">
        <v>422041</v>
      </c>
      <c r="N20" s="4">
        <v>8885</v>
      </c>
      <c r="O20" s="3">
        <v>14.36</v>
      </c>
      <c r="P20" s="3" t="str">
        <f t="shared" si="0"/>
        <v>NORMAL</v>
      </c>
      <c r="Q20" s="3" cm="1">
        <f t="array" aca="1" ref="Q20" ca="1">AVERAGE(OFFSET(tbl_Process[[#This Row],[Temp_Firing_C]], MAX(1-ROW()+ROW(tbl_Process[#Headers]), -23), 0, MIN(ROW()-ROW(tbl_Process[#Headers]), 24), 1))</f>
        <v>1307.8105263157897</v>
      </c>
      <c r="R20" s="3" t="e" cm="1" vm="1">
        <f t="array" aca="1" ref="R20" ca="1">tbl_Process[Temp_Firing_C] - AVERAGE(tbl_Zones[[Target_Temp_Min_C]:[Target_Temp_Max_C]])</f>
        <v>#VALUE!</v>
      </c>
    </row>
    <row r="21" spans="1:18" x14ac:dyDescent="0.3">
      <c r="A21" s="2" t="s">
        <v>38</v>
      </c>
      <c r="B21" s="2" t="s">
        <v>33</v>
      </c>
      <c r="C21" s="2" t="s">
        <v>17</v>
      </c>
      <c r="D21" s="3">
        <v>416.6</v>
      </c>
      <c r="E21" s="3">
        <v>3.18</v>
      </c>
      <c r="F21" s="3">
        <v>311.3</v>
      </c>
      <c r="G21" s="3">
        <v>376</v>
      </c>
      <c r="H21" s="3">
        <v>964</v>
      </c>
      <c r="I21" s="4">
        <v>1315</v>
      </c>
      <c r="J21" s="4">
        <v>1245.5999999999999</v>
      </c>
      <c r="K21" s="3">
        <v>156.80000000000001</v>
      </c>
      <c r="L21" s="3">
        <v>3.79</v>
      </c>
      <c r="M21" s="4">
        <v>422131</v>
      </c>
      <c r="N21" s="4">
        <v>8553</v>
      </c>
      <c r="O21" s="3">
        <v>14.03</v>
      </c>
      <c r="P21" s="3" t="str">
        <f t="shared" si="0"/>
        <v>NORMAL</v>
      </c>
      <c r="Q21" s="3" cm="1">
        <f t="array" aca="1" ref="Q21" ca="1">AVERAGE(OFFSET(tbl_Process[[#This Row],[Temp_Firing_C]], MAX(1-ROW()+ROW(tbl_Process[#Headers]), -23), 0, MIN(ROW()-ROW(tbl_Process[#Headers]), 24), 1))</f>
        <v>1308.1700000000003</v>
      </c>
      <c r="R21" s="3" t="e" cm="1" vm="1">
        <f t="array" aca="1" ref="R21" ca="1">tbl_Process[Temp_Firing_C] - AVERAGE(tbl_Zones[[Target_Temp_Min_C]:[Target_Temp_Max_C]])</f>
        <v>#VALUE!</v>
      </c>
    </row>
    <row r="22" spans="1:18" x14ac:dyDescent="0.3">
      <c r="A22" s="2" t="s">
        <v>39</v>
      </c>
      <c r="B22" s="2" t="s">
        <v>33</v>
      </c>
      <c r="C22" s="2" t="s">
        <v>17</v>
      </c>
      <c r="D22" s="3">
        <v>416.5</v>
      </c>
      <c r="E22" s="3">
        <v>3.19</v>
      </c>
      <c r="F22" s="3">
        <v>309.8</v>
      </c>
      <c r="G22" s="3">
        <v>370.2</v>
      </c>
      <c r="H22" s="3">
        <v>986.2</v>
      </c>
      <c r="I22" s="4">
        <v>1295.5999999999999</v>
      </c>
      <c r="J22" s="4">
        <v>1224</v>
      </c>
      <c r="K22" s="3">
        <v>169.4</v>
      </c>
      <c r="L22" s="3">
        <v>4.3899999999999997</v>
      </c>
      <c r="M22" s="4">
        <v>415108</v>
      </c>
      <c r="N22" s="4">
        <v>8403</v>
      </c>
      <c r="O22" s="3">
        <v>14.36</v>
      </c>
      <c r="P22" s="3" t="str">
        <f t="shared" si="0"/>
        <v>NORMAL</v>
      </c>
      <c r="Q22" s="3" cm="1">
        <f t="array" aca="1" ref="Q22" ca="1">AVERAGE(OFFSET(tbl_Process[[#This Row],[Temp_Firing_C]], MAX(1-ROW()+ROW(tbl_Process[#Headers]), -23), 0, MIN(ROW()-ROW(tbl_Process[#Headers]), 24), 1))</f>
        <v>1307.5714285714287</v>
      </c>
      <c r="R22" s="3" t="e" cm="1" vm="1">
        <f t="array" aca="1" ref="R22" ca="1">tbl_Process[Temp_Firing_C] - AVERAGE(tbl_Zones[[Target_Temp_Min_C]:[Target_Temp_Max_C]])</f>
        <v>#VALUE!</v>
      </c>
    </row>
    <row r="23" spans="1:18" x14ac:dyDescent="0.3">
      <c r="A23" s="2" t="s">
        <v>40</v>
      </c>
      <c r="B23" s="2" t="s">
        <v>33</v>
      </c>
      <c r="C23" s="2" t="s">
        <v>17</v>
      </c>
      <c r="D23" s="3">
        <v>426.9</v>
      </c>
      <c r="E23" s="3">
        <v>3.12</v>
      </c>
      <c r="F23" s="3">
        <v>319.2</v>
      </c>
      <c r="G23" s="3">
        <v>386.3</v>
      </c>
      <c r="H23" s="3">
        <v>966.5</v>
      </c>
      <c r="I23" s="4">
        <v>1303.7</v>
      </c>
      <c r="J23" s="4">
        <v>1237.9000000000001</v>
      </c>
      <c r="K23" s="3">
        <v>153.5</v>
      </c>
      <c r="L23" s="3">
        <v>4.12</v>
      </c>
      <c r="M23" s="4">
        <v>419734</v>
      </c>
      <c r="N23" s="4">
        <v>8572</v>
      </c>
      <c r="O23" s="3">
        <v>14</v>
      </c>
      <c r="P23" s="3" t="str">
        <f t="shared" si="0"/>
        <v>NORMAL</v>
      </c>
      <c r="Q23" s="3" cm="1">
        <f t="array" aca="1" ref="Q23" ca="1">AVERAGE(OFFSET(tbl_Process[[#This Row],[Temp_Firing_C]], MAX(1-ROW()+ROW(tbl_Process[#Headers]), -23), 0, MIN(ROW()-ROW(tbl_Process[#Headers]), 24), 1))</f>
        <v>1307.3954545454546</v>
      </c>
      <c r="R23" s="3" t="e" cm="1" vm="1">
        <f t="array" aca="1" ref="R23" ca="1">tbl_Process[Temp_Firing_C] - AVERAGE(tbl_Zones[[Target_Temp_Min_C]:[Target_Temp_Max_C]])</f>
        <v>#VALUE!</v>
      </c>
    </row>
    <row r="24" spans="1:18" x14ac:dyDescent="0.3">
      <c r="A24" s="2" t="s">
        <v>41</v>
      </c>
      <c r="B24" s="2" t="s">
        <v>16</v>
      </c>
      <c r="C24" s="2" t="s">
        <v>17</v>
      </c>
      <c r="D24" s="3">
        <v>421.9</v>
      </c>
      <c r="E24" s="3">
        <v>3.28</v>
      </c>
      <c r="F24" s="3">
        <v>321.89999999999998</v>
      </c>
      <c r="G24" s="3">
        <v>383.8</v>
      </c>
      <c r="H24" s="3">
        <v>962.7</v>
      </c>
      <c r="I24" s="4">
        <v>1307.7</v>
      </c>
      <c r="J24" s="4">
        <v>1238.4000000000001</v>
      </c>
      <c r="K24" s="3">
        <v>162.30000000000001</v>
      </c>
      <c r="L24" s="3">
        <v>4.12</v>
      </c>
      <c r="M24" s="4">
        <v>428712</v>
      </c>
      <c r="N24" s="4">
        <v>8781</v>
      </c>
      <c r="O24" s="3">
        <v>14.07</v>
      </c>
      <c r="P24" s="3" t="str">
        <f t="shared" si="0"/>
        <v>NORMAL</v>
      </c>
      <c r="Q24" s="3" cm="1">
        <f t="array" aca="1" ref="Q24" ca="1">AVERAGE(OFFSET(tbl_Process[[#This Row],[Temp_Firing_C]], MAX(1-ROW()+ROW(tbl_Process[#Headers]), -23), 0, MIN(ROW()-ROW(tbl_Process[#Headers]), 24), 1))</f>
        <v>1307.4086956521742</v>
      </c>
      <c r="R24" s="3" t="e" cm="1" vm="1">
        <f t="array" aca="1" ref="R24" ca="1">tbl_Process[Temp_Firing_C] - AVERAGE(tbl_Zones[[Target_Temp_Min_C]:[Target_Temp_Max_C]])</f>
        <v>#VALUE!</v>
      </c>
    </row>
    <row r="25" spans="1:18" x14ac:dyDescent="0.3">
      <c r="A25" s="2" t="s">
        <v>42</v>
      </c>
      <c r="B25" s="2" t="s">
        <v>16</v>
      </c>
      <c r="C25" s="2" t="s">
        <v>17</v>
      </c>
      <c r="D25" s="3">
        <v>416.9</v>
      </c>
      <c r="E25" s="3">
        <v>3.11</v>
      </c>
      <c r="F25" s="3">
        <v>328.6</v>
      </c>
      <c r="G25" s="3">
        <v>383.7</v>
      </c>
      <c r="H25" s="3">
        <v>968.6</v>
      </c>
      <c r="I25" s="4">
        <v>1294.9000000000001</v>
      </c>
      <c r="J25" s="4">
        <v>1235.5</v>
      </c>
      <c r="K25" s="3">
        <v>163.19999999999999</v>
      </c>
      <c r="L25" s="3">
        <v>3.9</v>
      </c>
      <c r="M25" s="4">
        <v>417432</v>
      </c>
      <c r="N25" s="4">
        <v>8470</v>
      </c>
      <c r="O25" s="3">
        <v>14.24</v>
      </c>
      <c r="P25" s="3" t="str">
        <f t="shared" si="0"/>
        <v>NORMAL</v>
      </c>
      <c r="Q25" s="3" cm="1">
        <f t="array" aca="1" ref="Q25" ca="1">AVERAGE(OFFSET(tbl_Process[[#This Row],[Temp_Firing_C]], MAX(1-ROW()+ROW(tbl_Process[#Headers]), -23), 0, MIN(ROW()-ROW(tbl_Process[#Headers]), 24), 1))</f>
        <v>1306.8875000000003</v>
      </c>
      <c r="R25" s="3" t="e" cm="1" vm="1">
        <f t="array" aca="1" ref="R25" ca="1">tbl_Process[Temp_Firing_C] - AVERAGE(tbl_Zones[[Target_Temp_Min_C]:[Target_Temp_Max_C]])</f>
        <v>#VALUE!</v>
      </c>
    </row>
    <row r="26" spans="1:18" x14ac:dyDescent="0.3">
      <c r="A26" s="2" t="s">
        <v>43</v>
      </c>
      <c r="B26" s="2" t="s">
        <v>16</v>
      </c>
      <c r="C26" s="2" t="s">
        <v>17</v>
      </c>
      <c r="D26" s="3">
        <v>418.8</v>
      </c>
      <c r="E26" s="3">
        <v>3.19</v>
      </c>
      <c r="F26" s="3">
        <v>320.39999999999998</v>
      </c>
      <c r="G26" s="3">
        <v>383.6</v>
      </c>
      <c r="H26" s="3">
        <v>981.4</v>
      </c>
      <c r="I26" s="4">
        <v>1289.5</v>
      </c>
      <c r="J26" s="4">
        <v>1223.0999999999999</v>
      </c>
      <c r="K26" s="3">
        <v>162.1</v>
      </c>
      <c r="L26" s="3">
        <v>4.1100000000000003</v>
      </c>
      <c r="M26" s="4">
        <v>416808</v>
      </c>
      <c r="N26" s="4">
        <v>8163</v>
      </c>
      <c r="O26" s="3">
        <v>14.55</v>
      </c>
      <c r="P26" s="3" t="str">
        <f t="shared" si="0"/>
        <v>NORMAL</v>
      </c>
      <c r="Q26" s="3" cm="1">
        <f t="array" aca="1" ref="Q26" ca="1">AVERAGE(OFFSET(tbl_Process[[#This Row],[Temp_Firing_C]], MAX(1-ROW()+ROW(tbl_Process[#Headers]), -23), 0, MIN(ROW()-ROW(tbl_Process[#Headers]), 24), 1))</f>
        <v>1306.6750000000002</v>
      </c>
      <c r="R26" s="3" t="e" cm="1" vm="1">
        <f t="array" aca="1" ref="R26" ca="1">tbl_Process[Temp_Firing_C] - AVERAGE(tbl_Zones[[Target_Temp_Min_C]:[Target_Temp_Max_C]])</f>
        <v>#VALUE!</v>
      </c>
    </row>
    <row r="27" spans="1:18" x14ac:dyDescent="0.3">
      <c r="A27" s="2" t="s">
        <v>44</v>
      </c>
      <c r="B27" s="2" t="s">
        <v>16</v>
      </c>
      <c r="C27" s="2" t="s">
        <v>17</v>
      </c>
      <c r="D27" s="3">
        <v>426.9</v>
      </c>
      <c r="E27" s="3">
        <v>3.08</v>
      </c>
      <c r="F27" s="3">
        <v>327.5</v>
      </c>
      <c r="G27" s="3">
        <v>380.8</v>
      </c>
      <c r="H27" s="3">
        <v>963.9</v>
      </c>
      <c r="I27" s="4">
        <v>1302.8</v>
      </c>
      <c r="J27" s="4">
        <v>1235.8</v>
      </c>
      <c r="K27" s="3">
        <v>168</v>
      </c>
      <c r="L27" s="3">
        <v>4.21</v>
      </c>
      <c r="M27" s="4">
        <v>426567</v>
      </c>
      <c r="N27" s="4">
        <v>8675</v>
      </c>
      <c r="O27" s="3">
        <v>14.17</v>
      </c>
      <c r="P27" s="3" t="str">
        <f t="shared" si="0"/>
        <v>NORMAL</v>
      </c>
      <c r="Q27" s="3" cm="1">
        <f t="array" aca="1" ref="Q27" ca="1">AVERAGE(OFFSET(tbl_Process[[#This Row],[Temp_Firing_C]], MAX(1-ROW()+ROW(tbl_Process[#Headers]), -23), 0, MIN(ROW()-ROW(tbl_Process[#Headers]), 24), 1))</f>
        <v>1306.8500000000001</v>
      </c>
      <c r="R27" s="3" t="e" cm="1" vm="1">
        <f t="array" aca="1" ref="R27" ca="1">tbl_Process[Temp_Firing_C] - AVERAGE(tbl_Zones[[Target_Temp_Min_C]:[Target_Temp_Max_C]])</f>
        <v>#VALUE!</v>
      </c>
    </row>
    <row r="28" spans="1:18" x14ac:dyDescent="0.3">
      <c r="A28" s="2" t="s">
        <v>45</v>
      </c>
      <c r="B28" s="2" t="s">
        <v>16</v>
      </c>
      <c r="C28" s="2" t="s">
        <v>17</v>
      </c>
      <c r="D28" s="3">
        <v>427</v>
      </c>
      <c r="E28" s="3">
        <v>3.24</v>
      </c>
      <c r="F28" s="3">
        <v>327.7</v>
      </c>
      <c r="G28" s="3">
        <v>381.6</v>
      </c>
      <c r="H28" s="3">
        <v>966.3</v>
      </c>
      <c r="I28" s="4">
        <v>1306.7</v>
      </c>
      <c r="J28" s="4">
        <v>1247.5999999999999</v>
      </c>
      <c r="K28" s="3">
        <v>155.9</v>
      </c>
      <c r="L28" s="3">
        <v>4.28</v>
      </c>
      <c r="M28" s="4">
        <v>420539</v>
      </c>
      <c r="N28" s="4">
        <v>8721</v>
      </c>
      <c r="O28" s="3">
        <v>14.21</v>
      </c>
      <c r="P28" s="3" t="str">
        <f t="shared" si="0"/>
        <v>NORMAL</v>
      </c>
      <c r="Q28" s="3" cm="1">
        <f t="array" aca="1" ref="Q28" ca="1">AVERAGE(OFFSET(tbl_Process[[#This Row],[Temp_Firing_C]], MAX(1-ROW()+ROW(tbl_Process[#Headers]), -23), 0, MIN(ROW()-ROW(tbl_Process[#Headers]), 24), 1))</f>
        <v>1306.6750000000002</v>
      </c>
      <c r="R28" s="3" t="e" cm="1" vm="1">
        <f t="array" aca="1" ref="R28" ca="1">tbl_Process[Temp_Firing_C] - AVERAGE(tbl_Zones[[Target_Temp_Min_C]:[Target_Temp_Max_C]])</f>
        <v>#VALUE!</v>
      </c>
    </row>
    <row r="29" spans="1:18" x14ac:dyDescent="0.3">
      <c r="A29" s="2" t="s">
        <v>46</v>
      </c>
      <c r="B29" s="2" t="s">
        <v>16</v>
      </c>
      <c r="C29" s="2" t="s">
        <v>17</v>
      </c>
      <c r="D29" s="3">
        <v>427.3</v>
      </c>
      <c r="E29" s="3">
        <v>3.26</v>
      </c>
      <c r="F29" s="3">
        <v>313.7</v>
      </c>
      <c r="G29" s="3">
        <v>383.7</v>
      </c>
      <c r="H29" s="3">
        <v>952.1</v>
      </c>
      <c r="I29" s="4">
        <v>1309.0999999999999</v>
      </c>
      <c r="J29" s="4">
        <v>1253.2</v>
      </c>
      <c r="K29" s="3">
        <v>165.2</v>
      </c>
      <c r="L29" s="3">
        <v>4.1100000000000003</v>
      </c>
      <c r="M29" s="4">
        <v>418090</v>
      </c>
      <c r="N29" s="4">
        <v>8613</v>
      </c>
      <c r="O29" s="3">
        <v>13.81</v>
      </c>
      <c r="P29" s="3" t="str">
        <f t="shared" si="0"/>
        <v>NORMAL</v>
      </c>
      <c r="Q29" s="3" cm="1">
        <f t="array" aca="1" ref="Q29" ca="1">AVERAGE(OFFSET(tbl_Process[[#This Row],[Temp_Firing_C]], MAX(1-ROW()+ROW(tbl_Process[#Headers]), -23), 0, MIN(ROW()-ROW(tbl_Process[#Headers]), 24), 1))</f>
        <v>1306.5166666666667</v>
      </c>
      <c r="R29" s="3" t="e" cm="1" vm="1">
        <f t="array" aca="1" ref="R29" ca="1">tbl_Process[Temp_Firing_C] - AVERAGE(tbl_Zones[[Target_Temp_Min_C]:[Target_Temp_Max_C]])</f>
        <v>#VALUE!</v>
      </c>
    </row>
    <row r="30" spans="1:18" x14ac:dyDescent="0.3">
      <c r="A30" s="2" t="s">
        <v>47</v>
      </c>
      <c r="B30" s="2" t="s">
        <v>16</v>
      </c>
      <c r="C30" s="2" t="s">
        <v>17</v>
      </c>
      <c r="D30" s="3">
        <v>417.3</v>
      </c>
      <c r="E30" s="3">
        <v>3.22</v>
      </c>
      <c r="F30" s="3">
        <v>330.3</v>
      </c>
      <c r="G30" s="3">
        <v>388.8</v>
      </c>
      <c r="H30" s="3">
        <v>939.3</v>
      </c>
      <c r="I30" s="4">
        <v>1316.4</v>
      </c>
      <c r="J30" s="4">
        <v>1251.8</v>
      </c>
      <c r="K30" s="3">
        <v>164.3</v>
      </c>
      <c r="L30" s="3">
        <v>4.26</v>
      </c>
      <c r="M30" s="4">
        <v>415731</v>
      </c>
      <c r="N30" s="4">
        <v>8626</v>
      </c>
      <c r="O30" s="3">
        <v>14.25</v>
      </c>
      <c r="P30" s="3" t="str">
        <f t="shared" si="0"/>
        <v>NORMAL</v>
      </c>
      <c r="Q30" s="3" cm="1">
        <f t="array" aca="1" ref="Q30" ca="1">AVERAGE(OFFSET(tbl_Process[[#This Row],[Temp_Firing_C]], MAX(1-ROW()+ROW(tbl_Process[#Headers]), -23), 0, MIN(ROW()-ROW(tbl_Process[#Headers]), 24), 1))</f>
        <v>1306.9125000000001</v>
      </c>
      <c r="R30" s="3" t="e" cm="1" vm="1">
        <f t="array" aca="1" ref="R30" ca="1">tbl_Process[Temp_Firing_C] - AVERAGE(tbl_Zones[[Target_Temp_Min_C]:[Target_Temp_Max_C]])</f>
        <v>#VALUE!</v>
      </c>
    </row>
    <row r="31" spans="1:18" x14ac:dyDescent="0.3">
      <c r="A31" s="2" t="s">
        <v>48</v>
      </c>
      <c r="B31" s="2" t="s">
        <v>16</v>
      </c>
      <c r="C31" s="2" t="s">
        <v>17</v>
      </c>
      <c r="D31" s="3">
        <v>413.7</v>
      </c>
      <c r="E31" s="3">
        <v>3.32</v>
      </c>
      <c r="F31" s="3">
        <v>325.8</v>
      </c>
      <c r="G31" s="3">
        <v>390.7</v>
      </c>
      <c r="H31" s="3">
        <v>960.3</v>
      </c>
      <c r="I31" s="4">
        <v>1321</v>
      </c>
      <c r="J31" s="4">
        <v>1262.4000000000001</v>
      </c>
      <c r="K31" s="3">
        <v>163.5</v>
      </c>
      <c r="L31" s="3">
        <v>4.07</v>
      </c>
      <c r="M31" s="4">
        <v>424726</v>
      </c>
      <c r="N31" s="4">
        <v>8648</v>
      </c>
      <c r="O31" s="3">
        <v>14.04</v>
      </c>
      <c r="P31" s="3" t="str">
        <f t="shared" si="0"/>
        <v>NORMAL</v>
      </c>
      <c r="Q31" s="3" cm="1">
        <f t="array" aca="1" ref="Q31" ca="1">AVERAGE(OFFSET(tbl_Process[[#This Row],[Temp_Firing_C]], MAX(1-ROW()+ROW(tbl_Process[#Headers]), -23), 0, MIN(ROW()-ROW(tbl_Process[#Headers]), 24), 1))</f>
        <v>1307.1041666666667</v>
      </c>
      <c r="R31" s="3" t="e" cm="1" vm="1">
        <f t="array" aca="1" ref="R31" ca="1">tbl_Process[Temp_Firing_C] - AVERAGE(tbl_Zones[[Target_Temp_Min_C]:[Target_Temp_Max_C]])</f>
        <v>#VALUE!</v>
      </c>
    </row>
    <row r="32" spans="1:18" x14ac:dyDescent="0.3">
      <c r="A32" s="2" t="s">
        <v>49</v>
      </c>
      <c r="B32" s="2" t="s">
        <v>24</v>
      </c>
      <c r="C32" s="2" t="s">
        <v>17</v>
      </c>
      <c r="D32" s="3">
        <v>419.4</v>
      </c>
      <c r="E32" s="3">
        <v>3.23</v>
      </c>
      <c r="F32" s="3">
        <v>329.7</v>
      </c>
      <c r="G32" s="3">
        <v>377.5</v>
      </c>
      <c r="H32" s="3">
        <v>965.8</v>
      </c>
      <c r="I32" s="4">
        <v>1326.6</v>
      </c>
      <c r="J32" s="4">
        <v>1257.0999999999999</v>
      </c>
      <c r="K32" s="3">
        <v>158.30000000000001</v>
      </c>
      <c r="L32" s="3">
        <v>4.1100000000000003</v>
      </c>
      <c r="M32" s="4">
        <v>427743</v>
      </c>
      <c r="N32" s="4">
        <v>8821</v>
      </c>
      <c r="O32" s="3">
        <v>14.28</v>
      </c>
      <c r="P32" s="3" t="str">
        <f t="shared" si="0"/>
        <v>NORMAL</v>
      </c>
      <c r="Q32" s="3" cm="1">
        <f t="array" aca="1" ref="Q32" ca="1">AVERAGE(OFFSET(tbl_Process[[#This Row],[Temp_Firing_C]], MAX(1-ROW()+ROW(tbl_Process[#Headers]), -23), 0, MIN(ROW()-ROW(tbl_Process[#Headers]), 24), 1))</f>
        <v>1307.7250000000001</v>
      </c>
      <c r="R32" s="3" t="e" cm="1" vm="1">
        <f t="array" aca="1" ref="R32" ca="1">tbl_Process[Temp_Firing_C] - AVERAGE(tbl_Zones[[Target_Temp_Min_C]:[Target_Temp_Max_C]])</f>
        <v>#VALUE!</v>
      </c>
    </row>
    <row r="33" spans="1:18" x14ac:dyDescent="0.3">
      <c r="A33" s="2" t="s">
        <v>50</v>
      </c>
      <c r="B33" s="2" t="s">
        <v>24</v>
      </c>
      <c r="C33" s="2" t="s">
        <v>17</v>
      </c>
      <c r="D33" s="3">
        <v>423.4</v>
      </c>
      <c r="E33" s="3">
        <v>3.27</v>
      </c>
      <c r="F33" s="3">
        <v>327</v>
      </c>
      <c r="G33" s="3">
        <v>401.2</v>
      </c>
      <c r="H33" s="3">
        <v>964.8</v>
      </c>
      <c r="I33" s="4">
        <v>1298.7</v>
      </c>
      <c r="J33" s="4">
        <v>1243.3</v>
      </c>
      <c r="K33" s="3">
        <v>160.1</v>
      </c>
      <c r="L33" s="3">
        <v>4.16</v>
      </c>
      <c r="M33" s="4">
        <v>424349</v>
      </c>
      <c r="N33" s="4">
        <v>8292</v>
      </c>
      <c r="O33" s="3">
        <v>14.05</v>
      </c>
      <c r="P33" s="3" t="str">
        <f t="shared" si="0"/>
        <v>NORMAL</v>
      </c>
      <c r="Q33" s="3" cm="1">
        <f t="array" aca="1" ref="Q33" ca="1">AVERAGE(OFFSET(tbl_Process[[#This Row],[Temp_Firing_C]], MAX(1-ROW()+ROW(tbl_Process[#Headers]), -23), 0, MIN(ROW()-ROW(tbl_Process[#Headers]), 24), 1))</f>
        <v>1307.0833333333333</v>
      </c>
      <c r="R33" s="3" t="e" cm="1" vm="1">
        <f t="array" aca="1" ref="R33" ca="1">tbl_Process[Temp_Firing_C] - AVERAGE(tbl_Zones[[Target_Temp_Min_C]:[Target_Temp_Max_C]])</f>
        <v>#VALUE!</v>
      </c>
    </row>
    <row r="34" spans="1:18" x14ac:dyDescent="0.3">
      <c r="A34" s="2" t="s">
        <v>51</v>
      </c>
      <c r="B34" s="2" t="s">
        <v>24</v>
      </c>
      <c r="C34" s="2" t="s">
        <v>17</v>
      </c>
      <c r="D34" s="3">
        <v>413.6</v>
      </c>
      <c r="E34" s="3">
        <v>3.14</v>
      </c>
      <c r="F34" s="3">
        <v>326.2</v>
      </c>
      <c r="G34" s="3">
        <v>388.4</v>
      </c>
      <c r="H34" s="3">
        <v>970.4</v>
      </c>
      <c r="I34" s="4">
        <v>1303.0999999999999</v>
      </c>
      <c r="J34" s="4">
        <v>1224.2</v>
      </c>
      <c r="K34" s="3">
        <v>162.6</v>
      </c>
      <c r="L34" s="3">
        <v>3.94</v>
      </c>
      <c r="M34" s="4">
        <v>422166</v>
      </c>
      <c r="N34" s="4">
        <v>8621</v>
      </c>
      <c r="O34" s="3">
        <v>14.14</v>
      </c>
      <c r="P34" s="3" t="str">
        <f t="shared" si="0"/>
        <v>NORMAL</v>
      </c>
      <c r="Q34" s="3" cm="1">
        <f t="array" aca="1" ref="Q34" ca="1">AVERAGE(OFFSET(tbl_Process[[#This Row],[Temp_Firing_C]], MAX(1-ROW()+ROW(tbl_Process[#Headers]), -23), 0, MIN(ROW()-ROW(tbl_Process[#Headers]), 24), 1))</f>
        <v>1306.3499999999999</v>
      </c>
      <c r="R34" s="3" t="e" cm="1" vm="1">
        <f t="array" aca="1" ref="R34" ca="1">tbl_Process[Temp_Firing_C] - AVERAGE(tbl_Zones[[Target_Temp_Min_C]:[Target_Temp_Max_C]])</f>
        <v>#VALUE!</v>
      </c>
    </row>
    <row r="35" spans="1:18" x14ac:dyDescent="0.3">
      <c r="A35" s="2" t="s">
        <v>52</v>
      </c>
      <c r="B35" s="2" t="s">
        <v>24</v>
      </c>
      <c r="C35" s="2" t="s">
        <v>17</v>
      </c>
      <c r="D35" s="3">
        <v>423</v>
      </c>
      <c r="E35" s="3">
        <v>3.22</v>
      </c>
      <c r="F35" s="3">
        <v>326.5</v>
      </c>
      <c r="G35" s="3">
        <v>379.5</v>
      </c>
      <c r="H35" s="3">
        <v>964.5</v>
      </c>
      <c r="I35" s="4">
        <v>1315.4</v>
      </c>
      <c r="J35" s="4">
        <v>1255.3</v>
      </c>
      <c r="K35" s="3">
        <v>160.19999999999999</v>
      </c>
      <c r="L35" s="3">
        <v>4.1900000000000004</v>
      </c>
      <c r="M35" s="4">
        <v>421842</v>
      </c>
      <c r="N35" s="4">
        <v>8671</v>
      </c>
      <c r="O35" s="3">
        <v>14.27</v>
      </c>
      <c r="P35" s="3" t="str">
        <f t="shared" si="0"/>
        <v>NORMAL</v>
      </c>
      <c r="Q35" s="3" cm="1">
        <f t="array" aca="1" ref="Q35" ca="1">AVERAGE(OFFSET(tbl_Process[[#This Row],[Temp_Firing_C]], MAX(1-ROW()+ROW(tbl_Process[#Headers]), -23), 0, MIN(ROW()-ROW(tbl_Process[#Headers]), 24), 1))</f>
        <v>1307.0583333333334</v>
      </c>
      <c r="R35" s="3" t="e" cm="1" vm="1">
        <f t="array" aca="1" ref="R35" ca="1">tbl_Process[Temp_Firing_C] - AVERAGE(tbl_Zones[[Target_Temp_Min_C]:[Target_Temp_Max_C]])</f>
        <v>#VALUE!</v>
      </c>
    </row>
    <row r="36" spans="1:18" x14ac:dyDescent="0.3">
      <c r="A36" s="2" t="s">
        <v>53</v>
      </c>
      <c r="B36" s="2" t="s">
        <v>24</v>
      </c>
      <c r="C36" s="2" t="s">
        <v>17</v>
      </c>
      <c r="D36" s="3">
        <v>412</v>
      </c>
      <c r="E36" s="3">
        <v>3.1</v>
      </c>
      <c r="F36" s="3">
        <v>314.2</v>
      </c>
      <c r="G36" s="3">
        <v>367.7</v>
      </c>
      <c r="H36" s="3">
        <v>957.9</v>
      </c>
      <c r="I36" s="4">
        <v>1319.1</v>
      </c>
      <c r="J36" s="4">
        <v>1252.4000000000001</v>
      </c>
      <c r="K36" s="3">
        <v>163</v>
      </c>
      <c r="L36" s="3">
        <v>4.0999999999999996</v>
      </c>
      <c r="M36" s="4">
        <v>428085</v>
      </c>
      <c r="N36" s="4">
        <v>8721</v>
      </c>
      <c r="O36" s="3">
        <v>14.36</v>
      </c>
      <c r="P36" s="3" t="str">
        <f t="shared" si="0"/>
        <v>NORMAL</v>
      </c>
      <c r="Q36" s="3" cm="1">
        <f t="array" aca="1" ref="Q36" ca="1">AVERAGE(OFFSET(tbl_Process[[#This Row],[Temp_Firing_C]], MAX(1-ROW()+ROW(tbl_Process[#Headers]), -23), 0, MIN(ROW()-ROW(tbl_Process[#Headers]), 24), 1))</f>
        <v>1307.3458333333333</v>
      </c>
      <c r="R36" s="3" t="e" cm="1" vm="1">
        <f t="array" aca="1" ref="R36" ca="1">tbl_Process[Temp_Firing_C] - AVERAGE(tbl_Zones[[Target_Temp_Min_C]:[Target_Temp_Max_C]])</f>
        <v>#VALUE!</v>
      </c>
    </row>
    <row r="37" spans="1:18" x14ac:dyDescent="0.3">
      <c r="A37" s="2" t="s">
        <v>54</v>
      </c>
      <c r="B37" s="2" t="s">
        <v>24</v>
      </c>
      <c r="C37" s="2" t="s">
        <v>17</v>
      </c>
      <c r="D37" s="3">
        <v>420.4</v>
      </c>
      <c r="E37" s="3">
        <v>3.13</v>
      </c>
      <c r="F37" s="3">
        <v>319.10000000000002</v>
      </c>
      <c r="G37" s="3">
        <v>373.2</v>
      </c>
      <c r="H37" s="3">
        <v>954.8</v>
      </c>
      <c r="I37" s="4">
        <v>1309.4000000000001</v>
      </c>
      <c r="J37" s="4">
        <v>1249.2</v>
      </c>
      <c r="K37" s="3">
        <v>170.4</v>
      </c>
      <c r="L37" s="3">
        <v>3.91</v>
      </c>
      <c r="M37" s="4">
        <v>423067</v>
      </c>
      <c r="N37" s="4">
        <v>8488</v>
      </c>
      <c r="O37" s="3">
        <v>14.33</v>
      </c>
      <c r="P37" s="3" t="str">
        <f t="shared" si="0"/>
        <v>NORMAL</v>
      </c>
      <c r="Q37" s="3" cm="1">
        <f t="array" aca="1" ref="Q37" ca="1">AVERAGE(OFFSET(tbl_Process[[#This Row],[Temp_Firing_C]], MAX(1-ROW()+ROW(tbl_Process[#Headers]), -23), 0, MIN(ROW()-ROW(tbl_Process[#Headers]), 24), 1))</f>
        <v>1307.1000000000001</v>
      </c>
      <c r="R37" s="3" t="e" cm="1" vm="1">
        <f t="array" aca="1" ref="R37" ca="1">tbl_Process[Temp_Firing_C] - AVERAGE(tbl_Zones[[Target_Temp_Min_C]:[Target_Temp_Max_C]])</f>
        <v>#VALUE!</v>
      </c>
    </row>
    <row r="38" spans="1:18" x14ac:dyDescent="0.3">
      <c r="A38" s="2" t="s">
        <v>55</v>
      </c>
      <c r="B38" s="2" t="s">
        <v>24</v>
      </c>
      <c r="C38" s="2" t="s">
        <v>17</v>
      </c>
      <c r="D38" s="3">
        <v>419.5</v>
      </c>
      <c r="E38" s="3">
        <v>3.05</v>
      </c>
      <c r="F38" s="3">
        <v>327.9</v>
      </c>
      <c r="G38" s="3">
        <v>378.9</v>
      </c>
      <c r="H38" s="3">
        <v>958.3</v>
      </c>
      <c r="I38" s="4">
        <v>1302.7</v>
      </c>
      <c r="J38" s="4">
        <v>1233.8</v>
      </c>
      <c r="K38" s="3">
        <v>163.69999999999999</v>
      </c>
      <c r="L38" s="3">
        <v>4.0199999999999996</v>
      </c>
      <c r="M38" s="4">
        <v>421636</v>
      </c>
      <c r="N38" s="4">
        <v>8576</v>
      </c>
      <c r="O38" s="3">
        <v>14.47</v>
      </c>
      <c r="P38" s="3" t="str">
        <f t="shared" si="0"/>
        <v>NORMAL</v>
      </c>
      <c r="Q38" s="3" cm="1">
        <f t="array" aca="1" ref="Q38" ca="1">AVERAGE(OFFSET(tbl_Process[[#This Row],[Temp_Firing_C]], MAX(1-ROW()+ROW(tbl_Process[#Headers]), -23), 0, MIN(ROW()-ROW(tbl_Process[#Headers]), 24), 1))</f>
        <v>1306.8375000000001</v>
      </c>
      <c r="R38" s="3" t="e" cm="1" vm="1">
        <f t="array" aca="1" ref="R38" ca="1">tbl_Process[Temp_Firing_C] - AVERAGE(tbl_Zones[[Target_Temp_Min_C]:[Target_Temp_Max_C]])</f>
        <v>#VALUE!</v>
      </c>
    </row>
    <row r="39" spans="1:18" x14ac:dyDescent="0.3">
      <c r="A39" s="2" t="s">
        <v>56</v>
      </c>
      <c r="B39" s="2" t="s">
        <v>24</v>
      </c>
      <c r="C39" s="2" t="s">
        <v>17</v>
      </c>
      <c r="D39" s="3">
        <v>418.6</v>
      </c>
      <c r="E39" s="3">
        <v>3.08</v>
      </c>
      <c r="F39" s="3">
        <v>328.4</v>
      </c>
      <c r="G39" s="3">
        <v>380.3</v>
      </c>
      <c r="H39" s="3">
        <v>977.3</v>
      </c>
      <c r="I39" s="4">
        <v>1313.3</v>
      </c>
      <c r="J39" s="4">
        <v>1247.5</v>
      </c>
      <c r="K39" s="3">
        <v>163.1</v>
      </c>
      <c r="L39" s="3">
        <v>4.28</v>
      </c>
      <c r="M39" s="4">
        <v>429663</v>
      </c>
      <c r="N39" s="4">
        <v>8668</v>
      </c>
      <c r="O39" s="3">
        <v>14.11</v>
      </c>
      <c r="P39" s="3" t="str">
        <f t="shared" si="0"/>
        <v>NORMAL</v>
      </c>
      <c r="Q39" s="3" cm="1">
        <f t="array" aca="1" ref="Q39" ca="1">AVERAGE(OFFSET(tbl_Process[[#This Row],[Temp_Firing_C]], MAX(1-ROW()+ROW(tbl_Process[#Headers]), -23), 0, MIN(ROW()-ROW(tbl_Process[#Headers]), 24), 1))</f>
        <v>1307.3416666666667</v>
      </c>
      <c r="R39" s="3" t="e" cm="1" vm="1">
        <f t="array" aca="1" ref="R39" ca="1">tbl_Process[Temp_Firing_C] - AVERAGE(tbl_Zones[[Target_Temp_Min_C]:[Target_Temp_Max_C]])</f>
        <v>#VALUE!</v>
      </c>
    </row>
    <row r="40" spans="1:18" x14ac:dyDescent="0.3">
      <c r="A40" s="2" t="s">
        <v>57</v>
      </c>
      <c r="B40" s="2" t="s">
        <v>33</v>
      </c>
      <c r="C40" s="2" t="s">
        <v>17</v>
      </c>
      <c r="D40" s="3">
        <v>424.3</v>
      </c>
      <c r="E40" s="3">
        <v>3.13</v>
      </c>
      <c r="F40" s="3">
        <v>323.60000000000002</v>
      </c>
      <c r="G40" s="3">
        <v>382</v>
      </c>
      <c r="H40" s="3">
        <v>967</v>
      </c>
      <c r="I40" s="4">
        <v>1302.7</v>
      </c>
      <c r="J40" s="4">
        <v>1228.2</v>
      </c>
      <c r="K40" s="3">
        <v>150.69999999999999</v>
      </c>
      <c r="L40" s="3">
        <v>3.99</v>
      </c>
      <c r="M40" s="4">
        <v>418881</v>
      </c>
      <c r="N40" s="4">
        <v>8497</v>
      </c>
      <c r="O40" s="3">
        <v>14.69</v>
      </c>
      <c r="P40" s="3" t="str">
        <f t="shared" si="0"/>
        <v>NORMAL</v>
      </c>
      <c r="Q40" s="3" cm="1">
        <f t="array" aca="1" ref="Q40" ca="1">AVERAGE(OFFSET(tbl_Process[[#This Row],[Temp_Firing_C]], MAX(1-ROW()+ROW(tbl_Process[#Headers]), -23), 0, MIN(ROW()-ROW(tbl_Process[#Headers]), 24), 1))</f>
        <v>1307.6041666666667</v>
      </c>
      <c r="R40" s="3" t="e" cm="1" vm="1">
        <f t="array" aca="1" ref="R40" ca="1">tbl_Process[Temp_Firing_C] - AVERAGE(tbl_Zones[[Target_Temp_Min_C]:[Target_Temp_Max_C]])</f>
        <v>#VALUE!</v>
      </c>
    </row>
    <row r="41" spans="1:18" x14ac:dyDescent="0.3">
      <c r="A41" s="2" t="s">
        <v>58</v>
      </c>
      <c r="B41" s="2" t="s">
        <v>33</v>
      </c>
      <c r="C41" s="2" t="s">
        <v>17</v>
      </c>
      <c r="D41" s="3">
        <v>424.4</v>
      </c>
      <c r="E41" s="3">
        <v>3.12</v>
      </c>
      <c r="F41" s="3">
        <v>323.39999999999998</v>
      </c>
      <c r="G41" s="3">
        <v>378.9</v>
      </c>
      <c r="H41" s="3">
        <v>959.2</v>
      </c>
      <c r="I41" s="4">
        <v>1310</v>
      </c>
      <c r="J41" s="4">
        <v>1248.7</v>
      </c>
      <c r="K41" s="3">
        <v>159.19999999999999</v>
      </c>
      <c r="L41" s="3">
        <v>4.25</v>
      </c>
      <c r="M41" s="4">
        <v>417803</v>
      </c>
      <c r="N41" s="4">
        <v>8621</v>
      </c>
      <c r="O41" s="3">
        <v>14.75</v>
      </c>
      <c r="P41" s="3" t="str">
        <f t="shared" si="0"/>
        <v>NORMAL</v>
      </c>
      <c r="Q41" s="3" cm="1">
        <f t="array" aca="1" ref="Q41" ca="1">AVERAGE(OFFSET(tbl_Process[[#This Row],[Temp_Firing_C]], MAX(1-ROW()+ROW(tbl_Process[#Headers]), -23), 0, MIN(ROW()-ROW(tbl_Process[#Headers]), 24), 1))</f>
        <v>1307.2750000000001</v>
      </c>
      <c r="R41" s="3" t="e" cm="1" vm="1">
        <f t="array" aca="1" ref="R41" ca="1">tbl_Process[Temp_Firing_C] - AVERAGE(tbl_Zones[[Target_Temp_Min_C]:[Target_Temp_Max_C]])</f>
        <v>#VALUE!</v>
      </c>
    </row>
    <row r="42" spans="1:18" x14ac:dyDescent="0.3">
      <c r="A42" s="2" t="s">
        <v>59</v>
      </c>
      <c r="B42" s="2" t="s">
        <v>33</v>
      </c>
      <c r="C42" s="2" t="s">
        <v>17</v>
      </c>
      <c r="D42" s="3">
        <v>420.9</v>
      </c>
      <c r="E42" s="3">
        <v>3.31</v>
      </c>
      <c r="F42" s="3">
        <v>321.60000000000002</v>
      </c>
      <c r="G42" s="3">
        <v>385.5</v>
      </c>
      <c r="H42" s="3">
        <v>961.5</v>
      </c>
      <c r="I42" s="4">
        <v>1306.5999999999999</v>
      </c>
      <c r="J42" s="4">
        <v>1236.9000000000001</v>
      </c>
      <c r="K42" s="3">
        <v>162.9</v>
      </c>
      <c r="L42" s="3">
        <v>4.03</v>
      </c>
      <c r="M42" s="4">
        <v>423518</v>
      </c>
      <c r="N42" s="4">
        <v>8709</v>
      </c>
      <c r="O42" s="3">
        <v>14.12</v>
      </c>
      <c r="P42" s="3" t="str">
        <f t="shared" si="0"/>
        <v>NORMAL</v>
      </c>
      <c r="Q42" s="3" cm="1">
        <f t="array" aca="1" ref="Q42" ca="1">AVERAGE(OFFSET(tbl_Process[[#This Row],[Temp_Firing_C]], MAX(1-ROW()+ROW(tbl_Process[#Headers]), -23), 0, MIN(ROW()-ROW(tbl_Process[#Headers]), 24), 1))</f>
        <v>1307.4666666666665</v>
      </c>
      <c r="R42" s="3" t="e" cm="1" vm="1">
        <f t="array" aca="1" ref="R42" ca="1">tbl_Process[Temp_Firing_C] - AVERAGE(tbl_Zones[[Target_Temp_Min_C]:[Target_Temp_Max_C]])</f>
        <v>#VALUE!</v>
      </c>
    </row>
    <row r="43" spans="1:18" x14ac:dyDescent="0.3">
      <c r="A43" s="2" t="s">
        <v>60</v>
      </c>
      <c r="B43" s="2" t="s">
        <v>33</v>
      </c>
      <c r="C43" s="2" t="s">
        <v>17</v>
      </c>
      <c r="D43" s="3">
        <v>418.9</v>
      </c>
      <c r="E43" s="3">
        <v>3.24</v>
      </c>
      <c r="F43" s="3">
        <v>319.10000000000002</v>
      </c>
      <c r="G43" s="3">
        <v>387.8</v>
      </c>
      <c r="H43" s="3">
        <v>939.9</v>
      </c>
      <c r="I43" s="4">
        <v>1304.8</v>
      </c>
      <c r="J43" s="4">
        <v>1227.9000000000001</v>
      </c>
      <c r="K43" s="3">
        <v>153.19999999999999</v>
      </c>
      <c r="L43" s="3">
        <v>4.25</v>
      </c>
      <c r="M43" s="4">
        <v>423997</v>
      </c>
      <c r="N43" s="4">
        <v>8471</v>
      </c>
      <c r="O43" s="3">
        <v>13.85</v>
      </c>
      <c r="P43" s="3" t="str">
        <f t="shared" si="0"/>
        <v>NORMAL</v>
      </c>
      <c r="Q43" s="3" cm="1">
        <f t="array" aca="1" ref="Q43" ca="1">AVERAGE(OFFSET(tbl_Process[[#This Row],[Temp_Firing_C]], MAX(1-ROW()+ROW(tbl_Process[#Headers]), -23), 0, MIN(ROW()-ROW(tbl_Process[#Headers]), 24), 1))</f>
        <v>1307.5708333333332</v>
      </c>
      <c r="R43" s="3" t="e" cm="1" vm="1">
        <f t="array" aca="1" ref="R43" ca="1">tbl_Process[Temp_Firing_C] - AVERAGE(tbl_Zones[[Target_Temp_Min_C]:[Target_Temp_Max_C]])</f>
        <v>#VALUE!</v>
      </c>
    </row>
    <row r="44" spans="1:18" x14ac:dyDescent="0.3">
      <c r="A44" s="2" t="s">
        <v>61</v>
      </c>
      <c r="B44" s="2" t="s">
        <v>33</v>
      </c>
      <c r="C44" s="2" t="s">
        <v>17</v>
      </c>
      <c r="D44" s="3">
        <v>408.1</v>
      </c>
      <c r="E44" s="3">
        <v>3.16</v>
      </c>
      <c r="F44" s="3">
        <v>335.4</v>
      </c>
      <c r="G44" s="3">
        <v>384.2</v>
      </c>
      <c r="H44" s="3">
        <v>955.1</v>
      </c>
      <c r="I44" s="4">
        <v>1311.1</v>
      </c>
      <c r="J44" s="4">
        <v>1236.7</v>
      </c>
      <c r="K44" s="3">
        <v>159.1</v>
      </c>
      <c r="L44" s="3">
        <v>3.95</v>
      </c>
      <c r="M44" s="4">
        <v>421697</v>
      </c>
      <c r="N44" s="4">
        <v>8728</v>
      </c>
      <c r="O44" s="3">
        <v>14.1</v>
      </c>
      <c r="P44" s="3" t="str">
        <f t="shared" si="0"/>
        <v>NORMAL</v>
      </c>
      <c r="Q44" s="3" cm="1">
        <f t="array" aca="1" ref="Q44" ca="1">AVERAGE(OFFSET(tbl_Process[[#This Row],[Temp_Firing_C]], MAX(1-ROW()+ROW(tbl_Process[#Headers]), -23), 0, MIN(ROW()-ROW(tbl_Process[#Headers]), 24), 1))</f>
        <v>1307.7458333333332</v>
      </c>
      <c r="R44" s="3" t="e" cm="1" vm="1">
        <f t="array" aca="1" ref="R44" ca="1">tbl_Process[Temp_Firing_C] - AVERAGE(tbl_Zones[[Target_Temp_Min_C]:[Target_Temp_Max_C]])</f>
        <v>#VALUE!</v>
      </c>
    </row>
    <row r="45" spans="1:18" x14ac:dyDescent="0.3">
      <c r="A45" s="2" t="s">
        <v>62</v>
      </c>
      <c r="B45" s="2" t="s">
        <v>33</v>
      </c>
      <c r="C45" s="2" t="s">
        <v>17</v>
      </c>
      <c r="D45" s="3">
        <v>422.7</v>
      </c>
      <c r="E45" s="3">
        <v>3.14</v>
      </c>
      <c r="F45" s="3">
        <v>326.3</v>
      </c>
      <c r="G45" s="3">
        <v>392.7</v>
      </c>
      <c r="H45" s="3">
        <v>950.3</v>
      </c>
      <c r="I45" s="4">
        <v>1300.4000000000001</v>
      </c>
      <c r="J45" s="4">
        <v>1243.4000000000001</v>
      </c>
      <c r="K45" s="3">
        <v>159.69999999999999</v>
      </c>
      <c r="L45" s="3">
        <v>4.28</v>
      </c>
      <c r="M45" s="4">
        <v>418523</v>
      </c>
      <c r="N45" s="4">
        <v>8679</v>
      </c>
      <c r="O45" s="3">
        <v>14.09</v>
      </c>
      <c r="P45" s="3" t="str">
        <f t="shared" si="0"/>
        <v>NORMAL</v>
      </c>
      <c r="Q45" s="3" cm="1">
        <f t="array" aca="1" ref="Q45" ca="1">AVERAGE(OFFSET(tbl_Process[[#This Row],[Temp_Firing_C]], MAX(1-ROW()+ROW(tbl_Process[#Headers]), -23), 0, MIN(ROW()-ROW(tbl_Process[#Headers]), 24), 1))</f>
        <v>1307.1375</v>
      </c>
      <c r="R45" s="3" t="e" cm="1" vm="1">
        <f t="array" aca="1" ref="R45" ca="1">tbl_Process[Temp_Firing_C] - AVERAGE(tbl_Zones[[Target_Temp_Min_C]:[Target_Temp_Max_C]])</f>
        <v>#VALUE!</v>
      </c>
    </row>
    <row r="46" spans="1:18" x14ac:dyDescent="0.3">
      <c r="A46" s="2" t="s">
        <v>63</v>
      </c>
      <c r="B46" s="2" t="s">
        <v>33</v>
      </c>
      <c r="C46" s="2" t="s">
        <v>17</v>
      </c>
      <c r="D46" s="3">
        <v>421</v>
      </c>
      <c r="E46" s="3">
        <v>3.33</v>
      </c>
      <c r="F46" s="3">
        <v>318.89999999999998</v>
      </c>
      <c r="G46" s="3">
        <v>374.9</v>
      </c>
      <c r="H46" s="3">
        <v>956.8</v>
      </c>
      <c r="I46" s="4">
        <v>1311.5</v>
      </c>
      <c r="J46" s="4">
        <v>1237.0999999999999</v>
      </c>
      <c r="K46" s="3">
        <v>163.9</v>
      </c>
      <c r="L46" s="3">
        <v>4.07</v>
      </c>
      <c r="M46" s="4">
        <v>426087</v>
      </c>
      <c r="N46" s="4">
        <v>8351</v>
      </c>
      <c r="O46" s="3">
        <v>14.12</v>
      </c>
      <c r="P46" s="3" t="str">
        <f t="shared" si="0"/>
        <v>NORMAL</v>
      </c>
      <c r="Q46" s="3" cm="1">
        <f t="array" aca="1" ref="Q46" ca="1">AVERAGE(OFFSET(tbl_Process[[#This Row],[Temp_Firing_C]], MAX(1-ROW()+ROW(tbl_Process[#Headers]), -23), 0, MIN(ROW()-ROW(tbl_Process[#Headers]), 24), 1))</f>
        <v>1307.8</v>
      </c>
      <c r="R46" s="3" t="e" cm="1" vm="1">
        <f t="array" aca="1" ref="R46" ca="1">tbl_Process[Temp_Firing_C] - AVERAGE(tbl_Zones[[Target_Temp_Min_C]:[Target_Temp_Max_C]])</f>
        <v>#VALUE!</v>
      </c>
    </row>
    <row r="47" spans="1:18" x14ac:dyDescent="0.3">
      <c r="A47" s="2" t="s">
        <v>64</v>
      </c>
      <c r="B47" s="2" t="s">
        <v>33</v>
      </c>
      <c r="C47" s="2" t="s">
        <v>17</v>
      </c>
      <c r="D47" s="3">
        <v>413.3</v>
      </c>
      <c r="E47" s="3">
        <v>3.13</v>
      </c>
      <c r="F47" s="3">
        <v>322.8</v>
      </c>
      <c r="G47" s="3">
        <v>380.5</v>
      </c>
      <c r="H47" s="3">
        <v>959.6</v>
      </c>
      <c r="I47" s="4">
        <v>1307.3</v>
      </c>
      <c r="J47" s="4">
        <v>1243.5</v>
      </c>
      <c r="K47" s="3">
        <v>155.80000000000001</v>
      </c>
      <c r="L47" s="3">
        <v>4.08</v>
      </c>
      <c r="M47" s="4">
        <v>423633</v>
      </c>
      <c r="N47" s="4">
        <v>8634</v>
      </c>
      <c r="O47" s="3">
        <v>14.23</v>
      </c>
      <c r="P47" s="3" t="str">
        <f t="shared" si="0"/>
        <v>NORMAL</v>
      </c>
      <c r="Q47" s="3" cm="1">
        <f t="array" aca="1" ref="Q47" ca="1">AVERAGE(OFFSET(tbl_Process[[#This Row],[Temp_Firing_C]], MAX(1-ROW()+ROW(tbl_Process[#Headers]), -23), 0, MIN(ROW()-ROW(tbl_Process[#Headers]), 24), 1))</f>
        <v>1307.95</v>
      </c>
      <c r="R47" s="3" t="e" cm="1" vm="1">
        <f t="array" aca="1" ref="R47" ca="1">tbl_Process[Temp_Firing_C] - AVERAGE(tbl_Zones[[Target_Temp_Min_C]:[Target_Temp_Max_C]])</f>
        <v>#VALUE!</v>
      </c>
    </row>
    <row r="48" spans="1:18" x14ac:dyDescent="0.3">
      <c r="A48" s="2" t="s">
        <v>65</v>
      </c>
      <c r="B48" s="2" t="s">
        <v>16</v>
      </c>
      <c r="C48" s="2" t="s">
        <v>17</v>
      </c>
      <c r="D48" s="3">
        <v>421.2</v>
      </c>
      <c r="E48" s="3">
        <v>3.36</v>
      </c>
      <c r="F48" s="3">
        <v>321.10000000000002</v>
      </c>
      <c r="G48" s="3">
        <v>380</v>
      </c>
      <c r="H48" s="3">
        <v>954.2</v>
      </c>
      <c r="I48" s="4">
        <v>1301.0999999999999</v>
      </c>
      <c r="J48" s="4">
        <v>1228.5999999999999</v>
      </c>
      <c r="K48" s="3">
        <v>156.6</v>
      </c>
      <c r="L48" s="3">
        <v>4.1399999999999997</v>
      </c>
      <c r="M48" s="4">
        <v>421368</v>
      </c>
      <c r="N48" s="4">
        <v>8519</v>
      </c>
      <c r="O48" s="3">
        <v>13.99</v>
      </c>
      <c r="P48" s="3" t="str">
        <f t="shared" si="0"/>
        <v>NORMAL</v>
      </c>
      <c r="Q48" s="3" cm="1">
        <f t="array" aca="1" ref="Q48" ca="1">AVERAGE(OFFSET(tbl_Process[[#This Row],[Temp_Firing_C]], MAX(1-ROW()+ROW(tbl_Process[#Headers]), -23), 0, MIN(ROW()-ROW(tbl_Process[#Headers]), 24), 1))</f>
        <v>1307.675</v>
      </c>
      <c r="R48" s="3" t="e" cm="1" vm="1">
        <f t="array" aca="1" ref="R48" ca="1">tbl_Process[Temp_Firing_C] - AVERAGE(tbl_Zones[[Target_Temp_Min_C]:[Target_Temp_Max_C]])</f>
        <v>#VALUE!</v>
      </c>
    </row>
    <row r="49" spans="1:18" x14ac:dyDescent="0.3">
      <c r="A49" s="2" t="s">
        <v>66</v>
      </c>
      <c r="B49" s="2" t="s">
        <v>16</v>
      </c>
      <c r="C49" s="2" t="s">
        <v>17</v>
      </c>
      <c r="D49" s="3">
        <v>423.6</v>
      </c>
      <c r="E49" s="3">
        <v>3.26</v>
      </c>
      <c r="F49" s="3">
        <v>321</v>
      </c>
      <c r="G49" s="3">
        <v>378.1</v>
      </c>
      <c r="H49" s="3">
        <v>970.5</v>
      </c>
      <c r="I49" s="4">
        <v>1311.8</v>
      </c>
      <c r="J49" s="4">
        <v>1238.0999999999999</v>
      </c>
      <c r="K49" s="3">
        <v>161</v>
      </c>
      <c r="L49" s="3">
        <v>4.18</v>
      </c>
      <c r="M49" s="4">
        <v>418975</v>
      </c>
      <c r="N49" s="4">
        <v>8664</v>
      </c>
      <c r="O49" s="3">
        <v>13.71</v>
      </c>
      <c r="P49" s="3" t="str">
        <f t="shared" si="0"/>
        <v>NORMAL</v>
      </c>
      <c r="Q49" s="3" cm="1">
        <f t="array" aca="1" ref="Q49" ca="1">AVERAGE(OFFSET(tbl_Process[[#This Row],[Temp_Firing_C]], MAX(1-ROW()+ROW(tbl_Process[#Headers]), -23), 0, MIN(ROW()-ROW(tbl_Process[#Headers]), 24), 1))</f>
        <v>1308.3791666666664</v>
      </c>
      <c r="R49" s="3" t="e" cm="1" vm="1">
        <f t="array" aca="1" ref="R49" ca="1">tbl_Process[Temp_Firing_C] - AVERAGE(tbl_Zones[[Target_Temp_Min_C]:[Target_Temp_Max_C]])</f>
        <v>#VALUE!</v>
      </c>
    </row>
    <row r="50" spans="1:18" x14ac:dyDescent="0.3">
      <c r="A50" s="2" t="s">
        <v>67</v>
      </c>
      <c r="B50" s="2" t="s">
        <v>16</v>
      </c>
      <c r="C50" s="2" t="s">
        <v>17</v>
      </c>
      <c r="D50" s="3">
        <v>425.3</v>
      </c>
      <c r="E50" s="3">
        <v>3.3</v>
      </c>
      <c r="F50" s="3">
        <v>320.8</v>
      </c>
      <c r="G50" s="3">
        <v>385.7</v>
      </c>
      <c r="H50" s="3">
        <v>935.8</v>
      </c>
      <c r="I50" s="4">
        <v>1302</v>
      </c>
      <c r="J50" s="4">
        <v>1235.2</v>
      </c>
      <c r="K50" s="3">
        <v>156.19999999999999</v>
      </c>
      <c r="L50" s="3">
        <v>4.26</v>
      </c>
      <c r="M50" s="4">
        <v>427351</v>
      </c>
      <c r="N50" s="4">
        <v>8383</v>
      </c>
      <c r="O50" s="3">
        <v>14.08</v>
      </c>
      <c r="P50" s="3" t="str">
        <f t="shared" si="0"/>
        <v>NORMAL</v>
      </c>
      <c r="Q50" s="3" cm="1">
        <f t="array" aca="1" ref="Q50" ca="1">AVERAGE(OFFSET(tbl_Process[[#This Row],[Temp_Firing_C]], MAX(1-ROW()+ROW(tbl_Process[#Headers]), -23), 0, MIN(ROW()-ROW(tbl_Process[#Headers]), 24), 1))</f>
        <v>1308.8999999999999</v>
      </c>
      <c r="R50" s="3" t="e" cm="1" vm="1">
        <f t="array" aca="1" ref="R50" ca="1">tbl_Process[Temp_Firing_C] - AVERAGE(tbl_Zones[[Target_Temp_Min_C]:[Target_Temp_Max_C]])</f>
        <v>#VALUE!</v>
      </c>
    </row>
    <row r="51" spans="1:18" x14ac:dyDescent="0.3">
      <c r="A51" s="2" t="s">
        <v>68</v>
      </c>
      <c r="B51" s="2" t="s">
        <v>16</v>
      </c>
      <c r="C51" s="2" t="s">
        <v>17</v>
      </c>
      <c r="D51" s="3">
        <v>420.9</v>
      </c>
      <c r="E51" s="3">
        <v>3.33</v>
      </c>
      <c r="F51" s="3">
        <v>315.39999999999998</v>
      </c>
      <c r="G51" s="3">
        <v>385.4</v>
      </c>
      <c r="H51" s="3">
        <v>987.3</v>
      </c>
      <c r="I51" s="4">
        <v>1299</v>
      </c>
      <c r="J51" s="4">
        <v>1226.3</v>
      </c>
      <c r="K51" s="3">
        <v>159.69999999999999</v>
      </c>
      <c r="L51" s="3">
        <v>4.07</v>
      </c>
      <c r="M51" s="4">
        <v>422664</v>
      </c>
      <c r="N51" s="4">
        <v>8517</v>
      </c>
      <c r="O51" s="3">
        <v>13.74</v>
      </c>
      <c r="P51" s="3" t="str">
        <f t="shared" si="0"/>
        <v>NORMAL</v>
      </c>
      <c r="Q51" s="3" cm="1">
        <f t="array" aca="1" ref="Q51" ca="1">AVERAGE(OFFSET(tbl_Process[[#This Row],[Temp_Firing_C]], MAX(1-ROW()+ROW(tbl_Process[#Headers]), -23), 0, MIN(ROW()-ROW(tbl_Process[#Headers]), 24), 1))</f>
        <v>1308.7416666666666</v>
      </c>
      <c r="R51" s="3" t="e" cm="1" vm="1">
        <f t="array" aca="1" ref="R51" ca="1">tbl_Process[Temp_Firing_C] - AVERAGE(tbl_Zones[[Target_Temp_Min_C]:[Target_Temp_Max_C]])</f>
        <v>#VALUE!</v>
      </c>
    </row>
    <row r="52" spans="1:18" x14ac:dyDescent="0.3">
      <c r="A52" s="2" t="s">
        <v>69</v>
      </c>
      <c r="B52" s="2" t="s">
        <v>16</v>
      </c>
      <c r="C52" s="2" t="s">
        <v>17</v>
      </c>
      <c r="D52" s="3">
        <v>422.1</v>
      </c>
      <c r="E52" s="3">
        <v>3.15</v>
      </c>
      <c r="F52" s="3">
        <v>330.7</v>
      </c>
      <c r="G52" s="3">
        <v>379.7</v>
      </c>
      <c r="H52" s="3">
        <v>958.4</v>
      </c>
      <c r="I52" s="4">
        <v>1317.4</v>
      </c>
      <c r="J52" s="4">
        <v>1257</v>
      </c>
      <c r="K52" s="3">
        <v>164.3</v>
      </c>
      <c r="L52" s="3">
        <v>3.9</v>
      </c>
      <c r="M52" s="4">
        <v>425015</v>
      </c>
      <c r="N52" s="4">
        <v>8585</v>
      </c>
      <c r="O52" s="3">
        <v>14.19</v>
      </c>
      <c r="P52" s="3" t="str">
        <f t="shared" si="0"/>
        <v>NORMAL</v>
      </c>
      <c r="Q52" s="3" cm="1">
        <f t="array" aca="1" ref="Q52" ca="1">AVERAGE(OFFSET(tbl_Process[[#This Row],[Temp_Firing_C]], MAX(1-ROW()+ROW(tbl_Process[#Headers]), -23), 0, MIN(ROW()-ROW(tbl_Process[#Headers]), 24), 1))</f>
        <v>1309.1874999999998</v>
      </c>
      <c r="R52" s="3" t="e" cm="1" vm="1">
        <f t="array" aca="1" ref="R52" ca="1">tbl_Process[Temp_Firing_C] - AVERAGE(tbl_Zones[[Target_Temp_Min_C]:[Target_Temp_Max_C]])</f>
        <v>#VALUE!</v>
      </c>
    </row>
    <row r="53" spans="1:18" x14ac:dyDescent="0.3">
      <c r="A53" s="2" t="s">
        <v>70</v>
      </c>
      <c r="B53" s="2" t="s">
        <v>16</v>
      </c>
      <c r="C53" s="2" t="s">
        <v>17</v>
      </c>
      <c r="D53" s="3">
        <v>414.3</v>
      </c>
      <c r="E53" s="3">
        <v>3.24</v>
      </c>
      <c r="F53" s="3">
        <v>318.5</v>
      </c>
      <c r="G53" s="3">
        <v>375.5</v>
      </c>
      <c r="H53" s="3">
        <v>975.2</v>
      </c>
      <c r="I53" s="4">
        <v>1315.8</v>
      </c>
      <c r="J53" s="4">
        <v>1247.0999999999999</v>
      </c>
      <c r="K53" s="3">
        <v>169.5</v>
      </c>
      <c r="L53" s="3">
        <v>3.98</v>
      </c>
      <c r="M53" s="4">
        <v>422956</v>
      </c>
      <c r="N53" s="4">
        <v>8722</v>
      </c>
      <c r="O53" s="3">
        <v>13.87</v>
      </c>
      <c r="P53" s="3" t="str">
        <f t="shared" si="0"/>
        <v>NORMAL</v>
      </c>
      <c r="Q53" s="3" cm="1">
        <f t="array" aca="1" ref="Q53" ca="1">AVERAGE(OFFSET(tbl_Process[[#This Row],[Temp_Firing_C]], MAX(1-ROW()+ROW(tbl_Process[#Headers]), -23), 0, MIN(ROW()-ROW(tbl_Process[#Headers]), 24), 1))</f>
        <v>1309.4666666666665</v>
      </c>
      <c r="R53" s="3" t="e" cm="1" vm="1">
        <f t="array" aca="1" ref="R53" ca="1">tbl_Process[Temp_Firing_C] - AVERAGE(tbl_Zones[[Target_Temp_Min_C]:[Target_Temp_Max_C]])</f>
        <v>#VALUE!</v>
      </c>
    </row>
    <row r="54" spans="1:18" x14ac:dyDescent="0.3">
      <c r="A54" s="2" t="s">
        <v>71</v>
      </c>
      <c r="B54" s="2" t="s">
        <v>16</v>
      </c>
      <c r="C54" s="2" t="s">
        <v>17</v>
      </c>
      <c r="D54" s="3">
        <v>421.9</v>
      </c>
      <c r="E54" s="3">
        <v>3.16</v>
      </c>
      <c r="F54" s="3">
        <v>321.10000000000002</v>
      </c>
      <c r="G54" s="3">
        <v>394.2</v>
      </c>
      <c r="H54" s="3">
        <v>954.6</v>
      </c>
      <c r="I54" s="4">
        <v>1295.0999999999999</v>
      </c>
      <c r="J54" s="4">
        <v>1239.8</v>
      </c>
      <c r="K54" s="3">
        <v>175.1</v>
      </c>
      <c r="L54" s="3">
        <v>4.05</v>
      </c>
      <c r="M54" s="4">
        <v>412339</v>
      </c>
      <c r="N54" s="4">
        <v>8404</v>
      </c>
      <c r="O54" s="3">
        <v>14.21</v>
      </c>
      <c r="P54" s="3" t="str">
        <f t="shared" si="0"/>
        <v>NORMAL</v>
      </c>
      <c r="Q54" s="3" cm="1">
        <f t="array" aca="1" ref="Q54" ca="1">AVERAGE(OFFSET(tbl_Process[[#This Row],[Temp_Firing_C]], MAX(1-ROW()+ROW(tbl_Process[#Headers]), -23), 0, MIN(ROW()-ROW(tbl_Process[#Headers]), 24), 1))</f>
        <v>1308.5791666666667</v>
      </c>
      <c r="R54" s="3" t="e" cm="1" vm="1">
        <f t="array" aca="1" ref="R54" ca="1">tbl_Process[Temp_Firing_C] - AVERAGE(tbl_Zones[[Target_Temp_Min_C]:[Target_Temp_Max_C]])</f>
        <v>#VALUE!</v>
      </c>
    </row>
    <row r="55" spans="1:18" x14ac:dyDescent="0.3">
      <c r="A55" s="2" t="s">
        <v>72</v>
      </c>
      <c r="B55" s="2" t="s">
        <v>16</v>
      </c>
      <c r="C55" s="2" t="s">
        <v>17</v>
      </c>
      <c r="D55" s="3">
        <v>419.2</v>
      </c>
      <c r="E55" s="3">
        <v>3.11</v>
      </c>
      <c r="F55" s="3">
        <v>327.10000000000002</v>
      </c>
      <c r="G55" s="3">
        <v>388.5</v>
      </c>
      <c r="H55" s="3">
        <v>949.4</v>
      </c>
      <c r="I55" s="4">
        <v>1320.3</v>
      </c>
      <c r="J55" s="4">
        <v>1267.5999999999999</v>
      </c>
      <c r="K55" s="3">
        <v>163.30000000000001</v>
      </c>
      <c r="L55" s="3">
        <v>4.0199999999999996</v>
      </c>
      <c r="M55" s="4">
        <v>423157</v>
      </c>
      <c r="N55" s="4">
        <v>8817</v>
      </c>
      <c r="O55" s="3">
        <v>13.51</v>
      </c>
      <c r="P55" s="3" t="str">
        <f t="shared" si="0"/>
        <v>NORMAL</v>
      </c>
      <c r="Q55" s="3" cm="1">
        <f t="array" aca="1" ref="Q55" ca="1">AVERAGE(OFFSET(tbl_Process[[#This Row],[Temp_Firing_C]], MAX(1-ROW()+ROW(tbl_Process[#Headers]), -23), 0, MIN(ROW()-ROW(tbl_Process[#Headers]), 24), 1))</f>
        <v>1308.55</v>
      </c>
      <c r="R55" s="3" t="e" cm="1" vm="1">
        <f t="array" aca="1" ref="R55" ca="1">tbl_Process[Temp_Firing_C] - AVERAGE(tbl_Zones[[Target_Temp_Min_C]:[Target_Temp_Max_C]])</f>
        <v>#VALUE!</v>
      </c>
    </row>
    <row r="56" spans="1:18" x14ac:dyDescent="0.3">
      <c r="A56" s="2" t="s">
        <v>73</v>
      </c>
      <c r="B56" s="2" t="s">
        <v>24</v>
      </c>
      <c r="C56" s="2" t="s">
        <v>17</v>
      </c>
      <c r="D56" s="3">
        <v>420.7</v>
      </c>
      <c r="E56" s="3">
        <v>3.17</v>
      </c>
      <c r="F56" s="3">
        <v>334.7</v>
      </c>
      <c r="G56" s="3">
        <v>383.7</v>
      </c>
      <c r="H56" s="3">
        <v>987.3</v>
      </c>
      <c r="I56" s="4">
        <v>1305.9000000000001</v>
      </c>
      <c r="J56" s="4">
        <v>1244.4000000000001</v>
      </c>
      <c r="K56" s="3">
        <v>164</v>
      </c>
      <c r="L56" s="3">
        <v>3.99</v>
      </c>
      <c r="M56" s="4">
        <v>421683</v>
      </c>
      <c r="N56" s="4">
        <v>8716</v>
      </c>
      <c r="O56" s="3">
        <v>13.95</v>
      </c>
      <c r="P56" s="3" t="str">
        <f t="shared" si="0"/>
        <v>NORMAL</v>
      </c>
      <c r="Q56" s="3" cm="1">
        <f t="array" aca="1" ref="Q56" ca="1">AVERAGE(OFFSET(tbl_Process[[#This Row],[Temp_Firing_C]], MAX(1-ROW()+ROW(tbl_Process[#Headers]), -23), 0, MIN(ROW()-ROW(tbl_Process[#Headers]), 24), 1))</f>
        <v>1307.6875</v>
      </c>
      <c r="R56" s="3" t="e" cm="1" vm="1">
        <f t="array" aca="1" ref="R56" ca="1">tbl_Process[Temp_Firing_C] - AVERAGE(tbl_Zones[[Target_Temp_Min_C]:[Target_Temp_Max_C]])</f>
        <v>#VALUE!</v>
      </c>
    </row>
    <row r="57" spans="1:18" x14ac:dyDescent="0.3">
      <c r="A57" s="2" t="s">
        <v>74</v>
      </c>
      <c r="B57" s="2" t="s">
        <v>24</v>
      </c>
      <c r="C57" s="2" t="s">
        <v>17</v>
      </c>
      <c r="D57" s="3">
        <v>413.2</v>
      </c>
      <c r="E57" s="3">
        <v>3.2</v>
      </c>
      <c r="F57" s="3">
        <v>318.2</v>
      </c>
      <c r="G57" s="3">
        <v>382.4</v>
      </c>
      <c r="H57" s="3">
        <v>966.2</v>
      </c>
      <c r="I57" s="4">
        <v>1300.9000000000001</v>
      </c>
      <c r="J57" s="4">
        <v>1226.2</v>
      </c>
      <c r="K57" s="3">
        <v>164.8</v>
      </c>
      <c r="L57" s="3">
        <v>3.95</v>
      </c>
      <c r="M57" s="4">
        <v>411185</v>
      </c>
      <c r="N57" s="4">
        <v>8605</v>
      </c>
      <c r="O57" s="3">
        <v>14.18</v>
      </c>
      <c r="P57" s="3" t="str">
        <f t="shared" si="0"/>
        <v>NORMAL</v>
      </c>
      <c r="Q57" s="3" cm="1">
        <f t="array" aca="1" ref="Q57" ca="1">AVERAGE(OFFSET(tbl_Process[[#This Row],[Temp_Firing_C]], MAX(1-ROW()+ROW(tbl_Process[#Headers]), -23), 0, MIN(ROW()-ROW(tbl_Process[#Headers]), 24), 1))</f>
        <v>1307.7791666666665</v>
      </c>
      <c r="R57" s="3" t="e" cm="1" vm="1">
        <f t="array" aca="1" ref="R57" ca="1">tbl_Process[Temp_Firing_C] - AVERAGE(tbl_Zones[[Target_Temp_Min_C]:[Target_Temp_Max_C]])</f>
        <v>#VALUE!</v>
      </c>
    </row>
    <row r="58" spans="1:18" x14ac:dyDescent="0.3">
      <c r="A58" s="2" t="s">
        <v>75</v>
      </c>
      <c r="B58" s="2" t="s">
        <v>24</v>
      </c>
      <c r="C58" s="2" t="s">
        <v>17</v>
      </c>
      <c r="D58" s="3">
        <v>417.1</v>
      </c>
      <c r="E58" s="3">
        <v>3.09</v>
      </c>
      <c r="F58" s="3">
        <v>328.4</v>
      </c>
      <c r="G58" s="3">
        <v>386.9</v>
      </c>
      <c r="H58" s="3">
        <v>995.3</v>
      </c>
      <c r="I58" s="4">
        <v>1317.4</v>
      </c>
      <c r="J58" s="4">
        <v>1254.7</v>
      </c>
      <c r="K58" s="3">
        <v>161.4</v>
      </c>
      <c r="L58" s="3">
        <v>4.13</v>
      </c>
      <c r="M58" s="4">
        <v>425320</v>
      </c>
      <c r="N58" s="4">
        <v>8859</v>
      </c>
      <c r="O58" s="3">
        <v>13.78</v>
      </c>
      <c r="P58" s="3" t="str">
        <f t="shared" si="0"/>
        <v>NORMAL</v>
      </c>
      <c r="Q58" s="3" cm="1">
        <f t="array" aca="1" ref="Q58" ca="1">AVERAGE(OFFSET(tbl_Process[[#This Row],[Temp_Firing_C]], MAX(1-ROW()+ROW(tbl_Process[#Headers]), -23), 0, MIN(ROW()-ROW(tbl_Process[#Headers]), 24), 1))</f>
        <v>1308.375</v>
      </c>
      <c r="R58" s="3" t="e" cm="1" vm="1">
        <f t="array" aca="1" ref="R58" ca="1">tbl_Process[Temp_Firing_C] - AVERAGE(tbl_Zones[[Target_Temp_Min_C]:[Target_Temp_Max_C]])</f>
        <v>#VALUE!</v>
      </c>
    </row>
    <row r="59" spans="1:18" x14ac:dyDescent="0.3">
      <c r="A59" s="2" t="s">
        <v>76</v>
      </c>
      <c r="B59" s="2" t="s">
        <v>24</v>
      </c>
      <c r="C59" s="2" t="s">
        <v>17</v>
      </c>
      <c r="D59" s="3">
        <v>418.3</v>
      </c>
      <c r="E59" s="3">
        <v>3.16</v>
      </c>
      <c r="F59" s="3">
        <v>327.8</v>
      </c>
      <c r="G59" s="3">
        <v>394.6</v>
      </c>
      <c r="H59" s="3">
        <v>960.7</v>
      </c>
      <c r="I59" s="4">
        <v>1309.8</v>
      </c>
      <c r="J59" s="4">
        <v>1246.7</v>
      </c>
      <c r="K59" s="3">
        <v>160.80000000000001</v>
      </c>
      <c r="L59" s="3">
        <v>4.17</v>
      </c>
      <c r="M59" s="4">
        <v>413883</v>
      </c>
      <c r="N59" s="4">
        <v>8518</v>
      </c>
      <c r="O59" s="3">
        <v>13.99</v>
      </c>
      <c r="P59" s="3" t="str">
        <f t="shared" si="0"/>
        <v>NORMAL</v>
      </c>
      <c r="Q59" s="3" cm="1">
        <f t="array" aca="1" ref="Q59" ca="1">AVERAGE(OFFSET(tbl_Process[[#This Row],[Temp_Firing_C]], MAX(1-ROW()+ROW(tbl_Process[#Headers]), -23), 0, MIN(ROW()-ROW(tbl_Process[#Headers]), 24), 1))</f>
        <v>1308.1416666666667</v>
      </c>
      <c r="R59" s="3" t="e" cm="1" vm="1">
        <f t="array" aca="1" ref="R59" ca="1">tbl_Process[Temp_Firing_C] - AVERAGE(tbl_Zones[[Target_Temp_Min_C]:[Target_Temp_Max_C]])</f>
        <v>#VALUE!</v>
      </c>
    </row>
    <row r="60" spans="1:18" x14ac:dyDescent="0.3">
      <c r="A60" s="2" t="s">
        <v>77</v>
      </c>
      <c r="B60" s="2" t="s">
        <v>24</v>
      </c>
      <c r="C60" s="2" t="s">
        <v>17</v>
      </c>
      <c r="D60" s="3">
        <v>410.7</v>
      </c>
      <c r="E60" s="3">
        <v>3.12</v>
      </c>
      <c r="F60" s="3">
        <v>317.2</v>
      </c>
      <c r="G60" s="3">
        <v>382.2</v>
      </c>
      <c r="H60" s="3">
        <v>978.8</v>
      </c>
      <c r="I60" s="4">
        <v>1310.3</v>
      </c>
      <c r="J60" s="4">
        <v>1239.0999999999999</v>
      </c>
      <c r="K60" s="3">
        <v>161.5</v>
      </c>
      <c r="L60" s="3">
        <v>4.08</v>
      </c>
      <c r="M60" s="4">
        <v>418438</v>
      </c>
      <c r="N60" s="4">
        <v>8514</v>
      </c>
      <c r="O60" s="3">
        <v>14.33</v>
      </c>
      <c r="P60" s="3" t="str">
        <f t="shared" si="0"/>
        <v>NORMAL</v>
      </c>
      <c r="Q60" s="3" cm="1">
        <f t="array" aca="1" ref="Q60" ca="1">AVERAGE(OFFSET(tbl_Process[[#This Row],[Temp_Firing_C]], MAX(1-ROW()+ROW(tbl_Process[#Headers]), -23), 0, MIN(ROW()-ROW(tbl_Process[#Headers]), 24), 1))</f>
        <v>1307.7750000000001</v>
      </c>
      <c r="R60" s="3" t="e" cm="1" vm="1">
        <f t="array" aca="1" ref="R60" ca="1">tbl_Process[Temp_Firing_C] - AVERAGE(tbl_Zones[[Target_Temp_Min_C]:[Target_Temp_Max_C]])</f>
        <v>#VALUE!</v>
      </c>
    </row>
    <row r="61" spans="1:18" x14ac:dyDescent="0.3">
      <c r="A61" s="2" t="s">
        <v>78</v>
      </c>
      <c r="B61" s="2" t="s">
        <v>24</v>
      </c>
      <c r="C61" s="2" t="s">
        <v>17</v>
      </c>
      <c r="D61" s="3">
        <v>419.1</v>
      </c>
      <c r="E61" s="3">
        <v>3.25</v>
      </c>
      <c r="F61" s="3">
        <v>322.2</v>
      </c>
      <c r="G61" s="3">
        <v>388</v>
      </c>
      <c r="H61" s="3">
        <v>952.2</v>
      </c>
      <c r="I61" s="4">
        <v>1311.1</v>
      </c>
      <c r="J61" s="4">
        <v>1244.8</v>
      </c>
      <c r="K61" s="3">
        <v>155.5</v>
      </c>
      <c r="L61" s="3">
        <v>3.9</v>
      </c>
      <c r="M61" s="4">
        <v>424398</v>
      </c>
      <c r="N61" s="4">
        <v>8591</v>
      </c>
      <c r="O61" s="3">
        <v>13.87</v>
      </c>
      <c r="P61" s="3" t="str">
        <f t="shared" si="0"/>
        <v>NORMAL</v>
      </c>
      <c r="Q61" s="3" cm="1">
        <f t="array" aca="1" ref="Q61" ca="1">AVERAGE(OFFSET(tbl_Process[[#This Row],[Temp_Firing_C]], MAX(1-ROW()+ROW(tbl_Process[#Headers]), -23), 0, MIN(ROW()-ROW(tbl_Process[#Headers]), 24), 1))</f>
        <v>1307.8458333333331</v>
      </c>
      <c r="R61" s="3" t="e" cm="1" vm="1">
        <f t="array" aca="1" ref="R61" ca="1">tbl_Process[Temp_Firing_C] - AVERAGE(tbl_Zones[[Target_Temp_Min_C]:[Target_Temp_Max_C]])</f>
        <v>#VALUE!</v>
      </c>
    </row>
    <row r="62" spans="1:18" x14ac:dyDescent="0.3">
      <c r="A62" s="2" t="s">
        <v>79</v>
      </c>
      <c r="B62" s="2" t="s">
        <v>24</v>
      </c>
      <c r="C62" s="2" t="s">
        <v>17</v>
      </c>
      <c r="D62" s="3">
        <v>419.6</v>
      </c>
      <c r="E62" s="3">
        <v>3.29</v>
      </c>
      <c r="F62" s="3">
        <v>308.2</v>
      </c>
      <c r="G62" s="3">
        <v>372</v>
      </c>
      <c r="H62" s="3">
        <v>952.7</v>
      </c>
      <c r="I62" s="4">
        <v>1321.7</v>
      </c>
      <c r="J62" s="4">
        <v>1258.4000000000001</v>
      </c>
      <c r="K62" s="3">
        <v>165.1</v>
      </c>
      <c r="L62" s="3">
        <v>3.97</v>
      </c>
      <c r="M62" s="4">
        <v>419988</v>
      </c>
      <c r="N62" s="4">
        <v>8814</v>
      </c>
      <c r="O62" s="3">
        <v>13.96</v>
      </c>
      <c r="P62" s="3" t="str">
        <f t="shared" si="0"/>
        <v>NORMAL</v>
      </c>
      <c r="Q62" s="3" cm="1">
        <f t="array" aca="1" ref="Q62" ca="1">AVERAGE(OFFSET(tbl_Process[[#This Row],[Temp_Firing_C]], MAX(1-ROW()+ROW(tbl_Process[#Headers]), -23), 0, MIN(ROW()-ROW(tbl_Process[#Headers]), 24), 1))</f>
        <v>1308.6375</v>
      </c>
      <c r="R62" s="3" t="e" cm="1" vm="1">
        <f t="array" aca="1" ref="R62" ca="1">tbl_Process[Temp_Firing_C] - AVERAGE(tbl_Zones[[Target_Temp_Min_C]:[Target_Temp_Max_C]])</f>
        <v>#VALUE!</v>
      </c>
    </row>
    <row r="63" spans="1:18" x14ac:dyDescent="0.3">
      <c r="A63" s="2" t="s">
        <v>80</v>
      </c>
      <c r="B63" s="2" t="s">
        <v>24</v>
      </c>
      <c r="C63" s="2" t="s">
        <v>17</v>
      </c>
      <c r="D63" s="3">
        <v>422.2</v>
      </c>
      <c r="E63" s="3">
        <v>3.18</v>
      </c>
      <c r="F63" s="3">
        <v>323.10000000000002</v>
      </c>
      <c r="G63" s="3">
        <v>383</v>
      </c>
      <c r="H63" s="3">
        <v>972.2</v>
      </c>
      <c r="I63" s="4">
        <v>1315.3</v>
      </c>
      <c r="J63" s="4">
        <v>1240.5999999999999</v>
      </c>
      <c r="K63" s="3">
        <v>149.69999999999999</v>
      </c>
      <c r="L63" s="3">
        <v>4.2300000000000004</v>
      </c>
      <c r="M63" s="4">
        <v>426911</v>
      </c>
      <c r="N63" s="4">
        <v>8561</v>
      </c>
      <c r="O63" s="3">
        <v>13.69</v>
      </c>
      <c r="P63" s="3" t="str">
        <f t="shared" si="0"/>
        <v>NORMAL</v>
      </c>
      <c r="Q63" s="3" cm="1">
        <f t="array" aca="1" ref="Q63" ca="1">AVERAGE(OFFSET(tbl_Process[[#This Row],[Temp_Firing_C]], MAX(1-ROW()+ROW(tbl_Process[#Headers]), -23), 0, MIN(ROW()-ROW(tbl_Process[#Headers]), 24), 1))</f>
        <v>1308.7208333333331</v>
      </c>
      <c r="R63" s="3" t="e" cm="1" vm="1">
        <f t="array" aca="1" ref="R63" ca="1">tbl_Process[Temp_Firing_C] - AVERAGE(tbl_Zones[[Target_Temp_Min_C]:[Target_Temp_Max_C]])</f>
        <v>#VALUE!</v>
      </c>
    </row>
    <row r="64" spans="1:18" x14ac:dyDescent="0.3">
      <c r="A64" s="2" t="s">
        <v>81</v>
      </c>
      <c r="B64" s="2" t="s">
        <v>33</v>
      </c>
      <c r="C64" s="2" t="s">
        <v>17</v>
      </c>
      <c r="D64" s="3">
        <v>420.4</v>
      </c>
      <c r="E64" s="3">
        <v>3.27</v>
      </c>
      <c r="F64" s="3">
        <v>331.8</v>
      </c>
      <c r="G64" s="3">
        <v>385</v>
      </c>
      <c r="H64" s="3">
        <v>957.6</v>
      </c>
      <c r="I64" s="4">
        <v>1300.5</v>
      </c>
      <c r="J64" s="4">
        <v>1235.5999999999999</v>
      </c>
      <c r="K64" s="3">
        <v>159.19999999999999</v>
      </c>
      <c r="L64" s="3">
        <v>3.99</v>
      </c>
      <c r="M64" s="4">
        <v>427261</v>
      </c>
      <c r="N64" s="4">
        <v>8720</v>
      </c>
      <c r="O64" s="3">
        <v>14.31</v>
      </c>
      <c r="P64" s="3" t="str">
        <f t="shared" si="0"/>
        <v>NORMAL</v>
      </c>
      <c r="Q64" s="3" cm="1">
        <f t="array" aca="1" ref="Q64" ca="1">AVERAGE(OFFSET(tbl_Process[[#This Row],[Temp_Firing_C]], MAX(1-ROW()+ROW(tbl_Process[#Headers]), -23), 0, MIN(ROW()-ROW(tbl_Process[#Headers]), 24), 1))</f>
        <v>1308.6291666666666</v>
      </c>
      <c r="R64" s="3" t="e" cm="1" vm="1">
        <f t="array" aca="1" ref="R64" ca="1">tbl_Process[Temp_Firing_C] - AVERAGE(tbl_Zones[[Target_Temp_Min_C]:[Target_Temp_Max_C]])</f>
        <v>#VALUE!</v>
      </c>
    </row>
    <row r="65" spans="1:18" x14ac:dyDescent="0.3">
      <c r="A65" s="2" t="s">
        <v>82</v>
      </c>
      <c r="B65" s="2" t="s">
        <v>33</v>
      </c>
      <c r="C65" s="2" t="s">
        <v>17</v>
      </c>
      <c r="D65" s="3">
        <v>416.3</v>
      </c>
      <c r="E65" s="3">
        <v>3.27</v>
      </c>
      <c r="F65" s="3">
        <v>324.5</v>
      </c>
      <c r="G65" s="3">
        <v>383.9</v>
      </c>
      <c r="H65" s="3">
        <v>976.3</v>
      </c>
      <c r="I65" s="4">
        <v>1311.8</v>
      </c>
      <c r="J65" s="4">
        <v>1251.2</v>
      </c>
      <c r="K65" s="3">
        <v>163.6</v>
      </c>
      <c r="L65" s="3">
        <v>4.0999999999999996</v>
      </c>
      <c r="M65" s="4">
        <v>415881</v>
      </c>
      <c r="N65" s="4">
        <v>8652</v>
      </c>
      <c r="O65" s="3">
        <v>13.94</v>
      </c>
      <c r="P65" s="3" t="str">
        <f t="shared" si="0"/>
        <v>NORMAL</v>
      </c>
      <c r="Q65" s="3" cm="1">
        <f t="array" aca="1" ref="Q65" ca="1">AVERAGE(OFFSET(tbl_Process[[#This Row],[Temp_Firing_C]], MAX(1-ROW()+ROW(tbl_Process[#Headers]), -23), 0, MIN(ROW()-ROW(tbl_Process[#Headers]), 24), 1))</f>
        <v>1308.7041666666667</v>
      </c>
      <c r="R65" s="3" t="e" cm="1" vm="1">
        <f t="array" aca="1" ref="R65" ca="1">tbl_Process[Temp_Firing_C] - AVERAGE(tbl_Zones[[Target_Temp_Min_C]:[Target_Temp_Max_C]])</f>
        <v>#VALUE!</v>
      </c>
    </row>
    <row r="66" spans="1:18" x14ac:dyDescent="0.3">
      <c r="A66" s="2" t="s">
        <v>83</v>
      </c>
      <c r="B66" s="2" t="s">
        <v>33</v>
      </c>
      <c r="C66" s="2" t="s">
        <v>17</v>
      </c>
      <c r="D66" s="3">
        <v>414.9</v>
      </c>
      <c r="E66" s="3">
        <v>3.33</v>
      </c>
      <c r="F66" s="3">
        <v>330.7</v>
      </c>
      <c r="G66" s="3">
        <v>390</v>
      </c>
      <c r="H66" s="3">
        <v>963.7</v>
      </c>
      <c r="I66" s="4">
        <v>1316.7</v>
      </c>
      <c r="J66" s="4">
        <v>1251.8</v>
      </c>
      <c r="K66" s="3">
        <v>161.19999999999999</v>
      </c>
      <c r="L66" s="3">
        <v>3.93</v>
      </c>
      <c r="M66" s="4">
        <v>424395</v>
      </c>
      <c r="N66" s="4">
        <v>8708</v>
      </c>
      <c r="O66" s="3">
        <v>13.71</v>
      </c>
      <c r="P66" s="3" t="str">
        <f t="shared" ref="P66:P129" si="1">IF(L66&gt;4.5,"CRITICAL",IF(OR(I66&lt;1250,I66&gt;1330),"WARNING","NORMAL"))</f>
        <v>NORMAL</v>
      </c>
      <c r="Q66" s="3" cm="1">
        <f t="array" aca="1" ref="Q66" ca="1">AVERAGE(OFFSET(tbl_Process[[#This Row],[Temp_Firing_C]], MAX(1-ROW()+ROW(tbl_Process[#Headers]), -23), 0, MIN(ROW()-ROW(tbl_Process[#Headers]), 24), 1))</f>
        <v>1309.125</v>
      </c>
      <c r="R66" s="3" t="e" cm="1" vm="1">
        <f t="array" aca="1" ref="R66" ca="1">tbl_Process[Temp_Firing_C] - AVERAGE(tbl_Zones[[Target_Temp_Min_C]:[Target_Temp_Max_C]])</f>
        <v>#VALUE!</v>
      </c>
    </row>
    <row r="67" spans="1:18" x14ac:dyDescent="0.3">
      <c r="A67" s="2" t="s">
        <v>84</v>
      </c>
      <c r="B67" s="2" t="s">
        <v>33</v>
      </c>
      <c r="C67" s="2" t="s">
        <v>17</v>
      </c>
      <c r="D67" s="3">
        <v>419.8</v>
      </c>
      <c r="E67" s="3">
        <v>3.19</v>
      </c>
      <c r="F67" s="3">
        <v>330.9</v>
      </c>
      <c r="G67" s="3">
        <v>386.4</v>
      </c>
      <c r="H67" s="3">
        <v>960.4</v>
      </c>
      <c r="I67" s="4">
        <v>1307.3</v>
      </c>
      <c r="J67" s="4">
        <v>1242.5999999999999</v>
      </c>
      <c r="K67" s="3">
        <v>159.1</v>
      </c>
      <c r="L67" s="3">
        <v>3.96</v>
      </c>
      <c r="M67" s="4">
        <v>420785</v>
      </c>
      <c r="N67" s="4">
        <v>8498</v>
      </c>
      <c r="O67" s="3">
        <v>13.89</v>
      </c>
      <c r="P67" s="3" t="str">
        <f t="shared" si="1"/>
        <v>NORMAL</v>
      </c>
      <c r="Q67" s="3" cm="1">
        <f t="array" aca="1" ref="Q67" ca="1">AVERAGE(OFFSET(tbl_Process[[#This Row],[Temp_Firing_C]], MAX(1-ROW()+ROW(tbl_Process[#Headers]), -23), 0, MIN(ROW()-ROW(tbl_Process[#Headers]), 24), 1))</f>
        <v>1309.2291666666667</v>
      </c>
      <c r="R67" s="3" t="e" cm="1" vm="1">
        <f t="array" aca="1" ref="R67" ca="1">tbl_Process[Temp_Firing_C] - AVERAGE(tbl_Zones[[Target_Temp_Min_C]:[Target_Temp_Max_C]])</f>
        <v>#VALUE!</v>
      </c>
    </row>
    <row r="68" spans="1:18" x14ac:dyDescent="0.3">
      <c r="A68" s="2" t="s">
        <v>85</v>
      </c>
      <c r="B68" s="2" t="s">
        <v>33</v>
      </c>
      <c r="C68" s="2" t="s">
        <v>17</v>
      </c>
      <c r="D68" s="3">
        <v>422</v>
      </c>
      <c r="E68" s="3">
        <v>3.23</v>
      </c>
      <c r="F68" s="3">
        <v>309.3</v>
      </c>
      <c r="G68" s="3">
        <v>379.1</v>
      </c>
      <c r="H68" s="3">
        <v>971.9</v>
      </c>
      <c r="I68" s="4">
        <v>1313.5</v>
      </c>
      <c r="J68" s="4">
        <v>1254.7</v>
      </c>
      <c r="K68" s="3">
        <v>160.19999999999999</v>
      </c>
      <c r="L68" s="3">
        <v>4.0199999999999996</v>
      </c>
      <c r="M68" s="4">
        <v>418637</v>
      </c>
      <c r="N68" s="4">
        <v>8703</v>
      </c>
      <c r="O68" s="3">
        <v>14.13</v>
      </c>
      <c r="P68" s="3" t="str">
        <f t="shared" si="1"/>
        <v>NORMAL</v>
      </c>
      <c r="Q68" s="3" cm="1">
        <f t="array" aca="1" ref="Q68" ca="1">AVERAGE(OFFSET(tbl_Process[[#This Row],[Temp_Firing_C]], MAX(1-ROW()+ROW(tbl_Process[#Headers]), -23), 0, MIN(ROW()-ROW(tbl_Process[#Headers]), 24), 1))</f>
        <v>1309.3291666666664</v>
      </c>
      <c r="R68" s="3" t="e" cm="1" vm="1">
        <f t="array" aca="1" ref="R68" ca="1">tbl_Process[Temp_Firing_C] - AVERAGE(tbl_Zones[[Target_Temp_Min_C]:[Target_Temp_Max_C]])</f>
        <v>#VALUE!</v>
      </c>
    </row>
    <row r="69" spans="1:18" x14ac:dyDescent="0.3">
      <c r="A69" s="2" t="s">
        <v>86</v>
      </c>
      <c r="B69" s="2" t="s">
        <v>33</v>
      </c>
      <c r="C69" s="2" t="s">
        <v>17</v>
      </c>
      <c r="D69" s="3">
        <v>425.1</v>
      </c>
      <c r="E69" s="3">
        <v>3.29</v>
      </c>
      <c r="F69" s="3">
        <v>319.2</v>
      </c>
      <c r="G69" s="3">
        <v>371.3</v>
      </c>
      <c r="H69" s="3">
        <v>956.1</v>
      </c>
      <c r="I69" s="4">
        <v>1306.7</v>
      </c>
      <c r="J69" s="4">
        <v>1240.5</v>
      </c>
      <c r="K69" s="3">
        <v>157.1</v>
      </c>
      <c r="L69" s="3">
        <v>4.2</v>
      </c>
      <c r="M69" s="4">
        <v>419442</v>
      </c>
      <c r="N69" s="4">
        <v>8505</v>
      </c>
      <c r="O69" s="3">
        <v>14.27</v>
      </c>
      <c r="P69" s="3" t="str">
        <f t="shared" si="1"/>
        <v>NORMAL</v>
      </c>
      <c r="Q69" s="3" cm="1">
        <f t="array" aca="1" ref="Q69" ca="1">AVERAGE(OFFSET(tbl_Process[[#This Row],[Temp_Firing_C]], MAX(1-ROW()+ROW(tbl_Process[#Headers]), -23), 0, MIN(ROW()-ROW(tbl_Process[#Headers]), 24), 1))</f>
        <v>1309.5916666666665</v>
      </c>
      <c r="R69" s="3" t="e" cm="1" vm="1">
        <f t="array" aca="1" ref="R69" ca="1">tbl_Process[Temp_Firing_C] - AVERAGE(tbl_Zones[[Target_Temp_Min_C]:[Target_Temp_Max_C]])</f>
        <v>#VALUE!</v>
      </c>
    </row>
    <row r="70" spans="1:18" x14ac:dyDescent="0.3">
      <c r="A70" s="2" t="s">
        <v>87</v>
      </c>
      <c r="B70" s="2" t="s">
        <v>33</v>
      </c>
      <c r="C70" s="2" t="s">
        <v>17</v>
      </c>
      <c r="D70" s="3">
        <v>418.4</v>
      </c>
      <c r="E70" s="3">
        <v>3.22</v>
      </c>
      <c r="F70" s="3">
        <v>321.7</v>
      </c>
      <c r="G70" s="3">
        <v>372.1</v>
      </c>
      <c r="H70" s="3">
        <v>954.3</v>
      </c>
      <c r="I70" s="4">
        <v>1316.6</v>
      </c>
      <c r="J70" s="4">
        <v>1244.5999999999999</v>
      </c>
      <c r="K70" s="3">
        <v>149.5</v>
      </c>
      <c r="L70" s="3">
        <v>3.85</v>
      </c>
      <c r="M70" s="4">
        <v>423090</v>
      </c>
      <c r="N70" s="4">
        <v>8703</v>
      </c>
      <c r="O70" s="3">
        <v>14.01</v>
      </c>
      <c r="P70" s="3" t="str">
        <f t="shared" si="1"/>
        <v>NORMAL</v>
      </c>
      <c r="Q70" s="3" cm="1">
        <f t="array" aca="1" ref="Q70" ca="1">AVERAGE(OFFSET(tbl_Process[[#This Row],[Temp_Firing_C]], MAX(1-ROW()+ROW(tbl_Process[#Headers]), -23), 0, MIN(ROW()-ROW(tbl_Process[#Headers]), 24), 1))</f>
        <v>1309.8041666666666</v>
      </c>
      <c r="R70" s="3" t="e" cm="1" vm="1">
        <f t="array" aca="1" ref="R70" ca="1">tbl_Process[Temp_Firing_C] - AVERAGE(tbl_Zones[[Target_Temp_Min_C]:[Target_Temp_Max_C]])</f>
        <v>#VALUE!</v>
      </c>
    </row>
    <row r="71" spans="1:18" x14ac:dyDescent="0.3">
      <c r="A71" s="2" t="s">
        <v>88</v>
      </c>
      <c r="B71" s="2" t="s">
        <v>33</v>
      </c>
      <c r="C71" s="2" t="s">
        <v>17</v>
      </c>
      <c r="D71" s="3">
        <v>424.9</v>
      </c>
      <c r="E71" s="3">
        <v>2.99</v>
      </c>
      <c r="F71" s="3">
        <v>322.60000000000002</v>
      </c>
      <c r="G71" s="3">
        <v>391.2</v>
      </c>
      <c r="H71" s="3">
        <v>946.9</v>
      </c>
      <c r="I71" s="4">
        <v>1302.5</v>
      </c>
      <c r="J71" s="4">
        <v>1233</v>
      </c>
      <c r="K71" s="3">
        <v>155.69999999999999</v>
      </c>
      <c r="L71" s="3">
        <v>4.0599999999999996</v>
      </c>
      <c r="M71" s="4">
        <v>425446</v>
      </c>
      <c r="N71" s="4">
        <v>8750</v>
      </c>
      <c r="O71" s="3">
        <v>13.92</v>
      </c>
      <c r="P71" s="3" t="str">
        <f t="shared" si="1"/>
        <v>NORMAL</v>
      </c>
      <c r="Q71" s="3" cm="1">
        <f t="array" aca="1" ref="Q71" ca="1">AVERAGE(OFFSET(tbl_Process[[#This Row],[Temp_Firing_C]], MAX(1-ROW()+ROW(tbl_Process[#Headers]), -23), 0, MIN(ROW()-ROW(tbl_Process[#Headers]), 24), 1))</f>
        <v>1309.6041666666663</v>
      </c>
      <c r="R71" s="3" t="e" cm="1" vm="1">
        <f t="array" aca="1" ref="R71" ca="1">tbl_Process[Temp_Firing_C] - AVERAGE(tbl_Zones[[Target_Temp_Min_C]:[Target_Temp_Max_C]])</f>
        <v>#VALUE!</v>
      </c>
    </row>
    <row r="72" spans="1:18" x14ac:dyDescent="0.3">
      <c r="A72" s="2" t="s">
        <v>89</v>
      </c>
      <c r="B72" s="2" t="s">
        <v>16</v>
      </c>
      <c r="C72" s="2" t="s">
        <v>17</v>
      </c>
      <c r="D72" s="3">
        <v>427.6</v>
      </c>
      <c r="E72" s="3">
        <v>3.2</v>
      </c>
      <c r="F72" s="3">
        <v>331</v>
      </c>
      <c r="G72" s="3">
        <v>379.9</v>
      </c>
      <c r="H72" s="3">
        <v>962.5</v>
      </c>
      <c r="I72" s="4">
        <v>1309.0999999999999</v>
      </c>
      <c r="J72" s="4">
        <v>1263.2</v>
      </c>
      <c r="K72" s="3">
        <v>164.6</v>
      </c>
      <c r="L72" s="3">
        <v>4.0999999999999996</v>
      </c>
      <c r="M72" s="4">
        <v>425029</v>
      </c>
      <c r="N72" s="4">
        <v>8566</v>
      </c>
      <c r="O72" s="3">
        <v>14.02</v>
      </c>
      <c r="P72" s="3" t="str">
        <f t="shared" si="1"/>
        <v>NORMAL</v>
      </c>
      <c r="Q72" s="3" cm="1">
        <f t="array" aca="1" ref="Q72" ca="1">AVERAGE(OFFSET(tbl_Process[[#This Row],[Temp_Firing_C]], MAX(1-ROW()+ROW(tbl_Process[#Headers]), -23), 0, MIN(ROW()-ROW(tbl_Process[#Headers]), 24), 1))</f>
        <v>1309.9374999999998</v>
      </c>
      <c r="R72" s="3" t="e" cm="1" vm="1">
        <f t="array" aca="1" ref="R72" ca="1">tbl_Process[Temp_Firing_C] - AVERAGE(tbl_Zones[[Target_Temp_Min_C]:[Target_Temp_Max_C]])</f>
        <v>#VALUE!</v>
      </c>
    </row>
    <row r="73" spans="1:18" x14ac:dyDescent="0.3">
      <c r="A73" s="2" t="s">
        <v>90</v>
      </c>
      <c r="B73" s="2" t="s">
        <v>16</v>
      </c>
      <c r="C73" s="2" t="s">
        <v>17</v>
      </c>
      <c r="D73" s="3">
        <v>423.6</v>
      </c>
      <c r="E73" s="3">
        <v>3.2</v>
      </c>
      <c r="F73" s="3">
        <v>322.39999999999998</v>
      </c>
      <c r="G73" s="3">
        <v>381.1</v>
      </c>
      <c r="H73" s="3">
        <v>965.5</v>
      </c>
      <c r="I73" s="4">
        <v>1310.4000000000001</v>
      </c>
      <c r="J73" s="4">
        <v>1233.8</v>
      </c>
      <c r="K73" s="3">
        <v>163.80000000000001</v>
      </c>
      <c r="L73" s="3">
        <v>4.0199999999999996</v>
      </c>
      <c r="M73" s="4">
        <v>416824</v>
      </c>
      <c r="N73" s="4">
        <v>8618</v>
      </c>
      <c r="O73" s="3">
        <v>14.13</v>
      </c>
      <c r="P73" s="3" t="str">
        <f t="shared" si="1"/>
        <v>NORMAL</v>
      </c>
      <c r="Q73" s="3" cm="1">
        <f t="array" aca="1" ref="Q73" ca="1">AVERAGE(OFFSET(tbl_Process[[#This Row],[Temp_Firing_C]], MAX(1-ROW()+ROW(tbl_Process[#Headers]), -23), 0, MIN(ROW()-ROW(tbl_Process[#Headers]), 24), 1))</f>
        <v>1309.8791666666664</v>
      </c>
      <c r="R73" s="3" t="e" cm="1" vm="1">
        <f t="array" aca="1" ref="R73" ca="1">tbl_Process[Temp_Firing_C] - AVERAGE(tbl_Zones[[Target_Temp_Min_C]:[Target_Temp_Max_C]])</f>
        <v>#VALUE!</v>
      </c>
    </row>
    <row r="74" spans="1:18" x14ac:dyDescent="0.3">
      <c r="A74" s="2" t="s">
        <v>91</v>
      </c>
      <c r="B74" s="2" t="s">
        <v>16</v>
      </c>
      <c r="C74" s="2" t="s">
        <v>17</v>
      </c>
      <c r="D74" s="3">
        <v>417.2</v>
      </c>
      <c r="E74" s="3">
        <v>3.27</v>
      </c>
      <c r="F74" s="3">
        <v>313</v>
      </c>
      <c r="G74" s="3">
        <v>378.5</v>
      </c>
      <c r="H74" s="3">
        <v>955.1</v>
      </c>
      <c r="I74" s="4">
        <v>1307.4000000000001</v>
      </c>
      <c r="J74" s="4">
        <v>1244.0999999999999</v>
      </c>
      <c r="K74" s="3">
        <v>155.69999999999999</v>
      </c>
      <c r="L74" s="3">
        <v>4.16</v>
      </c>
      <c r="M74" s="4">
        <v>421553</v>
      </c>
      <c r="N74" s="4">
        <v>8362</v>
      </c>
      <c r="O74" s="3">
        <v>13.82</v>
      </c>
      <c r="P74" s="3" t="str">
        <f t="shared" si="1"/>
        <v>NORMAL</v>
      </c>
      <c r="Q74" s="3" cm="1">
        <f t="array" aca="1" ref="Q74" ca="1">AVERAGE(OFFSET(tbl_Process[[#This Row],[Temp_Firing_C]], MAX(1-ROW()+ROW(tbl_Process[#Headers]), -23), 0, MIN(ROW()-ROW(tbl_Process[#Headers]), 24), 1))</f>
        <v>1310.1041666666667</v>
      </c>
      <c r="R74" s="3" t="e" cm="1" vm="1">
        <f t="array" aca="1" ref="R74" ca="1">tbl_Process[Temp_Firing_C] - AVERAGE(tbl_Zones[[Target_Temp_Min_C]:[Target_Temp_Max_C]])</f>
        <v>#VALUE!</v>
      </c>
    </row>
    <row r="75" spans="1:18" x14ac:dyDescent="0.3">
      <c r="A75" s="2" t="s">
        <v>92</v>
      </c>
      <c r="B75" s="2" t="s">
        <v>16</v>
      </c>
      <c r="C75" s="2" t="s">
        <v>17</v>
      </c>
      <c r="D75" s="3">
        <v>420</v>
      </c>
      <c r="E75" s="3">
        <v>3.18</v>
      </c>
      <c r="F75" s="3">
        <v>320.7</v>
      </c>
      <c r="G75" s="3">
        <v>381.6</v>
      </c>
      <c r="H75" s="3">
        <v>965.4</v>
      </c>
      <c r="I75" s="4">
        <v>1316.2</v>
      </c>
      <c r="J75" s="4">
        <v>1244.5</v>
      </c>
      <c r="K75" s="3">
        <v>155</v>
      </c>
      <c r="L75" s="3">
        <v>3.95</v>
      </c>
      <c r="M75" s="4">
        <v>423927</v>
      </c>
      <c r="N75" s="4">
        <v>8844</v>
      </c>
      <c r="O75" s="3">
        <v>13.82</v>
      </c>
      <c r="P75" s="3" t="str">
        <f t="shared" si="1"/>
        <v>NORMAL</v>
      </c>
      <c r="Q75" s="3" cm="1">
        <f t="array" aca="1" ref="Q75" ca="1">AVERAGE(OFFSET(tbl_Process[[#This Row],[Temp_Firing_C]], MAX(1-ROW()+ROW(tbl_Process[#Headers]), -23), 0, MIN(ROW()-ROW(tbl_Process[#Headers]), 24), 1))</f>
        <v>1310.8208333333334</v>
      </c>
      <c r="R75" s="3" t="e" cm="1" vm="1">
        <f t="array" aca="1" ref="R75" ca="1">tbl_Process[Temp_Firing_C] - AVERAGE(tbl_Zones[[Target_Temp_Min_C]:[Target_Temp_Max_C]])</f>
        <v>#VALUE!</v>
      </c>
    </row>
    <row r="76" spans="1:18" x14ac:dyDescent="0.3">
      <c r="A76" s="2" t="s">
        <v>93</v>
      </c>
      <c r="B76" s="2" t="s">
        <v>16</v>
      </c>
      <c r="C76" s="2" t="s">
        <v>17</v>
      </c>
      <c r="D76" s="3">
        <v>410</v>
      </c>
      <c r="E76" s="3">
        <v>3.06</v>
      </c>
      <c r="F76" s="3">
        <v>316.60000000000002</v>
      </c>
      <c r="G76" s="3">
        <v>378.3</v>
      </c>
      <c r="H76" s="3">
        <v>958.4</v>
      </c>
      <c r="I76" s="4">
        <v>1309.5999999999999</v>
      </c>
      <c r="J76" s="4">
        <v>1242.7</v>
      </c>
      <c r="K76" s="3">
        <v>166.3</v>
      </c>
      <c r="L76" s="3">
        <v>3.85</v>
      </c>
      <c r="M76" s="4">
        <v>418710</v>
      </c>
      <c r="N76" s="4">
        <v>8673</v>
      </c>
      <c r="O76" s="3">
        <v>13.68</v>
      </c>
      <c r="P76" s="3" t="str">
        <f t="shared" si="1"/>
        <v>NORMAL</v>
      </c>
      <c r="Q76" s="3" cm="1">
        <f t="array" aca="1" ref="Q76" ca="1">AVERAGE(OFFSET(tbl_Process[[#This Row],[Temp_Firing_C]], MAX(1-ROW()+ROW(tbl_Process[#Headers]), -23), 0, MIN(ROW()-ROW(tbl_Process[#Headers]), 24), 1))</f>
        <v>1310.4958333333332</v>
      </c>
      <c r="R76" s="3" t="e" cm="1" vm="1">
        <f t="array" aca="1" ref="R76" ca="1">tbl_Process[Temp_Firing_C] - AVERAGE(tbl_Zones[[Target_Temp_Min_C]:[Target_Temp_Max_C]])</f>
        <v>#VALUE!</v>
      </c>
    </row>
    <row r="77" spans="1:18" x14ac:dyDescent="0.3">
      <c r="A77" s="2" t="s">
        <v>94</v>
      </c>
      <c r="B77" s="2" t="s">
        <v>16</v>
      </c>
      <c r="C77" s="2" t="s">
        <v>17</v>
      </c>
      <c r="D77" s="3">
        <v>421.6</v>
      </c>
      <c r="E77" s="3">
        <v>3.21</v>
      </c>
      <c r="F77" s="3">
        <v>321</v>
      </c>
      <c r="G77" s="3">
        <v>393.6</v>
      </c>
      <c r="H77" s="3">
        <v>956.2</v>
      </c>
      <c r="I77" s="4">
        <v>1326.4</v>
      </c>
      <c r="J77" s="4">
        <v>1260</v>
      </c>
      <c r="K77" s="3">
        <v>154.9</v>
      </c>
      <c r="L77" s="3">
        <v>4.12</v>
      </c>
      <c r="M77" s="4">
        <v>420985</v>
      </c>
      <c r="N77" s="4">
        <v>8727</v>
      </c>
      <c r="O77" s="3">
        <v>14.12</v>
      </c>
      <c r="P77" s="3" t="str">
        <f t="shared" si="1"/>
        <v>NORMAL</v>
      </c>
      <c r="Q77" s="3" cm="1">
        <f t="array" aca="1" ref="Q77" ca="1">AVERAGE(OFFSET(tbl_Process[[#This Row],[Temp_Firing_C]], MAX(1-ROW()+ROW(tbl_Process[#Headers]), -23), 0, MIN(ROW()-ROW(tbl_Process[#Headers]), 24), 1))</f>
        <v>1310.9375</v>
      </c>
      <c r="R77" s="3" t="e" cm="1" vm="1">
        <f t="array" aca="1" ref="R77" ca="1">tbl_Process[Temp_Firing_C] - AVERAGE(tbl_Zones[[Target_Temp_Min_C]:[Target_Temp_Max_C]])</f>
        <v>#VALUE!</v>
      </c>
    </row>
    <row r="78" spans="1:18" x14ac:dyDescent="0.3">
      <c r="A78" s="2" t="s">
        <v>95</v>
      </c>
      <c r="B78" s="2" t="s">
        <v>16</v>
      </c>
      <c r="C78" s="2" t="s">
        <v>17</v>
      </c>
      <c r="D78" s="3">
        <v>422.2</v>
      </c>
      <c r="E78" s="3">
        <v>3.15</v>
      </c>
      <c r="F78" s="3">
        <v>327.9</v>
      </c>
      <c r="G78" s="3">
        <v>390.8</v>
      </c>
      <c r="H78" s="3">
        <v>981.2</v>
      </c>
      <c r="I78" s="4">
        <v>1314.6</v>
      </c>
      <c r="J78" s="4">
        <v>1257.8</v>
      </c>
      <c r="K78" s="3">
        <v>151.9</v>
      </c>
      <c r="L78" s="3">
        <v>4.07</v>
      </c>
      <c r="M78" s="4">
        <v>419593</v>
      </c>
      <c r="N78" s="4">
        <v>8690</v>
      </c>
      <c r="O78" s="3">
        <v>13.91</v>
      </c>
      <c r="P78" s="3" t="str">
        <f t="shared" si="1"/>
        <v>NORMAL</v>
      </c>
      <c r="Q78" s="3" cm="1">
        <f t="array" aca="1" ref="Q78" ca="1">AVERAGE(OFFSET(tbl_Process[[#This Row],[Temp_Firing_C]], MAX(1-ROW()+ROW(tbl_Process[#Headers]), -23), 0, MIN(ROW()-ROW(tbl_Process[#Headers]), 24), 1))</f>
        <v>1311.75</v>
      </c>
      <c r="R78" s="3" t="e" cm="1" vm="1">
        <f t="array" aca="1" ref="R78" ca="1">tbl_Process[Temp_Firing_C] - AVERAGE(tbl_Zones[[Target_Temp_Min_C]:[Target_Temp_Max_C]])</f>
        <v>#VALUE!</v>
      </c>
    </row>
    <row r="79" spans="1:18" x14ac:dyDescent="0.3">
      <c r="A79" s="2" t="s">
        <v>96</v>
      </c>
      <c r="B79" s="2" t="s">
        <v>16</v>
      </c>
      <c r="C79" s="2" t="s">
        <v>17</v>
      </c>
      <c r="D79" s="3">
        <v>419.3</v>
      </c>
      <c r="E79" s="3">
        <v>3.35</v>
      </c>
      <c r="F79" s="3">
        <v>321.10000000000002</v>
      </c>
      <c r="G79" s="3">
        <v>385.7</v>
      </c>
      <c r="H79" s="3">
        <v>961.4</v>
      </c>
      <c r="I79" s="4">
        <v>1311.1</v>
      </c>
      <c r="J79" s="4">
        <v>1246.0999999999999</v>
      </c>
      <c r="K79" s="3">
        <v>163.6</v>
      </c>
      <c r="L79" s="3">
        <v>4.26</v>
      </c>
      <c r="M79" s="4">
        <v>427764</v>
      </c>
      <c r="N79" s="4">
        <v>8670</v>
      </c>
      <c r="O79" s="3">
        <v>14.21</v>
      </c>
      <c r="P79" s="3" t="str">
        <f t="shared" si="1"/>
        <v>NORMAL</v>
      </c>
      <c r="Q79" s="3" cm="1">
        <f t="array" aca="1" ref="Q79" ca="1">AVERAGE(OFFSET(tbl_Process[[#This Row],[Temp_Firing_C]], MAX(1-ROW()+ROW(tbl_Process[#Headers]), -23), 0, MIN(ROW()-ROW(tbl_Process[#Headers]), 24), 1))</f>
        <v>1311.3666666666666</v>
      </c>
      <c r="R79" s="3" t="e" cm="1" vm="1">
        <f t="array" aca="1" ref="R79" ca="1">tbl_Process[Temp_Firing_C] - AVERAGE(tbl_Zones[[Target_Temp_Min_C]:[Target_Temp_Max_C]])</f>
        <v>#VALUE!</v>
      </c>
    </row>
    <row r="80" spans="1:18" x14ac:dyDescent="0.3">
      <c r="A80" s="2" t="s">
        <v>97</v>
      </c>
      <c r="B80" s="2" t="s">
        <v>24</v>
      </c>
      <c r="C80" s="2" t="s">
        <v>17</v>
      </c>
      <c r="D80" s="3">
        <v>415.4</v>
      </c>
      <c r="E80" s="3">
        <v>3.19</v>
      </c>
      <c r="F80" s="3">
        <v>327.7</v>
      </c>
      <c r="G80" s="3">
        <v>388.8</v>
      </c>
      <c r="H80" s="3">
        <v>966.6</v>
      </c>
      <c r="I80" s="4">
        <v>1317.5</v>
      </c>
      <c r="J80" s="4">
        <v>1255.4000000000001</v>
      </c>
      <c r="K80" s="3">
        <v>167.4</v>
      </c>
      <c r="L80" s="3">
        <v>4.07</v>
      </c>
      <c r="M80" s="4">
        <v>421905</v>
      </c>
      <c r="N80" s="4">
        <v>8750</v>
      </c>
      <c r="O80" s="3">
        <v>13.27</v>
      </c>
      <c r="P80" s="3" t="str">
        <f t="shared" si="1"/>
        <v>NORMAL</v>
      </c>
      <c r="Q80" s="3" cm="1">
        <f t="array" aca="1" ref="Q80" ca="1">AVERAGE(OFFSET(tbl_Process[[#This Row],[Temp_Firing_C]], MAX(1-ROW()+ROW(tbl_Process[#Headers]), -23), 0, MIN(ROW()-ROW(tbl_Process[#Headers]), 24), 1))</f>
        <v>1311.85</v>
      </c>
      <c r="R80" s="3" t="e" cm="1" vm="1">
        <f t="array" aca="1" ref="R80" ca="1">tbl_Process[Temp_Firing_C] - AVERAGE(tbl_Zones[[Target_Temp_Min_C]:[Target_Temp_Max_C]])</f>
        <v>#VALUE!</v>
      </c>
    </row>
    <row r="81" spans="1:18" x14ac:dyDescent="0.3">
      <c r="A81" s="2" t="s">
        <v>98</v>
      </c>
      <c r="B81" s="2" t="s">
        <v>24</v>
      </c>
      <c r="C81" s="2" t="s">
        <v>17</v>
      </c>
      <c r="D81" s="3">
        <v>421.5</v>
      </c>
      <c r="E81" s="3">
        <v>2.91</v>
      </c>
      <c r="F81" s="3">
        <v>311.60000000000002</v>
      </c>
      <c r="G81" s="3">
        <v>385.7</v>
      </c>
      <c r="H81" s="3">
        <v>969.5</v>
      </c>
      <c r="I81" s="4">
        <v>1300.8</v>
      </c>
      <c r="J81" s="4">
        <v>1231.5</v>
      </c>
      <c r="K81" s="3">
        <v>168.1</v>
      </c>
      <c r="L81" s="3">
        <v>3.98</v>
      </c>
      <c r="M81" s="4">
        <v>427994</v>
      </c>
      <c r="N81" s="4">
        <v>8509</v>
      </c>
      <c r="O81" s="3">
        <v>14.29</v>
      </c>
      <c r="P81" s="3" t="str">
        <f t="shared" si="1"/>
        <v>NORMAL</v>
      </c>
      <c r="Q81" s="3" cm="1">
        <f t="array" aca="1" ref="Q81" ca="1">AVERAGE(OFFSET(tbl_Process[[#This Row],[Temp_Firing_C]], MAX(1-ROW()+ROW(tbl_Process[#Headers]), -23), 0, MIN(ROW()-ROW(tbl_Process[#Headers]), 24), 1))</f>
        <v>1311.8458333333333</v>
      </c>
      <c r="R81" s="3" t="e" cm="1" vm="1">
        <f t="array" aca="1" ref="R81" ca="1">tbl_Process[Temp_Firing_C] - AVERAGE(tbl_Zones[[Target_Temp_Min_C]:[Target_Temp_Max_C]])</f>
        <v>#VALUE!</v>
      </c>
    </row>
    <row r="82" spans="1:18" x14ac:dyDescent="0.3">
      <c r="A82" s="2" t="s">
        <v>99</v>
      </c>
      <c r="B82" s="2" t="s">
        <v>24</v>
      </c>
      <c r="C82" s="2" t="s">
        <v>17</v>
      </c>
      <c r="D82" s="3">
        <v>426.5</v>
      </c>
      <c r="E82" s="3">
        <v>3.21</v>
      </c>
      <c r="F82" s="3">
        <v>315.60000000000002</v>
      </c>
      <c r="G82" s="3">
        <v>381.4</v>
      </c>
      <c r="H82" s="3">
        <v>962.9</v>
      </c>
      <c r="I82" s="4">
        <v>1298.5</v>
      </c>
      <c r="J82" s="4">
        <v>1232</v>
      </c>
      <c r="K82" s="3">
        <v>157.4</v>
      </c>
      <c r="L82" s="3">
        <v>4.28</v>
      </c>
      <c r="M82" s="4">
        <v>419851</v>
      </c>
      <c r="N82" s="4">
        <v>8448</v>
      </c>
      <c r="O82" s="3">
        <v>14.22</v>
      </c>
      <c r="P82" s="3" t="str">
        <f t="shared" si="1"/>
        <v>NORMAL</v>
      </c>
      <c r="Q82" s="3" cm="1">
        <f t="array" aca="1" ref="Q82" ca="1">AVERAGE(OFFSET(tbl_Process[[#This Row],[Temp_Firing_C]], MAX(1-ROW()+ROW(tbl_Process[#Headers]), -23), 0, MIN(ROW()-ROW(tbl_Process[#Headers]), 24), 1))</f>
        <v>1311.0583333333334</v>
      </c>
      <c r="R82" s="3" t="e" cm="1" vm="1">
        <f t="array" aca="1" ref="R82" ca="1">tbl_Process[Temp_Firing_C] - AVERAGE(tbl_Zones[[Target_Temp_Min_C]:[Target_Temp_Max_C]])</f>
        <v>#VALUE!</v>
      </c>
    </row>
    <row r="83" spans="1:18" x14ac:dyDescent="0.3">
      <c r="A83" s="2" t="s">
        <v>100</v>
      </c>
      <c r="B83" s="2" t="s">
        <v>24</v>
      </c>
      <c r="C83" s="2" t="s">
        <v>17</v>
      </c>
      <c r="D83" s="3">
        <v>420.9</v>
      </c>
      <c r="E83" s="3">
        <v>3.25</v>
      </c>
      <c r="F83" s="3">
        <v>315.3</v>
      </c>
      <c r="G83" s="3">
        <v>374.5</v>
      </c>
      <c r="H83" s="3">
        <v>975.9</v>
      </c>
      <c r="I83" s="4">
        <v>1305.2</v>
      </c>
      <c r="J83" s="4">
        <v>1231.7</v>
      </c>
      <c r="K83" s="3">
        <v>163.1</v>
      </c>
      <c r="L83" s="3">
        <v>4.17</v>
      </c>
      <c r="M83" s="4">
        <v>415578</v>
      </c>
      <c r="N83" s="4">
        <v>8590</v>
      </c>
      <c r="O83" s="3">
        <v>14.31</v>
      </c>
      <c r="P83" s="3" t="str">
        <f t="shared" si="1"/>
        <v>NORMAL</v>
      </c>
      <c r="Q83" s="3" cm="1">
        <f t="array" aca="1" ref="Q83" ca="1">AVERAGE(OFFSET(tbl_Process[[#This Row],[Temp_Firing_C]], MAX(1-ROW()+ROW(tbl_Process[#Headers]), -23), 0, MIN(ROW()-ROW(tbl_Process[#Headers]), 24), 1))</f>
        <v>1310.8666666666666</v>
      </c>
      <c r="R83" s="3" t="e" cm="1" vm="1">
        <f t="array" aca="1" ref="R83" ca="1">tbl_Process[Temp_Firing_C] - AVERAGE(tbl_Zones[[Target_Temp_Min_C]:[Target_Temp_Max_C]])</f>
        <v>#VALUE!</v>
      </c>
    </row>
    <row r="84" spans="1:18" x14ac:dyDescent="0.3">
      <c r="A84" s="2" t="s">
        <v>101</v>
      </c>
      <c r="B84" s="2" t="s">
        <v>24</v>
      </c>
      <c r="C84" s="2" t="s">
        <v>17</v>
      </c>
      <c r="D84" s="3">
        <v>421.5</v>
      </c>
      <c r="E84" s="3">
        <v>3.25</v>
      </c>
      <c r="F84" s="3">
        <v>312.5</v>
      </c>
      <c r="G84" s="3">
        <v>383.6</v>
      </c>
      <c r="H84" s="3">
        <v>958.2</v>
      </c>
      <c r="I84" s="4">
        <v>1303.5999999999999</v>
      </c>
      <c r="J84" s="4">
        <v>1243.8</v>
      </c>
      <c r="K84" s="3">
        <v>168</v>
      </c>
      <c r="L84" s="3">
        <v>4.34</v>
      </c>
      <c r="M84" s="4">
        <v>425250</v>
      </c>
      <c r="N84" s="4">
        <v>8530</v>
      </c>
      <c r="O84" s="3">
        <v>14.26</v>
      </c>
      <c r="P84" s="3" t="str">
        <f t="shared" si="1"/>
        <v>NORMAL</v>
      </c>
      <c r="Q84" s="3" cm="1">
        <f t="array" aca="1" ref="Q84" ca="1">AVERAGE(OFFSET(tbl_Process[[#This Row],[Temp_Firing_C]], MAX(1-ROW()+ROW(tbl_Process[#Headers]), -23), 0, MIN(ROW()-ROW(tbl_Process[#Headers]), 24), 1))</f>
        <v>1310.5874999999999</v>
      </c>
      <c r="R84" s="3" t="e" cm="1" vm="1">
        <f t="array" aca="1" ref="R84" ca="1">tbl_Process[Temp_Firing_C] - AVERAGE(tbl_Zones[[Target_Temp_Min_C]:[Target_Temp_Max_C]])</f>
        <v>#VALUE!</v>
      </c>
    </row>
    <row r="85" spans="1:18" x14ac:dyDescent="0.3">
      <c r="A85" s="2" t="s">
        <v>102</v>
      </c>
      <c r="B85" s="2" t="s">
        <v>24</v>
      </c>
      <c r="C85" s="2" t="s">
        <v>17</v>
      </c>
      <c r="D85" s="3">
        <v>423.1</v>
      </c>
      <c r="E85" s="3">
        <v>3.21</v>
      </c>
      <c r="F85" s="3">
        <v>321.3</v>
      </c>
      <c r="G85" s="3">
        <v>386.4</v>
      </c>
      <c r="H85" s="3">
        <v>960.2</v>
      </c>
      <c r="I85" s="4">
        <v>1300.4000000000001</v>
      </c>
      <c r="J85" s="4">
        <v>1232.9000000000001</v>
      </c>
      <c r="K85" s="3">
        <v>163.5</v>
      </c>
      <c r="L85" s="3">
        <v>4.13</v>
      </c>
      <c r="M85" s="4">
        <v>421263</v>
      </c>
      <c r="N85" s="4">
        <v>8585</v>
      </c>
      <c r="O85" s="3">
        <v>14.04</v>
      </c>
      <c r="P85" s="3" t="str">
        <f t="shared" si="1"/>
        <v>NORMAL</v>
      </c>
      <c r="Q85" s="3" cm="1">
        <f t="array" aca="1" ref="Q85" ca="1">AVERAGE(OFFSET(tbl_Process[[#This Row],[Temp_Firing_C]], MAX(1-ROW()+ROW(tbl_Process[#Headers]), -23), 0, MIN(ROW()-ROW(tbl_Process[#Headers]), 24), 1))</f>
        <v>1310.1416666666667</v>
      </c>
      <c r="R85" s="3" t="e" cm="1" vm="1">
        <f t="array" aca="1" ref="R85" ca="1">tbl_Process[Temp_Firing_C] - AVERAGE(tbl_Zones[[Target_Temp_Min_C]:[Target_Temp_Max_C]])</f>
        <v>#VALUE!</v>
      </c>
    </row>
    <row r="86" spans="1:18" x14ac:dyDescent="0.3">
      <c r="A86" s="2" t="s">
        <v>103</v>
      </c>
      <c r="B86" s="2" t="s">
        <v>24</v>
      </c>
      <c r="C86" s="2" t="s">
        <v>17</v>
      </c>
      <c r="D86" s="3">
        <v>423</v>
      </c>
      <c r="E86" s="3">
        <v>3.23</v>
      </c>
      <c r="F86" s="3">
        <v>312.60000000000002</v>
      </c>
      <c r="G86" s="3">
        <v>390.1</v>
      </c>
      <c r="H86" s="3">
        <v>954</v>
      </c>
      <c r="I86" s="4">
        <v>1291.8</v>
      </c>
      <c r="J86" s="4">
        <v>1220.5</v>
      </c>
      <c r="K86" s="3">
        <v>154.9</v>
      </c>
      <c r="L86" s="3">
        <v>4.1399999999999997</v>
      </c>
      <c r="M86" s="4">
        <v>417566</v>
      </c>
      <c r="N86" s="4">
        <v>8361</v>
      </c>
      <c r="O86" s="3">
        <v>14.47</v>
      </c>
      <c r="P86" s="3" t="str">
        <f t="shared" si="1"/>
        <v>NORMAL</v>
      </c>
      <c r="Q86" s="3" cm="1">
        <f t="array" aca="1" ref="Q86" ca="1">AVERAGE(OFFSET(tbl_Process[[#This Row],[Temp_Firing_C]], MAX(1-ROW()+ROW(tbl_Process[#Headers]), -23), 0, MIN(ROW()-ROW(tbl_Process[#Headers]), 24), 1))</f>
        <v>1308.8958333333333</v>
      </c>
      <c r="R86" s="3" t="e" cm="1" vm="1">
        <f t="array" aca="1" ref="R86" ca="1">tbl_Process[Temp_Firing_C] - AVERAGE(tbl_Zones[[Target_Temp_Min_C]:[Target_Temp_Max_C]])</f>
        <v>#VALUE!</v>
      </c>
    </row>
    <row r="87" spans="1:18" x14ac:dyDescent="0.3">
      <c r="A87" s="2" t="s">
        <v>104</v>
      </c>
      <c r="B87" s="2" t="s">
        <v>24</v>
      </c>
      <c r="C87" s="2" t="s">
        <v>17</v>
      </c>
      <c r="D87" s="3">
        <v>421.4</v>
      </c>
      <c r="E87" s="3">
        <v>3.23</v>
      </c>
      <c r="F87" s="3">
        <v>322</v>
      </c>
      <c r="G87" s="3">
        <v>383.7</v>
      </c>
      <c r="H87" s="3">
        <v>933.7</v>
      </c>
      <c r="I87" s="4">
        <v>1300.8</v>
      </c>
      <c r="J87" s="4">
        <v>1222.7</v>
      </c>
      <c r="K87" s="3">
        <v>159.9</v>
      </c>
      <c r="L87" s="3">
        <v>4.1100000000000003</v>
      </c>
      <c r="M87" s="4">
        <v>423803</v>
      </c>
      <c r="N87" s="4">
        <v>8652</v>
      </c>
      <c r="O87" s="3">
        <v>14.13</v>
      </c>
      <c r="P87" s="3" t="str">
        <f t="shared" si="1"/>
        <v>NORMAL</v>
      </c>
      <c r="Q87" s="3" cm="1">
        <f t="array" aca="1" ref="Q87" ca="1">AVERAGE(OFFSET(tbl_Process[[#This Row],[Temp_Firing_C]], MAX(1-ROW()+ROW(tbl_Process[#Headers]), -23), 0, MIN(ROW()-ROW(tbl_Process[#Headers]), 24), 1))</f>
        <v>1308.2916666666665</v>
      </c>
      <c r="R87" s="3" t="e" cm="1" vm="1">
        <f t="array" aca="1" ref="R87" ca="1">tbl_Process[Temp_Firing_C] - AVERAGE(tbl_Zones[[Target_Temp_Min_C]:[Target_Temp_Max_C]])</f>
        <v>#VALUE!</v>
      </c>
    </row>
    <row r="88" spans="1:18" x14ac:dyDescent="0.3">
      <c r="A88" s="2" t="s">
        <v>105</v>
      </c>
      <c r="B88" s="2" t="s">
        <v>33</v>
      </c>
      <c r="C88" s="2" t="s">
        <v>17</v>
      </c>
      <c r="D88" s="3">
        <v>418</v>
      </c>
      <c r="E88" s="3">
        <v>3.24</v>
      </c>
      <c r="F88" s="3">
        <v>315.89999999999998</v>
      </c>
      <c r="G88" s="3">
        <v>378.8</v>
      </c>
      <c r="H88" s="3">
        <v>970</v>
      </c>
      <c r="I88" s="4">
        <v>1298.0999999999999</v>
      </c>
      <c r="J88" s="4">
        <v>1237.9000000000001</v>
      </c>
      <c r="K88" s="3">
        <v>162.80000000000001</v>
      </c>
      <c r="L88" s="3">
        <v>3.96</v>
      </c>
      <c r="M88" s="4">
        <v>423067</v>
      </c>
      <c r="N88" s="4">
        <v>8561</v>
      </c>
      <c r="O88" s="3">
        <v>14.18</v>
      </c>
      <c r="P88" s="3" t="str">
        <f t="shared" si="1"/>
        <v>NORMAL</v>
      </c>
      <c r="Q88" s="3" cm="1">
        <f t="array" aca="1" ref="Q88" ca="1">AVERAGE(OFFSET(tbl_Process[[#This Row],[Temp_Firing_C]], MAX(1-ROW()+ROW(tbl_Process[#Headers]), -23), 0, MIN(ROW()-ROW(tbl_Process[#Headers]), 24), 1))</f>
        <v>1308.1916666666664</v>
      </c>
      <c r="R88" s="3" t="e" cm="1" vm="1">
        <f t="array" aca="1" ref="R88" ca="1">tbl_Process[Temp_Firing_C] - AVERAGE(tbl_Zones[[Target_Temp_Min_C]:[Target_Temp_Max_C]])</f>
        <v>#VALUE!</v>
      </c>
    </row>
    <row r="89" spans="1:18" x14ac:dyDescent="0.3">
      <c r="A89" s="2" t="s">
        <v>106</v>
      </c>
      <c r="B89" s="2" t="s">
        <v>33</v>
      </c>
      <c r="C89" s="2" t="s">
        <v>17</v>
      </c>
      <c r="D89" s="3">
        <v>417</v>
      </c>
      <c r="E89" s="3">
        <v>3.13</v>
      </c>
      <c r="F89" s="3">
        <v>315.39999999999998</v>
      </c>
      <c r="G89" s="3">
        <v>382</v>
      </c>
      <c r="H89" s="3">
        <v>945.9</v>
      </c>
      <c r="I89" s="4">
        <v>1305</v>
      </c>
      <c r="J89" s="4">
        <v>1232.5</v>
      </c>
      <c r="K89" s="3">
        <v>158.1</v>
      </c>
      <c r="L89" s="3">
        <v>4.05</v>
      </c>
      <c r="M89" s="4">
        <v>429458</v>
      </c>
      <c r="N89" s="4">
        <v>8395</v>
      </c>
      <c r="O89" s="3">
        <v>14.65</v>
      </c>
      <c r="P89" s="3" t="str">
        <f t="shared" si="1"/>
        <v>NORMAL</v>
      </c>
      <c r="Q89" s="3" cm="1">
        <f t="array" aca="1" ref="Q89" ca="1">AVERAGE(OFFSET(tbl_Process[[#This Row],[Temp_Firing_C]], MAX(1-ROW()+ROW(tbl_Process[#Headers]), -23), 0, MIN(ROW()-ROW(tbl_Process[#Headers]), 24), 1))</f>
        <v>1307.9083333333331</v>
      </c>
      <c r="R89" s="3" t="e" cm="1" vm="1">
        <f t="array" aca="1" ref="R89" ca="1">tbl_Process[Temp_Firing_C] - AVERAGE(tbl_Zones[[Target_Temp_Min_C]:[Target_Temp_Max_C]])</f>
        <v>#VALUE!</v>
      </c>
    </row>
    <row r="90" spans="1:18" x14ac:dyDescent="0.3">
      <c r="A90" s="2" t="s">
        <v>107</v>
      </c>
      <c r="B90" s="2" t="s">
        <v>33</v>
      </c>
      <c r="C90" s="2" t="s">
        <v>17</v>
      </c>
      <c r="D90" s="3">
        <v>420.6</v>
      </c>
      <c r="E90" s="3">
        <v>3.23</v>
      </c>
      <c r="F90" s="3">
        <v>319.10000000000002</v>
      </c>
      <c r="G90" s="3">
        <v>380.9</v>
      </c>
      <c r="H90" s="3">
        <v>954.8</v>
      </c>
      <c r="I90" s="4">
        <v>1312.2</v>
      </c>
      <c r="J90" s="4">
        <v>1244.5</v>
      </c>
      <c r="K90" s="3">
        <v>164.6</v>
      </c>
      <c r="L90" s="3">
        <v>4.03</v>
      </c>
      <c r="M90" s="4">
        <v>421985</v>
      </c>
      <c r="N90" s="4">
        <v>8518</v>
      </c>
      <c r="O90" s="3">
        <v>14.3</v>
      </c>
      <c r="P90" s="3" t="str">
        <f t="shared" si="1"/>
        <v>NORMAL</v>
      </c>
      <c r="Q90" s="3" cm="1">
        <f t="array" aca="1" ref="Q90" ca="1">AVERAGE(OFFSET(tbl_Process[[#This Row],[Temp_Firing_C]], MAX(1-ROW()+ROW(tbl_Process[#Headers]), -23), 0, MIN(ROW()-ROW(tbl_Process[#Headers]), 24), 1))</f>
        <v>1307.7208333333333</v>
      </c>
      <c r="R90" s="3" t="e" cm="1" vm="1">
        <f t="array" aca="1" ref="R90" ca="1">tbl_Process[Temp_Firing_C] - AVERAGE(tbl_Zones[[Target_Temp_Min_C]:[Target_Temp_Max_C]])</f>
        <v>#VALUE!</v>
      </c>
    </row>
    <row r="91" spans="1:18" x14ac:dyDescent="0.3">
      <c r="A91" s="2" t="s">
        <v>108</v>
      </c>
      <c r="B91" s="2" t="s">
        <v>33</v>
      </c>
      <c r="C91" s="2" t="s">
        <v>17</v>
      </c>
      <c r="D91" s="3">
        <v>425.8</v>
      </c>
      <c r="E91" s="3">
        <v>3.19</v>
      </c>
      <c r="F91" s="3">
        <v>316.89999999999998</v>
      </c>
      <c r="G91" s="3">
        <v>369.7</v>
      </c>
      <c r="H91" s="3">
        <v>953.5</v>
      </c>
      <c r="I91" s="4">
        <v>1287.2</v>
      </c>
      <c r="J91" s="4">
        <v>1216.7</v>
      </c>
      <c r="K91" s="3">
        <v>159.9</v>
      </c>
      <c r="L91" s="3">
        <v>4.32</v>
      </c>
      <c r="M91" s="4">
        <v>427528</v>
      </c>
      <c r="N91" s="4">
        <v>8276</v>
      </c>
      <c r="O91" s="3">
        <v>14.74</v>
      </c>
      <c r="P91" s="3" t="str">
        <f t="shared" si="1"/>
        <v>NORMAL</v>
      </c>
      <c r="Q91" s="3" cm="1">
        <f t="array" aca="1" ref="Q91" ca="1">AVERAGE(OFFSET(tbl_Process[[#This Row],[Temp_Firing_C]], MAX(1-ROW()+ROW(tbl_Process[#Headers]), -23), 0, MIN(ROW()-ROW(tbl_Process[#Headers]), 24), 1))</f>
        <v>1306.8833333333332</v>
      </c>
      <c r="R91" s="3" t="e" cm="1" vm="1">
        <f t="array" aca="1" ref="R91" ca="1">tbl_Process[Temp_Firing_C] - AVERAGE(tbl_Zones[[Target_Temp_Min_C]:[Target_Temp_Max_C]])</f>
        <v>#VALUE!</v>
      </c>
    </row>
    <row r="92" spans="1:18" x14ac:dyDescent="0.3">
      <c r="A92" s="2" t="s">
        <v>109</v>
      </c>
      <c r="B92" s="2" t="s">
        <v>33</v>
      </c>
      <c r="C92" s="2" t="s">
        <v>17</v>
      </c>
      <c r="D92" s="3">
        <v>421</v>
      </c>
      <c r="E92" s="3">
        <v>3.19</v>
      </c>
      <c r="F92" s="3">
        <v>320.60000000000002</v>
      </c>
      <c r="G92" s="3">
        <v>377.7</v>
      </c>
      <c r="H92" s="3">
        <v>957.3</v>
      </c>
      <c r="I92" s="4">
        <v>1296.3</v>
      </c>
      <c r="J92" s="4">
        <v>1222.9000000000001</v>
      </c>
      <c r="K92" s="3">
        <v>150.9</v>
      </c>
      <c r="L92" s="3">
        <v>4.18</v>
      </c>
      <c r="M92" s="4">
        <v>418366</v>
      </c>
      <c r="N92" s="4">
        <v>8384</v>
      </c>
      <c r="O92" s="3">
        <v>14.29</v>
      </c>
      <c r="P92" s="3" t="str">
        <f t="shared" si="1"/>
        <v>NORMAL</v>
      </c>
      <c r="Q92" s="3" cm="1">
        <f t="array" aca="1" ref="Q92" ca="1">AVERAGE(OFFSET(tbl_Process[[#This Row],[Temp_Firing_C]], MAX(1-ROW()+ROW(tbl_Process[#Headers]), -23), 0, MIN(ROW()-ROW(tbl_Process[#Headers]), 24), 1))</f>
        <v>1306.1666666666667</v>
      </c>
      <c r="R92" s="3" t="e" cm="1" vm="1">
        <f t="array" aca="1" ref="R92" ca="1">tbl_Process[Temp_Firing_C] - AVERAGE(tbl_Zones[[Target_Temp_Min_C]:[Target_Temp_Max_C]])</f>
        <v>#VALUE!</v>
      </c>
    </row>
    <row r="93" spans="1:18" x14ac:dyDescent="0.3">
      <c r="A93" s="2" t="s">
        <v>110</v>
      </c>
      <c r="B93" s="2" t="s">
        <v>33</v>
      </c>
      <c r="C93" s="2" t="s">
        <v>17</v>
      </c>
      <c r="D93" s="3">
        <v>423.2</v>
      </c>
      <c r="E93" s="3">
        <v>3.21</v>
      </c>
      <c r="F93" s="3">
        <v>314</v>
      </c>
      <c r="G93" s="3">
        <v>385.8</v>
      </c>
      <c r="H93" s="3">
        <v>974.8</v>
      </c>
      <c r="I93" s="4">
        <v>1303.4000000000001</v>
      </c>
      <c r="J93" s="4">
        <v>1244.2</v>
      </c>
      <c r="K93" s="3">
        <v>164.8</v>
      </c>
      <c r="L93" s="3">
        <v>4.2699999999999996</v>
      </c>
      <c r="M93" s="4">
        <v>422761</v>
      </c>
      <c r="N93" s="4">
        <v>8613</v>
      </c>
      <c r="O93" s="3">
        <v>14.24</v>
      </c>
      <c r="P93" s="3" t="str">
        <f t="shared" si="1"/>
        <v>NORMAL</v>
      </c>
      <c r="Q93" s="3" cm="1">
        <f t="array" aca="1" ref="Q93" ca="1">AVERAGE(OFFSET(tbl_Process[[#This Row],[Temp_Firing_C]], MAX(1-ROW()+ROW(tbl_Process[#Headers]), -23), 0, MIN(ROW()-ROW(tbl_Process[#Headers]), 24), 1))</f>
        <v>1306.0291666666665</v>
      </c>
      <c r="R93" s="3" t="e" cm="1" vm="1">
        <f t="array" aca="1" ref="R93" ca="1">tbl_Process[Temp_Firing_C] - AVERAGE(tbl_Zones[[Target_Temp_Min_C]:[Target_Temp_Max_C]])</f>
        <v>#VALUE!</v>
      </c>
    </row>
    <row r="94" spans="1:18" x14ac:dyDescent="0.3">
      <c r="A94" s="2" t="s">
        <v>111</v>
      </c>
      <c r="B94" s="2" t="s">
        <v>33</v>
      </c>
      <c r="C94" s="2" t="s">
        <v>17</v>
      </c>
      <c r="D94" s="3">
        <v>415.6</v>
      </c>
      <c r="E94" s="3">
        <v>3.26</v>
      </c>
      <c r="F94" s="3">
        <v>309.89999999999998</v>
      </c>
      <c r="G94" s="3">
        <v>371.8</v>
      </c>
      <c r="H94" s="3">
        <v>971.6</v>
      </c>
      <c r="I94" s="4">
        <v>1306.4000000000001</v>
      </c>
      <c r="J94" s="4">
        <v>1250.3</v>
      </c>
      <c r="K94" s="3">
        <v>157.30000000000001</v>
      </c>
      <c r="L94" s="3">
        <v>3.91</v>
      </c>
      <c r="M94" s="4">
        <v>420310</v>
      </c>
      <c r="N94" s="4">
        <v>8589</v>
      </c>
      <c r="O94" s="3">
        <v>14.15</v>
      </c>
      <c r="P94" s="3" t="str">
        <f t="shared" si="1"/>
        <v>NORMAL</v>
      </c>
      <c r="Q94" s="3" cm="1">
        <f t="array" aca="1" ref="Q94" ca="1">AVERAGE(OFFSET(tbl_Process[[#This Row],[Temp_Firing_C]], MAX(1-ROW()+ROW(tbl_Process[#Headers]), -23), 0, MIN(ROW()-ROW(tbl_Process[#Headers]), 24), 1))</f>
        <v>1305.6041666666667</v>
      </c>
      <c r="R94" s="3" t="e" cm="1" vm="1">
        <f t="array" aca="1" ref="R94" ca="1">tbl_Process[Temp_Firing_C] - AVERAGE(tbl_Zones[[Target_Temp_Min_C]:[Target_Temp_Max_C]])</f>
        <v>#VALUE!</v>
      </c>
    </row>
    <row r="95" spans="1:18" x14ac:dyDescent="0.3">
      <c r="A95" s="2" t="s">
        <v>112</v>
      </c>
      <c r="B95" s="2" t="s">
        <v>33</v>
      </c>
      <c r="C95" s="2" t="s">
        <v>17</v>
      </c>
      <c r="D95" s="3">
        <v>424.5</v>
      </c>
      <c r="E95" s="3">
        <v>3.17</v>
      </c>
      <c r="F95" s="3">
        <v>320.3</v>
      </c>
      <c r="G95" s="3">
        <v>370.6</v>
      </c>
      <c r="H95" s="3">
        <v>961.7</v>
      </c>
      <c r="I95" s="4">
        <v>1300.0999999999999</v>
      </c>
      <c r="J95" s="4">
        <v>1230.5999999999999</v>
      </c>
      <c r="K95" s="3">
        <v>157.6</v>
      </c>
      <c r="L95" s="3">
        <v>4.1100000000000003</v>
      </c>
      <c r="M95" s="4">
        <v>419072</v>
      </c>
      <c r="N95" s="4">
        <v>8714</v>
      </c>
      <c r="O95" s="3">
        <v>14</v>
      </c>
      <c r="P95" s="3" t="str">
        <f t="shared" si="1"/>
        <v>NORMAL</v>
      </c>
      <c r="Q95" s="3" cm="1">
        <f t="array" aca="1" ref="Q95" ca="1">AVERAGE(OFFSET(tbl_Process[[#This Row],[Temp_Firing_C]], MAX(1-ROW()+ROW(tbl_Process[#Headers]), -23), 0, MIN(ROW()-ROW(tbl_Process[#Headers]), 24), 1))</f>
        <v>1305.5041666666668</v>
      </c>
      <c r="R95" s="3" t="e" cm="1" vm="1">
        <f t="array" aca="1" ref="R95" ca="1">tbl_Process[Temp_Firing_C] - AVERAGE(tbl_Zones[[Target_Temp_Min_C]:[Target_Temp_Max_C]])</f>
        <v>#VALUE!</v>
      </c>
    </row>
    <row r="96" spans="1:18" x14ac:dyDescent="0.3">
      <c r="A96" s="2" t="s">
        <v>113</v>
      </c>
      <c r="B96" s="2" t="s">
        <v>16</v>
      </c>
      <c r="C96" s="2" t="s">
        <v>17</v>
      </c>
      <c r="D96" s="3">
        <v>419</v>
      </c>
      <c r="E96" s="3">
        <v>3.03</v>
      </c>
      <c r="F96" s="3">
        <v>313</v>
      </c>
      <c r="G96" s="3">
        <v>376</v>
      </c>
      <c r="H96" s="3">
        <v>948.5</v>
      </c>
      <c r="I96" s="4">
        <v>1311.7</v>
      </c>
      <c r="J96" s="4">
        <v>1245.7</v>
      </c>
      <c r="K96" s="3">
        <v>165.4</v>
      </c>
      <c r="L96" s="3">
        <v>4.04</v>
      </c>
      <c r="M96" s="4">
        <v>422236</v>
      </c>
      <c r="N96" s="4">
        <v>8630</v>
      </c>
      <c r="O96" s="3">
        <v>14.1</v>
      </c>
      <c r="P96" s="3" t="str">
        <f t="shared" si="1"/>
        <v>NORMAL</v>
      </c>
      <c r="Q96" s="3" cm="1">
        <f t="array" aca="1" ref="Q96" ca="1">AVERAGE(OFFSET(tbl_Process[[#This Row],[Temp_Firing_C]], MAX(1-ROW()+ROW(tbl_Process[#Headers]), -23), 0, MIN(ROW()-ROW(tbl_Process[#Headers]), 24), 1))</f>
        <v>1305.6125</v>
      </c>
      <c r="R96" s="3" t="e" cm="1" vm="1">
        <f t="array" aca="1" ref="R96" ca="1">tbl_Process[Temp_Firing_C] - AVERAGE(tbl_Zones[[Target_Temp_Min_C]:[Target_Temp_Max_C]])</f>
        <v>#VALUE!</v>
      </c>
    </row>
    <row r="97" spans="1:18" x14ac:dyDescent="0.3">
      <c r="A97" s="2" t="s">
        <v>114</v>
      </c>
      <c r="B97" s="2" t="s">
        <v>16</v>
      </c>
      <c r="C97" s="2" t="s">
        <v>17</v>
      </c>
      <c r="D97" s="3">
        <v>426.9</v>
      </c>
      <c r="E97" s="3">
        <v>3.01</v>
      </c>
      <c r="F97" s="3">
        <v>306.60000000000002</v>
      </c>
      <c r="G97" s="3">
        <v>374.4</v>
      </c>
      <c r="H97" s="3">
        <v>957.5</v>
      </c>
      <c r="I97" s="4">
        <v>1306.9000000000001</v>
      </c>
      <c r="J97" s="4">
        <v>1244.7</v>
      </c>
      <c r="K97" s="3">
        <v>157.19999999999999</v>
      </c>
      <c r="L97" s="3">
        <v>4.25</v>
      </c>
      <c r="M97" s="4">
        <v>424848</v>
      </c>
      <c r="N97" s="4">
        <v>8605</v>
      </c>
      <c r="O97" s="3">
        <v>14.36</v>
      </c>
      <c r="P97" s="3" t="str">
        <f t="shared" si="1"/>
        <v>NORMAL</v>
      </c>
      <c r="Q97" s="3" cm="1">
        <f t="array" aca="1" ref="Q97" ca="1">AVERAGE(OFFSET(tbl_Process[[#This Row],[Temp_Firing_C]], MAX(1-ROW()+ROW(tbl_Process[#Headers]), -23), 0, MIN(ROW()-ROW(tbl_Process[#Headers]), 24), 1))</f>
        <v>1305.4666666666669</v>
      </c>
      <c r="R97" s="3" t="e" cm="1" vm="1">
        <f t="array" aca="1" ref="R97" ca="1">tbl_Process[Temp_Firing_C] - AVERAGE(tbl_Zones[[Target_Temp_Min_C]:[Target_Temp_Max_C]])</f>
        <v>#VALUE!</v>
      </c>
    </row>
    <row r="98" spans="1:18" x14ac:dyDescent="0.3">
      <c r="A98" s="2" t="s">
        <v>115</v>
      </c>
      <c r="B98" s="2" t="s">
        <v>16</v>
      </c>
      <c r="C98" s="2" t="s">
        <v>17</v>
      </c>
      <c r="D98" s="3">
        <v>421.1</v>
      </c>
      <c r="E98" s="3">
        <v>3.16</v>
      </c>
      <c r="F98" s="3">
        <v>323.10000000000002</v>
      </c>
      <c r="G98" s="3">
        <v>379.4</v>
      </c>
      <c r="H98" s="3">
        <v>957.9</v>
      </c>
      <c r="I98" s="4">
        <v>1314</v>
      </c>
      <c r="J98" s="4">
        <v>1234.3</v>
      </c>
      <c r="K98" s="3">
        <v>152.19999999999999</v>
      </c>
      <c r="L98" s="3">
        <v>3.95</v>
      </c>
      <c r="M98" s="4">
        <v>421249</v>
      </c>
      <c r="N98" s="4">
        <v>8637</v>
      </c>
      <c r="O98" s="3">
        <v>13.71</v>
      </c>
      <c r="P98" s="3" t="str">
        <f t="shared" si="1"/>
        <v>NORMAL</v>
      </c>
      <c r="Q98" s="3" cm="1">
        <f t="array" aca="1" ref="Q98" ca="1">AVERAGE(OFFSET(tbl_Process[[#This Row],[Temp_Firing_C]], MAX(1-ROW()+ROW(tbl_Process[#Headers]), -23), 0, MIN(ROW()-ROW(tbl_Process[#Headers]), 24), 1))</f>
        <v>1305.7416666666668</v>
      </c>
      <c r="R98" s="3" t="e" cm="1" vm="1">
        <f t="array" aca="1" ref="R98" ca="1">tbl_Process[Temp_Firing_C] - AVERAGE(tbl_Zones[[Target_Temp_Min_C]:[Target_Temp_Max_C]])</f>
        <v>#VALUE!</v>
      </c>
    </row>
    <row r="99" spans="1:18" x14ac:dyDescent="0.3">
      <c r="A99" s="2" t="s">
        <v>116</v>
      </c>
      <c r="B99" s="2" t="s">
        <v>16</v>
      </c>
      <c r="C99" s="2" t="s">
        <v>17</v>
      </c>
      <c r="D99" s="3">
        <v>416.1</v>
      </c>
      <c r="E99" s="3">
        <v>3.13</v>
      </c>
      <c r="F99" s="3">
        <v>334</v>
      </c>
      <c r="G99" s="3">
        <v>391.6</v>
      </c>
      <c r="H99" s="3">
        <v>953.6</v>
      </c>
      <c r="I99" s="4">
        <v>1300.0999999999999</v>
      </c>
      <c r="J99" s="4">
        <v>1228.2</v>
      </c>
      <c r="K99" s="3">
        <v>150</v>
      </c>
      <c r="L99" s="3">
        <v>4.01</v>
      </c>
      <c r="M99" s="4">
        <v>416526</v>
      </c>
      <c r="N99" s="4">
        <v>8491</v>
      </c>
      <c r="O99" s="3">
        <v>13.81</v>
      </c>
      <c r="P99" s="3" t="str">
        <f t="shared" si="1"/>
        <v>NORMAL</v>
      </c>
      <c r="Q99" s="3" cm="1">
        <f t="array" aca="1" ref="Q99" ca="1">AVERAGE(OFFSET(tbl_Process[[#This Row],[Temp_Firing_C]], MAX(1-ROW()+ROW(tbl_Process[#Headers]), -23), 0, MIN(ROW()-ROW(tbl_Process[#Headers]), 24), 1))</f>
        <v>1305.0708333333334</v>
      </c>
      <c r="R99" s="3" t="e" cm="1" vm="1">
        <f t="array" aca="1" ref="R99" ca="1">tbl_Process[Temp_Firing_C] - AVERAGE(tbl_Zones[[Target_Temp_Min_C]:[Target_Temp_Max_C]])</f>
        <v>#VALUE!</v>
      </c>
    </row>
    <row r="100" spans="1:18" x14ac:dyDescent="0.3">
      <c r="A100" s="2" t="s">
        <v>117</v>
      </c>
      <c r="B100" s="2" t="s">
        <v>16</v>
      </c>
      <c r="C100" s="2" t="s">
        <v>17</v>
      </c>
      <c r="D100" s="3">
        <v>417</v>
      </c>
      <c r="E100" s="3">
        <v>3.21</v>
      </c>
      <c r="F100" s="3">
        <v>321.7</v>
      </c>
      <c r="G100" s="3">
        <v>382.3</v>
      </c>
      <c r="H100" s="3">
        <v>943.3</v>
      </c>
      <c r="I100" s="4">
        <v>1310.5999999999999</v>
      </c>
      <c r="J100" s="4">
        <v>1240.8</v>
      </c>
      <c r="K100" s="3">
        <v>162.9</v>
      </c>
      <c r="L100" s="3">
        <v>4.0599999999999996</v>
      </c>
      <c r="M100" s="4">
        <v>417091</v>
      </c>
      <c r="N100" s="4">
        <v>8589</v>
      </c>
      <c r="O100" s="3">
        <v>14.22</v>
      </c>
      <c r="P100" s="3" t="str">
        <f t="shared" si="1"/>
        <v>NORMAL</v>
      </c>
      <c r="Q100" s="3" cm="1">
        <f t="array" aca="1" ref="Q100" ca="1">AVERAGE(OFFSET(tbl_Process[[#This Row],[Temp_Firing_C]], MAX(1-ROW()+ROW(tbl_Process[#Headers]), -23), 0, MIN(ROW()-ROW(tbl_Process[#Headers]), 24), 1))</f>
        <v>1305.1125</v>
      </c>
      <c r="R100" s="3" t="e" cm="1" vm="1">
        <f t="array" aca="1" ref="R100" ca="1">tbl_Process[Temp_Firing_C] - AVERAGE(tbl_Zones[[Target_Temp_Min_C]:[Target_Temp_Max_C]])</f>
        <v>#VALUE!</v>
      </c>
    </row>
    <row r="101" spans="1:18" x14ac:dyDescent="0.3">
      <c r="A101" s="2" t="s">
        <v>118</v>
      </c>
      <c r="B101" s="2" t="s">
        <v>16</v>
      </c>
      <c r="C101" s="2" t="s">
        <v>17</v>
      </c>
      <c r="D101" s="3">
        <v>422.5</v>
      </c>
      <c r="E101" s="3">
        <v>3.19</v>
      </c>
      <c r="F101" s="3">
        <v>329</v>
      </c>
      <c r="G101" s="3">
        <v>386.8</v>
      </c>
      <c r="H101" s="3">
        <v>956.5</v>
      </c>
      <c r="I101" s="4">
        <v>1310.4000000000001</v>
      </c>
      <c r="J101" s="4">
        <v>1257</v>
      </c>
      <c r="K101" s="3">
        <v>169.7</v>
      </c>
      <c r="L101" s="3">
        <v>3.97</v>
      </c>
      <c r="M101" s="4">
        <v>418629</v>
      </c>
      <c r="N101" s="4">
        <v>8803</v>
      </c>
      <c r="O101" s="3">
        <v>13.69</v>
      </c>
      <c r="P101" s="3" t="str">
        <f t="shared" si="1"/>
        <v>NORMAL</v>
      </c>
      <c r="Q101" s="3" cm="1">
        <f t="array" aca="1" ref="Q101" ca="1">AVERAGE(OFFSET(tbl_Process[[#This Row],[Temp_Firing_C]], MAX(1-ROW()+ROW(tbl_Process[#Headers]), -23), 0, MIN(ROW()-ROW(tbl_Process[#Headers]), 24), 1))</f>
        <v>1304.4458333333334</v>
      </c>
      <c r="R101" s="3" t="e" cm="1" vm="1">
        <f t="array" aca="1" ref="R101" ca="1">tbl_Process[Temp_Firing_C] - AVERAGE(tbl_Zones[[Target_Temp_Min_C]:[Target_Temp_Max_C]])</f>
        <v>#VALUE!</v>
      </c>
    </row>
    <row r="102" spans="1:18" x14ac:dyDescent="0.3">
      <c r="A102" s="2" t="s">
        <v>119</v>
      </c>
      <c r="B102" s="2" t="s">
        <v>16</v>
      </c>
      <c r="C102" s="2" t="s">
        <v>17</v>
      </c>
      <c r="D102" s="3">
        <v>414.7</v>
      </c>
      <c r="E102" s="3">
        <v>3.16</v>
      </c>
      <c r="F102" s="3">
        <v>322.5</v>
      </c>
      <c r="G102" s="3">
        <v>379.2</v>
      </c>
      <c r="H102" s="3">
        <v>952.1</v>
      </c>
      <c r="I102" s="4">
        <v>1299.5</v>
      </c>
      <c r="J102" s="4">
        <v>1230.2</v>
      </c>
      <c r="K102" s="3">
        <v>155.6</v>
      </c>
      <c r="L102" s="3">
        <v>4.29</v>
      </c>
      <c r="M102" s="4">
        <v>420951</v>
      </c>
      <c r="N102" s="4">
        <v>8600</v>
      </c>
      <c r="O102" s="3">
        <v>14</v>
      </c>
      <c r="P102" s="3" t="str">
        <f t="shared" si="1"/>
        <v>NORMAL</v>
      </c>
      <c r="Q102" s="3" cm="1">
        <f t="array" aca="1" ref="Q102" ca="1">AVERAGE(OFFSET(tbl_Process[[#This Row],[Temp_Firing_C]], MAX(1-ROW()+ROW(tbl_Process[#Headers]), -23), 0, MIN(ROW()-ROW(tbl_Process[#Headers]), 24), 1))</f>
        <v>1303.8166666666666</v>
      </c>
      <c r="R102" s="3" t="e" cm="1" vm="1">
        <f t="array" aca="1" ref="R102" ca="1">tbl_Process[Temp_Firing_C] - AVERAGE(tbl_Zones[[Target_Temp_Min_C]:[Target_Temp_Max_C]])</f>
        <v>#VALUE!</v>
      </c>
    </row>
    <row r="103" spans="1:18" x14ac:dyDescent="0.3">
      <c r="A103" s="2" t="s">
        <v>120</v>
      </c>
      <c r="B103" s="2" t="s">
        <v>16</v>
      </c>
      <c r="C103" s="2" t="s">
        <v>17</v>
      </c>
      <c r="D103" s="3">
        <v>419.3</v>
      </c>
      <c r="E103" s="3">
        <v>3.14</v>
      </c>
      <c r="F103" s="3">
        <v>304.10000000000002</v>
      </c>
      <c r="G103" s="3">
        <v>370.4</v>
      </c>
      <c r="H103" s="3">
        <v>938.3</v>
      </c>
      <c r="I103" s="4">
        <v>1287.0999999999999</v>
      </c>
      <c r="J103" s="4">
        <v>1214.9000000000001</v>
      </c>
      <c r="K103" s="3">
        <v>166.6</v>
      </c>
      <c r="L103" s="3">
        <v>4.0599999999999996</v>
      </c>
      <c r="M103" s="4">
        <v>422195</v>
      </c>
      <c r="N103" s="4">
        <v>8395</v>
      </c>
      <c r="O103" s="3">
        <v>14.48</v>
      </c>
      <c r="P103" s="3" t="str">
        <f t="shared" si="1"/>
        <v>NORMAL</v>
      </c>
      <c r="Q103" s="3" cm="1">
        <f t="array" aca="1" ref="Q103" ca="1">AVERAGE(OFFSET(tbl_Process[[#This Row],[Temp_Firing_C]], MAX(1-ROW()+ROW(tbl_Process[#Headers]), -23), 0, MIN(ROW()-ROW(tbl_Process[#Headers]), 24), 1))</f>
        <v>1302.8166666666668</v>
      </c>
      <c r="R103" s="3" t="e" cm="1" vm="1">
        <f t="array" aca="1" ref="R103" ca="1">tbl_Process[Temp_Firing_C] - AVERAGE(tbl_Zones[[Target_Temp_Min_C]:[Target_Temp_Max_C]])</f>
        <v>#VALUE!</v>
      </c>
    </row>
    <row r="104" spans="1:18" x14ac:dyDescent="0.3">
      <c r="A104" s="2" t="s">
        <v>121</v>
      </c>
      <c r="B104" s="2" t="s">
        <v>24</v>
      </c>
      <c r="C104" s="2" t="s">
        <v>17</v>
      </c>
      <c r="D104" s="3">
        <v>416.4</v>
      </c>
      <c r="E104" s="3">
        <v>3.24</v>
      </c>
      <c r="F104" s="3">
        <v>324.39999999999998</v>
      </c>
      <c r="G104" s="3">
        <v>376</v>
      </c>
      <c r="H104" s="3">
        <v>966.7</v>
      </c>
      <c r="I104" s="4">
        <v>1309.5</v>
      </c>
      <c r="J104" s="4">
        <v>1241.2</v>
      </c>
      <c r="K104" s="3">
        <v>154.4</v>
      </c>
      <c r="L104" s="3">
        <v>3.91</v>
      </c>
      <c r="M104" s="4">
        <v>422013</v>
      </c>
      <c r="N104" s="4">
        <v>8653</v>
      </c>
      <c r="O104" s="3">
        <v>13.88</v>
      </c>
      <c r="P104" s="3" t="str">
        <f t="shared" si="1"/>
        <v>NORMAL</v>
      </c>
      <c r="Q104" s="3" cm="1">
        <f t="array" aca="1" ref="Q104" ca="1">AVERAGE(OFFSET(tbl_Process[[#This Row],[Temp_Firing_C]], MAX(1-ROW()+ROW(tbl_Process[#Headers]), -23), 0, MIN(ROW()-ROW(tbl_Process[#Headers]), 24), 1))</f>
        <v>1302.4833333333333</v>
      </c>
      <c r="R104" s="3" t="e" cm="1" vm="1">
        <f t="array" aca="1" ref="R104" ca="1">tbl_Process[Temp_Firing_C] - AVERAGE(tbl_Zones[[Target_Temp_Min_C]:[Target_Temp_Max_C]])</f>
        <v>#VALUE!</v>
      </c>
    </row>
    <row r="105" spans="1:18" x14ac:dyDescent="0.3">
      <c r="A105" s="2" t="s">
        <v>122</v>
      </c>
      <c r="B105" s="2" t="s">
        <v>24</v>
      </c>
      <c r="C105" s="2" t="s">
        <v>17</v>
      </c>
      <c r="D105" s="3">
        <v>420.1</v>
      </c>
      <c r="E105" s="3">
        <v>3.25</v>
      </c>
      <c r="F105" s="3">
        <v>323.60000000000002</v>
      </c>
      <c r="G105" s="3">
        <v>390.7</v>
      </c>
      <c r="H105" s="3">
        <v>975.1</v>
      </c>
      <c r="I105" s="4">
        <v>1296.7</v>
      </c>
      <c r="J105" s="4">
        <v>1241.8</v>
      </c>
      <c r="K105" s="3">
        <v>157.30000000000001</v>
      </c>
      <c r="L105" s="3">
        <v>4.2300000000000004</v>
      </c>
      <c r="M105" s="4">
        <v>419644</v>
      </c>
      <c r="N105" s="4">
        <v>8411</v>
      </c>
      <c r="O105" s="3">
        <v>13.82</v>
      </c>
      <c r="P105" s="3" t="str">
        <f t="shared" si="1"/>
        <v>NORMAL</v>
      </c>
      <c r="Q105" s="3" cm="1">
        <f t="array" aca="1" ref="Q105" ca="1">AVERAGE(OFFSET(tbl_Process[[#This Row],[Temp_Firing_C]], MAX(1-ROW()+ROW(tbl_Process[#Headers]), -23), 0, MIN(ROW()-ROW(tbl_Process[#Headers]), 24), 1))</f>
        <v>1302.3125</v>
      </c>
      <c r="R105" s="3" t="e" cm="1" vm="1">
        <f t="array" aca="1" ref="R105" ca="1">tbl_Process[Temp_Firing_C] - AVERAGE(tbl_Zones[[Target_Temp_Min_C]:[Target_Temp_Max_C]])</f>
        <v>#VALUE!</v>
      </c>
    </row>
    <row r="106" spans="1:18" x14ac:dyDescent="0.3">
      <c r="A106" s="2" t="s">
        <v>123</v>
      </c>
      <c r="B106" s="2" t="s">
        <v>24</v>
      </c>
      <c r="C106" s="2" t="s">
        <v>17</v>
      </c>
      <c r="D106" s="3">
        <v>419.3</v>
      </c>
      <c r="E106" s="3">
        <v>3.08</v>
      </c>
      <c r="F106" s="3">
        <v>325.5</v>
      </c>
      <c r="G106" s="3">
        <v>390.2</v>
      </c>
      <c r="H106" s="3">
        <v>949.8</v>
      </c>
      <c r="I106" s="4">
        <v>1306.5</v>
      </c>
      <c r="J106" s="4">
        <v>1237.0999999999999</v>
      </c>
      <c r="K106" s="3">
        <v>156.6</v>
      </c>
      <c r="L106" s="3">
        <v>4.1399999999999997</v>
      </c>
      <c r="M106" s="4">
        <v>421035</v>
      </c>
      <c r="N106" s="4">
        <v>8787</v>
      </c>
      <c r="O106" s="3">
        <v>13.85</v>
      </c>
      <c r="P106" s="3" t="str">
        <f t="shared" si="1"/>
        <v>NORMAL</v>
      </c>
      <c r="Q106" s="3" cm="1">
        <f t="array" aca="1" ref="Q106" ca="1">AVERAGE(OFFSET(tbl_Process[[#This Row],[Temp_Firing_C]], MAX(1-ROW()+ROW(tbl_Process[#Headers]), -23), 0, MIN(ROW()-ROW(tbl_Process[#Headers]), 24), 1))</f>
        <v>1302.6458333333333</v>
      </c>
      <c r="R106" s="3" t="e" cm="1" vm="1">
        <f t="array" aca="1" ref="R106" ca="1">tbl_Process[Temp_Firing_C] - AVERAGE(tbl_Zones[[Target_Temp_Min_C]:[Target_Temp_Max_C]])</f>
        <v>#VALUE!</v>
      </c>
    </row>
    <row r="107" spans="1:18" x14ac:dyDescent="0.3">
      <c r="A107" s="2" t="s">
        <v>124</v>
      </c>
      <c r="B107" s="2" t="s">
        <v>24</v>
      </c>
      <c r="C107" s="2" t="s">
        <v>17</v>
      </c>
      <c r="D107" s="3">
        <v>424</v>
      </c>
      <c r="E107" s="3">
        <v>3.21</v>
      </c>
      <c r="F107" s="3">
        <v>324.10000000000002</v>
      </c>
      <c r="G107" s="3">
        <v>376</v>
      </c>
      <c r="H107" s="3">
        <v>958.1</v>
      </c>
      <c r="I107" s="4">
        <v>1302.4000000000001</v>
      </c>
      <c r="J107" s="4">
        <v>1232.4000000000001</v>
      </c>
      <c r="K107" s="3">
        <v>162.9</v>
      </c>
      <c r="L107" s="3">
        <v>4.22</v>
      </c>
      <c r="M107" s="4">
        <v>422509</v>
      </c>
      <c r="N107" s="4">
        <v>8713</v>
      </c>
      <c r="O107" s="3">
        <v>14.39</v>
      </c>
      <c r="P107" s="3" t="str">
        <f t="shared" si="1"/>
        <v>NORMAL</v>
      </c>
      <c r="Q107" s="3" cm="1">
        <f t="array" aca="1" ref="Q107" ca="1">AVERAGE(OFFSET(tbl_Process[[#This Row],[Temp_Firing_C]], MAX(1-ROW()+ROW(tbl_Process[#Headers]), -23), 0, MIN(ROW()-ROW(tbl_Process[#Headers]), 24), 1))</f>
        <v>1302.5291666666667</v>
      </c>
      <c r="R107" s="3" t="e" cm="1" vm="1">
        <f t="array" aca="1" ref="R107" ca="1">tbl_Process[Temp_Firing_C] - AVERAGE(tbl_Zones[[Target_Temp_Min_C]:[Target_Temp_Max_C]])</f>
        <v>#VALUE!</v>
      </c>
    </row>
    <row r="108" spans="1:18" x14ac:dyDescent="0.3">
      <c r="A108" s="2" t="s">
        <v>125</v>
      </c>
      <c r="B108" s="2" t="s">
        <v>24</v>
      </c>
      <c r="C108" s="2" t="s">
        <v>17</v>
      </c>
      <c r="D108" s="3">
        <v>418.5</v>
      </c>
      <c r="E108" s="3">
        <v>3.23</v>
      </c>
      <c r="F108" s="3">
        <v>315.2</v>
      </c>
      <c r="G108" s="3">
        <v>378.8</v>
      </c>
      <c r="H108" s="3">
        <v>950.8</v>
      </c>
      <c r="I108" s="4">
        <v>1315.3</v>
      </c>
      <c r="J108" s="4">
        <v>1252.5</v>
      </c>
      <c r="K108" s="3">
        <v>158.19999999999999</v>
      </c>
      <c r="L108" s="3">
        <v>4.22</v>
      </c>
      <c r="M108" s="4">
        <v>415157</v>
      </c>
      <c r="N108" s="4">
        <v>8442</v>
      </c>
      <c r="O108" s="3">
        <v>14.45</v>
      </c>
      <c r="P108" s="3" t="str">
        <f t="shared" si="1"/>
        <v>NORMAL</v>
      </c>
      <c r="Q108" s="3" cm="1">
        <f t="array" aca="1" ref="Q108" ca="1">AVERAGE(OFFSET(tbl_Process[[#This Row],[Temp_Firing_C]], MAX(1-ROW()+ROW(tbl_Process[#Headers]), -23), 0, MIN(ROW()-ROW(tbl_Process[#Headers]), 24), 1))</f>
        <v>1303.0166666666667</v>
      </c>
      <c r="R108" s="3" t="e" cm="1" vm="1">
        <f t="array" aca="1" ref="R108" ca="1">tbl_Process[Temp_Firing_C] - AVERAGE(tbl_Zones[[Target_Temp_Min_C]:[Target_Temp_Max_C]])</f>
        <v>#VALUE!</v>
      </c>
    </row>
    <row r="109" spans="1:18" x14ac:dyDescent="0.3">
      <c r="A109" s="2" t="s">
        <v>126</v>
      </c>
      <c r="B109" s="2" t="s">
        <v>24</v>
      </c>
      <c r="C109" s="2" t="s">
        <v>17</v>
      </c>
      <c r="D109" s="3">
        <v>420.2</v>
      </c>
      <c r="E109" s="3">
        <v>3.22</v>
      </c>
      <c r="F109" s="3">
        <v>310.60000000000002</v>
      </c>
      <c r="G109" s="3">
        <v>377.9</v>
      </c>
      <c r="H109" s="3">
        <v>981.2</v>
      </c>
      <c r="I109" s="4">
        <v>1307.8</v>
      </c>
      <c r="J109" s="4">
        <v>1243.8</v>
      </c>
      <c r="K109" s="3">
        <v>156.9</v>
      </c>
      <c r="L109" s="3">
        <v>4.05</v>
      </c>
      <c r="M109" s="4">
        <v>413952</v>
      </c>
      <c r="N109" s="4">
        <v>8625</v>
      </c>
      <c r="O109" s="3">
        <v>14.31</v>
      </c>
      <c r="P109" s="3" t="str">
        <f t="shared" si="1"/>
        <v>NORMAL</v>
      </c>
      <c r="Q109" s="3" cm="1">
        <f t="array" aca="1" ref="Q109" ca="1">AVERAGE(OFFSET(tbl_Process[[#This Row],[Temp_Firing_C]], MAX(1-ROW()+ROW(tbl_Process[#Headers]), -23), 0, MIN(ROW()-ROW(tbl_Process[#Headers]), 24), 1))</f>
        <v>1303.325</v>
      </c>
      <c r="R109" s="3" t="e" cm="1" vm="1">
        <f t="array" aca="1" ref="R109" ca="1">tbl_Process[Temp_Firing_C] - AVERAGE(tbl_Zones[[Target_Temp_Min_C]:[Target_Temp_Max_C]])</f>
        <v>#VALUE!</v>
      </c>
    </row>
    <row r="110" spans="1:18" x14ac:dyDescent="0.3">
      <c r="A110" s="2" t="s">
        <v>127</v>
      </c>
      <c r="B110" s="2" t="s">
        <v>24</v>
      </c>
      <c r="C110" s="2" t="s">
        <v>17</v>
      </c>
      <c r="D110" s="3">
        <v>413.7</v>
      </c>
      <c r="E110" s="3">
        <v>3.15</v>
      </c>
      <c r="F110" s="3">
        <v>311.2</v>
      </c>
      <c r="G110" s="3">
        <v>370.7</v>
      </c>
      <c r="H110" s="3">
        <v>956.9</v>
      </c>
      <c r="I110" s="4">
        <v>1283.3</v>
      </c>
      <c r="J110" s="4">
        <v>1222</v>
      </c>
      <c r="K110" s="3">
        <v>162.5</v>
      </c>
      <c r="L110" s="3">
        <v>3.97</v>
      </c>
      <c r="M110" s="4">
        <v>408312</v>
      </c>
      <c r="N110" s="4">
        <v>8180</v>
      </c>
      <c r="O110" s="3">
        <v>14.76</v>
      </c>
      <c r="P110" s="3" t="str">
        <f t="shared" si="1"/>
        <v>NORMAL</v>
      </c>
      <c r="Q110" s="3" cm="1">
        <f t="array" aca="1" ref="Q110" ca="1">AVERAGE(OFFSET(tbl_Process[[#This Row],[Temp_Firing_C]], MAX(1-ROW()+ROW(tbl_Process[#Headers]), -23), 0, MIN(ROW()-ROW(tbl_Process[#Headers]), 24), 1))</f>
        <v>1302.9708333333333</v>
      </c>
      <c r="R110" s="3" t="e" cm="1" vm="1">
        <f t="array" aca="1" ref="R110" ca="1">tbl_Process[Temp_Firing_C] - AVERAGE(tbl_Zones[[Target_Temp_Min_C]:[Target_Temp_Max_C]])</f>
        <v>#VALUE!</v>
      </c>
    </row>
    <row r="111" spans="1:18" x14ac:dyDescent="0.3">
      <c r="A111" s="2" t="s">
        <v>128</v>
      </c>
      <c r="B111" s="2" t="s">
        <v>24</v>
      </c>
      <c r="C111" s="2" t="s">
        <v>17</v>
      </c>
      <c r="D111" s="3">
        <v>408.9</v>
      </c>
      <c r="E111" s="3">
        <v>3.17</v>
      </c>
      <c r="F111" s="3">
        <v>310.60000000000002</v>
      </c>
      <c r="G111" s="3">
        <v>382.5</v>
      </c>
      <c r="H111" s="3">
        <v>947.3</v>
      </c>
      <c r="I111" s="4">
        <v>1302</v>
      </c>
      <c r="J111" s="4">
        <v>1240.4000000000001</v>
      </c>
      <c r="K111" s="3">
        <v>167.6</v>
      </c>
      <c r="L111" s="3">
        <v>3.92</v>
      </c>
      <c r="M111" s="4">
        <v>421676</v>
      </c>
      <c r="N111" s="4">
        <v>8346</v>
      </c>
      <c r="O111" s="3">
        <v>14.62</v>
      </c>
      <c r="P111" s="3" t="str">
        <f t="shared" si="1"/>
        <v>NORMAL</v>
      </c>
      <c r="Q111" s="3" cm="1">
        <f t="array" aca="1" ref="Q111" ca="1">AVERAGE(OFFSET(tbl_Process[[#This Row],[Temp_Firing_C]], MAX(1-ROW()+ROW(tbl_Process[#Headers]), -23), 0, MIN(ROW()-ROW(tbl_Process[#Headers]), 24), 1))</f>
        <v>1303.0208333333333</v>
      </c>
      <c r="R111" s="3" t="e" cm="1" vm="1">
        <f t="array" aca="1" ref="R111" ca="1">tbl_Process[Temp_Firing_C] - AVERAGE(tbl_Zones[[Target_Temp_Min_C]:[Target_Temp_Max_C]])</f>
        <v>#VALUE!</v>
      </c>
    </row>
    <row r="112" spans="1:18" x14ac:dyDescent="0.3">
      <c r="A112" s="2" t="s">
        <v>129</v>
      </c>
      <c r="B112" s="2" t="s">
        <v>33</v>
      </c>
      <c r="C112" s="2" t="s">
        <v>17</v>
      </c>
      <c r="D112" s="3">
        <v>417</v>
      </c>
      <c r="E112" s="3">
        <v>3.16</v>
      </c>
      <c r="F112" s="3">
        <v>317.10000000000002</v>
      </c>
      <c r="G112" s="3">
        <v>365.4</v>
      </c>
      <c r="H112" s="3">
        <v>957.3</v>
      </c>
      <c r="I112" s="4">
        <v>1305.5</v>
      </c>
      <c r="J112" s="4">
        <v>1242.3</v>
      </c>
      <c r="K112" s="3">
        <v>150.19999999999999</v>
      </c>
      <c r="L112" s="3">
        <v>4.03</v>
      </c>
      <c r="M112" s="4">
        <v>423587</v>
      </c>
      <c r="N112" s="4">
        <v>8341</v>
      </c>
      <c r="O112" s="3">
        <v>14.06</v>
      </c>
      <c r="P112" s="3" t="str">
        <f t="shared" si="1"/>
        <v>NORMAL</v>
      </c>
      <c r="Q112" s="3" cm="1">
        <f t="array" aca="1" ref="Q112" ca="1">AVERAGE(OFFSET(tbl_Process[[#This Row],[Temp_Firing_C]], MAX(1-ROW()+ROW(tbl_Process[#Headers]), -23), 0, MIN(ROW()-ROW(tbl_Process[#Headers]), 24), 1))</f>
        <v>1303.3291666666667</v>
      </c>
      <c r="R112" s="3" t="e" cm="1" vm="1">
        <f t="array" aca="1" ref="R112" ca="1">tbl_Process[Temp_Firing_C] - AVERAGE(tbl_Zones[[Target_Temp_Min_C]:[Target_Temp_Max_C]])</f>
        <v>#VALUE!</v>
      </c>
    </row>
    <row r="113" spans="1:18" x14ac:dyDescent="0.3">
      <c r="A113" s="2" t="s">
        <v>130</v>
      </c>
      <c r="B113" s="2" t="s">
        <v>33</v>
      </c>
      <c r="C113" s="2" t="s">
        <v>17</v>
      </c>
      <c r="D113" s="3">
        <v>423.5</v>
      </c>
      <c r="E113" s="3">
        <v>3.22</v>
      </c>
      <c r="F113" s="3">
        <v>319.39999999999998</v>
      </c>
      <c r="G113" s="3">
        <v>388.9</v>
      </c>
      <c r="H113" s="3">
        <v>959.4</v>
      </c>
      <c r="I113" s="4">
        <v>1302</v>
      </c>
      <c r="J113" s="4">
        <v>1253.3</v>
      </c>
      <c r="K113" s="3">
        <v>156.9</v>
      </c>
      <c r="L113" s="3">
        <v>4.04</v>
      </c>
      <c r="M113" s="4">
        <v>421857</v>
      </c>
      <c r="N113" s="4">
        <v>8577</v>
      </c>
      <c r="O113" s="3">
        <v>14.01</v>
      </c>
      <c r="P113" s="3" t="str">
        <f t="shared" si="1"/>
        <v>NORMAL</v>
      </c>
      <c r="Q113" s="3" cm="1">
        <f t="array" aca="1" ref="Q113" ca="1">AVERAGE(OFFSET(tbl_Process[[#This Row],[Temp_Firing_C]], MAX(1-ROW()+ROW(tbl_Process[#Headers]), -23), 0, MIN(ROW()-ROW(tbl_Process[#Headers]), 24), 1))</f>
        <v>1303.2041666666667</v>
      </c>
      <c r="R113" s="3" t="e" cm="1" vm="1">
        <f t="array" aca="1" ref="R113" ca="1">tbl_Process[Temp_Firing_C] - AVERAGE(tbl_Zones[[Target_Temp_Min_C]:[Target_Temp_Max_C]])</f>
        <v>#VALUE!</v>
      </c>
    </row>
    <row r="114" spans="1:18" x14ac:dyDescent="0.3">
      <c r="A114" s="2" t="s">
        <v>131</v>
      </c>
      <c r="B114" s="2" t="s">
        <v>33</v>
      </c>
      <c r="C114" s="2" t="s">
        <v>17</v>
      </c>
      <c r="D114" s="3">
        <v>415.9</v>
      </c>
      <c r="E114" s="3">
        <v>3.38</v>
      </c>
      <c r="F114" s="3">
        <v>318.60000000000002</v>
      </c>
      <c r="G114" s="3">
        <v>370.4</v>
      </c>
      <c r="H114" s="3">
        <v>964.2</v>
      </c>
      <c r="I114" s="4">
        <v>1295.0999999999999</v>
      </c>
      <c r="J114" s="4">
        <v>1228.5999999999999</v>
      </c>
      <c r="K114" s="3">
        <v>160.6</v>
      </c>
      <c r="L114" s="3">
        <v>3.93</v>
      </c>
      <c r="M114" s="4">
        <v>420352</v>
      </c>
      <c r="N114" s="4">
        <v>8671</v>
      </c>
      <c r="O114" s="3">
        <v>14.18</v>
      </c>
      <c r="P114" s="3" t="str">
        <f t="shared" si="1"/>
        <v>NORMAL</v>
      </c>
      <c r="Q114" s="3" cm="1">
        <f t="array" aca="1" ref="Q114" ca="1">AVERAGE(OFFSET(tbl_Process[[#This Row],[Temp_Firing_C]], MAX(1-ROW()+ROW(tbl_Process[#Headers]), -23), 0, MIN(ROW()-ROW(tbl_Process[#Headers]), 24), 1))</f>
        <v>1302.4916666666666</v>
      </c>
      <c r="R114" s="3" t="e" cm="1" vm="1">
        <f t="array" aca="1" ref="R114" ca="1">tbl_Process[Temp_Firing_C] - AVERAGE(tbl_Zones[[Target_Temp_Min_C]:[Target_Temp_Max_C]])</f>
        <v>#VALUE!</v>
      </c>
    </row>
    <row r="115" spans="1:18" x14ac:dyDescent="0.3">
      <c r="A115" s="2" t="s">
        <v>132</v>
      </c>
      <c r="B115" s="2" t="s">
        <v>33</v>
      </c>
      <c r="C115" s="2" t="s">
        <v>17</v>
      </c>
      <c r="D115" s="3">
        <v>418.5</v>
      </c>
      <c r="E115" s="3">
        <v>3.16</v>
      </c>
      <c r="F115" s="3">
        <v>314</v>
      </c>
      <c r="G115" s="3">
        <v>373.5</v>
      </c>
      <c r="H115" s="3">
        <v>948.3</v>
      </c>
      <c r="I115" s="4">
        <v>1302.8</v>
      </c>
      <c r="J115" s="4">
        <v>1227.4000000000001</v>
      </c>
      <c r="K115" s="3">
        <v>161.9</v>
      </c>
      <c r="L115" s="3">
        <v>4.0199999999999996</v>
      </c>
      <c r="M115" s="4">
        <v>421823</v>
      </c>
      <c r="N115" s="4">
        <v>8398</v>
      </c>
      <c r="O115" s="3">
        <v>14.61</v>
      </c>
      <c r="P115" s="3" t="str">
        <f t="shared" si="1"/>
        <v>NORMAL</v>
      </c>
      <c r="Q115" s="3" cm="1">
        <f t="array" aca="1" ref="Q115" ca="1">AVERAGE(OFFSET(tbl_Process[[#This Row],[Temp_Firing_C]], MAX(1-ROW()+ROW(tbl_Process[#Headers]), -23), 0, MIN(ROW()-ROW(tbl_Process[#Headers]), 24), 1))</f>
        <v>1303.1416666666667</v>
      </c>
      <c r="R115" s="3" t="e" cm="1" vm="1">
        <f t="array" aca="1" ref="R115" ca="1">tbl_Process[Temp_Firing_C] - AVERAGE(tbl_Zones[[Target_Temp_Min_C]:[Target_Temp_Max_C]])</f>
        <v>#VALUE!</v>
      </c>
    </row>
    <row r="116" spans="1:18" x14ac:dyDescent="0.3">
      <c r="A116" s="2" t="s">
        <v>133</v>
      </c>
      <c r="B116" s="2" t="s">
        <v>33</v>
      </c>
      <c r="C116" s="2" t="s">
        <v>17</v>
      </c>
      <c r="D116" s="3">
        <v>425</v>
      </c>
      <c r="E116" s="3">
        <v>3.28</v>
      </c>
      <c r="F116" s="3">
        <v>307.2</v>
      </c>
      <c r="G116" s="3">
        <v>380.9</v>
      </c>
      <c r="H116" s="3">
        <v>957.5</v>
      </c>
      <c r="I116" s="4">
        <v>1282.4000000000001</v>
      </c>
      <c r="J116" s="4">
        <v>1217.3</v>
      </c>
      <c r="K116" s="3">
        <v>159.4</v>
      </c>
      <c r="L116" s="3">
        <v>4.24</v>
      </c>
      <c r="M116" s="4">
        <v>417452</v>
      </c>
      <c r="N116" s="4">
        <v>8324</v>
      </c>
      <c r="O116" s="3">
        <v>14.71</v>
      </c>
      <c r="P116" s="3" t="str">
        <f t="shared" si="1"/>
        <v>NORMAL</v>
      </c>
      <c r="Q116" s="3" cm="1">
        <f t="array" aca="1" ref="Q116" ca="1">AVERAGE(OFFSET(tbl_Process[[#This Row],[Temp_Firing_C]], MAX(1-ROW()+ROW(tbl_Process[#Headers]), -23), 0, MIN(ROW()-ROW(tbl_Process[#Headers]), 24), 1))</f>
        <v>1302.5625</v>
      </c>
      <c r="R116" s="3" t="e" cm="1" vm="1">
        <f t="array" aca="1" ref="R116" ca="1">tbl_Process[Temp_Firing_C] - AVERAGE(tbl_Zones[[Target_Temp_Min_C]:[Target_Temp_Max_C]])</f>
        <v>#VALUE!</v>
      </c>
    </row>
    <row r="117" spans="1:18" x14ac:dyDescent="0.3">
      <c r="A117" s="2" t="s">
        <v>134</v>
      </c>
      <c r="B117" s="2" t="s">
        <v>33</v>
      </c>
      <c r="C117" s="2" t="s">
        <v>17</v>
      </c>
      <c r="D117" s="3">
        <v>424.9</v>
      </c>
      <c r="E117" s="3">
        <v>2.97</v>
      </c>
      <c r="F117" s="3">
        <v>314.39999999999998</v>
      </c>
      <c r="G117" s="3">
        <v>374</v>
      </c>
      <c r="H117" s="3">
        <v>931.7</v>
      </c>
      <c r="I117" s="4">
        <v>1296</v>
      </c>
      <c r="J117" s="4">
        <v>1238.5</v>
      </c>
      <c r="K117" s="3">
        <v>152.1</v>
      </c>
      <c r="L117" s="3">
        <v>4.13</v>
      </c>
      <c r="M117" s="4">
        <v>416075</v>
      </c>
      <c r="N117" s="4">
        <v>8371</v>
      </c>
      <c r="O117" s="3">
        <v>14.67</v>
      </c>
      <c r="P117" s="3" t="str">
        <f t="shared" si="1"/>
        <v>NORMAL</v>
      </c>
      <c r="Q117" s="3" cm="1">
        <f t="array" aca="1" ref="Q117" ca="1">AVERAGE(OFFSET(tbl_Process[[#This Row],[Temp_Firing_C]], MAX(1-ROW()+ROW(tbl_Process[#Headers]), -23), 0, MIN(ROW()-ROW(tbl_Process[#Headers]), 24), 1))</f>
        <v>1302.2541666666666</v>
      </c>
      <c r="R117" s="3" t="e" cm="1" vm="1">
        <f t="array" aca="1" ref="R117" ca="1">tbl_Process[Temp_Firing_C] - AVERAGE(tbl_Zones[[Target_Temp_Min_C]:[Target_Temp_Max_C]])</f>
        <v>#VALUE!</v>
      </c>
    </row>
    <row r="118" spans="1:18" x14ac:dyDescent="0.3">
      <c r="A118" s="2" t="s">
        <v>135</v>
      </c>
      <c r="B118" s="2" t="s">
        <v>33</v>
      </c>
      <c r="C118" s="2" t="s">
        <v>17</v>
      </c>
      <c r="D118" s="3">
        <v>417.8</v>
      </c>
      <c r="E118" s="3">
        <v>3.24</v>
      </c>
      <c r="F118" s="3">
        <v>305.2</v>
      </c>
      <c r="G118" s="3">
        <v>388.3</v>
      </c>
      <c r="H118" s="3">
        <v>960.2</v>
      </c>
      <c r="I118" s="4">
        <v>1294.0999999999999</v>
      </c>
      <c r="J118" s="4">
        <v>1232.5999999999999</v>
      </c>
      <c r="K118" s="3">
        <v>150.6</v>
      </c>
      <c r="L118" s="3">
        <v>4.22</v>
      </c>
      <c r="M118" s="4">
        <v>417804</v>
      </c>
      <c r="N118" s="4">
        <v>8405</v>
      </c>
      <c r="O118" s="3">
        <v>14.15</v>
      </c>
      <c r="P118" s="3" t="str">
        <f t="shared" si="1"/>
        <v>NORMAL</v>
      </c>
      <c r="Q118" s="3" cm="1">
        <f t="array" aca="1" ref="Q118" ca="1">AVERAGE(OFFSET(tbl_Process[[#This Row],[Temp_Firing_C]], MAX(1-ROW()+ROW(tbl_Process[#Headers]), -23), 0, MIN(ROW()-ROW(tbl_Process[#Headers]), 24), 1))</f>
        <v>1301.7416666666666</v>
      </c>
      <c r="R118" s="3" t="e" cm="1" vm="1">
        <f t="array" aca="1" ref="R118" ca="1">tbl_Process[Temp_Firing_C] - AVERAGE(tbl_Zones[[Target_Temp_Min_C]:[Target_Temp_Max_C]])</f>
        <v>#VALUE!</v>
      </c>
    </row>
    <row r="119" spans="1:18" x14ac:dyDescent="0.3">
      <c r="A119" s="2" t="s">
        <v>136</v>
      </c>
      <c r="B119" s="2" t="s">
        <v>33</v>
      </c>
      <c r="C119" s="2" t="s">
        <v>17</v>
      </c>
      <c r="D119" s="3">
        <v>417.7</v>
      </c>
      <c r="E119" s="3">
        <v>3.26</v>
      </c>
      <c r="F119" s="3">
        <v>318.2</v>
      </c>
      <c r="G119" s="3">
        <v>380.1</v>
      </c>
      <c r="H119" s="3">
        <v>953.2</v>
      </c>
      <c r="I119" s="4">
        <v>1300.2</v>
      </c>
      <c r="J119" s="4">
        <v>1232.7</v>
      </c>
      <c r="K119" s="3">
        <v>168.9</v>
      </c>
      <c r="L119" s="3">
        <v>3.89</v>
      </c>
      <c r="M119" s="4">
        <v>424449</v>
      </c>
      <c r="N119" s="4">
        <v>8667</v>
      </c>
      <c r="O119" s="3">
        <v>13.85</v>
      </c>
      <c r="P119" s="3" t="str">
        <f t="shared" si="1"/>
        <v>NORMAL</v>
      </c>
      <c r="Q119" s="3" cm="1">
        <f t="array" aca="1" ref="Q119" ca="1">AVERAGE(OFFSET(tbl_Process[[#This Row],[Temp_Firing_C]], MAX(1-ROW()+ROW(tbl_Process[#Headers]), -23), 0, MIN(ROW()-ROW(tbl_Process[#Headers]), 24), 1))</f>
        <v>1301.7458333333332</v>
      </c>
      <c r="R119" s="3" t="e" cm="1" vm="1">
        <f t="array" aca="1" ref="R119" ca="1">tbl_Process[Temp_Firing_C] - AVERAGE(tbl_Zones[[Target_Temp_Min_C]:[Target_Temp_Max_C]])</f>
        <v>#VALUE!</v>
      </c>
    </row>
    <row r="120" spans="1:18" x14ac:dyDescent="0.3">
      <c r="A120" s="2" t="s">
        <v>137</v>
      </c>
      <c r="B120" s="2" t="s">
        <v>16</v>
      </c>
      <c r="C120" s="2" t="s">
        <v>17</v>
      </c>
      <c r="D120" s="3">
        <v>428.9</v>
      </c>
      <c r="E120" s="3">
        <v>3.28</v>
      </c>
      <c r="F120" s="3">
        <v>322.8</v>
      </c>
      <c r="G120" s="3">
        <v>376.1</v>
      </c>
      <c r="H120" s="3">
        <v>951.3</v>
      </c>
      <c r="I120" s="4">
        <v>1295.2</v>
      </c>
      <c r="J120" s="4">
        <v>1232.5</v>
      </c>
      <c r="K120" s="3">
        <v>165</v>
      </c>
      <c r="L120" s="3">
        <v>4.24</v>
      </c>
      <c r="M120" s="4">
        <v>415946</v>
      </c>
      <c r="N120" s="4">
        <v>8541</v>
      </c>
      <c r="O120" s="3">
        <v>14.4</v>
      </c>
      <c r="P120" s="3" t="str">
        <f t="shared" si="1"/>
        <v>NORMAL</v>
      </c>
      <c r="Q120" s="3" cm="1">
        <f t="array" aca="1" ref="Q120" ca="1">AVERAGE(OFFSET(tbl_Process[[#This Row],[Temp_Firing_C]], MAX(1-ROW()+ROW(tbl_Process[#Headers]), -23), 0, MIN(ROW()-ROW(tbl_Process[#Headers]), 24), 1))</f>
        <v>1301.0583333333332</v>
      </c>
      <c r="R120" s="3" t="e" cm="1" vm="1">
        <f t="array" aca="1" ref="R120" ca="1">tbl_Process[Temp_Firing_C] - AVERAGE(tbl_Zones[[Target_Temp_Min_C]:[Target_Temp_Max_C]])</f>
        <v>#VALUE!</v>
      </c>
    </row>
    <row r="121" spans="1:18" x14ac:dyDescent="0.3">
      <c r="A121" s="2" t="s">
        <v>138</v>
      </c>
      <c r="B121" s="2" t="s">
        <v>16</v>
      </c>
      <c r="C121" s="2" t="s">
        <v>17</v>
      </c>
      <c r="D121" s="3">
        <v>422.6</v>
      </c>
      <c r="E121" s="3">
        <v>3.26</v>
      </c>
      <c r="F121" s="3">
        <v>315.7</v>
      </c>
      <c r="G121" s="3">
        <v>369.9</v>
      </c>
      <c r="H121" s="3">
        <v>944.2</v>
      </c>
      <c r="I121" s="4">
        <v>1284.7</v>
      </c>
      <c r="J121" s="4">
        <v>1221.0999999999999</v>
      </c>
      <c r="K121" s="3">
        <v>157.80000000000001</v>
      </c>
      <c r="L121" s="3">
        <v>4.08</v>
      </c>
      <c r="M121" s="4">
        <v>406901</v>
      </c>
      <c r="N121" s="4">
        <v>8167</v>
      </c>
      <c r="O121" s="3">
        <v>14.75</v>
      </c>
      <c r="P121" s="3" t="str">
        <f t="shared" si="1"/>
        <v>NORMAL</v>
      </c>
      <c r="Q121" s="3" cm="1">
        <f t="array" aca="1" ref="Q121" ca="1">AVERAGE(OFFSET(tbl_Process[[#This Row],[Temp_Firing_C]], MAX(1-ROW()+ROW(tbl_Process[#Headers]), -23), 0, MIN(ROW()-ROW(tbl_Process[#Headers]), 24), 1))</f>
        <v>1300.1333333333334</v>
      </c>
      <c r="R121" s="3" t="e" cm="1" vm="1">
        <f t="array" aca="1" ref="R121" ca="1">tbl_Process[Temp_Firing_C] - AVERAGE(tbl_Zones[[Target_Temp_Min_C]:[Target_Temp_Max_C]])</f>
        <v>#VALUE!</v>
      </c>
    </row>
    <row r="122" spans="1:18" x14ac:dyDescent="0.3">
      <c r="A122" s="2" t="s">
        <v>139</v>
      </c>
      <c r="B122" s="2" t="s">
        <v>16</v>
      </c>
      <c r="C122" s="2" t="s">
        <v>17</v>
      </c>
      <c r="D122" s="3">
        <v>417.3</v>
      </c>
      <c r="E122" s="3">
        <v>3.23</v>
      </c>
      <c r="F122" s="3">
        <v>309.3</v>
      </c>
      <c r="G122" s="3">
        <v>387</v>
      </c>
      <c r="H122" s="3">
        <v>953.6</v>
      </c>
      <c r="I122" s="4">
        <v>1301.0999999999999</v>
      </c>
      <c r="J122" s="4">
        <v>1250.0999999999999</v>
      </c>
      <c r="K122" s="3">
        <v>166</v>
      </c>
      <c r="L122" s="3">
        <v>4.03</v>
      </c>
      <c r="M122" s="4">
        <v>418122</v>
      </c>
      <c r="N122" s="4">
        <v>8474</v>
      </c>
      <c r="O122" s="3">
        <v>14.35</v>
      </c>
      <c r="P122" s="3" t="str">
        <f t="shared" si="1"/>
        <v>NORMAL</v>
      </c>
      <c r="Q122" s="3" cm="1">
        <f t="array" aca="1" ref="Q122" ca="1">AVERAGE(OFFSET(tbl_Process[[#This Row],[Temp_Firing_C]], MAX(1-ROW()+ROW(tbl_Process[#Headers]), -23), 0, MIN(ROW()-ROW(tbl_Process[#Headers]), 24), 1))</f>
        <v>1299.5958333333331</v>
      </c>
      <c r="R122" s="3" t="e" cm="1" vm="1">
        <f t="array" aca="1" ref="R122" ca="1">tbl_Process[Temp_Firing_C] - AVERAGE(tbl_Zones[[Target_Temp_Min_C]:[Target_Temp_Max_C]])</f>
        <v>#VALUE!</v>
      </c>
    </row>
    <row r="123" spans="1:18" x14ac:dyDescent="0.3">
      <c r="A123" s="2" t="s">
        <v>140</v>
      </c>
      <c r="B123" s="2" t="s">
        <v>16</v>
      </c>
      <c r="C123" s="2" t="s">
        <v>17</v>
      </c>
      <c r="D123" s="3">
        <v>419.6</v>
      </c>
      <c r="E123" s="3">
        <v>3.17</v>
      </c>
      <c r="F123" s="3">
        <v>326.8</v>
      </c>
      <c r="G123" s="3">
        <v>376.6</v>
      </c>
      <c r="H123" s="3">
        <v>983.7</v>
      </c>
      <c r="I123" s="4">
        <v>1300.5</v>
      </c>
      <c r="J123" s="4">
        <v>1246.2</v>
      </c>
      <c r="K123" s="3">
        <v>160.5</v>
      </c>
      <c r="L123" s="3">
        <v>4.1900000000000004</v>
      </c>
      <c r="M123" s="4">
        <v>417554</v>
      </c>
      <c r="N123" s="4">
        <v>8404</v>
      </c>
      <c r="O123" s="3">
        <v>14.39</v>
      </c>
      <c r="P123" s="3" t="str">
        <f t="shared" si="1"/>
        <v>NORMAL</v>
      </c>
      <c r="Q123" s="3" cm="1">
        <f t="array" aca="1" ref="Q123" ca="1">AVERAGE(OFFSET(tbl_Process[[#This Row],[Temp_Firing_C]], MAX(1-ROW()+ROW(tbl_Process[#Headers]), -23), 0, MIN(ROW()-ROW(tbl_Process[#Headers]), 24), 1))</f>
        <v>1299.6125</v>
      </c>
      <c r="R123" s="3" t="e" cm="1" vm="1">
        <f t="array" aca="1" ref="R123" ca="1">tbl_Process[Temp_Firing_C] - AVERAGE(tbl_Zones[[Target_Temp_Min_C]:[Target_Temp_Max_C]])</f>
        <v>#VALUE!</v>
      </c>
    </row>
    <row r="124" spans="1:18" x14ac:dyDescent="0.3">
      <c r="A124" s="2" t="s">
        <v>141</v>
      </c>
      <c r="B124" s="2" t="s">
        <v>16</v>
      </c>
      <c r="C124" s="2" t="s">
        <v>17</v>
      </c>
      <c r="D124" s="3">
        <v>424</v>
      </c>
      <c r="E124" s="3">
        <v>3.2</v>
      </c>
      <c r="F124" s="3">
        <v>310.7</v>
      </c>
      <c r="G124" s="3">
        <v>368.3</v>
      </c>
      <c r="H124" s="3">
        <v>939.6</v>
      </c>
      <c r="I124" s="4">
        <v>1286.5</v>
      </c>
      <c r="J124" s="4">
        <v>1222.2</v>
      </c>
      <c r="K124" s="3">
        <v>164.5</v>
      </c>
      <c r="L124" s="3">
        <v>4.1399999999999997</v>
      </c>
      <c r="M124" s="4">
        <v>409659</v>
      </c>
      <c r="N124" s="4">
        <v>8315</v>
      </c>
      <c r="O124" s="3">
        <v>14.31</v>
      </c>
      <c r="P124" s="3" t="str">
        <f t="shared" si="1"/>
        <v>NORMAL</v>
      </c>
      <c r="Q124" s="3" cm="1">
        <f t="array" aca="1" ref="Q124" ca="1">AVERAGE(OFFSET(tbl_Process[[#This Row],[Temp_Firing_C]], MAX(1-ROW()+ROW(tbl_Process[#Headers]), -23), 0, MIN(ROW()-ROW(tbl_Process[#Headers]), 24), 1))</f>
        <v>1298.6083333333333</v>
      </c>
      <c r="R124" s="3" t="e" cm="1" vm="1">
        <f t="array" aca="1" ref="R124" ca="1">tbl_Process[Temp_Firing_C] - AVERAGE(tbl_Zones[[Target_Temp_Min_C]:[Target_Temp_Max_C]])</f>
        <v>#VALUE!</v>
      </c>
    </row>
    <row r="125" spans="1:18" x14ac:dyDescent="0.3">
      <c r="A125" s="2" t="s">
        <v>142</v>
      </c>
      <c r="B125" s="2" t="s">
        <v>16</v>
      </c>
      <c r="C125" s="2" t="s">
        <v>17</v>
      </c>
      <c r="D125" s="3">
        <v>428.4</v>
      </c>
      <c r="E125" s="3">
        <v>3.08</v>
      </c>
      <c r="F125" s="3">
        <v>316.3</v>
      </c>
      <c r="G125" s="3">
        <v>390.2</v>
      </c>
      <c r="H125" s="3">
        <v>962.8</v>
      </c>
      <c r="I125" s="4">
        <v>1306</v>
      </c>
      <c r="J125" s="4">
        <v>1241.7</v>
      </c>
      <c r="K125" s="3">
        <v>160.80000000000001</v>
      </c>
      <c r="L125" s="3">
        <v>4.25</v>
      </c>
      <c r="M125" s="4">
        <v>418247</v>
      </c>
      <c r="N125" s="4">
        <v>8677</v>
      </c>
      <c r="O125" s="3">
        <v>13.72</v>
      </c>
      <c r="P125" s="3" t="str">
        <f t="shared" si="1"/>
        <v>NORMAL</v>
      </c>
      <c r="Q125" s="3" cm="1">
        <f t="array" aca="1" ref="Q125" ca="1">AVERAGE(OFFSET(tbl_Process[[#This Row],[Temp_Firing_C]], MAX(1-ROW()+ROW(tbl_Process[#Headers]), -23), 0, MIN(ROW()-ROW(tbl_Process[#Headers]), 24), 1))</f>
        <v>1298.425</v>
      </c>
      <c r="R125" s="3" t="e" cm="1" vm="1">
        <f t="array" aca="1" ref="R125" ca="1">tbl_Process[Temp_Firing_C] - AVERAGE(tbl_Zones[[Target_Temp_Min_C]:[Target_Temp_Max_C]])</f>
        <v>#VALUE!</v>
      </c>
    </row>
    <row r="126" spans="1:18" x14ac:dyDescent="0.3">
      <c r="A126" s="2" t="s">
        <v>143</v>
      </c>
      <c r="B126" s="2" t="s">
        <v>16</v>
      </c>
      <c r="C126" s="2" t="s">
        <v>17</v>
      </c>
      <c r="D126" s="3">
        <v>421.3</v>
      </c>
      <c r="E126" s="3">
        <v>3.21</v>
      </c>
      <c r="F126" s="3">
        <v>315.2</v>
      </c>
      <c r="G126" s="3">
        <v>378.4</v>
      </c>
      <c r="H126" s="3">
        <v>950.3</v>
      </c>
      <c r="I126" s="4">
        <v>1293.5</v>
      </c>
      <c r="J126" s="4">
        <v>1226.4000000000001</v>
      </c>
      <c r="K126" s="3">
        <v>153.80000000000001</v>
      </c>
      <c r="L126" s="3">
        <v>4.1500000000000004</v>
      </c>
      <c r="M126" s="4">
        <v>414805</v>
      </c>
      <c r="N126" s="4">
        <v>8507</v>
      </c>
      <c r="O126" s="3">
        <v>13.9</v>
      </c>
      <c r="P126" s="3" t="str">
        <f t="shared" si="1"/>
        <v>NORMAL</v>
      </c>
      <c r="Q126" s="3" cm="1">
        <f t="array" aca="1" ref="Q126" ca="1">AVERAGE(OFFSET(tbl_Process[[#This Row],[Temp_Firing_C]], MAX(1-ROW()+ROW(tbl_Process[#Headers]), -23), 0, MIN(ROW()-ROW(tbl_Process[#Headers]), 24), 1))</f>
        <v>1298.175</v>
      </c>
      <c r="R126" s="3" t="e" cm="1" vm="1">
        <f t="array" aca="1" ref="R126" ca="1">tbl_Process[Temp_Firing_C] - AVERAGE(tbl_Zones[[Target_Temp_Min_C]:[Target_Temp_Max_C]])</f>
        <v>#VALUE!</v>
      </c>
    </row>
    <row r="127" spans="1:18" x14ac:dyDescent="0.3">
      <c r="A127" s="2" t="s">
        <v>144</v>
      </c>
      <c r="B127" s="2" t="s">
        <v>16</v>
      </c>
      <c r="C127" s="2" t="s">
        <v>17</v>
      </c>
      <c r="D127" s="3">
        <v>417.7</v>
      </c>
      <c r="E127" s="3">
        <v>3.15</v>
      </c>
      <c r="F127" s="3">
        <v>327</v>
      </c>
      <c r="G127" s="3">
        <v>381</v>
      </c>
      <c r="H127" s="3">
        <v>955.6</v>
      </c>
      <c r="I127" s="4">
        <v>1306.5</v>
      </c>
      <c r="J127" s="4">
        <v>1228.9000000000001</v>
      </c>
      <c r="K127" s="3">
        <v>159.19999999999999</v>
      </c>
      <c r="L127" s="3">
        <v>4.29</v>
      </c>
      <c r="M127" s="4">
        <v>421633</v>
      </c>
      <c r="N127" s="4">
        <v>8586</v>
      </c>
      <c r="O127" s="3">
        <v>14.27</v>
      </c>
      <c r="P127" s="3" t="str">
        <f t="shared" si="1"/>
        <v>NORMAL</v>
      </c>
      <c r="Q127" s="3" cm="1">
        <f t="array" aca="1" ref="Q127" ca="1">AVERAGE(OFFSET(tbl_Process[[#This Row],[Temp_Firing_C]], MAX(1-ROW()+ROW(tbl_Process[#Headers]), -23), 0, MIN(ROW()-ROW(tbl_Process[#Headers]), 24), 1))</f>
        <v>1298.9833333333333</v>
      </c>
      <c r="R127" s="3" t="e" cm="1" vm="1">
        <f t="array" aca="1" ref="R127" ca="1">tbl_Process[Temp_Firing_C] - AVERAGE(tbl_Zones[[Target_Temp_Min_C]:[Target_Temp_Max_C]])</f>
        <v>#VALUE!</v>
      </c>
    </row>
    <row r="128" spans="1:18" x14ac:dyDescent="0.3">
      <c r="A128" s="2" t="s">
        <v>145</v>
      </c>
      <c r="B128" s="2" t="s">
        <v>24</v>
      </c>
      <c r="C128" s="2" t="s">
        <v>17</v>
      </c>
      <c r="D128" s="3">
        <v>423.6</v>
      </c>
      <c r="E128" s="3">
        <v>3.04</v>
      </c>
      <c r="F128" s="3">
        <v>309</v>
      </c>
      <c r="G128" s="3">
        <v>380.3</v>
      </c>
      <c r="H128" s="3">
        <v>949.6</v>
      </c>
      <c r="I128" s="4">
        <v>1313.1</v>
      </c>
      <c r="J128" s="4">
        <v>1246.2</v>
      </c>
      <c r="K128" s="3">
        <v>149.69999999999999</v>
      </c>
      <c r="L128" s="3">
        <v>3.94</v>
      </c>
      <c r="M128" s="4">
        <v>412734</v>
      </c>
      <c r="N128" s="4">
        <v>8629</v>
      </c>
      <c r="O128" s="3">
        <v>14.05</v>
      </c>
      <c r="P128" s="3" t="str">
        <f t="shared" si="1"/>
        <v>NORMAL</v>
      </c>
      <c r="Q128" s="3" cm="1">
        <f t="array" aca="1" ref="Q128" ca="1">AVERAGE(OFFSET(tbl_Process[[#This Row],[Temp_Firing_C]], MAX(1-ROW()+ROW(tbl_Process[#Headers]), -23), 0, MIN(ROW()-ROW(tbl_Process[#Headers]), 24), 1))</f>
        <v>1299.1333333333332</v>
      </c>
      <c r="R128" s="3" t="e" cm="1" vm="1">
        <f t="array" aca="1" ref="R128" ca="1">tbl_Process[Temp_Firing_C] - AVERAGE(tbl_Zones[[Target_Temp_Min_C]:[Target_Temp_Max_C]])</f>
        <v>#VALUE!</v>
      </c>
    </row>
    <row r="129" spans="1:18" x14ac:dyDescent="0.3">
      <c r="A129" s="2" t="s">
        <v>146</v>
      </c>
      <c r="B129" s="2" t="s">
        <v>24</v>
      </c>
      <c r="C129" s="2" t="s">
        <v>17</v>
      </c>
      <c r="D129" s="3">
        <v>418.3</v>
      </c>
      <c r="E129" s="3">
        <v>3.29</v>
      </c>
      <c r="F129" s="3">
        <v>326.2</v>
      </c>
      <c r="G129" s="3">
        <v>377.5</v>
      </c>
      <c r="H129" s="3">
        <v>932.5</v>
      </c>
      <c r="I129" s="4">
        <v>1307.4000000000001</v>
      </c>
      <c r="J129" s="4">
        <v>1245.7</v>
      </c>
      <c r="K129" s="3">
        <v>160.9</v>
      </c>
      <c r="L129" s="3">
        <v>4.21</v>
      </c>
      <c r="M129" s="4">
        <v>417255</v>
      </c>
      <c r="N129" s="4">
        <v>8830</v>
      </c>
      <c r="O129" s="3">
        <v>13.7</v>
      </c>
      <c r="P129" s="3" t="str">
        <f t="shared" si="1"/>
        <v>NORMAL</v>
      </c>
      <c r="Q129" s="3" cm="1">
        <f t="array" aca="1" ref="Q129" ca="1">AVERAGE(OFFSET(tbl_Process[[#This Row],[Temp_Firing_C]], MAX(1-ROW()+ROW(tbl_Process[#Headers]), -23), 0, MIN(ROW()-ROW(tbl_Process[#Headers]), 24), 1))</f>
        <v>1299.5791666666667</v>
      </c>
      <c r="R129" s="3" t="e" cm="1" vm="1">
        <f t="array" aca="1" ref="R129" ca="1">tbl_Process[Temp_Firing_C] - AVERAGE(tbl_Zones[[Target_Temp_Min_C]:[Target_Temp_Max_C]])</f>
        <v>#VALUE!</v>
      </c>
    </row>
    <row r="130" spans="1:18" x14ac:dyDescent="0.3">
      <c r="A130" s="2" t="s">
        <v>147</v>
      </c>
      <c r="B130" s="2" t="s">
        <v>24</v>
      </c>
      <c r="C130" s="2" t="s">
        <v>17</v>
      </c>
      <c r="D130" s="3">
        <v>423</v>
      </c>
      <c r="E130" s="3">
        <v>3.07</v>
      </c>
      <c r="F130" s="3">
        <v>313.3</v>
      </c>
      <c r="G130" s="3">
        <v>389.2</v>
      </c>
      <c r="H130" s="3">
        <v>954.7</v>
      </c>
      <c r="I130" s="4">
        <v>1308.8</v>
      </c>
      <c r="J130" s="4">
        <v>1245.2</v>
      </c>
      <c r="K130" s="3">
        <v>158.69999999999999</v>
      </c>
      <c r="L130" s="3">
        <v>4.26</v>
      </c>
      <c r="M130" s="4">
        <v>420756</v>
      </c>
      <c r="N130" s="4">
        <v>8392</v>
      </c>
      <c r="O130" s="3">
        <v>14.09</v>
      </c>
      <c r="P130" s="3" t="str">
        <f t="shared" ref="P130:P193" si="2">IF(L130&gt;4.5,"CRITICAL",IF(OR(I130&lt;1250,I130&gt;1330),"WARNING","NORMAL"))</f>
        <v>NORMAL</v>
      </c>
      <c r="Q130" s="3" cm="1">
        <f t="array" aca="1" ref="Q130" ca="1">AVERAGE(OFFSET(tbl_Process[[#This Row],[Temp_Firing_C]], MAX(1-ROW()+ROW(tbl_Process[#Headers]), -23), 0, MIN(ROW()-ROW(tbl_Process[#Headers]), 24), 1))</f>
        <v>1299.675</v>
      </c>
      <c r="R130" s="3" t="e" cm="1" vm="1">
        <f t="array" aca="1" ref="R130" ca="1">tbl_Process[Temp_Firing_C] - AVERAGE(tbl_Zones[[Target_Temp_Min_C]:[Target_Temp_Max_C]])</f>
        <v>#VALUE!</v>
      </c>
    </row>
    <row r="131" spans="1:18" x14ac:dyDescent="0.3">
      <c r="A131" s="2" t="s">
        <v>148</v>
      </c>
      <c r="B131" s="2" t="s">
        <v>24</v>
      </c>
      <c r="C131" s="2" t="s">
        <v>17</v>
      </c>
      <c r="D131" s="3">
        <v>422.2</v>
      </c>
      <c r="E131" s="3">
        <v>3.23</v>
      </c>
      <c r="F131" s="3">
        <v>309.3</v>
      </c>
      <c r="G131" s="3">
        <v>373.2</v>
      </c>
      <c r="H131" s="3">
        <v>950.4</v>
      </c>
      <c r="I131" s="4">
        <v>1298.5</v>
      </c>
      <c r="J131" s="4">
        <v>1225.2</v>
      </c>
      <c r="K131" s="3">
        <v>156</v>
      </c>
      <c r="L131" s="3">
        <v>4.04</v>
      </c>
      <c r="M131" s="4">
        <v>422430</v>
      </c>
      <c r="N131" s="4">
        <v>8579</v>
      </c>
      <c r="O131" s="3">
        <v>14.1</v>
      </c>
      <c r="P131" s="3" t="str">
        <f t="shared" si="2"/>
        <v>NORMAL</v>
      </c>
      <c r="Q131" s="3" cm="1">
        <f t="array" aca="1" ref="Q131" ca="1">AVERAGE(OFFSET(tbl_Process[[#This Row],[Temp_Firing_C]], MAX(1-ROW()+ROW(tbl_Process[#Headers]), -23), 0, MIN(ROW()-ROW(tbl_Process[#Headers]), 24), 1))</f>
        <v>1299.5125</v>
      </c>
      <c r="R131" s="3" t="e" cm="1" vm="1">
        <f t="array" aca="1" ref="R131" ca="1">tbl_Process[Temp_Firing_C] - AVERAGE(tbl_Zones[[Target_Temp_Min_C]:[Target_Temp_Max_C]])</f>
        <v>#VALUE!</v>
      </c>
    </row>
    <row r="132" spans="1:18" x14ac:dyDescent="0.3">
      <c r="A132" s="2" t="s">
        <v>149</v>
      </c>
      <c r="B132" s="2" t="s">
        <v>24</v>
      </c>
      <c r="C132" s="2" t="s">
        <v>17</v>
      </c>
      <c r="D132" s="3">
        <v>418.4</v>
      </c>
      <c r="E132" s="3">
        <v>3.21</v>
      </c>
      <c r="F132" s="3">
        <v>313.5</v>
      </c>
      <c r="G132" s="3">
        <v>369.8</v>
      </c>
      <c r="H132" s="3">
        <v>945.5</v>
      </c>
      <c r="I132" s="4">
        <v>1295.5999999999999</v>
      </c>
      <c r="J132" s="4">
        <v>1223.5999999999999</v>
      </c>
      <c r="K132" s="3">
        <v>159.69999999999999</v>
      </c>
      <c r="L132" s="3">
        <v>4.16</v>
      </c>
      <c r="M132" s="4">
        <v>413653</v>
      </c>
      <c r="N132" s="4">
        <v>8450</v>
      </c>
      <c r="O132" s="3">
        <v>14.19</v>
      </c>
      <c r="P132" s="3" t="str">
        <f t="shared" si="2"/>
        <v>NORMAL</v>
      </c>
      <c r="Q132" s="3" cm="1">
        <f t="array" aca="1" ref="Q132" ca="1">AVERAGE(OFFSET(tbl_Process[[#This Row],[Temp_Firing_C]], MAX(1-ROW()+ROW(tbl_Process[#Headers]), -23), 0, MIN(ROW()-ROW(tbl_Process[#Headers]), 24), 1))</f>
        <v>1298.6916666666666</v>
      </c>
      <c r="R132" s="3" t="e" cm="1" vm="1">
        <f t="array" aca="1" ref="R132" ca="1">tbl_Process[Temp_Firing_C] - AVERAGE(tbl_Zones[[Target_Temp_Min_C]:[Target_Temp_Max_C]])</f>
        <v>#VALUE!</v>
      </c>
    </row>
    <row r="133" spans="1:18" x14ac:dyDescent="0.3">
      <c r="A133" s="2" t="s">
        <v>150</v>
      </c>
      <c r="B133" s="2" t="s">
        <v>24</v>
      </c>
      <c r="C133" s="2" t="s">
        <v>17</v>
      </c>
      <c r="D133" s="3">
        <v>421.4</v>
      </c>
      <c r="E133" s="3">
        <v>3.2</v>
      </c>
      <c r="F133" s="3">
        <v>309.3</v>
      </c>
      <c r="G133" s="3">
        <v>368.5</v>
      </c>
      <c r="H133" s="3">
        <v>956.4</v>
      </c>
      <c r="I133" s="4">
        <v>1308</v>
      </c>
      <c r="J133" s="4">
        <v>1229.7</v>
      </c>
      <c r="K133" s="3">
        <v>160.4</v>
      </c>
      <c r="L133" s="3">
        <v>4.25</v>
      </c>
      <c r="M133" s="4">
        <v>420904</v>
      </c>
      <c r="N133" s="4">
        <v>8662</v>
      </c>
      <c r="O133" s="3">
        <v>13.89</v>
      </c>
      <c r="P133" s="3" t="str">
        <f t="shared" si="2"/>
        <v>NORMAL</v>
      </c>
      <c r="Q133" s="3" cm="1">
        <f t="array" aca="1" ref="Q133" ca="1">AVERAGE(OFFSET(tbl_Process[[#This Row],[Temp_Firing_C]], MAX(1-ROW()+ROW(tbl_Process[#Headers]), -23), 0, MIN(ROW()-ROW(tbl_Process[#Headers]), 24), 1))</f>
        <v>1298.7</v>
      </c>
      <c r="R133" s="3" t="e" cm="1" vm="1">
        <f t="array" aca="1" ref="R133" ca="1">tbl_Process[Temp_Firing_C] - AVERAGE(tbl_Zones[[Target_Temp_Min_C]:[Target_Temp_Max_C]])</f>
        <v>#VALUE!</v>
      </c>
    </row>
    <row r="134" spans="1:18" x14ac:dyDescent="0.3">
      <c r="A134" s="2" t="s">
        <v>151</v>
      </c>
      <c r="B134" s="2" t="s">
        <v>24</v>
      </c>
      <c r="C134" s="2" t="s">
        <v>17</v>
      </c>
      <c r="D134" s="3">
        <v>419.5</v>
      </c>
      <c r="E134" s="3">
        <v>3.07</v>
      </c>
      <c r="F134" s="3">
        <v>303.60000000000002</v>
      </c>
      <c r="G134" s="3">
        <v>383.5</v>
      </c>
      <c r="H134" s="3">
        <v>943.5</v>
      </c>
      <c r="I134" s="4">
        <v>1295.0999999999999</v>
      </c>
      <c r="J134" s="4">
        <v>1221.8</v>
      </c>
      <c r="K134" s="3">
        <v>151.4</v>
      </c>
      <c r="L134" s="3">
        <v>4.03</v>
      </c>
      <c r="M134" s="4">
        <v>416564</v>
      </c>
      <c r="N134" s="4">
        <v>8487</v>
      </c>
      <c r="O134" s="3">
        <v>14.32</v>
      </c>
      <c r="P134" s="3" t="str">
        <f t="shared" si="2"/>
        <v>NORMAL</v>
      </c>
      <c r="Q134" s="3" cm="1">
        <f t="array" aca="1" ref="Q134" ca="1">AVERAGE(OFFSET(tbl_Process[[#This Row],[Temp_Firing_C]], MAX(1-ROW()+ROW(tbl_Process[#Headers]), -23), 0, MIN(ROW()-ROW(tbl_Process[#Headers]), 24), 1))</f>
        <v>1299.1916666666668</v>
      </c>
      <c r="R134" s="3" t="e" cm="1" vm="1">
        <f t="array" aca="1" ref="R134" ca="1">tbl_Process[Temp_Firing_C] - AVERAGE(tbl_Zones[[Target_Temp_Min_C]:[Target_Temp_Max_C]])</f>
        <v>#VALUE!</v>
      </c>
    </row>
    <row r="135" spans="1:18" x14ac:dyDescent="0.3">
      <c r="A135" s="2" t="s">
        <v>152</v>
      </c>
      <c r="B135" s="2" t="s">
        <v>24</v>
      </c>
      <c r="C135" s="2" t="s">
        <v>17</v>
      </c>
      <c r="D135" s="3">
        <v>421.3</v>
      </c>
      <c r="E135" s="3">
        <v>3.22</v>
      </c>
      <c r="F135" s="3">
        <v>326.8</v>
      </c>
      <c r="G135" s="3">
        <v>368.9</v>
      </c>
      <c r="H135" s="3">
        <v>953.9</v>
      </c>
      <c r="I135" s="4">
        <v>1306.8</v>
      </c>
      <c r="J135" s="4">
        <v>1249.4000000000001</v>
      </c>
      <c r="K135" s="3">
        <v>151.1</v>
      </c>
      <c r="L135" s="3">
        <v>4.07</v>
      </c>
      <c r="M135" s="4">
        <v>425977</v>
      </c>
      <c r="N135" s="4">
        <v>8643</v>
      </c>
      <c r="O135" s="3">
        <v>14.13</v>
      </c>
      <c r="P135" s="3" t="str">
        <f t="shared" si="2"/>
        <v>NORMAL</v>
      </c>
      <c r="Q135" s="3" cm="1">
        <f t="array" aca="1" ref="Q135" ca="1">AVERAGE(OFFSET(tbl_Process[[#This Row],[Temp_Firing_C]], MAX(1-ROW()+ROW(tbl_Process[#Headers]), -23), 0, MIN(ROW()-ROW(tbl_Process[#Headers]), 24), 1))</f>
        <v>1299.3916666666667</v>
      </c>
      <c r="R135" s="3" t="e" cm="1" vm="1">
        <f t="array" aca="1" ref="R135" ca="1">tbl_Process[Temp_Firing_C] - AVERAGE(tbl_Zones[[Target_Temp_Min_C]:[Target_Temp_Max_C]])</f>
        <v>#VALUE!</v>
      </c>
    </row>
    <row r="136" spans="1:18" x14ac:dyDescent="0.3">
      <c r="A136" s="2" t="s">
        <v>153</v>
      </c>
      <c r="B136" s="2" t="s">
        <v>33</v>
      </c>
      <c r="C136" s="2" t="s">
        <v>17</v>
      </c>
      <c r="D136" s="3">
        <v>419.1</v>
      </c>
      <c r="E136" s="3">
        <v>3.17</v>
      </c>
      <c r="F136" s="3">
        <v>318.7</v>
      </c>
      <c r="G136" s="3">
        <v>374.2</v>
      </c>
      <c r="H136" s="3">
        <v>953.4</v>
      </c>
      <c r="I136" s="4">
        <v>1297.5</v>
      </c>
      <c r="J136" s="4">
        <v>1228.4000000000001</v>
      </c>
      <c r="K136" s="3">
        <v>160.6</v>
      </c>
      <c r="L136" s="3">
        <v>4.42</v>
      </c>
      <c r="M136" s="4">
        <v>413331</v>
      </c>
      <c r="N136" s="4">
        <v>8509</v>
      </c>
      <c r="O136" s="3">
        <v>14</v>
      </c>
      <c r="P136" s="3" t="str">
        <f t="shared" si="2"/>
        <v>NORMAL</v>
      </c>
      <c r="Q136" s="3" cm="1">
        <f t="array" aca="1" ref="Q136" ca="1">AVERAGE(OFFSET(tbl_Process[[#This Row],[Temp_Firing_C]], MAX(1-ROW()+ROW(tbl_Process[#Headers]), -23), 0, MIN(ROW()-ROW(tbl_Process[#Headers]), 24), 1))</f>
        <v>1299.0583333333332</v>
      </c>
      <c r="R136" s="3" t="e" cm="1" vm="1">
        <f t="array" aca="1" ref="R136" ca="1">tbl_Process[Temp_Firing_C] - AVERAGE(tbl_Zones[[Target_Temp_Min_C]:[Target_Temp_Max_C]])</f>
        <v>#VALUE!</v>
      </c>
    </row>
    <row r="137" spans="1:18" x14ac:dyDescent="0.3">
      <c r="A137" s="2" t="s">
        <v>154</v>
      </c>
      <c r="B137" s="2" t="s">
        <v>33</v>
      </c>
      <c r="C137" s="2" t="s">
        <v>17</v>
      </c>
      <c r="D137" s="3">
        <v>422.3</v>
      </c>
      <c r="E137" s="3">
        <v>3.2</v>
      </c>
      <c r="F137" s="3">
        <v>321.2</v>
      </c>
      <c r="G137" s="3">
        <v>383.8</v>
      </c>
      <c r="H137" s="3">
        <v>955.7</v>
      </c>
      <c r="I137" s="4">
        <v>1305.2</v>
      </c>
      <c r="J137" s="4">
        <v>1226.0999999999999</v>
      </c>
      <c r="K137" s="3">
        <v>165.7</v>
      </c>
      <c r="L137" s="3">
        <v>4.16</v>
      </c>
      <c r="M137" s="4">
        <v>424708</v>
      </c>
      <c r="N137" s="4">
        <v>8416</v>
      </c>
      <c r="O137" s="3">
        <v>14.06</v>
      </c>
      <c r="P137" s="3" t="str">
        <f t="shared" si="2"/>
        <v>NORMAL</v>
      </c>
      <c r="Q137" s="3" cm="1">
        <f t="array" aca="1" ref="Q137" ca="1">AVERAGE(OFFSET(tbl_Process[[#This Row],[Temp_Firing_C]], MAX(1-ROW()+ROW(tbl_Process[#Headers]), -23), 0, MIN(ROW()-ROW(tbl_Process[#Headers]), 24), 1))</f>
        <v>1299.1916666666664</v>
      </c>
      <c r="R137" s="3" t="e" cm="1" vm="1">
        <f t="array" aca="1" ref="R137" ca="1">tbl_Process[Temp_Firing_C] - AVERAGE(tbl_Zones[[Target_Temp_Min_C]:[Target_Temp_Max_C]])</f>
        <v>#VALUE!</v>
      </c>
    </row>
    <row r="138" spans="1:18" x14ac:dyDescent="0.3">
      <c r="A138" s="2" t="s">
        <v>155</v>
      </c>
      <c r="B138" s="2" t="s">
        <v>33</v>
      </c>
      <c r="C138" s="2" t="s">
        <v>17</v>
      </c>
      <c r="D138" s="3">
        <v>420.6</v>
      </c>
      <c r="E138" s="3">
        <v>3.2</v>
      </c>
      <c r="F138" s="3">
        <v>318.2</v>
      </c>
      <c r="G138" s="3">
        <v>382.9</v>
      </c>
      <c r="H138" s="3">
        <v>931.8</v>
      </c>
      <c r="I138" s="4">
        <v>1303.4000000000001</v>
      </c>
      <c r="J138" s="4">
        <v>1238.4000000000001</v>
      </c>
      <c r="K138" s="3">
        <v>156.6</v>
      </c>
      <c r="L138" s="3">
        <v>3.92</v>
      </c>
      <c r="M138" s="4">
        <v>422373</v>
      </c>
      <c r="N138" s="4">
        <v>8251</v>
      </c>
      <c r="O138" s="3">
        <v>14.56</v>
      </c>
      <c r="P138" s="3" t="str">
        <f t="shared" si="2"/>
        <v>NORMAL</v>
      </c>
      <c r="Q138" s="3" cm="1">
        <f t="array" aca="1" ref="Q138" ca="1">AVERAGE(OFFSET(tbl_Process[[#This Row],[Temp_Firing_C]], MAX(1-ROW()+ROW(tbl_Process[#Headers]), -23), 0, MIN(ROW()-ROW(tbl_Process[#Headers]), 24), 1))</f>
        <v>1299.5374999999999</v>
      </c>
      <c r="R138" s="3" t="e" cm="1" vm="1">
        <f t="array" aca="1" ref="R138" ca="1">tbl_Process[Temp_Firing_C] - AVERAGE(tbl_Zones[[Target_Temp_Min_C]:[Target_Temp_Max_C]])</f>
        <v>#VALUE!</v>
      </c>
    </row>
    <row r="139" spans="1:18" x14ac:dyDescent="0.3">
      <c r="A139" s="2" t="s">
        <v>156</v>
      </c>
      <c r="B139" s="2" t="s">
        <v>33</v>
      </c>
      <c r="C139" s="2" t="s">
        <v>17</v>
      </c>
      <c r="D139" s="3">
        <v>414</v>
      </c>
      <c r="E139" s="3">
        <v>3.2</v>
      </c>
      <c r="F139" s="3">
        <v>315.60000000000002</v>
      </c>
      <c r="G139" s="3">
        <v>383.3</v>
      </c>
      <c r="H139" s="3">
        <v>950.6</v>
      </c>
      <c r="I139" s="4">
        <v>1289.7</v>
      </c>
      <c r="J139" s="4">
        <v>1221.7</v>
      </c>
      <c r="K139" s="3">
        <v>163.9</v>
      </c>
      <c r="L139" s="3">
        <v>4.08</v>
      </c>
      <c r="M139" s="4">
        <v>416796</v>
      </c>
      <c r="N139" s="4">
        <v>8348</v>
      </c>
      <c r="O139" s="3">
        <v>13.93</v>
      </c>
      <c r="P139" s="3" t="str">
        <f t="shared" si="2"/>
        <v>NORMAL</v>
      </c>
      <c r="Q139" s="3" cm="1">
        <f t="array" aca="1" ref="Q139" ca="1">AVERAGE(OFFSET(tbl_Process[[#This Row],[Temp_Firing_C]], MAX(1-ROW()+ROW(tbl_Process[#Headers]), -23), 0, MIN(ROW()-ROW(tbl_Process[#Headers]), 24), 1))</f>
        <v>1298.9916666666666</v>
      </c>
      <c r="R139" s="3" t="e" cm="1" vm="1">
        <f t="array" aca="1" ref="R139" ca="1">tbl_Process[Temp_Firing_C] - AVERAGE(tbl_Zones[[Target_Temp_Min_C]:[Target_Temp_Max_C]])</f>
        <v>#VALUE!</v>
      </c>
    </row>
    <row r="140" spans="1:18" x14ac:dyDescent="0.3">
      <c r="A140" s="2" t="s">
        <v>157</v>
      </c>
      <c r="B140" s="2" t="s">
        <v>33</v>
      </c>
      <c r="C140" s="2" t="s">
        <v>17</v>
      </c>
      <c r="D140" s="3">
        <v>421.6</v>
      </c>
      <c r="E140" s="3">
        <v>3.06</v>
      </c>
      <c r="F140" s="3">
        <v>320.8</v>
      </c>
      <c r="G140" s="3">
        <v>376</v>
      </c>
      <c r="H140" s="3">
        <v>981.3</v>
      </c>
      <c r="I140" s="4">
        <v>1286.4000000000001</v>
      </c>
      <c r="J140" s="4">
        <v>1220.8</v>
      </c>
      <c r="K140" s="3">
        <v>166.5</v>
      </c>
      <c r="L140" s="3">
        <v>4.22</v>
      </c>
      <c r="M140" s="4">
        <v>415115</v>
      </c>
      <c r="N140" s="4">
        <v>8364</v>
      </c>
      <c r="O140" s="3">
        <v>14.31</v>
      </c>
      <c r="P140" s="3" t="str">
        <f t="shared" si="2"/>
        <v>NORMAL</v>
      </c>
      <c r="Q140" s="3" cm="1">
        <f t="array" aca="1" ref="Q140" ca="1">AVERAGE(OFFSET(tbl_Process[[#This Row],[Temp_Firing_C]], MAX(1-ROW()+ROW(tbl_Process[#Headers]), -23), 0, MIN(ROW()-ROW(tbl_Process[#Headers]), 24), 1))</f>
        <v>1299.1583333333333</v>
      </c>
      <c r="R140" s="3" t="e" cm="1" vm="1">
        <f t="array" aca="1" ref="R140" ca="1">tbl_Process[Temp_Firing_C] - AVERAGE(tbl_Zones[[Target_Temp_Min_C]:[Target_Temp_Max_C]])</f>
        <v>#VALUE!</v>
      </c>
    </row>
    <row r="141" spans="1:18" x14ac:dyDescent="0.3">
      <c r="A141" s="2" t="s">
        <v>158</v>
      </c>
      <c r="B141" s="2" t="s">
        <v>33</v>
      </c>
      <c r="C141" s="2" t="s">
        <v>17</v>
      </c>
      <c r="D141" s="3">
        <v>421.1</v>
      </c>
      <c r="E141" s="3">
        <v>3.14</v>
      </c>
      <c r="F141" s="3">
        <v>315.89999999999998</v>
      </c>
      <c r="G141" s="3">
        <v>364.1</v>
      </c>
      <c r="H141" s="3">
        <v>954.5</v>
      </c>
      <c r="I141" s="4">
        <v>1299.0999999999999</v>
      </c>
      <c r="J141" s="4">
        <v>1232.7</v>
      </c>
      <c r="K141" s="3">
        <v>149.5</v>
      </c>
      <c r="L141" s="3">
        <v>4.21</v>
      </c>
      <c r="M141" s="4">
        <v>421114</v>
      </c>
      <c r="N141" s="4">
        <v>8402</v>
      </c>
      <c r="O141" s="3">
        <v>14.21</v>
      </c>
      <c r="P141" s="3" t="str">
        <f t="shared" si="2"/>
        <v>NORMAL</v>
      </c>
      <c r="Q141" s="3" cm="1">
        <f t="array" aca="1" ref="Q141" ca="1">AVERAGE(OFFSET(tbl_Process[[#This Row],[Temp_Firing_C]], MAX(1-ROW()+ROW(tbl_Process[#Headers]), -23), 0, MIN(ROW()-ROW(tbl_Process[#Headers]), 24), 1))</f>
        <v>1299.2874999999999</v>
      </c>
      <c r="R141" s="3" t="e" cm="1" vm="1">
        <f t="array" aca="1" ref="R141" ca="1">tbl_Process[Temp_Firing_C] - AVERAGE(tbl_Zones[[Target_Temp_Min_C]:[Target_Temp_Max_C]])</f>
        <v>#VALUE!</v>
      </c>
    </row>
    <row r="142" spans="1:18" x14ac:dyDescent="0.3">
      <c r="A142" s="2" t="s">
        <v>159</v>
      </c>
      <c r="B142" s="2" t="s">
        <v>33</v>
      </c>
      <c r="C142" s="2" t="s">
        <v>17</v>
      </c>
      <c r="D142" s="3">
        <v>414</v>
      </c>
      <c r="E142" s="3">
        <v>3.12</v>
      </c>
      <c r="F142" s="3">
        <v>313.39999999999998</v>
      </c>
      <c r="G142" s="3">
        <v>384.1</v>
      </c>
      <c r="H142" s="3">
        <v>945.6</v>
      </c>
      <c r="I142" s="4">
        <v>1301.0999999999999</v>
      </c>
      <c r="J142" s="4">
        <v>1232.9000000000001</v>
      </c>
      <c r="K142" s="3">
        <v>159</v>
      </c>
      <c r="L142" s="3">
        <v>3.98</v>
      </c>
      <c r="M142" s="4">
        <v>423254</v>
      </c>
      <c r="N142" s="4">
        <v>8449</v>
      </c>
      <c r="O142" s="3">
        <v>13.85</v>
      </c>
      <c r="P142" s="3" t="str">
        <f t="shared" si="2"/>
        <v>NORMAL</v>
      </c>
      <c r="Q142" s="3" cm="1">
        <f t="array" aca="1" ref="Q142" ca="1">AVERAGE(OFFSET(tbl_Process[[#This Row],[Temp_Firing_C]], MAX(1-ROW()+ROW(tbl_Process[#Headers]), -23), 0, MIN(ROW()-ROW(tbl_Process[#Headers]), 24), 1))</f>
        <v>1299.5791666666667</v>
      </c>
      <c r="R142" s="3" t="e" cm="1" vm="1">
        <f t="array" aca="1" ref="R142" ca="1">tbl_Process[Temp_Firing_C] - AVERAGE(tbl_Zones[[Target_Temp_Min_C]:[Target_Temp_Max_C]])</f>
        <v>#VALUE!</v>
      </c>
    </row>
    <row r="143" spans="1:18" x14ac:dyDescent="0.3">
      <c r="A143" s="2" t="s">
        <v>160</v>
      </c>
      <c r="B143" s="2" t="s">
        <v>33</v>
      </c>
      <c r="C143" s="2" t="s">
        <v>17</v>
      </c>
      <c r="D143" s="3">
        <v>414.5</v>
      </c>
      <c r="E143" s="3">
        <v>3.16</v>
      </c>
      <c r="F143" s="3">
        <v>309.39999999999998</v>
      </c>
      <c r="G143" s="3">
        <v>378.7</v>
      </c>
      <c r="H143" s="3">
        <v>948.2</v>
      </c>
      <c r="I143" s="4">
        <v>1315.7</v>
      </c>
      <c r="J143" s="4">
        <v>1240.3</v>
      </c>
      <c r="K143" s="3">
        <v>159</v>
      </c>
      <c r="L143" s="3">
        <v>3.88</v>
      </c>
      <c r="M143" s="4">
        <v>421099</v>
      </c>
      <c r="N143" s="4">
        <v>8705</v>
      </c>
      <c r="O143" s="3">
        <v>13.45</v>
      </c>
      <c r="P143" s="3" t="str">
        <f t="shared" si="2"/>
        <v>NORMAL</v>
      </c>
      <c r="Q143" s="3" cm="1">
        <f t="array" aca="1" ref="Q143" ca="1">AVERAGE(OFFSET(tbl_Process[[#This Row],[Temp_Firing_C]], MAX(1-ROW()+ROW(tbl_Process[#Headers]), -23), 0, MIN(ROW()-ROW(tbl_Process[#Headers]), 24), 1))</f>
        <v>1300.2249999999999</v>
      </c>
      <c r="R143" s="3" t="e" cm="1" vm="1">
        <f t="array" aca="1" ref="R143" ca="1">tbl_Process[Temp_Firing_C] - AVERAGE(tbl_Zones[[Target_Temp_Min_C]:[Target_Temp_Max_C]])</f>
        <v>#VALUE!</v>
      </c>
    </row>
    <row r="144" spans="1:18" x14ac:dyDescent="0.3">
      <c r="A144" s="2" t="s">
        <v>161</v>
      </c>
      <c r="B144" s="2" t="s">
        <v>16</v>
      </c>
      <c r="C144" s="2" t="s">
        <v>17</v>
      </c>
      <c r="D144" s="3">
        <v>420.9</v>
      </c>
      <c r="E144" s="3">
        <v>3.35</v>
      </c>
      <c r="F144" s="3">
        <v>314.5</v>
      </c>
      <c r="G144" s="3">
        <v>378.2</v>
      </c>
      <c r="H144" s="3">
        <v>966.8</v>
      </c>
      <c r="I144" s="4">
        <v>1296.4000000000001</v>
      </c>
      <c r="J144" s="4">
        <v>1227.9000000000001</v>
      </c>
      <c r="K144" s="3">
        <v>146.80000000000001</v>
      </c>
      <c r="L144" s="3">
        <v>4.22</v>
      </c>
      <c r="M144" s="4">
        <v>418956</v>
      </c>
      <c r="N144" s="4">
        <v>8335</v>
      </c>
      <c r="O144" s="3">
        <v>14.36</v>
      </c>
      <c r="P144" s="3" t="str">
        <f t="shared" si="2"/>
        <v>NORMAL</v>
      </c>
      <c r="Q144" s="3" cm="1">
        <f t="array" aca="1" ref="Q144" ca="1">AVERAGE(OFFSET(tbl_Process[[#This Row],[Temp_Firing_C]], MAX(1-ROW()+ROW(tbl_Process[#Headers]), -23), 0, MIN(ROW()-ROW(tbl_Process[#Headers]), 24), 1))</f>
        <v>1300.2749999999999</v>
      </c>
      <c r="R144" s="3" t="e" cm="1" vm="1">
        <f t="array" aca="1" ref="R144" ca="1">tbl_Process[Temp_Firing_C] - AVERAGE(tbl_Zones[[Target_Temp_Min_C]:[Target_Temp_Max_C]])</f>
        <v>#VALUE!</v>
      </c>
    </row>
    <row r="145" spans="1:18" x14ac:dyDescent="0.3">
      <c r="A145" s="2" t="s">
        <v>162</v>
      </c>
      <c r="B145" s="2" t="s">
        <v>16</v>
      </c>
      <c r="C145" s="2" t="s">
        <v>17</v>
      </c>
      <c r="D145" s="3">
        <v>417.7</v>
      </c>
      <c r="E145" s="3">
        <v>3.16</v>
      </c>
      <c r="F145" s="3">
        <v>321.3</v>
      </c>
      <c r="G145" s="3">
        <v>367.5</v>
      </c>
      <c r="H145" s="3">
        <v>967.9</v>
      </c>
      <c r="I145" s="4">
        <v>1287.5999999999999</v>
      </c>
      <c r="J145" s="4">
        <v>1218.5999999999999</v>
      </c>
      <c r="K145" s="3">
        <v>168.1</v>
      </c>
      <c r="L145" s="3">
        <v>4.1900000000000004</v>
      </c>
      <c r="M145" s="4">
        <v>418110</v>
      </c>
      <c r="N145" s="4">
        <v>8238</v>
      </c>
      <c r="O145" s="3">
        <v>14.28</v>
      </c>
      <c r="P145" s="3" t="str">
        <f t="shared" si="2"/>
        <v>NORMAL</v>
      </c>
      <c r="Q145" s="3" cm="1">
        <f t="array" aca="1" ref="Q145" ca="1">AVERAGE(OFFSET(tbl_Process[[#This Row],[Temp_Firing_C]], MAX(1-ROW()+ROW(tbl_Process[#Headers]), -23), 0, MIN(ROW()-ROW(tbl_Process[#Headers]), 24), 1))</f>
        <v>1300.3958333333333</v>
      </c>
      <c r="R145" s="3" t="e" cm="1" vm="1">
        <f t="array" aca="1" ref="R145" ca="1">tbl_Process[Temp_Firing_C] - AVERAGE(tbl_Zones[[Target_Temp_Min_C]:[Target_Temp_Max_C]])</f>
        <v>#VALUE!</v>
      </c>
    </row>
    <row r="146" spans="1:18" x14ac:dyDescent="0.3">
      <c r="A146" s="2" t="s">
        <v>163</v>
      </c>
      <c r="B146" s="2" t="s">
        <v>16</v>
      </c>
      <c r="C146" s="2" t="s">
        <v>17</v>
      </c>
      <c r="D146" s="3">
        <v>420.3</v>
      </c>
      <c r="E146" s="3">
        <v>3.2</v>
      </c>
      <c r="F146" s="3">
        <v>317.60000000000002</v>
      </c>
      <c r="G146" s="3">
        <v>377.3</v>
      </c>
      <c r="H146" s="3">
        <v>953.7</v>
      </c>
      <c r="I146" s="4">
        <v>1288.5</v>
      </c>
      <c r="J146" s="4">
        <v>1220.4000000000001</v>
      </c>
      <c r="K146" s="3">
        <v>163.30000000000001</v>
      </c>
      <c r="L146" s="3">
        <v>3.93</v>
      </c>
      <c r="M146" s="4">
        <v>417267</v>
      </c>
      <c r="N146" s="4">
        <v>8264</v>
      </c>
      <c r="O146" s="3">
        <v>14.42</v>
      </c>
      <c r="P146" s="3" t="str">
        <f t="shared" si="2"/>
        <v>NORMAL</v>
      </c>
      <c r="Q146" s="3" cm="1">
        <f t="array" aca="1" ref="Q146" ca="1">AVERAGE(OFFSET(tbl_Process[[#This Row],[Temp_Firing_C]], MAX(1-ROW()+ROW(tbl_Process[#Headers]), -23), 0, MIN(ROW()-ROW(tbl_Process[#Headers]), 24), 1))</f>
        <v>1299.8708333333334</v>
      </c>
      <c r="R146" s="3" t="e" cm="1" vm="1">
        <f t="array" aca="1" ref="R146" ca="1">tbl_Process[Temp_Firing_C] - AVERAGE(tbl_Zones[[Target_Temp_Min_C]:[Target_Temp_Max_C]])</f>
        <v>#VALUE!</v>
      </c>
    </row>
    <row r="147" spans="1:18" x14ac:dyDescent="0.3">
      <c r="A147" s="2" t="s">
        <v>164</v>
      </c>
      <c r="B147" s="2" t="s">
        <v>16</v>
      </c>
      <c r="C147" s="2" t="s">
        <v>17</v>
      </c>
      <c r="D147" s="3">
        <v>418.4</v>
      </c>
      <c r="E147" s="3">
        <v>3.32</v>
      </c>
      <c r="F147" s="3">
        <v>321.60000000000002</v>
      </c>
      <c r="G147" s="3">
        <v>368.9</v>
      </c>
      <c r="H147" s="3">
        <v>965.2</v>
      </c>
      <c r="I147" s="4">
        <v>1295</v>
      </c>
      <c r="J147" s="4">
        <v>1226.5</v>
      </c>
      <c r="K147" s="3">
        <v>160.6</v>
      </c>
      <c r="L147" s="3">
        <v>4.04</v>
      </c>
      <c r="M147" s="4">
        <v>422225</v>
      </c>
      <c r="N147" s="4">
        <v>8347</v>
      </c>
      <c r="O147" s="3">
        <v>14.17</v>
      </c>
      <c r="P147" s="3" t="str">
        <f t="shared" si="2"/>
        <v>NORMAL</v>
      </c>
      <c r="Q147" s="3" cm="1">
        <f t="array" aca="1" ref="Q147" ca="1">AVERAGE(OFFSET(tbl_Process[[#This Row],[Temp_Firing_C]], MAX(1-ROW()+ROW(tbl_Process[#Headers]), -23), 0, MIN(ROW()-ROW(tbl_Process[#Headers]), 24), 1))</f>
        <v>1299.6416666666667</v>
      </c>
      <c r="R147" s="3" t="e" cm="1" vm="1">
        <f t="array" aca="1" ref="R147" ca="1">tbl_Process[Temp_Firing_C] - AVERAGE(tbl_Zones[[Target_Temp_Min_C]:[Target_Temp_Max_C]])</f>
        <v>#VALUE!</v>
      </c>
    </row>
    <row r="148" spans="1:18" x14ac:dyDescent="0.3">
      <c r="A148" s="2" t="s">
        <v>165</v>
      </c>
      <c r="B148" s="2" t="s">
        <v>16</v>
      </c>
      <c r="C148" s="2" t="s">
        <v>17</v>
      </c>
      <c r="D148" s="3">
        <v>417.4</v>
      </c>
      <c r="E148" s="3">
        <v>3.15</v>
      </c>
      <c r="F148" s="3">
        <v>325.60000000000002</v>
      </c>
      <c r="G148" s="3">
        <v>383.1</v>
      </c>
      <c r="H148" s="3">
        <v>978.5</v>
      </c>
      <c r="I148" s="4">
        <v>1320.4</v>
      </c>
      <c r="J148" s="4">
        <v>1249.2</v>
      </c>
      <c r="K148" s="3">
        <v>159.69999999999999</v>
      </c>
      <c r="L148" s="3">
        <v>3.91</v>
      </c>
      <c r="M148" s="4">
        <v>420950</v>
      </c>
      <c r="N148" s="4">
        <v>8669</v>
      </c>
      <c r="O148" s="3">
        <v>13.8</v>
      </c>
      <c r="P148" s="3" t="str">
        <f t="shared" si="2"/>
        <v>NORMAL</v>
      </c>
      <c r="Q148" s="3" cm="1">
        <f t="array" aca="1" ref="Q148" ca="1">AVERAGE(OFFSET(tbl_Process[[#This Row],[Temp_Firing_C]], MAX(1-ROW()+ROW(tbl_Process[#Headers]), -23), 0, MIN(ROW()-ROW(tbl_Process[#Headers]), 24), 1))</f>
        <v>1301.0541666666668</v>
      </c>
      <c r="R148" s="3" t="e" cm="1" vm="1">
        <f t="array" aca="1" ref="R148" ca="1">tbl_Process[Temp_Firing_C] - AVERAGE(tbl_Zones[[Target_Temp_Min_C]:[Target_Temp_Max_C]])</f>
        <v>#VALUE!</v>
      </c>
    </row>
    <row r="149" spans="1:18" x14ac:dyDescent="0.3">
      <c r="A149" s="2" t="s">
        <v>166</v>
      </c>
      <c r="B149" s="2" t="s">
        <v>16</v>
      </c>
      <c r="C149" s="2" t="s">
        <v>17</v>
      </c>
      <c r="D149" s="3">
        <v>415.8</v>
      </c>
      <c r="E149" s="3">
        <v>3.19</v>
      </c>
      <c r="F149" s="3">
        <v>312.10000000000002</v>
      </c>
      <c r="G149" s="3">
        <v>385</v>
      </c>
      <c r="H149" s="3">
        <v>947.7</v>
      </c>
      <c r="I149" s="4">
        <v>1325.8</v>
      </c>
      <c r="J149" s="4">
        <v>1258.0999999999999</v>
      </c>
      <c r="K149" s="3">
        <v>159.9</v>
      </c>
      <c r="L149" s="3">
        <v>3.88</v>
      </c>
      <c r="M149" s="4">
        <v>430615</v>
      </c>
      <c r="N149" s="4">
        <v>8944</v>
      </c>
      <c r="O149" s="3">
        <v>13.92</v>
      </c>
      <c r="P149" s="3" t="str">
        <f t="shared" si="2"/>
        <v>NORMAL</v>
      </c>
      <c r="Q149" s="3" cm="1">
        <f t="array" aca="1" ref="Q149" ca="1">AVERAGE(OFFSET(tbl_Process[[#This Row],[Temp_Firing_C]], MAX(1-ROW()+ROW(tbl_Process[#Headers]), -23), 0, MIN(ROW()-ROW(tbl_Process[#Headers]), 24), 1))</f>
        <v>1301.8791666666668</v>
      </c>
      <c r="R149" s="3" t="e" cm="1" vm="1">
        <f t="array" aca="1" ref="R149" ca="1">tbl_Process[Temp_Firing_C] - AVERAGE(tbl_Zones[[Target_Temp_Min_C]:[Target_Temp_Max_C]])</f>
        <v>#VALUE!</v>
      </c>
    </row>
    <row r="150" spans="1:18" x14ac:dyDescent="0.3">
      <c r="A150" s="2" t="s">
        <v>167</v>
      </c>
      <c r="B150" s="2" t="s">
        <v>16</v>
      </c>
      <c r="C150" s="2" t="s">
        <v>17</v>
      </c>
      <c r="D150" s="3">
        <v>414.6</v>
      </c>
      <c r="E150" s="3">
        <v>3.22</v>
      </c>
      <c r="F150" s="3">
        <v>312.89999999999998</v>
      </c>
      <c r="G150" s="3">
        <v>389.8</v>
      </c>
      <c r="H150" s="3">
        <v>969</v>
      </c>
      <c r="I150" s="4">
        <v>1304.9000000000001</v>
      </c>
      <c r="J150" s="4">
        <v>1225.3</v>
      </c>
      <c r="K150" s="3">
        <v>154.9</v>
      </c>
      <c r="L150" s="3">
        <v>4.1100000000000003</v>
      </c>
      <c r="M150" s="4">
        <v>425127</v>
      </c>
      <c r="N150" s="4">
        <v>8692</v>
      </c>
      <c r="O150" s="3">
        <v>13.65</v>
      </c>
      <c r="P150" s="3" t="str">
        <f t="shared" si="2"/>
        <v>NORMAL</v>
      </c>
      <c r="Q150" s="3" cm="1">
        <f t="array" aca="1" ref="Q150" ca="1">AVERAGE(OFFSET(tbl_Process[[#This Row],[Temp_Firing_C]], MAX(1-ROW()+ROW(tbl_Process[#Headers]), -23), 0, MIN(ROW()-ROW(tbl_Process[#Headers]), 24), 1))</f>
        <v>1302.3541666666667</v>
      </c>
      <c r="R150" s="3" t="e" cm="1" vm="1">
        <f t="array" aca="1" ref="R150" ca="1">tbl_Process[Temp_Firing_C] - AVERAGE(tbl_Zones[[Target_Temp_Min_C]:[Target_Temp_Max_C]])</f>
        <v>#VALUE!</v>
      </c>
    </row>
    <row r="151" spans="1:18" x14ac:dyDescent="0.3">
      <c r="A151" s="2" t="s">
        <v>168</v>
      </c>
      <c r="B151" s="2" t="s">
        <v>16</v>
      </c>
      <c r="C151" s="2" t="s">
        <v>17</v>
      </c>
      <c r="D151" s="3">
        <v>421.2</v>
      </c>
      <c r="E151" s="3">
        <v>3.28</v>
      </c>
      <c r="F151" s="3">
        <v>309.89999999999998</v>
      </c>
      <c r="G151" s="3">
        <v>379.8</v>
      </c>
      <c r="H151" s="3">
        <v>963.1</v>
      </c>
      <c r="I151" s="4">
        <v>1302.3</v>
      </c>
      <c r="J151" s="4">
        <v>1226.2</v>
      </c>
      <c r="K151" s="3">
        <v>158.30000000000001</v>
      </c>
      <c r="L151" s="3">
        <v>4.09</v>
      </c>
      <c r="M151" s="4">
        <v>419896</v>
      </c>
      <c r="N151" s="4">
        <v>8460</v>
      </c>
      <c r="O151" s="3">
        <v>14.12</v>
      </c>
      <c r="P151" s="3" t="str">
        <f t="shared" si="2"/>
        <v>NORMAL</v>
      </c>
      <c r="Q151" s="3" cm="1">
        <f t="array" aca="1" ref="Q151" ca="1">AVERAGE(OFFSET(tbl_Process[[#This Row],[Temp_Firing_C]], MAX(1-ROW()+ROW(tbl_Process[#Headers]), -23), 0, MIN(ROW()-ROW(tbl_Process[#Headers]), 24), 1))</f>
        <v>1302.1791666666666</v>
      </c>
      <c r="R151" s="3" t="e" cm="1" vm="1">
        <f t="array" aca="1" ref="R151" ca="1">tbl_Process[Temp_Firing_C] - AVERAGE(tbl_Zones[[Target_Temp_Min_C]:[Target_Temp_Max_C]])</f>
        <v>#VALUE!</v>
      </c>
    </row>
    <row r="152" spans="1:18" x14ac:dyDescent="0.3">
      <c r="A152" s="2" t="s">
        <v>169</v>
      </c>
      <c r="B152" s="2" t="s">
        <v>24</v>
      </c>
      <c r="C152" s="2" t="s">
        <v>17</v>
      </c>
      <c r="D152" s="3">
        <v>419.8</v>
      </c>
      <c r="E152" s="3">
        <v>3.24</v>
      </c>
      <c r="F152" s="3">
        <v>318.2</v>
      </c>
      <c r="G152" s="3">
        <v>377.1</v>
      </c>
      <c r="H152" s="3">
        <v>961.1</v>
      </c>
      <c r="I152" s="4">
        <v>1289.5999999999999</v>
      </c>
      <c r="J152" s="4">
        <v>1227.5</v>
      </c>
      <c r="K152" s="3">
        <v>160</v>
      </c>
      <c r="L152" s="3">
        <v>4.0999999999999996</v>
      </c>
      <c r="M152" s="4">
        <v>421491</v>
      </c>
      <c r="N152" s="4">
        <v>8141</v>
      </c>
      <c r="O152" s="3">
        <v>13.99</v>
      </c>
      <c r="P152" s="3" t="str">
        <f t="shared" si="2"/>
        <v>NORMAL</v>
      </c>
      <c r="Q152" s="3" cm="1">
        <f t="array" aca="1" ref="Q152" ca="1">AVERAGE(OFFSET(tbl_Process[[#This Row],[Temp_Firing_C]], MAX(1-ROW()+ROW(tbl_Process[#Headers]), -23), 0, MIN(ROW()-ROW(tbl_Process[#Headers]), 24), 1))</f>
        <v>1301.2</v>
      </c>
      <c r="R152" s="3" t="e" cm="1" vm="1">
        <f t="array" aca="1" ref="R152" ca="1">tbl_Process[Temp_Firing_C] - AVERAGE(tbl_Zones[[Target_Temp_Min_C]:[Target_Temp_Max_C]])</f>
        <v>#VALUE!</v>
      </c>
    </row>
    <row r="153" spans="1:18" x14ac:dyDescent="0.3">
      <c r="A153" s="2" t="s">
        <v>170</v>
      </c>
      <c r="B153" s="2" t="s">
        <v>24</v>
      </c>
      <c r="C153" s="2" t="s">
        <v>17</v>
      </c>
      <c r="D153" s="3">
        <v>421.1</v>
      </c>
      <c r="E153" s="3">
        <v>3.2</v>
      </c>
      <c r="F153" s="3">
        <v>321</v>
      </c>
      <c r="G153" s="3">
        <v>376.8</v>
      </c>
      <c r="H153" s="3">
        <v>968</v>
      </c>
      <c r="I153" s="4">
        <v>1312.5</v>
      </c>
      <c r="J153" s="4">
        <v>1250.4000000000001</v>
      </c>
      <c r="K153" s="3">
        <v>158.69999999999999</v>
      </c>
      <c r="L153" s="3">
        <v>3.85</v>
      </c>
      <c r="M153" s="4">
        <v>424942</v>
      </c>
      <c r="N153" s="4">
        <v>8797</v>
      </c>
      <c r="O153" s="3">
        <v>14.12</v>
      </c>
      <c r="P153" s="3" t="str">
        <f t="shared" si="2"/>
        <v>NORMAL</v>
      </c>
      <c r="Q153" s="3" cm="1">
        <f t="array" aca="1" ref="Q153" ca="1">AVERAGE(OFFSET(tbl_Process[[#This Row],[Temp_Firing_C]], MAX(1-ROW()+ROW(tbl_Process[#Headers]), -23), 0, MIN(ROW()-ROW(tbl_Process[#Headers]), 24), 1))</f>
        <v>1301.4125000000001</v>
      </c>
      <c r="R153" s="3" t="e" cm="1" vm="1">
        <f t="array" aca="1" ref="R153" ca="1">tbl_Process[Temp_Firing_C] - AVERAGE(tbl_Zones[[Target_Temp_Min_C]:[Target_Temp_Max_C]])</f>
        <v>#VALUE!</v>
      </c>
    </row>
    <row r="154" spans="1:18" x14ac:dyDescent="0.3">
      <c r="A154" s="2" t="s">
        <v>171</v>
      </c>
      <c r="B154" s="2" t="s">
        <v>24</v>
      </c>
      <c r="C154" s="2" t="s">
        <v>17</v>
      </c>
      <c r="D154" s="3">
        <v>416.5</v>
      </c>
      <c r="E154" s="3">
        <v>3.25</v>
      </c>
      <c r="F154" s="3">
        <v>325.10000000000002</v>
      </c>
      <c r="G154" s="3">
        <v>390.8</v>
      </c>
      <c r="H154" s="3">
        <v>949.4</v>
      </c>
      <c r="I154" s="4">
        <v>1303</v>
      </c>
      <c r="J154" s="4">
        <v>1242.5</v>
      </c>
      <c r="K154" s="3">
        <v>160.30000000000001</v>
      </c>
      <c r="L154" s="3">
        <v>3.93</v>
      </c>
      <c r="M154" s="4">
        <v>421991</v>
      </c>
      <c r="N154" s="4">
        <v>8605</v>
      </c>
      <c r="O154" s="3">
        <v>14.14</v>
      </c>
      <c r="P154" s="3" t="str">
        <f t="shared" si="2"/>
        <v>NORMAL</v>
      </c>
      <c r="Q154" s="3" cm="1">
        <f t="array" aca="1" ref="Q154" ca="1">AVERAGE(OFFSET(tbl_Process[[#This Row],[Temp_Firing_C]], MAX(1-ROW()+ROW(tbl_Process[#Headers]), -23), 0, MIN(ROW()-ROW(tbl_Process[#Headers]), 24), 1))</f>
        <v>1301.1708333333333</v>
      </c>
      <c r="R154" s="3" t="e" cm="1" vm="1">
        <f t="array" aca="1" ref="R154" ca="1">tbl_Process[Temp_Firing_C] - AVERAGE(tbl_Zones[[Target_Temp_Min_C]:[Target_Temp_Max_C]])</f>
        <v>#VALUE!</v>
      </c>
    </row>
    <row r="155" spans="1:18" x14ac:dyDescent="0.3">
      <c r="A155" s="2" t="s">
        <v>172</v>
      </c>
      <c r="B155" s="2" t="s">
        <v>24</v>
      </c>
      <c r="C155" s="2" t="s">
        <v>17</v>
      </c>
      <c r="D155" s="3">
        <v>420.9</v>
      </c>
      <c r="E155" s="3">
        <v>3.18</v>
      </c>
      <c r="F155" s="3">
        <v>328.7</v>
      </c>
      <c r="G155" s="3">
        <v>373.4</v>
      </c>
      <c r="H155" s="3">
        <v>952.5</v>
      </c>
      <c r="I155" s="4">
        <v>1304.5</v>
      </c>
      <c r="J155" s="4">
        <v>1244.8</v>
      </c>
      <c r="K155" s="3">
        <v>152.4</v>
      </c>
      <c r="L155" s="3">
        <v>3.94</v>
      </c>
      <c r="M155" s="4">
        <v>413678</v>
      </c>
      <c r="N155" s="4">
        <v>8558</v>
      </c>
      <c r="O155" s="3">
        <v>13.87</v>
      </c>
      <c r="P155" s="3" t="str">
        <f t="shared" si="2"/>
        <v>NORMAL</v>
      </c>
      <c r="Q155" s="3" cm="1">
        <f t="array" aca="1" ref="Q155" ca="1">AVERAGE(OFFSET(tbl_Process[[#This Row],[Temp_Firing_C]], MAX(1-ROW()+ROW(tbl_Process[#Headers]), -23), 0, MIN(ROW()-ROW(tbl_Process[#Headers]), 24), 1))</f>
        <v>1301.4208333333333</v>
      </c>
      <c r="R155" s="3" t="e" cm="1" vm="1">
        <f t="array" aca="1" ref="R155" ca="1">tbl_Process[Temp_Firing_C] - AVERAGE(tbl_Zones[[Target_Temp_Min_C]:[Target_Temp_Max_C]])</f>
        <v>#VALUE!</v>
      </c>
    </row>
    <row r="156" spans="1:18" x14ac:dyDescent="0.3">
      <c r="A156" s="2" t="s">
        <v>173</v>
      </c>
      <c r="B156" s="2" t="s">
        <v>24</v>
      </c>
      <c r="C156" s="2" t="s">
        <v>17</v>
      </c>
      <c r="D156" s="3">
        <v>418.5</v>
      </c>
      <c r="E156" s="3">
        <v>3.25</v>
      </c>
      <c r="F156" s="3">
        <v>315.7</v>
      </c>
      <c r="G156" s="3">
        <v>381</v>
      </c>
      <c r="H156" s="3">
        <v>955.5</v>
      </c>
      <c r="I156" s="4">
        <v>1309.2</v>
      </c>
      <c r="J156" s="4">
        <v>1247.0999999999999</v>
      </c>
      <c r="K156" s="3">
        <v>156.19999999999999</v>
      </c>
      <c r="L156" s="3">
        <v>4.0599999999999996</v>
      </c>
      <c r="M156" s="4">
        <v>425309</v>
      </c>
      <c r="N156" s="4">
        <v>8658</v>
      </c>
      <c r="O156" s="3">
        <v>13.72</v>
      </c>
      <c r="P156" s="3" t="str">
        <f t="shared" si="2"/>
        <v>NORMAL</v>
      </c>
      <c r="Q156" s="3" cm="1">
        <f t="array" aca="1" ref="Q156" ca="1">AVERAGE(OFFSET(tbl_Process[[#This Row],[Temp_Firing_C]], MAX(1-ROW()+ROW(tbl_Process[#Headers]), -23), 0, MIN(ROW()-ROW(tbl_Process[#Headers]), 24), 1))</f>
        <v>1301.9875</v>
      </c>
      <c r="R156" s="3" t="e" cm="1" vm="1">
        <f t="array" aca="1" ref="R156" ca="1">tbl_Process[Temp_Firing_C] - AVERAGE(tbl_Zones[[Target_Temp_Min_C]:[Target_Temp_Max_C]])</f>
        <v>#VALUE!</v>
      </c>
    </row>
    <row r="157" spans="1:18" x14ac:dyDescent="0.3">
      <c r="A157" s="2" t="s">
        <v>174</v>
      </c>
      <c r="B157" s="2" t="s">
        <v>24</v>
      </c>
      <c r="C157" s="2" t="s">
        <v>17</v>
      </c>
      <c r="D157" s="3">
        <v>422.6</v>
      </c>
      <c r="E157" s="3">
        <v>3.11</v>
      </c>
      <c r="F157" s="3">
        <v>327.7</v>
      </c>
      <c r="G157" s="3">
        <v>386.2</v>
      </c>
      <c r="H157" s="3">
        <v>962</v>
      </c>
      <c r="I157" s="4">
        <v>1304.3</v>
      </c>
      <c r="J157" s="4">
        <v>1238</v>
      </c>
      <c r="K157" s="3">
        <v>162.9</v>
      </c>
      <c r="L157" s="3">
        <v>4.05</v>
      </c>
      <c r="M157" s="4">
        <v>421598</v>
      </c>
      <c r="N157" s="4">
        <v>8656</v>
      </c>
      <c r="O157" s="3">
        <v>13.93</v>
      </c>
      <c r="P157" s="3" t="str">
        <f t="shared" si="2"/>
        <v>NORMAL</v>
      </c>
      <c r="Q157" s="3" cm="1">
        <f t="array" aca="1" ref="Q157" ca="1">AVERAGE(OFFSET(tbl_Process[[#This Row],[Temp_Firing_C]], MAX(1-ROW()+ROW(tbl_Process[#Headers]), -23), 0, MIN(ROW()-ROW(tbl_Process[#Headers]), 24), 1))</f>
        <v>1301.8333333333333</v>
      </c>
      <c r="R157" s="3" t="e" cm="1" vm="1">
        <f t="array" aca="1" ref="R157" ca="1">tbl_Process[Temp_Firing_C] - AVERAGE(tbl_Zones[[Target_Temp_Min_C]:[Target_Temp_Max_C]])</f>
        <v>#VALUE!</v>
      </c>
    </row>
    <row r="158" spans="1:18" x14ac:dyDescent="0.3">
      <c r="A158" s="2" t="s">
        <v>175</v>
      </c>
      <c r="B158" s="2" t="s">
        <v>24</v>
      </c>
      <c r="C158" s="2" t="s">
        <v>17</v>
      </c>
      <c r="D158" s="3">
        <v>417.5</v>
      </c>
      <c r="E158" s="3">
        <v>3.1</v>
      </c>
      <c r="F158" s="3">
        <v>312.60000000000002</v>
      </c>
      <c r="G158" s="3">
        <v>365.8</v>
      </c>
      <c r="H158" s="3">
        <v>966.7</v>
      </c>
      <c r="I158" s="4">
        <v>1316.7</v>
      </c>
      <c r="J158" s="4">
        <v>1260.3</v>
      </c>
      <c r="K158" s="3">
        <v>151.19999999999999</v>
      </c>
      <c r="L158" s="3">
        <v>4.12</v>
      </c>
      <c r="M158" s="4">
        <v>427983</v>
      </c>
      <c r="N158" s="4">
        <v>8646</v>
      </c>
      <c r="O158" s="3">
        <v>14.11</v>
      </c>
      <c r="P158" s="3" t="str">
        <f t="shared" si="2"/>
        <v>NORMAL</v>
      </c>
      <c r="Q158" s="3" cm="1">
        <f t="array" aca="1" ref="Q158" ca="1">AVERAGE(OFFSET(tbl_Process[[#This Row],[Temp_Firing_C]], MAX(1-ROW()+ROW(tbl_Process[#Headers]), -23), 0, MIN(ROW()-ROW(tbl_Process[#Headers]), 24), 1))</f>
        <v>1302.7333333333333</v>
      </c>
      <c r="R158" s="3" t="e" cm="1" vm="1">
        <f t="array" aca="1" ref="R158" ca="1">tbl_Process[Temp_Firing_C] - AVERAGE(tbl_Zones[[Target_Temp_Min_C]:[Target_Temp_Max_C]])</f>
        <v>#VALUE!</v>
      </c>
    </row>
    <row r="159" spans="1:18" x14ac:dyDescent="0.3">
      <c r="A159" s="2" t="s">
        <v>176</v>
      </c>
      <c r="B159" s="2" t="s">
        <v>24</v>
      </c>
      <c r="C159" s="2" t="s">
        <v>17</v>
      </c>
      <c r="D159" s="3">
        <v>412</v>
      </c>
      <c r="E159" s="3">
        <v>3.22</v>
      </c>
      <c r="F159" s="3">
        <v>312.3</v>
      </c>
      <c r="G159" s="3">
        <v>379.6</v>
      </c>
      <c r="H159" s="3">
        <v>938.6</v>
      </c>
      <c r="I159" s="4">
        <v>1305.7</v>
      </c>
      <c r="J159" s="4">
        <v>1246.8</v>
      </c>
      <c r="K159" s="3">
        <v>155.19999999999999</v>
      </c>
      <c r="L159" s="3">
        <v>3.86</v>
      </c>
      <c r="M159" s="4">
        <v>413480</v>
      </c>
      <c r="N159" s="4">
        <v>8536</v>
      </c>
      <c r="O159" s="3">
        <v>14.03</v>
      </c>
      <c r="P159" s="3" t="str">
        <f t="shared" si="2"/>
        <v>NORMAL</v>
      </c>
      <c r="Q159" s="3" cm="1">
        <f t="array" aca="1" ref="Q159" ca="1">AVERAGE(OFFSET(tbl_Process[[#This Row],[Temp_Firing_C]], MAX(1-ROW()+ROW(tbl_Process[#Headers]), -23), 0, MIN(ROW()-ROW(tbl_Process[#Headers]), 24), 1))</f>
        <v>1302.6875000000002</v>
      </c>
      <c r="R159" s="3" t="e" cm="1" vm="1">
        <f t="array" aca="1" ref="R159" ca="1">tbl_Process[Temp_Firing_C] - AVERAGE(tbl_Zones[[Target_Temp_Min_C]:[Target_Temp_Max_C]])</f>
        <v>#VALUE!</v>
      </c>
    </row>
    <row r="160" spans="1:18" x14ac:dyDescent="0.3">
      <c r="A160" s="2" t="s">
        <v>177</v>
      </c>
      <c r="B160" s="2" t="s">
        <v>33</v>
      </c>
      <c r="C160" s="2" t="s">
        <v>17</v>
      </c>
      <c r="D160" s="3">
        <v>413.8</v>
      </c>
      <c r="E160" s="3">
        <v>3.24</v>
      </c>
      <c r="F160" s="3">
        <v>315.7</v>
      </c>
      <c r="G160" s="3">
        <v>370.3</v>
      </c>
      <c r="H160" s="3">
        <v>950.1</v>
      </c>
      <c r="I160" s="4">
        <v>1309.2</v>
      </c>
      <c r="J160" s="4">
        <v>1247.8</v>
      </c>
      <c r="K160" s="3">
        <v>158.30000000000001</v>
      </c>
      <c r="L160" s="3">
        <v>4.0999999999999996</v>
      </c>
      <c r="M160" s="4">
        <v>417593</v>
      </c>
      <c r="N160" s="4">
        <v>8614</v>
      </c>
      <c r="O160" s="3">
        <v>14.15</v>
      </c>
      <c r="P160" s="3" t="str">
        <f t="shared" si="2"/>
        <v>NORMAL</v>
      </c>
      <c r="Q160" s="3" cm="1">
        <f t="array" aca="1" ref="Q160" ca="1">AVERAGE(OFFSET(tbl_Process[[#This Row],[Temp_Firing_C]], MAX(1-ROW()+ROW(tbl_Process[#Headers]), -23), 0, MIN(ROW()-ROW(tbl_Process[#Headers]), 24), 1))</f>
        <v>1303.1750000000002</v>
      </c>
      <c r="R160" s="3" t="e" cm="1" vm="1">
        <f t="array" aca="1" ref="R160" ca="1">tbl_Process[Temp_Firing_C] - AVERAGE(tbl_Zones[[Target_Temp_Min_C]:[Target_Temp_Max_C]])</f>
        <v>#VALUE!</v>
      </c>
    </row>
    <row r="161" spans="1:18" x14ac:dyDescent="0.3">
      <c r="A161" s="2" t="s">
        <v>178</v>
      </c>
      <c r="B161" s="2" t="s">
        <v>33</v>
      </c>
      <c r="C161" s="2" t="s">
        <v>17</v>
      </c>
      <c r="D161" s="3">
        <v>418.1</v>
      </c>
      <c r="E161" s="3">
        <v>3.23</v>
      </c>
      <c r="F161" s="3">
        <v>313.5</v>
      </c>
      <c r="G161" s="3">
        <v>381.1</v>
      </c>
      <c r="H161" s="3">
        <v>962.9</v>
      </c>
      <c r="I161" s="4">
        <v>1276.7</v>
      </c>
      <c r="J161" s="4">
        <v>1218.8</v>
      </c>
      <c r="K161" s="3">
        <v>143.5</v>
      </c>
      <c r="L161" s="3">
        <v>4</v>
      </c>
      <c r="M161" s="4">
        <v>419395</v>
      </c>
      <c r="N161" s="4">
        <v>8182</v>
      </c>
      <c r="O161" s="3">
        <v>14.09</v>
      </c>
      <c r="P161" s="3" t="str">
        <f t="shared" si="2"/>
        <v>NORMAL</v>
      </c>
      <c r="Q161" s="3" cm="1">
        <f t="array" aca="1" ref="Q161" ca="1">AVERAGE(OFFSET(tbl_Process[[#This Row],[Temp_Firing_C]], MAX(1-ROW()+ROW(tbl_Process[#Headers]), -23), 0, MIN(ROW()-ROW(tbl_Process[#Headers]), 24), 1))</f>
        <v>1301.9875</v>
      </c>
      <c r="R161" s="3" t="e" cm="1" vm="1">
        <f t="array" aca="1" ref="R161" ca="1">tbl_Process[Temp_Firing_C] - AVERAGE(tbl_Zones[[Target_Temp_Min_C]:[Target_Temp_Max_C]])</f>
        <v>#VALUE!</v>
      </c>
    </row>
    <row r="162" spans="1:18" x14ac:dyDescent="0.3">
      <c r="A162" s="2" t="s">
        <v>179</v>
      </c>
      <c r="B162" s="2" t="s">
        <v>33</v>
      </c>
      <c r="C162" s="2" t="s">
        <v>17</v>
      </c>
      <c r="D162" s="3">
        <v>415.6</v>
      </c>
      <c r="E162" s="3">
        <v>3.28</v>
      </c>
      <c r="F162" s="3">
        <v>306.5</v>
      </c>
      <c r="G162" s="3">
        <v>385.2</v>
      </c>
      <c r="H162" s="3">
        <v>955.3</v>
      </c>
      <c r="I162" s="4">
        <v>1290.0999999999999</v>
      </c>
      <c r="J162" s="4">
        <v>1221.5999999999999</v>
      </c>
      <c r="K162" s="3">
        <v>153.6</v>
      </c>
      <c r="L162" s="3">
        <v>4.16</v>
      </c>
      <c r="M162" s="4">
        <v>420781</v>
      </c>
      <c r="N162" s="4">
        <v>8175</v>
      </c>
      <c r="O162" s="3">
        <v>14.36</v>
      </c>
      <c r="P162" s="3" t="str">
        <f t="shared" si="2"/>
        <v>NORMAL</v>
      </c>
      <c r="Q162" s="3" cm="1">
        <f t="array" aca="1" ref="Q162" ca="1">AVERAGE(OFFSET(tbl_Process[[#This Row],[Temp_Firing_C]], MAX(1-ROW()+ROW(tbl_Process[#Headers]), -23), 0, MIN(ROW()-ROW(tbl_Process[#Headers]), 24), 1))</f>
        <v>1301.4333333333332</v>
      </c>
      <c r="R162" s="3" t="e" cm="1" vm="1">
        <f t="array" aca="1" ref="R162" ca="1">tbl_Process[Temp_Firing_C] - AVERAGE(tbl_Zones[[Target_Temp_Min_C]:[Target_Temp_Max_C]])</f>
        <v>#VALUE!</v>
      </c>
    </row>
    <row r="163" spans="1:18" x14ac:dyDescent="0.3">
      <c r="A163" s="2" t="s">
        <v>180</v>
      </c>
      <c r="B163" s="2" t="s">
        <v>33</v>
      </c>
      <c r="C163" s="2" t="s">
        <v>17</v>
      </c>
      <c r="D163" s="3">
        <v>416.5</v>
      </c>
      <c r="E163" s="3">
        <v>3.3</v>
      </c>
      <c r="F163" s="3">
        <v>309.8</v>
      </c>
      <c r="G163" s="3">
        <v>388.5</v>
      </c>
      <c r="H163" s="3">
        <v>955.5</v>
      </c>
      <c r="I163" s="4">
        <v>1290.2</v>
      </c>
      <c r="J163" s="4">
        <v>1221.0999999999999</v>
      </c>
      <c r="K163" s="3">
        <v>154.6</v>
      </c>
      <c r="L163" s="3">
        <v>3.92</v>
      </c>
      <c r="M163" s="4">
        <v>418568</v>
      </c>
      <c r="N163" s="4">
        <v>8235</v>
      </c>
      <c r="O163" s="3">
        <v>13.87</v>
      </c>
      <c r="P163" s="3" t="str">
        <f t="shared" si="2"/>
        <v>NORMAL</v>
      </c>
      <c r="Q163" s="3" cm="1">
        <f t="array" aca="1" ref="Q163" ca="1">AVERAGE(OFFSET(tbl_Process[[#This Row],[Temp_Firing_C]], MAX(1-ROW()+ROW(tbl_Process[#Headers]), -23), 0, MIN(ROW()-ROW(tbl_Process[#Headers]), 24), 1))</f>
        <v>1301.4541666666667</v>
      </c>
      <c r="R163" s="3" t="e" cm="1" vm="1">
        <f t="array" aca="1" ref="R163" ca="1">tbl_Process[Temp_Firing_C] - AVERAGE(tbl_Zones[[Target_Temp_Min_C]:[Target_Temp_Max_C]])</f>
        <v>#VALUE!</v>
      </c>
    </row>
    <row r="164" spans="1:18" x14ac:dyDescent="0.3">
      <c r="A164" s="2" t="s">
        <v>181</v>
      </c>
      <c r="B164" s="2" t="s">
        <v>33</v>
      </c>
      <c r="C164" s="2" t="s">
        <v>17</v>
      </c>
      <c r="D164" s="3">
        <v>418.5</v>
      </c>
      <c r="E164" s="3">
        <v>3.06</v>
      </c>
      <c r="F164" s="3">
        <v>313.5</v>
      </c>
      <c r="G164" s="3">
        <v>370.9</v>
      </c>
      <c r="H164" s="3">
        <v>945.5</v>
      </c>
      <c r="I164" s="4">
        <v>1315.6</v>
      </c>
      <c r="J164" s="4">
        <v>1250.9000000000001</v>
      </c>
      <c r="K164" s="3">
        <v>159.9</v>
      </c>
      <c r="L164" s="3">
        <v>3.82</v>
      </c>
      <c r="M164" s="4">
        <v>420519</v>
      </c>
      <c r="N164" s="4">
        <v>8713</v>
      </c>
      <c r="O164" s="3">
        <v>13.77</v>
      </c>
      <c r="P164" s="3" t="str">
        <f t="shared" si="2"/>
        <v>NORMAL</v>
      </c>
      <c r="Q164" s="3" cm="1">
        <f t="array" aca="1" ref="Q164" ca="1">AVERAGE(OFFSET(tbl_Process[[#This Row],[Temp_Firing_C]], MAX(1-ROW()+ROW(tbl_Process[#Headers]), -23), 0, MIN(ROW()-ROW(tbl_Process[#Headers]), 24), 1))</f>
        <v>1302.6708333333333</v>
      </c>
      <c r="R164" s="3" t="e" cm="1" vm="1">
        <f t="array" aca="1" ref="R164" ca="1">tbl_Process[Temp_Firing_C] - AVERAGE(tbl_Zones[[Target_Temp_Min_C]:[Target_Temp_Max_C]])</f>
        <v>#VALUE!</v>
      </c>
    </row>
    <row r="165" spans="1:18" x14ac:dyDescent="0.3">
      <c r="A165" s="2" t="s">
        <v>182</v>
      </c>
      <c r="B165" s="2" t="s">
        <v>33</v>
      </c>
      <c r="C165" s="2" t="s">
        <v>17</v>
      </c>
      <c r="D165" s="3">
        <v>423.6</v>
      </c>
      <c r="E165" s="3">
        <v>3.1</v>
      </c>
      <c r="F165" s="3">
        <v>316.39999999999998</v>
      </c>
      <c r="G165" s="3">
        <v>373.4</v>
      </c>
      <c r="H165" s="3">
        <v>958.2</v>
      </c>
      <c r="I165" s="4">
        <v>1294.8</v>
      </c>
      <c r="J165" s="4">
        <v>1228.2</v>
      </c>
      <c r="K165" s="3">
        <v>157.6</v>
      </c>
      <c r="L165" s="3">
        <v>4.0199999999999996</v>
      </c>
      <c r="M165" s="4">
        <v>420762</v>
      </c>
      <c r="N165" s="4">
        <v>8466</v>
      </c>
      <c r="O165" s="3">
        <v>14.21</v>
      </c>
      <c r="P165" s="3" t="str">
        <f t="shared" si="2"/>
        <v>NORMAL</v>
      </c>
      <c r="Q165" s="3" cm="1">
        <f t="array" aca="1" ref="Q165" ca="1">AVERAGE(OFFSET(tbl_Process[[#This Row],[Temp_Firing_C]], MAX(1-ROW()+ROW(tbl_Process[#Headers]), -23), 0, MIN(ROW()-ROW(tbl_Process[#Headers]), 24), 1))</f>
        <v>1302.4916666666666</v>
      </c>
      <c r="R165" s="3" t="e" cm="1" vm="1">
        <f t="array" aca="1" ref="R165" ca="1">tbl_Process[Temp_Firing_C] - AVERAGE(tbl_Zones[[Target_Temp_Min_C]:[Target_Temp_Max_C]])</f>
        <v>#VALUE!</v>
      </c>
    </row>
    <row r="166" spans="1:18" x14ac:dyDescent="0.3">
      <c r="A166" s="2" t="s">
        <v>183</v>
      </c>
      <c r="B166" s="2" t="s">
        <v>33</v>
      </c>
      <c r="C166" s="2" t="s">
        <v>17</v>
      </c>
      <c r="D166" s="3">
        <v>418.3</v>
      </c>
      <c r="E166" s="3">
        <v>3.26</v>
      </c>
      <c r="F166" s="3">
        <v>316.89999999999998</v>
      </c>
      <c r="G166" s="3">
        <v>375.6</v>
      </c>
      <c r="H166" s="3">
        <v>957.9</v>
      </c>
      <c r="I166" s="4">
        <v>1314.2</v>
      </c>
      <c r="J166" s="4">
        <v>1241.2</v>
      </c>
      <c r="K166" s="3">
        <v>162.69999999999999</v>
      </c>
      <c r="L166" s="3">
        <v>3.86</v>
      </c>
      <c r="M166" s="4">
        <v>423316</v>
      </c>
      <c r="N166" s="4">
        <v>8859</v>
      </c>
      <c r="O166" s="3">
        <v>14.03</v>
      </c>
      <c r="P166" s="3" t="str">
        <f t="shared" si="2"/>
        <v>NORMAL</v>
      </c>
      <c r="Q166" s="3" cm="1">
        <f t="array" aca="1" ref="Q166" ca="1">AVERAGE(OFFSET(tbl_Process[[#This Row],[Temp_Firing_C]], MAX(1-ROW()+ROW(tbl_Process[#Headers]), -23), 0, MIN(ROW()-ROW(tbl_Process[#Headers]), 24), 1))</f>
        <v>1303.0374999999999</v>
      </c>
      <c r="R166" s="3" t="e" cm="1" vm="1">
        <f t="array" aca="1" ref="R166" ca="1">tbl_Process[Temp_Firing_C] - AVERAGE(tbl_Zones[[Target_Temp_Min_C]:[Target_Temp_Max_C]])</f>
        <v>#VALUE!</v>
      </c>
    </row>
    <row r="167" spans="1:18" x14ac:dyDescent="0.3">
      <c r="A167" s="2" t="s">
        <v>184</v>
      </c>
      <c r="B167" s="2" t="s">
        <v>33</v>
      </c>
      <c r="C167" s="2" t="s">
        <v>17</v>
      </c>
      <c r="D167" s="3">
        <v>420.7</v>
      </c>
      <c r="E167" s="3">
        <v>3.16</v>
      </c>
      <c r="F167" s="3">
        <v>318.89999999999998</v>
      </c>
      <c r="G167" s="3">
        <v>376.5</v>
      </c>
      <c r="H167" s="3">
        <v>947.9</v>
      </c>
      <c r="I167" s="4">
        <v>1299.0999999999999</v>
      </c>
      <c r="J167" s="4">
        <v>1235.3</v>
      </c>
      <c r="K167" s="3">
        <v>155.30000000000001</v>
      </c>
      <c r="L167" s="3">
        <v>3.99</v>
      </c>
      <c r="M167" s="4">
        <v>415077</v>
      </c>
      <c r="N167" s="4">
        <v>8536</v>
      </c>
      <c r="O167" s="3">
        <v>14.31</v>
      </c>
      <c r="P167" s="3" t="str">
        <f t="shared" si="2"/>
        <v>NORMAL</v>
      </c>
      <c r="Q167" s="3" cm="1">
        <f t="array" aca="1" ref="Q167" ca="1">AVERAGE(OFFSET(tbl_Process[[#This Row],[Temp_Firing_C]], MAX(1-ROW()+ROW(tbl_Process[#Headers]), -23), 0, MIN(ROW()-ROW(tbl_Process[#Headers]), 24), 1))</f>
        <v>1302.3458333333333</v>
      </c>
      <c r="R167" s="3" t="e" cm="1" vm="1">
        <f t="array" aca="1" ref="R167" ca="1">tbl_Process[Temp_Firing_C] - AVERAGE(tbl_Zones[[Target_Temp_Min_C]:[Target_Temp_Max_C]])</f>
        <v>#VALUE!</v>
      </c>
    </row>
    <row r="168" spans="1:18" x14ac:dyDescent="0.3">
      <c r="A168" s="2" t="s">
        <v>185</v>
      </c>
      <c r="B168" s="2" t="s">
        <v>16</v>
      </c>
      <c r="C168" s="2" t="s">
        <v>17</v>
      </c>
      <c r="D168" s="3">
        <v>420.9</v>
      </c>
      <c r="E168" s="3">
        <v>3.28</v>
      </c>
      <c r="F168" s="3">
        <v>319.60000000000002</v>
      </c>
      <c r="G168" s="3">
        <v>381.5</v>
      </c>
      <c r="H168" s="3">
        <v>961.8</v>
      </c>
      <c r="I168" s="4">
        <v>1301.8</v>
      </c>
      <c r="J168" s="4">
        <v>1233.5999999999999</v>
      </c>
      <c r="K168" s="3">
        <v>170.5</v>
      </c>
      <c r="L168" s="3">
        <v>4.07</v>
      </c>
      <c r="M168" s="4">
        <v>417993</v>
      </c>
      <c r="N168" s="4">
        <v>8574</v>
      </c>
      <c r="O168" s="3">
        <v>14.2</v>
      </c>
      <c r="P168" s="3" t="str">
        <f t="shared" si="2"/>
        <v>NORMAL</v>
      </c>
      <c r="Q168" s="3" cm="1">
        <f t="array" aca="1" ref="Q168" ca="1">AVERAGE(OFFSET(tbl_Process[[#This Row],[Temp_Firing_C]], MAX(1-ROW()+ROW(tbl_Process[#Headers]), -23), 0, MIN(ROW()-ROW(tbl_Process[#Headers]), 24), 1))</f>
        <v>1302.5708333333334</v>
      </c>
      <c r="R168" s="3" t="e" cm="1" vm="1">
        <f t="array" aca="1" ref="R168" ca="1">tbl_Process[Temp_Firing_C] - AVERAGE(tbl_Zones[[Target_Temp_Min_C]:[Target_Temp_Max_C]])</f>
        <v>#VALUE!</v>
      </c>
    </row>
    <row r="169" spans="1:18" x14ac:dyDescent="0.3">
      <c r="A169" s="2" t="s">
        <v>186</v>
      </c>
      <c r="B169" s="2" t="s">
        <v>16</v>
      </c>
      <c r="C169" s="2" t="s">
        <v>17</v>
      </c>
      <c r="D169" s="3">
        <v>414.4</v>
      </c>
      <c r="E169" s="3">
        <v>3.29</v>
      </c>
      <c r="F169" s="3">
        <v>319</v>
      </c>
      <c r="G169" s="3">
        <v>371.6</v>
      </c>
      <c r="H169" s="3">
        <v>973.3</v>
      </c>
      <c r="I169" s="4">
        <v>1308.7</v>
      </c>
      <c r="J169" s="4">
        <v>1236.0999999999999</v>
      </c>
      <c r="K169" s="3">
        <v>168.6</v>
      </c>
      <c r="L169" s="3">
        <v>4.12</v>
      </c>
      <c r="M169" s="4">
        <v>421530</v>
      </c>
      <c r="N169" s="4">
        <v>8795</v>
      </c>
      <c r="O169" s="3">
        <v>14</v>
      </c>
      <c r="P169" s="3" t="str">
        <f t="shared" si="2"/>
        <v>NORMAL</v>
      </c>
      <c r="Q169" s="3" cm="1">
        <f t="array" aca="1" ref="Q169" ca="1">AVERAGE(OFFSET(tbl_Process[[#This Row],[Temp_Firing_C]], MAX(1-ROW()+ROW(tbl_Process[#Headers]), -23), 0, MIN(ROW()-ROW(tbl_Process[#Headers]), 24), 1))</f>
        <v>1303.45</v>
      </c>
      <c r="R169" s="3" t="e" cm="1" vm="1">
        <f t="array" aca="1" ref="R169" ca="1">tbl_Process[Temp_Firing_C] - AVERAGE(tbl_Zones[[Target_Temp_Min_C]:[Target_Temp_Max_C]])</f>
        <v>#VALUE!</v>
      </c>
    </row>
    <row r="170" spans="1:18" x14ac:dyDescent="0.3">
      <c r="A170" s="2" t="s">
        <v>187</v>
      </c>
      <c r="B170" s="2" t="s">
        <v>16</v>
      </c>
      <c r="C170" s="2" t="s">
        <v>17</v>
      </c>
      <c r="D170" s="3">
        <v>419.9</v>
      </c>
      <c r="E170" s="3">
        <v>3.15</v>
      </c>
      <c r="F170" s="3">
        <v>323.5</v>
      </c>
      <c r="G170" s="3">
        <v>383.3</v>
      </c>
      <c r="H170" s="3">
        <v>960.2</v>
      </c>
      <c r="I170" s="4">
        <v>1298.7</v>
      </c>
      <c r="J170" s="4">
        <v>1234.5</v>
      </c>
      <c r="K170" s="3">
        <v>159.69999999999999</v>
      </c>
      <c r="L170" s="3">
        <v>3.92</v>
      </c>
      <c r="M170" s="4">
        <v>414615</v>
      </c>
      <c r="N170" s="4">
        <v>8552</v>
      </c>
      <c r="O170" s="3">
        <v>13.51</v>
      </c>
      <c r="P170" s="3" t="str">
        <f t="shared" si="2"/>
        <v>NORMAL</v>
      </c>
      <c r="Q170" s="3" cm="1">
        <f t="array" aca="1" ref="Q170" ca="1">AVERAGE(OFFSET(tbl_Process[[#This Row],[Temp_Firing_C]], MAX(1-ROW()+ROW(tbl_Process[#Headers]), -23), 0, MIN(ROW()-ROW(tbl_Process[#Headers]), 24), 1))</f>
        <v>1303.875</v>
      </c>
      <c r="R170" s="3" t="e" cm="1" vm="1">
        <f t="array" aca="1" ref="R170" ca="1">tbl_Process[Temp_Firing_C] - AVERAGE(tbl_Zones[[Target_Temp_Min_C]:[Target_Temp_Max_C]])</f>
        <v>#VALUE!</v>
      </c>
    </row>
    <row r="171" spans="1:18" x14ac:dyDescent="0.3">
      <c r="A171" s="2" t="s">
        <v>188</v>
      </c>
      <c r="B171" s="2" t="s">
        <v>16</v>
      </c>
      <c r="C171" s="2" t="s">
        <v>17</v>
      </c>
      <c r="D171" s="3">
        <v>420.8</v>
      </c>
      <c r="E171" s="3">
        <v>3.16</v>
      </c>
      <c r="F171" s="3">
        <v>328.3</v>
      </c>
      <c r="G171" s="3">
        <v>377.2</v>
      </c>
      <c r="H171" s="3">
        <v>968.9</v>
      </c>
      <c r="I171" s="4">
        <v>1303.0999999999999</v>
      </c>
      <c r="J171" s="4">
        <v>1238.8</v>
      </c>
      <c r="K171" s="3">
        <v>164</v>
      </c>
      <c r="L171" s="3">
        <v>4.03</v>
      </c>
      <c r="M171" s="4">
        <v>424046</v>
      </c>
      <c r="N171" s="4">
        <v>8418</v>
      </c>
      <c r="O171" s="3">
        <v>14.34</v>
      </c>
      <c r="P171" s="3" t="str">
        <f t="shared" si="2"/>
        <v>NORMAL</v>
      </c>
      <c r="Q171" s="3" cm="1">
        <f t="array" aca="1" ref="Q171" ca="1">AVERAGE(OFFSET(tbl_Process[[#This Row],[Temp_Firing_C]], MAX(1-ROW()+ROW(tbl_Process[#Headers]), -23), 0, MIN(ROW()-ROW(tbl_Process[#Headers]), 24), 1))</f>
        <v>1304.2124999999999</v>
      </c>
      <c r="R171" s="3" t="e" cm="1" vm="1">
        <f t="array" aca="1" ref="R171" ca="1">tbl_Process[Temp_Firing_C] - AVERAGE(tbl_Zones[[Target_Temp_Min_C]:[Target_Temp_Max_C]])</f>
        <v>#VALUE!</v>
      </c>
    </row>
    <row r="172" spans="1:18" x14ac:dyDescent="0.3">
      <c r="A172" s="2" t="s">
        <v>189</v>
      </c>
      <c r="B172" s="2" t="s">
        <v>16</v>
      </c>
      <c r="C172" s="2" t="s">
        <v>17</v>
      </c>
      <c r="D172" s="3">
        <v>423.7</v>
      </c>
      <c r="E172" s="3">
        <v>3.25</v>
      </c>
      <c r="F172" s="3">
        <v>332.4</v>
      </c>
      <c r="G172" s="3">
        <v>375.9</v>
      </c>
      <c r="H172" s="3">
        <v>945.3</v>
      </c>
      <c r="I172" s="4">
        <v>1299.5</v>
      </c>
      <c r="J172" s="4">
        <v>1238.5</v>
      </c>
      <c r="K172" s="3">
        <v>163.1</v>
      </c>
      <c r="L172" s="3">
        <v>4.16</v>
      </c>
      <c r="M172" s="4">
        <v>415980</v>
      </c>
      <c r="N172" s="4">
        <v>8586</v>
      </c>
      <c r="O172" s="3">
        <v>13.83</v>
      </c>
      <c r="P172" s="3" t="str">
        <f t="shared" si="2"/>
        <v>NORMAL</v>
      </c>
      <c r="Q172" s="3" cm="1">
        <f t="array" aca="1" ref="Q172" ca="1">AVERAGE(OFFSET(tbl_Process[[#This Row],[Temp_Firing_C]], MAX(1-ROW()+ROW(tbl_Process[#Headers]), -23), 0, MIN(ROW()-ROW(tbl_Process[#Headers]), 24), 1))</f>
        <v>1303.3416666666665</v>
      </c>
      <c r="R172" s="3" t="e" cm="1" vm="1">
        <f t="array" aca="1" ref="R172" ca="1">tbl_Process[Temp_Firing_C] - AVERAGE(tbl_Zones[[Target_Temp_Min_C]:[Target_Temp_Max_C]])</f>
        <v>#VALUE!</v>
      </c>
    </row>
    <row r="173" spans="1:18" x14ac:dyDescent="0.3">
      <c r="A173" s="2" t="s">
        <v>190</v>
      </c>
      <c r="B173" s="2" t="s">
        <v>16</v>
      </c>
      <c r="C173" s="2" t="s">
        <v>17</v>
      </c>
      <c r="D173" s="3">
        <v>424.6</v>
      </c>
      <c r="E173" s="3">
        <v>3.43</v>
      </c>
      <c r="F173" s="3">
        <v>323.5</v>
      </c>
      <c r="G173" s="3">
        <v>385.9</v>
      </c>
      <c r="H173" s="3">
        <v>956.7</v>
      </c>
      <c r="I173" s="4">
        <v>1294.0999999999999</v>
      </c>
      <c r="J173" s="4">
        <v>1225.5</v>
      </c>
      <c r="K173" s="3">
        <v>155.4</v>
      </c>
      <c r="L173" s="3">
        <v>4.03</v>
      </c>
      <c r="M173" s="4">
        <v>424966</v>
      </c>
      <c r="N173" s="4">
        <v>8462</v>
      </c>
      <c r="O173" s="3">
        <v>14.33</v>
      </c>
      <c r="P173" s="3" t="str">
        <f t="shared" si="2"/>
        <v>NORMAL</v>
      </c>
      <c r="Q173" s="3" cm="1">
        <f t="array" aca="1" ref="Q173" ca="1">AVERAGE(OFFSET(tbl_Process[[#This Row],[Temp_Firing_C]], MAX(1-ROW()+ROW(tbl_Process[#Headers]), -23), 0, MIN(ROW()-ROW(tbl_Process[#Headers]), 24), 1))</f>
        <v>1302.0208333333333</v>
      </c>
      <c r="R173" s="3" t="e" cm="1" vm="1">
        <f t="array" aca="1" ref="R173" ca="1">tbl_Process[Temp_Firing_C] - AVERAGE(tbl_Zones[[Target_Temp_Min_C]:[Target_Temp_Max_C]])</f>
        <v>#VALUE!</v>
      </c>
    </row>
    <row r="174" spans="1:18" x14ac:dyDescent="0.3">
      <c r="A174" s="2" t="s">
        <v>191</v>
      </c>
      <c r="B174" s="2" t="s">
        <v>16</v>
      </c>
      <c r="C174" s="2" t="s">
        <v>17</v>
      </c>
      <c r="D174" s="3">
        <v>418.8</v>
      </c>
      <c r="E174" s="3">
        <v>3.19</v>
      </c>
      <c r="F174" s="3">
        <v>327.39999999999998</v>
      </c>
      <c r="G174" s="3">
        <v>382</v>
      </c>
      <c r="H174" s="3">
        <v>969.7</v>
      </c>
      <c r="I174" s="4">
        <v>1307.8</v>
      </c>
      <c r="J174" s="4">
        <v>1240.7</v>
      </c>
      <c r="K174" s="3">
        <v>154.1</v>
      </c>
      <c r="L174" s="3">
        <v>3.84</v>
      </c>
      <c r="M174" s="4">
        <v>420489</v>
      </c>
      <c r="N174" s="4">
        <v>8600</v>
      </c>
      <c r="O174" s="3">
        <v>13.8</v>
      </c>
      <c r="P174" s="3" t="str">
        <f t="shared" si="2"/>
        <v>NORMAL</v>
      </c>
      <c r="Q174" s="3" cm="1">
        <f t="array" aca="1" ref="Q174" ca="1">AVERAGE(OFFSET(tbl_Process[[#This Row],[Temp_Firing_C]], MAX(1-ROW()+ROW(tbl_Process[#Headers]), -23), 0, MIN(ROW()-ROW(tbl_Process[#Headers]), 24), 1))</f>
        <v>1302.1416666666667</v>
      </c>
      <c r="R174" s="3" t="e" cm="1" vm="1">
        <f t="array" aca="1" ref="R174" ca="1">tbl_Process[Temp_Firing_C] - AVERAGE(tbl_Zones[[Target_Temp_Min_C]:[Target_Temp_Max_C]])</f>
        <v>#VALUE!</v>
      </c>
    </row>
    <row r="175" spans="1:18" x14ac:dyDescent="0.3">
      <c r="A175" s="2" t="s">
        <v>192</v>
      </c>
      <c r="B175" s="2" t="s">
        <v>16</v>
      </c>
      <c r="C175" s="2" t="s">
        <v>17</v>
      </c>
      <c r="D175" s="3">
        <v>419.9</v>
      </c>
      <c r="E175" s="3">
        <v>3.2</v>
      </c>
      <c r="F175" s="3">
        <v>309</v>
      </c>
      <c r="G175" s="3">
        <v>376.1</v>
      </c>
      <c r="H175" s="3">
        <v>968.7</v>
      </c>
      <c r="I175" s="4">
        <v>1313.2</v>
      </c>
      <c r="J175" s="4">
        <v>1241.3</v>
      </c>
      <c r="K175" s="3">
        <v>162.1</v>
      </c>
      <c r="L175" s="3">
        <v>4.21</v>
      </c>
      <c r="M175" s="4">
        <v>425096</v>
      </c>
      <c r="N175" s="4">
        <v>8647</v>
      </c>
      <c r="O175" s="3">
        <v>13.97</v>
      </c>
      <c r="P175" s="3" t="str">
        <f t="shared" si="2"/>
        <v>NORMAL</v>
      </c>
      <c r="Q175" s="3" cm="1">
        <f t="array" aca="1" ref="Q175" ca="1">AVERAGE(OFFSET(tbl_Process[[#This Row],[Temp_Firing_C]], MAX(1-ROW()+ROW(tbl_Process[#Headers]), -23), 0, MIN(ROW()-ROW(tbl_Process[#Headers]), 24), 1))</f>
        <v>1302.5958333333333</v>
      </c>
      <c r="R175" s="3" t="e" cm="1" vm="1">
        <f t="array" aca="1" ref="R175" ca="1">tbl_Process[Temp_Firing_C] - AVERAGE(tbl_Zones[[Target_Temp_Min_C]:[Target_Temp_Max_C]])</f>
        <v>#VALUE!</v>
      </c>
    </row>
    <row r="176" spans="1:18" x14ac:dyDescent="0.3">
      <c r="A176" s="2" t="s">
        <v>193</v>
      </c>
      <c r="B176" s="2" t="s">
        <v>24</v>
      </c>
      <c r="C176" s="2" t="s">
        <v>17</v>
      </c>
      <c r="D176" s="3">
        <v>417.5</v>
      </c>
      <c r="E176" s="3">
        <v>3.24</v>
      </c>
      <c r="F176" s="3">
        <v>323.2</v>
      </c>
      <c r="G176" s="3">
        <v>387.1</v>
      </c>
      <c r="H176" s="3">
        <v>965.7</v>
      </c>
      <c r="I176" s="4">
        <v>1317</v>
      </c>
      <c r="J176" s="4">
        <v>1252.5999999999999</v>
      </c>
      <c r="K176" s="3">
        <v>165.3</v>
      </c>
      <c r="L176" s="3">
        <v>4.17</v>
      </c>
      <c r="M176" s="4">
        <v>420244</v>
      </c>
      <c r="N176" s="4">
        <v>8487</v>
      </c>
      <c r="O176" s="3">
        <v>14.6</v>
      </c>
      <c r="P176" s="3" t="str">
        <f t="shared" si="2"/>
        <v>NORMAL</v>
      </c>
      <c r="Q176" s="3" cm="1">
        <f t="array" aca="1" ref="Q176" ca="1">AVERAGE(OFFSET(tbl_Process[[#This Row],[Temp_Firing_C]], MAX(1-ROW()+ROW(tbl_Process[#Headers]), -23), 0, MIN(ROW()-ROW(tbl_Process[#Headers]), 24), 1))</f>
        <v>1303.7375</v>
      </c>
      <c r="R176" s="3" t="e" cm="1" vm="1">
        <f t="array" aca="1" ref="R176" ca="1">tbl_Process[Temp_Firing_C] - AVERAGE(tbl_Zones[[Target_Temp_Min_C]:[Target_Temp_Max_C]])</f>
        <v>#VALUE!</v>
      </c>
    </row>
    <row r="177" spans="1:18" x14ac:dyDescent="0.3">
      <c r="A177" s="2" t="s">
        <v>194</v>
      </c>
      <c r="B177" s="2" t="s">
        <v>24</v>
      </c>
      <c r="C177" s="2" t="s">
        <v>17</v>
      </c>
      <c r="D177" s="3">
        <v>421</v>
      </c>
      <c r="E177" s="3">
        <v>3.06</v>
      </c>
      <c r="F177" s="3">
        <v>317.8</v>
      </c>
      <c r="G177" s="3">
        <v>388.2</v>
      </c>
      <c r="H177" s="3">
        <v>960.8</v>
      </c>
      <c r="I177" s="4">
        <v>1306.4000000000001</v>
      </c>
      <c r="J177" s="4">
        <v>1249.8</v>
      </c>
      <c r="K177" s="3">
        <v>156.1</v>
      </c>
      <c r="L177" s="3">
        <v>3.97</v>
      </c>
      <c r="M177" s="4">
        <v>421892</v>
      </c>
      <c r="N177" s="4">
        <v>8624</v>
      </c>
      <c r="O177" s="3">
        <v>14.22</v>
      </c>
      <c r="P177" s="3" t="str">
        <f t="shared" si="2"/>
        <v>NORMAL</v>
      </c>
      <c r="Q177" s="3" cm="1">
        <f t="array" aca="1" ref="Q177" ca="1">AVERAGE(OFFSET(tbl_Process[[#This Row],[Temp_Firing_C]], MAX(1-ROW()+ROW(tbl_Process[#Headers]), -23), 0, MIN(ROW()-ROW(tbl_Process[#Headers]), 24), 1))</f>
        <v>1303.4833333333333</v>
      </c>
      <c r="R177" s="3" t="e" cm="1" vm="1">
        <f t="array" aca="1" ref="R177" ca="1">tbl_Process[Temp_Firing_C] - AVERAGE(tbl_Zones[[Target_Temp_Min_C]:[Target_Temp_Max_C]])</f>
        <v>#VALUE!</v>
      </c>
    </row>
    <row r="178" spans="1:18" x14ac:dyDescent="0.3">
      <c r="A178" s="2" t="s">
        <v>195</v>
      </c>
      <c r="B178" s="2" t="s">
        <v>24</v>
      </c>
      <c r="C178" s="2" t="s">
        <v>17</v>
      </c>
      <c r="D178" s="3">
        <v>423.6</v>
      </c>
      <c r="E178" s="3">
        <v>3.22</v>
      </c>
      <c r="F178" s="3">
        <v>324.89999999999998</v>
      </c>
      <c r="G178" s="3">
        <v>380.9</v>
      </c>
      <c r="H178" s="3">
        <v>964.8</v>
      </c>
      <c r="I178" s="4">
        <v>1311.2</v>
      </c>
      <c r="J178" s="4">
        <v>1247.5</v>
      </c>
      <c r="K178" s="3">
        <v>165.2</v>
      </c>
      <c r="L178" s="3">
        <v>4.2</v>
      </c>
      <c r="M178" s="4">
        <v>422171</v>
      </c>
      <c r="N178" s="4">
        <v>8537</v>
      </c>
      <c r="O178" s="3">
        <v>14.19</v>
      </c>
      <c r="P178" s="3" t="str">
        <f t="shared" si="2"/>
        <v>NORMAL</v>
      </c>
      <c r="Q178" s="3" cm="1">
        <f t="array" aca="1" ref="Q178" ca="1">AVERAGE(OFFSET(tbl_Process[[#This Row],[Temp_Firing_C]], MAX(1-ROW()+ROW(tbl_Process[#Headers]), -23), 0, MIN(ROW()-ROW(tbl_Process[#Headers]), 24), 1))</f>
        <v>1303.825</v>
      </c>
      <c r="R178" s="3" t="e" cm="1" vm="1">
        <f t="array" aca="1" ref="R178" ca="1">tbl_Process[Temp_Firing_C] - AVERAGE(tbl_Zones[[Target_Temp_Min_C]:[Target_Temp_Max_C]])</f>
        <v>#VALUE!</v>
      </c>
    </row>
    <row r="179" spans="1:18" x14ac:dyDescent="0.3">
      <c r="A179" s="2" t="s">
        <v>196</v>
      </c>
      <c r="B179" s="2" t="s">
        <v>24</v>
      </c>
      <c r="C179" s="2" t="s">
        <v>17</v>
      </c>
      <c r="D179" s="3">
        <v>419.9</v>
      </c>
      <c r="E179" s="3">
        <v>3.22</v>
      </c>
      <c r="F179" s="3">
        <v>335.1</v>
      </c>
      <c r="G179" s="3">
        <v>378.8</v>
      </c>
      <c r="H179" s="3">
        <v>968.8</v>
      </c>
      <c r="I179" s="4">
        <v>1318.5</v>
      </c>
      <c r="J179" s="4">
        <v>1254.0999999999999</v>
      </c>
      <c r="K179" s="3">
        <v>172.9</v>
      </c>
      <c r="L179" s="3">
        <v>4.05</v>
      </c>
      <c r="M179" s="4">
        <v>424464</v>
      </c>
      <c r="N179" s="4">
        <v>8626</v>
      </c>
      <c r="O179" s="3">
        <v>14.01</v>
      </c>
      <c r="P179" s="3" t="str">
        <f t="shared" si="2"/>
        <v>NORMAL</v>
      </c>
      <c r="Q179" s="3" cm="1">
        <f t="array" aca="1" ref="Q179" ca="1">AVERAGE(OFFSET(tbl_Process[[#This Row],[Temp_Firing_C]], MAX(1-ROW()+ROW(tbl_Process[#Headers]), -23), 0, MIN(ROW()-ROW(tbl_Process[#Headers]), 24), 1))</f>
        <v>1304.4083333333335</v>
      </c>
      <c r="R179" s="3" t="e" cm="1" vm="1">
        <f t="array" aca="1" ref="R179" ca="1">tbl_Process[Temp_Firing_C] - AVERAGE(tbl_Zones[[Target_Temp_Min_C]:[Target_Temp_Max_C]])</f>
        <v>#VALUE!</v>
      </c>
    </row>
    <row r="180" spans="1:18" x14ac:dyDescent="0.3">
      <c r="A180" s="2" t="s">
        <v>197</v>
      </c>
      <c r="B180" s="2" t="s">
        <v>24</v>
      </c>
      <c r="C180" s="2" t="s">
        <v>17</v>
      </c>
      <c r="D180" s="3">
        <v>421</v>
      </c>
      <c r="E180" s="3">
        <v>3.27</v>
      </c>
      <c r="F180" s="3">
        <v>323.5</v>
      </c>
      <c r="G180" s="3">
        <v>391</v>
      </c>
      <c r="H180" s="3">
        <v>962.1</v>
      </c>
      <c r="I180" s="4">
        <v>1306.7</v>
      </c>
      <c r="J180" s="4">
        <v>1257.9000000000001</v>
      </c>
      <c r="K180" s="3">
        <v>163.1</v>
      </c>
      <c r="L180" s="3">
        <v>4.03</v>
      </c>
      <c r="M180" s="4">
        <v>418776</v>
      </c>
      <c r="N180" s="4">
        <v>8467</v>
      </c>
      <c r="O180" s="3">
        <v>14.46</v>
      </c>
      <c r="P180" s="3" t="str">
        <f t="shared" si="2"/>
        <v>NORMAL</v>
      </c>
      <c r="Q180" s="3" cm="1">
        <f t="array" aca="1" ref="Q180" ca="1">AVERAGE(OFFSET(tbl_Process[[#This Row],[Temp_Firing_C]], MAX(1-ROW()+ROW(tbl_Process[#Headers]), -23), 0, MIN(ROW()-ROW(tbl_Process[#Headers]), 24), 1))</f>
        <v>1304.3041666666666</v>
      </c>
      <c r="R180" s="3" t="e" cm="1" vm="1">
        <f t="array" aca="1" ref="R180" ca="1">tbl_Process[Temp_Firing_C] - AVERAGE(tbl_Zones[[Target_Temp_Min_C]:[Target_Temp_Max_C]])</f>
        <v>#VALUE!</v>
      </c>
    </row>
    <row r="181" spans="1:18" x14ac:dyDescent="0.3">
      <c r="A181" s="2" t="s">
        <v>198</v>
      </c>
      <c r="B181" s="2" t="s">
        <v>24</v>
      </c>
      <c r="C181" s="2" t="s">
        <v>17</v>
      </c>
      <c r="D181" s="3">
        <v>418.5</v>
      </c>
      <c r="E181" s="3">
        <v>3.21</v>
      </c>
      <c r="F181" s="3">
        <v>321</v>
      </c>
      <c r="G181" s="3">
        <v>386.9</v>
      </c>
      <c r="H181" s="3">
        <v>952.5</v>
      </c>
      <c r="I181" s="4">
        <v>1300</v>
      </c>
      <c r="J181" s="4">
        <v>1236.3</v>
      </c>
      <c r="K181" s="3">
        <v>163.9</v>
      </c>
      <c r="L181" s="3">
        <v>4.1100000000000003</v>
      </c>
      <c r="M181" s="4">
        <v>417167</v>
      </c>
      <c r="N181" s="4">
        <v>8581</v>
      </c>
      <c r="O181" s="3">
        <v>13.95</v>
      </c>
      <c r="P181" s="3" t="str">
        <f t="shared" si="2"/>
        <v>NORMAL</v>
      </c>
      <c r="Q181" s="3" cm="1">
        <f t="array" aca="1" ref="Q181" ca="1">AVERAGE(OFFSET(tbl_Process[[#This Row],[Temp_Firing_C]], MAX(1-ROW()+ROW(tbl_Process[#Headers]), -23), 0, MIN(ROW()-ROW(tbl_Process[#Headers]), 24), 1))</f>
        <v>1304.125</v>
      </c>
      <c r="R181" s="3" t="e" cm="1" vm="1">
        <f t="array" aca="1" ref="R181" ca="1">tbl_Process[Temp_Firing_C] - AVERAGE(tbl_Zones[[Target_Temp_Min_C]:[Target_Temp_Max_C]])</f>
        <v>#VALUE!</v>
      </c>
    </row>
    <row r="182" spans="1:18" x14ac:dyDescent="0.3">
      <c r="A182" s="2" t="s">
        <v>199</v>
      </c>
      <c r="B182" s="2" t="s">
        <v>24</v>
      </c>
      <c r="C182" s="2" t="s">
        <v>17</v>
      </c>
      <c r="D182" s="3">
        <v>417.9</v>
      </c>
      <c r="E182" s="3">
        <v>3.12</v>
      </c>
      <c r="F182" s="3">
        <v>328.8</v>
      </c>
      <c r="G182" s="3">
        <v>385.8</v>
      </c>
      <c r="H182" s="3">
        <v>969.3</v>
      </c>
      <c r="I182" s="4">
        <v>1317.8</v>
      </c>
      <c r="J182" s="4">
        <v>1269.7</v>
      </c>
      <c r="K182" s="3">
        <v>152.1</v>
      </c>
      <c r="L182" s="3">
        <v>3.96</v>
      </c>
      <c r="M182" s="4">
        <v>421047</v>
      </c>
      <c r="N182" s="4">
        <v>8612</v>
      </c>
      <c r="O182" s="3">
        <v>13.84</v>
      </c>
      <c r="P182" s="3" t="str">
        <f t="shared" si="2"/>
        <v>NORMAL</v>
      </c>
      <c r="Q182" s="3" cm="1">
        <f t="array" aca="1" ref="Q182" ca="1">AVERAGE(OFFSET(tbl_Process[[#This Row],[Temp_Firing_C]], MAX(1-ROW()+ROW(tbl_Process[#Headers]), -23), 0, MIN(ROW()-ROW(tbl_Process[#Headers]), 24), 1))</f>
        <v>1304.1708333333333</v>
      </c>
      <c r="R182" s="3" t="e" cm="1" vm="1">
        <f t="array" aca="1" ref="R182" ca="1">tbl_Process[Temp_Firing_C] - AVERAGE(tbl_Zones[[Target_Temp_Min_C]:[Target_Temp_Max_C]])</f>
        <v>#VALUE!</v>
      </c>
    </row>
    <row r="183" spans="1:18" x14ac:dyDescent="0.3">
      <c r="A183" s="2" t="s">
        <v>200</v>
      </c>
      <c r="B183" s="2" t="s">
        <v>24</v>
      </c>
      <c r="C183" s="2" t="s">
        <v>17</v>
      </c>
      <c r="D183" s="3">
        <v>418.8</v>
      </c>
      <c r="E183" s="3">
        <v>3.1</v>
      </c>
      <c r="F183" s="3">
        <v>322.7</v>
      </c>
      <c r="G183" s="3">
        <v>381.3</v>
      </c>
      <c r="H183" s="3">
        <v>967.2</v>
      </c>
      <c r="I183" s="4">
        <v>1311</v>
      </c>
      <c r="J183" s="4">
        <v>1249.5999999999999</v>
      </c>
      <c r="K183" s="3">
        <v>158.6</v>
      </c>
      <c r="L183" s="3">
        <v>4.3099999999999996</v>
      </c>
      <c r="M183" s="4">
        <v>422801</v>
      </c>
      <c r="N183" s="4">
        <v>8409</v>
      </c>
      <c r="O183" s="3">
        <v>14.02</v>
      </c>
      <c r="P183" s="3" t="str">
        <f t="shared" si="2"/>
        <v>NORMAL</v>
      </c>
      <c r="Q183" s="3" cm="1">
        <f t="array" aca="1" ref="Q183" ca="1">AVERAGE(OFFSET(tbl_Process[[#This Row],[Temp_Firing_C]], MAX(1-ROW()+ROW(tbl_Process[#Headers]), -23), 0, MIN(ROW()-ROW(tbl_Process[#Headers]), 24), 1))</f>
        <v>1304.3916666666667</v>
      </c>
      <c r="R183" s="3" t="e" cm="1" vm="1">
        <f t="array" aca="1" ref="R183" ca="1">tbl_Process[Temp_Firing_C] - AVERAGE(tbl_Zones[[Target_Temp_Min_C]:[Target_Temp_Max_C]])</f>
        <v>#VALUE!</v>
      </c>
    </row>
    <row r="184" spans="1:18" x14ac:dyDescent="0.3">
      <c r="A184" s="2" t="s">
        <v>201</v>
      </c>
      <c r="B184" s="2" t="s">
        <v>33</v>
      </c>
      <c r="C184" s="2" t="s">
        <v>17</v>
      </c>
      <c r="D184" s="3">
        <v>413</v>
      </c>
      <c r="E184" s="3">
        <v>3.2</v>
      </c>
      <c r="F184" s="3">
        <v>319.7</v>
      </c>
      <c r="G184" s="3">
        <v>377.3</v>
      </c>
      <c r="H184" s="3">
        <v>985</v>
      </c>
      <c r="I184" s="4">
        <v>1310.5999999999999</v>
      </c>
      <c r="J184" s="4">
        <v>1250</v>
      </c>
      <c r="K184" s="3">
        <v>155.6</v>
      </c>
      <c r="L184" s="3">
        <v>3.89</v>
      </c>
      <c r="M184" s="4">
        <v>422037</v>
      </c>
      <c r="N184" s="4">
        <v>8648</v>
      </c>
      <c r="O184" s="3">
        <v>13.62</v>
      </c>
      <c r="P184" s="3" t="str">
        <f t="shared" si="2"/>
        <v>NORMAL</v>
      </c>
      <c r="Q184" s="3" cm="1">
        <f t="array" aca="1" ref="Q184" ca="1">AVERAGE(OFFSET(tbl_Process[[#This Row],[Temp_Firing_C]], MAX(1-ROW()+ROW(tbl_Process[#Headers]), -23), 0, MIN(ROW()-ROW(tbl_Process[#Headers]), 24), 1))</f>
        <v>1304.45</v>
      </c>
      <c r="R184" s="3" t="e" cm="1" vm="1">
        <f t="array" aca="1" ref="R184" ca="1">tbl_Process[Temp_Firing_C] - AVERAGE(tbl_Zones[[Target_Temp_Min_C]:[Target_Temp_Max_C]])</f>
        <v>#VALUE!</v>
      </c>
    </row>
    <row r="185" spans="1:18" x14ac:dyDescent="0.3">
      <c r="A185" s="2" t="s">
        <v>202</v>
      </c>
      <c r="B185" s="2" t="s">
        <v>33</v>
      </c>
      <c r="C185" s="2" t="s">
        <v>17</v>
      </c>
      <c r="D185" s="3">
        <v>419.3</v>
      </c>
      <c r="E185" s="3">
        <v>3.2</v>
      </c>
      <c r="F185" s="3">
        <v>318.89999999999998</v>
      </c>
      <c r="G185" s="3">
        <v>374.6</v>
      </c>
      <c r="H185" s="3">
        <v>954</v>
      </c>
      <c r="I185" s="4">
        <v>1304.2</v>
      </c>
      <c r="J185" s="4">
        <v>1239.7</v>
      </c>
      <c r="K185" s="3">
        <v>163.19999999999999</v>
      </c>
      <c r="L185" s="3">
        <v>4.21</v>
      </c>
      <c r="M185" s="4">
        <v>419726</v>
      </c>
      <c r="N185" s="4">
        <v>8496</v>
      </c>
      <c r="O185" s="3">
        <v>14.31</v>
      </c>
      <c r="P185" s="3" t="str">
        <f t="shared" si="2"/>
        <v>NORMAL</v>
      </c>
      <c r="Q185" s="3" cm="1">
        <f t="array" aca="1" ref="Q185" ca="1">AVERAGE(OFFSET(tbl_Process[[#This Row],[Temp_Firing_C]], MAX(1-ROW()+ROW(tbl_Process[#Headers]), -23), 0, MIN(ROW()-ROW(tbl_Process[#Headers]), 24), 1))</f>
        <v>1305.5958333333335</v>
      </c>
      <c r="R185" s="3" t="e" cm="1" vm="1">
        <f t="array" aca="1" ref="R185" ca="1">tbl_Process[Temp_Firing_C] - AVERAGE(tbl_Zones[[Target_Temp_Min_C]:[Target_Temp_Max_C]])</f>
        <v>#VALUE!</v>
      </c>
    </row>
    <row r="186" spans="1:18" x14ac:dyDescent="0.3">
      <c r="A186" s="2" t="s">
        <v>203</v>
      </c>
      <c r="B186" s="2" t="s">
        <v>33</v>
      </c>
      <c r="C186" s="2" t="s">
        <v>17</v>
      </c>
      <c r="D186" s="3">
        <v>422.4</v>
      </c>
      <c r="E186" s="3">
        <v>3.17</v>
      </c>
      <c r="F186" s="3">
        <v>324.8</v>
      </c>
      <c r="G186" s="3">
        <v>386.9</v>
      </c>
      <c r="H186" s="3">
        <v>975.6</v>
      </c>
      <c r="I186" s="4">
        <v>1319.4</v>
      </c>
      <c r="J186" s="4">
        <v>1249.2</v>
      </c>
      <c r="K186" s="3">
        <v>160.1</v>
      </c>
      <c r="L186" s="3">
        <v>4.1100000000000003</v>
      </c>
      <c r="M186" s="4">
        <v>423149</v>
      </c>
      <c r="N186" s="4">
        <v>8655</v>
      </c>
      <c r="O186" s="3">
        <v>13.7</v>
      </c>
      <c r="P186" s="3" t="str">
        <f t="shared" si="2"/>
        <v>NORMAL</v>
      </c>
      <c r="Q186" s="3" cm="1">
        <f t="array" aca="1" ref="Q186" ca="1">AVERAGE(OFFSET(tbl_Process[[#This Row],[Temp_Firing_C]], MAX(1-ROW()+ROW(tbl_Process[#Headers]), -23), 0, MIN(ROW()-ROW(tbl_Process[#Headers]), 24), 1))</f>
        <v>1306.8166666666668</v>
      </c>
      <c r="R186" s="3" t="e" cm="1" vm="1">
        <f t="array" aca="1" ref="R186" ca="1">tbl_Process[Temp_Firing_C] - AVERAGE(tbl_Zones[[Target_Temp_Min_C]:[Target_Temp_Max_C]])</f>
        <v>#VALUE!</v>
      </c>
    </row>
    <row r="187" spans="1:18" x14ac:dyDescent="0.3">
      <c r="A187" s="2" t="s">
        <v>204</v>
      </c>
      <c r="B187" s="2" t="s">
        <v>33</v>
      </c>
      <c r="C187" s="2" t="s">
        <v>17</v>
      </c>
      <c r="D187" s="3">
        <v>420.4</v>
      </c>
      <c r="E187" s="3">
        <v>3.14</v>
      </c>
      <c r="F187" s="3">
        <v>320.5</v>
      </c>
      <c r="G187" s="3">
        <v>374.4</v>
      </c>
      <c r="H187" s="3">
        <v>946.8</v>
      </c>
      <c r="I187" s="4">
        <v>1306.8</v>
      </c>
      <c r="J187" s="4">
        <v>1242.7</v>
      </c>
      <c r="K187" s="3">
        <v>162.9</v>
      </c>
      <c r="L187" s="3">
        <v>4.34</v>
      </c>
      <c r="M187" s="4">
        <v>422195</v>
      </c>
      <c r="N187" s="4">
        <v>8640</v>
      </c>
      <c r="O187" s="3">
        <v>13.82</v>
      </c>
      <c r="P187" s="3" t="str">
        <f t="shared" si="2"/>
        <v>NORMAL</v>
      </c>
      <c r="Q187" s="3" cm="1">
        <f t="array" aca="1" ref="Q187" ca="1">AVERAGE(OFFSET(tbl_Process[[#This Row],[Temp_Firing_C]], MAX(1-ROW()+ROW(tbl_Process[#Headers]), -23), 0, MIN(ROW()-ROW(tbl_Process[#Headers]), 24), 1))</f>
        <v>1307.5083333333334</v>
      </c>
      <c r="R187" s="3" t="e" cm="1" vm="1">
        <f t="array" aca="1" ref="R187" ca="1">tbl_Process[Temp_Firing_C] - AVERAGE(tbl_Zones[[Target_Temp_Min_C]:[Target_Temp_Max_C]])</f>
        <v>#VALUE!</v>
      </c>
    </row>
    <row r="188" spans="1:18" x14ac:dyDescent="0.3">
      <c r="A188" s="2" t="s">
        <v>205</v>
      </c>
      <c r="B188" s="2" t="s">
        <v>33</v>
      </c>
      <c r="C188" s="2" t="s">
        <v>17</v>
      </c>
      <c r="D188" s="3">
        <v>414.9</v>
      </c>
      <c r="E188" s="3">
        <v>3.33</v>
      </c>
      <c r="F188" s="3">
        <v>314.5</v>
      </c>
      <c r="G188" s="3">
        <v>372.7</v>
      </c>
      <c r="H188" s="3">
        <v>959.5</v>
      </c>
      <c r="I188" s="4">
        <v>1304.3</v>
      </c>
      <c r="J188" s="4">
        <v>1233.9000000000001</v>
      </c>
      <c r="K188" s="3">
        <v>158.5</v>
      </c>
      <c r="L188" s="3">
        <v>4.21</v>
      </c>
      <c r="M188" s="4">
        <v>417953</v>
      </c>
      <c r="N188" s="4">
        <v>8384</v>
      </c>
      <c r="O188" s="3">
        <v>14.53</v>
      </c>
      <c r="P188" s="3" t="str">
        <f t="shared" si="2"/>
        <v>NORMAL</v>
      </c>
      <c r="Q188" s="3" cm="1">
        <f t="array" aca="1" ref="Q188" ca="1">AVERAGE(OFFSET(tbl_Process[[#This Row],[Temp_Firing_C]], MAX(1-ROW()+ROW(tbl_Process[#Headers]), -23), 0, MIN(ROW()-ROW(tbl_Process[#Headers]), 24), 1))</f>
        <v>1307.0375000000001</v>
      </c>
      <c r="R188" s="3" t="e" cm="1" vm="1">
        <f t="array" aca="1" ref="R188" ca="1">tbl_Process[Temp_Firing_C] - AVERAGE(tbl_Zones[[Target_Temp_Min_C]:[Target_Temp_Max_C]])</f>
        <v>#VALUE!</v>
      </c>
    </row>
    <row r="189" spans="1:18" x14ac:dyDescent="0.3">
      <c r="A189" s="2" t="s">
        <v>206</v>
      </c>
      <c r="B189" s="2" t="s">
        <v>33</v>
      </c>
      <c r="C189" s="2" t="s">
        <v>17</v>
      </c>
      <c r="D189" s="3">
        <v>422</v>
      </c>
      <c r="E189" s="3">
        <v>3.15</v>
      </c>
      <c r="F189" s="3">
        <v>310.60000000000002</v>
      </c>
      <c r="G189" s="3">
        <v>374.9</v>
      </c>
      <c r="H189" s="3">
        <v>959.6</v>
      </c>
      <c r="I189" s="4">
        <v>1314.6</v>
      </c>
      <c r="J189" s="4">
        <v>1243.4000000000001</v>
      </c>
      <c r="K189" s="3">
        <v>159.69999999999999</v>
      </c>
      <c r="L189" s="3">
        <v>4.18</v>
      </c>
      <c r="M189" s="4">
        <v>414294</v>
      </c>
      <c r="N189" s="4">
        <v>8799</v>
      </c>
      <c r="O189" s="3">
        <v>13.67</v>
      </c>
      <c r="P189" s="3" t="str">
        <f t="shared" si="2"/>
        <v>NORMAL</v>
      </c>
      <c r="Q189" s="3" cm="1">
        <f t="array" aca="1" ref="Q189" ca="1">AVERAGE(OFFSET(tbl_Process[[#This Row],[Temp_Firing_C]], MAX(1-ROW()+ROW(tbl_Process[#Headers]), -23), 0, MIN(ROW()-ROW(tbl_Process[#Headers]), 24), 1))</f>
        <v>1307.8625</v>
      </c>
      <c r="R189" s="3" t="e" cm="1" vm="1">
        <f t="array" aca="1" ref="R189" ca="1">tbl_Process[Temp_Firing_C] - AVERAGE(tbl_Zones[[Target_Temp_Min_C]:[Target_Temp_Max_C]])</f>
        <v>#VALUE!</v>
      </c>
    </row>
    <row r="190" spans="1:18" x14ac:dyDescent="0.3">
      <c r="A190" s="2" t="s">
        <v>207</v>
      </c>
      <c r="B190" s="2" t="s">
        <v>33</v>
      </c>
      <c r="C190" s="2" t="s">
        <v>17</v>
      </c>
      <c r="D190" s="3">
        <v>421.3</v>
      </c>
      <c r="E190" s="3">
        <v>3.22</v>
      </c>
      <c r="F190" s="3">
        <v>326.8</v>
      </c>
      <c r="G190" s="3">
        <v>384.3</v>
      </c>
      <c r="H190" s="3">
        <v>932.1</v>
      </c>
      <c r="I190" s="4">
        <v>1299.5999999999999</v>
      </c>
      <c r="J190" s="4">
        <v>1235.4000000000001</v>
      </c>
      <c r="K190" s="3">
        <v>159.19999999999999</v>
      </c>
      <c r="L190" s="3">
        <v>4.17</v>
      </c>
      <c r="M190" s="4">
        <v>422691</v>
      </c>
      <c r="N190" s="4">
        <v>8568</v>
      </c>
      <c r="O190" s="3">
        <v>14.09</v>
      </c>
      <c r="P190" s="3" t="str">
        <f t="shared" si="2"/>
        <v>NORMAL</v>
      </c>
      <c r="Q190" s="3" cm="1">
        <f t="array" aca="1" ref="Q190" ca="1">AVERAGE(OFFSET(tbl_Process[[#This Row],[Temp_Firing_C]], MAX(1-ROW()+ROW(tbl_Process[#Headers]), -23), 0, MIN(ROW()-ROW(tbl_Process[#Headers]), 24), 1))</f>
        <v>1307.2541666666664</v>
      </c>
      <c r="R190" s="3" t="e" cm="1" vm="1">
        <f t="array" aca="1" ref="R190" ca="1">tbl_Process[Temp_Firing_C] - AVERAGE(tbl_Zones[[Target_Temp_Min_C]:[Target_Temp_Max_C]])</f>
        <v>#VALUE!</v>
      </c>
    </row>
    <row r="191" spans="1:18" x14ac:dyDescent="0.3">
      <c r="A191" s="2" t="s">
        <v>208</v>
      </c>
      <c r="B191" s="2" t="s">
        <v>33</v>
      </c>
      <c r="C191" s="2" t="s">
        <v>17</v>
      </c>
      <c r="D191" s="3">
        <v>412.6</v>
      </c>
      <c r="E191" s="3">
        <v>3.16</v>
      </c>
      <c r="F191" s="3">
        <v>323.10000000000002</v>
      </c>
      <c r="G191" s="3">
        <v>373.2</v>
      </c>
      <c r="H191" s="3">
        <v>968.8</v>
      </c>
      <c r="I191" s="4">
        <v>1314</v>
      </c>
      <c r="J191" s="4">
        <v>1249.8</v>
      </c>
      <c r="K191" s="3">
        <v>145.1</v>
      </c>
      <c r="L191" s="3">
        <v>3.84</v>
      </c>
      <c r="M191" s="4">
        <v>429122</v>
      </c>
      <c r="N191" s="4">
        <v>8602</v>
      </c>
      <c r="O191" s="3">
        <v>13.62</v>
      </c>
      <c r="P191" s="3" t="str">
        <f t="shared" si="2"/>
        <v>NORMAL</v>
      </c>
      <c r="Q191" s="3" cm="1">
        <f t="array" aca="1" ref="Q191" ca="1">AVERAGE(OFFSET(tbl_Process[[#This Row],[Temp_Firing_C]], MAX(1-ROW()+ROW(tbl_Process[#Headers]), -23), 0, MIN(ROW()-ROW(tbl_Process[#Headers]), 24), 1))</f>
        <v>1307.8749999999998</v>
      </c>
      <c r="R191" s="3" t="e" cm="1" vm="1">
        <f t="array" aca="1" ref="R191" ca="1">tbl_Process[Temp_Firing_C] - AVERAGE(tbl_Zones[[Target_Temp_Min_C]:[Target_Temp_Max_C]])</f>
        <v>#VALUE!</v>
      </c>
    </row>
    <row r="192" spans="1:18" x14ac:dyDescent="0.3">
      <c r="A192" s="2" t="s">
        <v>209</v>
      </c>
      <c r="B192" s="2" t="s">
        <v>16</v>
      </c>
      <c r="C192" s="2" t="s">
        <v>17</v>
      </c>
      <c r="D192" s="3">
        <v>424.9</v>
      </c>
      <c r="E192" s="3">
        <v>3.2</v>
      </c>
      <c r="F192" s="3">
        <v>327.60000000000002</v>
      </c>
      <c r="G192" s="3">
        <v>383.3</v>
      </c>
      <c r="H192" s="3">
        <v>967.5</v>
      </c>
      <c r="I192" s="4">
        <v>1310.5999999999999</v>
      </c>
      <c r="J192" s="4">
        <v>1249.8</v>
      </c>
      <c r="K192" s="3">
        <v>172.1</v>
      </c>
      <c r="L192" s="3">
        <v>4.2699999999999996</v>
      </c>
      <c r="M192" s="4">
        <v>416377</v>
      </c>
      <c r="N192" s="4">
        <v>8681</v>
      </c>
      <c r="O192" s="3">
        <v>14.34</v>
      </c>
      <c r="P192" s="3" t="str">
        <f t="shared" si="2"/>
        <v>NORMAL</v>
      </c>
      <c r="Q192" s="3" cm="1">
        <f t="array" aca="1" ref="Q192" ca="1">AVERAGE(OFFSET(tbl_Process[[#This Row],[Temp_Firing_C]], MAX(1-ROW()+ROW(tbl_Process[#Headers]), -23), 0, MIN(ROW()-ROW(tbl_Process[#Headers]), 24), 1))</f>
        <v>1308.2416666666666</v>
      </c>
      <c r="R192" s="3" t="e" cm="1" vm="1">
        <f t="array" aca="1" ref="R192" ca="1">tbl_Process[Temp_Firing_C] - AVERAGE(tbl_Zones[[Target_Temp_Min_C]:[Target_Temp_Max_C]])</f>
        <v>#VALUE!</v>
      </c>
    </row>
    <row r="193" spans="1:18" x14ac:dyDescent="0.3">
      <c r="A193" s="2" t="s">
        <v>210</v>
      </c>
      <c r="B193" s="2" t="s">
        <v>16</v>
      </c>
      <c r="C193" s="2" t="s">
        <v>17</v>
      </c>
      <c r="D193" s="3">
        <v>424.8</v>
      </c>
      <c r="E193" s="3">
        <v>3.17</v>
      </c>
      <c r="F193" s="3">
        <v>328.4</v>
      </c>
      <c r="G193" s="3">
        <v>388.4</v>
      </c>
      <c r="H193" s="3">
        <v>993.7</v>
      </c>
      <c r="I193" s="4">
        <v>1302.8</v>
      </c>
      <c r="J193" s="4">
        <v>1234.8</v>
      </c>
      <c r="K193" s="3">
        <v>159.4</v>
      </c>
      <c r="L193" s="3">
        <v>4.08</v>
      </c>
      <c r="M193" s="4">
        <v>417389</v>
      </c>
      <c r="N193" s="4">
        <v>8202</v>
      </c>
      <c r="O193" s="3">
        <v>14.33</v>
      </c>
      <c r="P193" s="3" t="str">
        <f t="shared" si="2"/>
        <v>NORMAL</v>
      </c>
      <c r="Q193" s="3" cm="1">
        <f t="array" aca="1" ref="Q193" ca="1">AVERAGE(OFFSET(tbl_Process[[#This Row],[Temp_Firing_C]], MAX(1-ROW()+ROW(tbl_Process[#Headers]), -23), 0, MIN(ROW()-ROW(tbl_Process[#Headers]), 24), 1))</f>
        <v>1307.9958333333332</v>
      </c>
      <c r="R193" s="3" t="e" cm="1" vm="1">
        <f t="array" aca="1" ref="R193" ca="1">tbl_Process[Temp_Firing_C] - AVERAGE(tbl_Zones[[Target_Temp_Min_C]:[Target_Temp_Max_C]])</f>
        <v>#VALUE!</v>
      </c>
    </row>
    <row r="194" spans="1:18" x14ac:dyDescent="0.3">
      <c r="A194" s="2" t="s">
        <v>211</v>
      </c>
      <c r="B194" s="2" t="s">
        <v>16</v>
      </c>
      <c r="C194" s="2" t="s">
        <v>17</v>
      </c>
      <c r="D194" s="3">
        <v>421.5</v>
      </c>
      <c r="E194" s="3">
        <v>3.16</v>
      </c>
      <c r="F194" s="3">
        <v>333.5</v>
      </c>
      <c r="G194" s="3">
        <v>382.6</v>
      </c>
      <c r="H194" s="3">
        <v>979.2</v>
      </c>
      <c r="I194" s="4">
        <v>1312.1</v>
      </c>
      <c r="J194" s="4">
        <v>1252.0999999999999</v>
      </c>
      <c r="K194" s="3">
        <v>162.6</v>
      </c>
      <c r="L194" s="3">
        <v>4.26</v>
      </c>
      <c r="M194" s="4">
        <v>422374</v>
      </c>
      <c r="N194" s="4">
        <v>8705</v>
      </c>
      <c r="O194" s="3">
        <v>14.13</v>
      </c>
      <c r="P194" s="3" t="str">
        <f t="shared" ref="P194:P257" si="3">IF(L194&gt;4.5,"CRITICAL",IF(OR(I194&lt;1250,I194&gt;1330),"WARNING","NORMAL"))</f>
        <v>NORMAL</v>
      </c>
      <c r="Q194" s="3" cm="1">
        <f t="array" aca="1" ref="Q194" ca="1">AVERAGE(OFFSET(tbl_Process[[#This Row],[Temp_Firing_C]], MAX(1-ROW()+ROW(tbl_Process[#Headers]), -23), 0, MIN(ROW()-ROW(tbl_Process[#Headers]), 24), 1))</f>
        <v>1308.5541666666666</v>
      </c>
      <c r="R194" s="3" t="e" cm="1" vm="1">
        <f t="array" aca="1" ref="R194" ca="1">tbl_Process[Temp_Firing_C] - AVERAGE(tbl_Zones[[Target_Temp_Min_C]:[Target_Temp_Max_C]])</f>
        <v>#VALUE!</v>
      </c>
    </row>
    <row r="195" spans="1:18" x14ac:dyDescent="0.3">
      <c r="A195" s="2" t="s">
        <v>212</v>
      </c>
      <c r="B195" s="2" t="s">
        <v>16</v>
      </c>
      <c r="C195" s="2" t="s">
        <v>17</v>
      </c>
      <c r="D195" s="3">
        <v>418.8</v>
      </c>
      <c r="E195" s="3">
        <v>3.23</v>
      </c>
      <c r="F195" s="3">
        <v>335.7</v>
      </c>
      <c r="G195" s="3">
        <v>381.2</v>
      </c>
      <c r="H195" s="3">
        <v>969.7</v>
      </c>
      <c r="I195" s="4">
        <v>1321.2</v>
      </c>
      <c r="J195" s="4">
        <v>1263</v>
      </c>
      <c r="K195" s="3">
        <v>161.6</v>
      </c>
      <c r="L195" s="3">
        <v>3.8</v>
      </c>
      <c r="M195" s="4">
        <v>425624</v>
      </c>
      <c r="N195" s="4">
        <v>8488</v>
      </c>
      <c r="O195" s="3">
        <v>14.58</v>
      </c>
      <c r="P195" s="3" t="str">
        <f t="shared" si="3"/>
        <v>NORMAL</v>
      </c>
      <c r="Q195" s="3" cm="1">
        <f t="array" aca="1" ref="Q195" ca="1">AVERAGE(OFFSET(tbl_Process[[#This Row],[Temp_Firing_C]], MAX(1-ROW()+ROW(tbl_Process[#Headers]), -23), 0, MIN(ROW()-ROW(tbl_Process[#Headers]), 24), 1))</f>
        <v>1309.3083333333332</v>
      </c>
      <c r="R195" s="3" t="e" cm="1" vm="1">
        <f t="array" aca="1" ref="R195" ca="1">tbl_Process[Temp_Firing_C] - AVERAGE(tbl_Zones[[Target_Temp_Min_C]:[Target_Temp_Max_C]])</f>
        <v>#VALUE!</v>
      </c>
    </row>
    <row r="196" spans="1:18" x14ac:dyDescent="0.3">
      <c r="A196" s="2" t="s">
        <v>213</v>
      </c>
      <c r="B196" s="2" t="s">
        <v>16</v>
      </c>
      <c r="C196" s="2" t="s">
        <v>17</v>
      </c>
      <c r="D196" s="3">
        <v>420.7</v>
      </c>
      <c r="E196" s="3">
        <v>3.28</v>
      </c>
      <c r="F196" s="3">
        <v>317.3</v>
      </c>
      <c r="G196" s="3">
        <v>372.8</v>
      </c>
      <c r="H196" s="3">
        <v>968.6</v>
      </c>
      <c r="I196" s="4">
        <v>1312</v>
      </c>
      <c r="J196" s="4">
        <v>1244.0999999999999</v>
      </c>
      <c r="K196" s="3">
        <v>162.19999999999999</v>
      </c>
      <c r="L196" s="3">
        <v>4.45</v>
      </c>
      <c r="M196" s="4">
        <v>425081</v>
      </c>
      <c r="N196" s="4">
        <v>8770</v>
      </c>
      <c r="O196" s="3">
        <v>14.19</v>
      </c>
      <c r="P196" s="3" t="str">
        <f t="shared" si="3"/>
        <v>NORMAL</v>
      </c>
      <c r="Q196" s="3" cm="1">
        <f t="array" aca="1" ref="Q196" ca="1">AVERAGE(OFFSET(tbl_Process[[#This Row],[Temp_Firing_C]], MAX(1-ROW()+ROW(tbl_Process[#Headers]), -23), 0, MIN(ROW()-ROW(tbl_Process[#Headers]), 24), 1))</f>
        <v>1309.8291666666664</v>
      </c>
      <c r="R196" s="3" t="e" cm="1" vm="1">
        <f t="array" aca="1" ref="R196" ca="1">tbl_Process[Temp_Firing_C] - AVERAGE(tbl_Zones[[Target_Temp_Min_C]:[Target_Temp_Max_C]])</f>
        <v>#VALUE!</v>
      </c>
    </row>
    <row r="197" spans="1:18" x14ac:dyDescent="0.3">
      <c r="A197" s="2" t="s">
        <v>214</v>
      </c>
      <c r="B197" s="2" t="s">
        <v>16</v>
      </c>
      <c r="C197" s="2" t="s">
        <v>17</v>
      </c>
      <c r="D197" s="3">
        <v>425.9</v>
      </c>
      <c r="E197" s="3">
        <v>3.18</v>
      </c>
      <c r="F197" s="3">
        <v>310.8</v>
      </c>
      <c r="G197" s="3">
        <v>382.8</v>
      </c>
      <c r="H197" s="3">
        <v>975.9</v>
      </c>
      <c r="I197" s="4">
        <v>1305.5</v>
      </c>
      <c r="J197" s="4">
        <v>1239.4000000000001</v>
      </c>
      <c r="K197" s="3">
        <v>158.6</v>
      </c>
      <c r="L197" s="3">
        <v>4.34</v>
      </c>
      <c r="M197" s="4">
        <v>423613</v>
      </c>
      <c r="N197" s="4">
        <v>8644</v>
      </c>
      <c r="O197" s="3">
        <v>14.24</v>
      </c>
      <c r="P197" s="3" t="str">
        <f t="shared" si="3"/>
        <v>NORMAL</v>
      </c>
      <c r="Q197" s="3" cm="1">
        <f t="array" aca="1" ref="Q197" ca="1">AVERAGE(OFFSET(tbl_Process[[#This Row],[Temp_Firing_C]], MAX(1-ROW()+ROW(tbl_Process[#Headers]), -23), 0, MIN(ROW()-ROW(tbl_Process[#Headers]), 24), 1))</f>
        <v>1310.3041666666663</v>
      </c>
      <c r="R197" s="3" t="e" cm="1" vm="1">
        <f t="array" aca="1" ref="R197" ca="1">tbl_Process[Temp_Firing_C] - AVERAGE(tbl_Zones[[Target_Temp_Min_C]:[Target_Temp_Max_C]])</f>
        <v>#VALUE!</v>
      </c>
    </row>
    <row r="198" spans="1:18" x14ac:dyDescent="0.3">
      <c r="A198" s="2" t="s">
        <v>215</v>
      </c>
      <c r="B198" s="2" t="s">
        <v>16</v>
      </c>
      <c r="C198" s="2" t="s">
        <v>17</v>
      </c>
      <c r="D198" s="3">
        <v>419.9</v>
      </c>
      <c r="E198" s="3">
        <v>3.22</v>
      </c>
      <c r="F198" s="3">
        <v>316.3</v>
      </c>
      <c r="G198" s="3">
        <v>369.2</v>
      </c>
      <c r="H198" s="3">
        <v>968.6</v>
      </c>
      <c r="I198" s="4">
        <v>1316.6</v>
      </c>
      <c r="J198" s="4">
        <v>1258.9000000000001</v>
      </c>
      <c r="K198" s="3">
        <v>170.1</v>
      </c>
      <c r="L198" s="3">
        <v>4.28</v>
      </c>
      <c r="M198" s="4">
        <v>419495</v>
      </c>
      <c r="N198" s="4">
        <v>8657</v>
      </c>
      <c r="O198" s="3">
        <v>14.19</v>
      </c>
      <c r="P198" s="3" t="str">
        <f t="shared" si="3"/>
        <v>NORMAL</v>
      </c>
      <c r="Q198" s="3" cm="1">
        <f t="array" aca="1" ref="Q198" ca="1">AVERAGE(OFFSET(tbl_Process[[#This Row],[Temp_Firing_C]], MAX(1-ROW()+ROW(tbl_Process[#Headers]), -23), 0, MIN(ROW()-ROW(tbl_Process[#Headers]), 24), 1))</f>
        <v>1310.6708333333329</v>
      </c>
      <c r="R198" s="3" t="e" cm="1" vm="1">
        <f t="array" aca="1" ref="R198" ca="1">tbl_Process[Temp_Firing_C] - AVERAGE(tbl_Zones[[Target_Temp_Min_C]:[Target_Temp_Max_C]])</f>
        <v>#VALUE!</v>
      </c>
    </row>
    <row r="199" spans="1:18" x14ac:dyDescent="0.3">
      <c r="A199" s="2" t="s">
        <v>216</v>
      </c>
      <c r="B199" s="2" t="s">
        <v>16</v>
      </c>
      <c r="C199" s="2" t="s">
        <v>17</v>
      </c>
      <c r="D199" s="3">
        <v>430.1</v>
      </c>
      <c r="E199" s="3">
        <v>3.32</v>
      </c>
      <c r="F199" s="3">
        <v>330.3</v>
      </c>
      <c r="G199" s="3">
        <v>382</v>
      </c>
      <c r="H199" s="3">
        <v>956.5</v>
      </c>
      <c r="I199" s="4">
        <v>1320.8</v>
      </c>
      <c r="J199" s="4">
        <v>1249.2</v>
      </c>
      <c r="K199" s="3">
        <v>161.19999999999999</v>
      </c>
      <c r="L199" s="3">
        <v>4.2300000000000004</v>
      </c>
      <c r="M199" s="4">
        <v>429319</v>
      </c>
      <c r="N199" s="4">
        <v>8707</v>
      </c>
      <c r="O199" s="3">
        <v>13.42</v>
      </c>
      <c r="P199" s="3" t="str">
        <f t="shared" si="3"/>
        <v>NORMAL</v>
      </c>
      <c r="Q199" s="3" cm="1">
        <f t="array" aca="1" ref="Q199" ca="1">AVERAGE(OFFSET(tbl_Process[[#This Row],[Temp_Firing_C]], MAX(1-ROW()+ROW(tbl_Process[#Headers]), -23), 0, MIN(ROW()-ROW(tbl_Process[#Headers]), 24), 1))</f>
        <v>1310.9874999999997</v>
      </c>
      <c r="R199" s="3" t="e" cm="1" vm="1">
        <f t="array" aca="1" ref="R199" ca="1">tbl_Process[Temp_Firing_C] - AVERAGE(tbl_Zones[[Target_Temp_Min_C]:[Target_Temp_Max_C]])</f>
        <v>#VALUE!</v>
      </c>
    </row>
    <row r="200" spans="1:18" x14ac:dyDescent="0.3">
      <c r="A200" s="2" t="s">
        <v>217</v>
      </c>
      <c r="B200" s="2" t="s">
        <v>24</v>
      </c>
      <c r="C200" s="2" t="s">
        <v>17</v>
      </c>
      <c r="D200" s="3">
        <v>422</v>
      </c>
      <c r="E200" s="3">
        <v>3.14</v>
      </c>
      <c r="F200" s="3">
        <v>323.89999999999998</v>
      </c>
      <c r="G200" s="3">
        <v>384.3</v>
      </c>
      <c r="H200" s="3">
        <v>964</v>
      </c>
      <c r="I200" s="4">
        <v>1321.1</v>
      </c>
      <c r="J200" s="4">
        <v>1246.9000000000001</v>
      </c>
      <c r="K200" s="3">
        <v>159.9</v>
      </c>
      <c r="L200" s="3">
        <v>4.18</v>
      </c>
      <c r="M200" s="4">
        <v>421649</v>
      </c>
      <c r="N200" s="4">
        <v>8560</v>
      </c>
      <c r="O200" s="3">
        <v>14.32</v>
      </c>
      <c r="P200" s="3" t="str">
        <f t="shared" si="3"/>
        <v>NORMAL</v>
      </c>
      <c r="Q200" s="3" cm="1">
        <f t="array" aca="1" ref="Q200" ca="1">AVERAGE(OFFSET(tbl_Process[[#This Row],[Temp_Firing_C]], MAX(1-ROW()+ROW(tbl_Process[#Headers]), -23), 0, MIN(ROW()-ROW(tbl_Process[#Headers]), 24), 1))</f>
        <v>1311.1583333333331</v>
      </c>
      <c r="R200" s="3" t="e" cm="1" vm="1">
        <f t="array" aca="1" ref="R200" ca="1">tbl_Process[Temp_Firing_C] - AVERAGE(tbl_Zones[[Target_Temp_Min_C]:[Target_Temp_Max_C]])</f>
        <v>#VALUE!</v>
      </c>
    </row>
    <row r="201" spans="1:18" x14ac:dyDescent="0.3">
      <c r="A201" s="2" t="s">
        <v>218</v>
      </c>
      <c r="B201" s="2" t="s">
        <v>24</v>
      </c>
      <c r="C201" s="2" t="s">
        <v>17</v>
      </c>
      <c r="D201" s="3">
        <v>424.5</v>
      </c>
      <c r="E201" s="3">
        <v>3.2</v>
      </c>
      <c r="F201" s="3">
        <v>311.89999999999998</v>
      </c>
      <c r="G201" s="3">
        <v>389.8</v>
      </c>
      <c r="H201" s="3">
        <v>947.4</v>
      </c>
      <c r="I201" s="4">
        <v>1317.2</v>
      </c>
      <c r="J201" s="4">
        <v>1246.9000000000001</v>
      </c>
      <c r="K201" s="3">
        <v>156.6</v>
      </c>
      <c r="L201" s="3">
        <v>4.09</v>
      </c>
      <c r="M201" s="4">
        <v>422454</v>
      </c>
      <c r="N201" s="4">
        <v>8629</v>
      </c>
      <c r="O201" s="3">
        <v>14.24</v>
      </c>
      <c r="P201" s="3" t="str">
        <f t="shared" si="3"/>
        <v>NORMAL</v>
      </c>
      <c r="Q201" s="3" cm="1">
        <f t="array" aca="1" ref="Q201" ca="1">AVERAGE(OFFSET(tbl_Process[[#This Row],[Temp_Firing_C]], MAX(1-ROW()+ROW(tbl_Process[#Headers]), -23), 0, MIN(ROW()-ROW(tbl_Process[#Headers]), 24), 1))</f>
        <v>1311.6083333333329</v>
      </c>
      <c r="R201" s="3" t="e" cm="1" vm="1">
        <f t="array" aca="1" ref="R201" ca="1">tbl_Process[Temp_Firing_C] - AVERAGE(tbl_Zones[[Target_Temp_Min_C]:[Target_Temp_Max_C]])</f>
        <v>#VALUE!</v>
      </c>
    </row>
    <row r="202" spans="1:18" x14ac:dyDescent="0.3">
      <c r="A202" s="2" t="s">
        <v>219</v>
      </c>
      <c r="B202" s="2" t="s">
        <v>24</v>
      </c>
      <c r="C202" s="2" t="s">
        <v>17</v>
      </c>
      <c r="D202" s="3">
        <v>418.2</v>
      </c>
      <c r="E202" s="3">
        <v>3.28</v>
      </c>
      <c r="F202" s="3">
        <v>325.2</v>
      </c>
      <c r="G202" s="3">
        <v>379.8</v>
      </c>
      <c r="H202" s="3">
        <v>956.7</v>
      </c>
      <c r="I202" s="4">
        <v>1301.2</v>
      </c>
      <c r="J202" s="4">
        <v>1237.9000000000001</v>
      </c>
      <c r="K202" s="3">
        <v>160.6</v>
      </c>
      <c r="L202" s="3">
        <v>3.8</v>
      </c>
      <c r="M202" s="4">
        <v>418341</v>
      </c>
      <c r="N202" s="4">
        <v>8406</v>
      </c>
      <c r="O202" s="3">
        <v>14.67</v>
      </c>
      <c r="P202" s="3" t="str">
        <f t="shared" si="3"/>
        <v>NORMAL</v>
      </c>
      <c r="Q202" s="3" cm="1">
        <f t="array" aca="1" ref="Q202" ca="1">AVERAGE(OFFSET(tbl_Process[[#This Row],[Temp_Firing_C]], MAX(1-ROW()+ROW(tbl_Process[#Headers]), -23), 0, MIN(ROW()-ROW(tbl_Process[#Headers]), 24), 1))</f>
        <v>1311.1916666666664</v>
      </c>
      <c r="R202" s="3" t="e" cm="1" vm="1">
        <f t="array" aca="1" ref="R202" ca="1">tbl_Process[Temp_Firing_C] - AVERAGE(tbl_Zones[[Target_Temp_Min_C]:[Target_Temp_Max_C]])</f>
        <v>#VALUE!</v>
      </c>
    </row>
    <row r="203" spans="1:18" x14ac:dyDescent="0.3">
      <c r="A203" s="2" t="s">
        <v>220</v>
      </c>
      <c r="B203" s="2" t="s">
        <v>24</v>
      </c>
      <c r="C203" s="2" t="s">
        <v>17</v>
      </c>
      <c r="D203" s="3">
        <v>413.2</v>
      </c>
      <c r="E203" s="3">
        <v>3.08</v>
      </c>
      <c r="F203" s="3">
        <v>330</v>
      </c>
      <c r="G203" s="3">
        <v>393.9</v>
      </c>
      <c r="H203" s="3">
        <v>957.7</v>
      </c>
      <c r="I203" s="4">
        <v>1308.8</v>
      </c>
      <c r="J203" s="4">
        <v>1247.5</v>
      </c>
      <c r="K203" s="3">
        <v>150.6</v>
      </c>
      <c r="L203" s="3">
        <v>3.76</v>
      </c>
      <c r="M203" s="4">
        <v>420601</v>
      </c>
      <c r="N203" s="4">
        <v>8792</v>
      </c>
      <c r="O203" s="3">
        <v>13.86</v>
      </c>
      <c r="P203" s="3" t="str">
        <f t="shared" si="3"/>
        <v>NORMAL</v>
      </c>
      <c r="Q203" s="3" cm="1">
        <f t="array" aca="1" ref="Q203" ca="1">AVERAGE(OFFSET(tbl_Process[[#This Row],[Temp_Firing_C]], MAX(1-ROW()+ROW(tbl_Process[#Headers]), -23), 0, MIN(ROW()-ROW(tbl_Process[#Headers]), 24), 1))</f>
        <v>1310.7874999999997</v>
      </c>
      <c r="R203" s="3" t="e" cm="1" vm="1">
        <f t="array" aca="1" ref="R203" ca="1">tbl_Process[Temp_Firing_C] - AVERAGE(tbl_Zones[[Target_Temp_Min_C]:[Target_Temp_Max_C]])</f>
        <v>#VALUE!</v>
      </c>
    </row>
    <row r="204" spans="1:18" x14ac:dyDescent="0.3">
      <c r="A204" s="2" t="s">
        <v>221</v>
      </c>
      <c r="B204" s="2" t="s">
        <v>24</v>
      </c>
      <c r="C204" s="2" t="s">
        <v>17</v>
      </c>
      <c r="D204" s="3">
        <v>420.4</v>
      </c>
      <c r="E204" s="3">
        <v>3.29</v>
      </c>
      <c r="F204" s="3">
        <v>335.7</v>
      </c>
      <c r="G204" s="3">
        <v>380</v>
      </c>
      <c r="H204" s="3">
        <v>965.9</v>
      </c>
      <c r="I204" s="4">
        <v>1327.7</v>
      </c>
      <c r="J204" s="4">
        <v>1253.5999999999999</v>
      </c>
      <c r="K204" s="3">
        <v>167.2</v>
      </c>
      <c r="L204" s="3">
        <v>4</v>
      </c>
      <c r="M204" s="4">
        <v>425345</v>
      </c>
      <c r="N204" s="4">
        <v>8803</v>
      </c>
      <c r="O204" s="3">
        <v>13.72</v>
      </c>
      <c r="P204" s="3" t="str">
        <f t="shared" si="3"/>
        <v>NORMAL</v>
      </c>
      <c r="Q204" s="3" cm="1">
        <f t="array" aca="1" ref="Q204" ca="1">AVERAGE(OFFSET(tbl_Process[[#This Row],[Temp_Firing_C]], MAX(1-ROW()+ROW(tbl_Process[#Headers]), -23), 0, MIN(ROW()-ROW(tbl_Process[#Headers]), 24), 1))</f>
        <v>1311.6624999999999</v>
      </c>
      <c r="R204" s="3" t="e" cm="1" vm="1">
        <f t="array" aca="1" ref="R204" ca="1">tbl_Process[Temp_Firing_C] - AVERAGE(tbl_Zones[[Target_Temp_Min_C]:[Target_Temp_Max_C]])</f>
        <v>#VALUE!</v>
      </c>
    </row>
    <row r="205" spans="1:18" x14ac:dyDescent="0.3">
      <c r="A205" s="2" t="s">
        <v>222</v>
      </c>
      <c r="B205" s="2" t="s">
        <v>24</v>
      </c>
      <c r="C205" s="2" t="s">
        <v>17</v>
      </c>
      <c r="D205" s="3">
        <v>416.1</v>
      </c>
      <c r="E205" s="3">
        <v>3.22</v>
      </c>
      <c r="F205" s="3">
        <v>328.7</v>
      </c>
      <c r="G205" s="3">
        <v>382.7</v>
      </c>
      <c r="H205" s="3">
        <v>966.3</v>
      </c>
      <c r="I205" s="4">
        <v>1316.8</v>
      </c>
      <c r="J205" s="4">
        <v>1246</v>
      </c>
      <c r="K205" s="3">
        <v>165.5</v>
      </c>
      <c r="L205" s="3">
        <v>4.1500000000000004</v>
      </c>
      <c r="M205" s="4">
        <v>432137</v>
      </c>
      <c r="N205" s="4">
        <v>8656</v>
      </c>
      <c r="O205" s="3">
        <v>13.96</v>
      </c>
      <c r="P205" s="3" t="str">
        <f t="shared" si="3"/>
        <v>NORMAL</v>
      </c>
      <c r="Q205" s="3" cm="1">
        <f t="array" aca="1" ref="Q205" ca="1">AVERAGE(OFFSET(tbl_Process[[#This Row],[Temp_Firing_C]], MAX(1-ROW()+ROW(tbl_Process[#Headers]), -23), 0, MIN(ROW()-ROW(tbl_Process[#Headers]), 24), 1))</f>
        <v>1312.3625</v>
      </c>
      <c r="R205" s="3" t="e" cm="1" vm="1">
        <f t="array" aca="1" ref="R205" ca="1">tbl_Process[Temp_Firing_C] - AVERAGE(tbl_Zones[[Target_Temp_Min_C]:[Target_Temp_Max_C]])</f>
        <v>#VALUE!</v>
      </c>
    </row>
    <row r="206" spans="1:18" x14ac:dyDescent="0.3">
      <c r="A206" s="2" t="s">
        <v>223</v>
      </c>
      <c r="B206" s="2" t="s">
        <v>24</v>
      </c>
      <c r="C206" s="2" t="s">
        <v>17</v>
      </c>
      <c r="D206" s="3">
        <v>423.1</v>
      </c>
      <c r="E206" s="3">
        <v>3.27</v>
      </c>
      <c r="F206" s="3">
        <v>319.10000000000002</v>
      </c>
      <c r="G206" s="3">
        <v>380.3</v>
      </c>
      <c r="H206" s="3">
        <v>971.2</v>
      </c>
      <c r="I206" s="4">
        <v>1304.5999999999999</v>
      </c>
      <c r="J206" s="4">
        <v>1237.0999999999999</v>
      </c>
      <c r="K206" s="3">
        <v>162</v>
      </c>
      <c r="L206" s="3">
        <v>4.26</v>
      </c>
      <c r="M206" s="4">
        <v>418712</v>
      </c>
      <c r="N206" s="4">
        <v>8334</v>
      </c>
      <c r="O206" s="3">
        <v>13.85</v>
      </c>
      <c r="P206" s="3" t="str">
        <f t="shared" si="3"/>
        <v>NORMAL</v>
      </c>
      <c r="Q206" s="3" cm="1">
        <f t="array" aca="1" ref="Q206" ca="1">AVERAGE(OFFSET(tbl_Process[[#This Row],[Temp_Firing_C]], MAX(1-ROW()+ROW(tbl_Process[#Headers]), -23), 0, MIN(ROW()-ROW(tbl_Process[#Headers]), 24), 1))</f>
        <v>1311.8124999999998</v>
      </c>
      <c r="R206" s="3" t="e" cm="1" vm="1">
        <f t="array" aca="1" ref="R206" ca="1">tbl_Process[Temp_Firing_C] - AVERAGE(tbl_Zones[[Target_Temp_Min_C]:[Target_Temp_Max_C]])</f>
        <v>#VALUE!</v>
      </c>
    </row>
    <row r="207" spans="1:18" x14ac:dyDescent="0.3">
      <c r="A207" s="2" t="s">
        <v>224</v>
      </c>
      <c r="B207" s="2" t="s">
        <v>24</v>
      </c>
      <c r="C207" s="2" t="s">
        <v>17</v>
      </c>
      <c r="D207" s="3">
        <v>415</v>
      </c>
      <c r="E207" s="3">
        <v>3.09</v>
      </c>
      <c r="F207" s="3">
        <v>321</v>
      </c>
      <c r="G207" s="3">
        <v>374.3</v>
      </c>
      <c r="H207" s="3">
        <v>955.5</v>
      </c>
      <c r="I207" s="4">
        <v>1304.0999999999999</v>
      </c>
      <c r="J207" s="4">
        <v>1236.5</v>
      </c>
      <c r="K207" s="3">
        <v>167.9</v>
      </c>
      <c r="L207" s="3">
        <v>4.08</v>
      </c>
      <c r="M207" s="4">
        <v>420794</v>
      </c>
      <c r="N207" s="4">
        <v>8494</v>
      </c>
      <c r="O207" s="3">
        <v>14.1</v>
      </c>
      <c r="P207" s="3" t="str">
        <f t="shared" si="3"/>
        <v>NORMAL</v>
      </c>
      <c r="Q207" s="3" cm="1">
        <f t="array" aca="1" ref="Q207" ca="1">AVERAGE(OFFSET(tbl_Process[[#This Row],[Temp_Firing_C]], MAX(1-ROW()+ROW(tbl_Process[#Headers]), -23), 0, MIN(ROW()-ROW(tbl_Process[#Headers]), 24), 1))</f>
        <v>1311.5249999999999</v>
      </c>
      <c r="R207" s="3" t="e" cm="1" vm="1">
        <f t="array" aca="1" ref="R207" ca="1">tbl_Process[Temp_Firing_C] - AVERAGE(tbl_Zones[[Target_Temp_Min_C]:[Target_Temp_Max_C]])</f>
        <v>#VALUE!</v>
      </c>
    </row>
    <row r="208" spans="1:18" x14ac:dyDescent="0.3">
      <c r="A208" s="2" t="s">
        <v>225</v>
      </c>
      <c r="B208" s="2" t="s">
        <v>33</v>
      </c>
      <c r="C208" s="2" t="s">
        <v>17</v>
      </c>
      <c r="D208" s="3">
        <v>421.3</v>
      </c>
      <c r="E208" s="3">
        <v>3.25</v>
      </c>
      <c r="F208" s="3">
        <v>316.2</v>
      </c>
      <c r="G208" s="3">
        <v>382.4</v>
      </c>
      <c r="H208" s="3">
        <v>938.9</v>
      </c>
      <c r="I208" s="4">
        <v>1311</v>
      </c>
      <c r="J208" s="4">
        <v>1250.5999999999999</v>
      </c>
      <c r="K208" s="3">
        <v>159.69999999999999</v>
      </c>
      <c r="L208" s="3">
        <v>4.34</v>
      </c>
      <c r="M208" s="4">
        <v>418896</v>
      </c>
      <c r="N208" s="4">
        <v>8658</v>
      </c>
      <c r="O208" s="3">
        <v>14.06</v>
      </c>
      <c r="P208" s="3" t="str">
        <f t="shared" si="3"/>
        <v>NORMAL</v>
      </c>
      <c r="Q208" s="3" cm="1">
        <f t="array" aca="1" ref="Q208" ca="1">AVERAGE(OFFSET(tbl_Process[[#This Row],[Temp_Firing_C]], MAX(1-ROW()+ROW(tbl_Process[#Headers]), -23), 0, MIN(ROW()-ROW(tbl_Process[#Headers]), 24), 1))</f>
        <v>1311.5416666666665</v>
      </c>
      <c r="R208" s="3" t="e" cm="1" vm="1">
        <f t="array" aca="1" ref="R208" ca="1">tbl_Process[Temp_Firing_C] - AVERAGE(tbl_Zones[[Target_Temp_Min_C]:[Target_Temp_Max_C]])</f>
        <v>#VALUE!</v>
      </c>
    </row>
    <row r="209" spans="1:18" x14ac:dyDescent="0.3">
      <c r="A209" s="2" t="s">
        <v>226</v>
      </c>
      <c r="B209" s="2" t="s">
        <v>33</v>
      </c>
      <c r="C209" s="2" t="s">
        <v>17</v>
      </c>
      <c r="D209" s="3">
        <v>419.6</v>
      </c>
      <c r="E209" s="3">
        <v>3.19</v>
      </c>
      <c r="F209" s="3">
        <v>322</v>
      </c>
      <c r="G209" s="3">
        <v>387.7</v>
      </c>
      <c r="H209" s="3">
        <v>979.2</v>
      </c>
      <c r="I209" s="4">
        <v>1308.5</v>
      </c>
      <c r="J209" s="4">
        <v>1248.4000000000001</v>
      </c>
      <c r="K209" s="3">
        <v>157.4</v>
      </c>
      <c r="L209" s="3">
        <v>4.17</v>
      </c>
      <c r="M209" s="4">
        <v>418863</v>
      </c>
      <c r="N209" s="4">
        <v>8733</v>
      </c>
      <c r="O209" s="3">
        <v>14.57</v>
      </c>
      <c r="P209" s="3" t="str">
        <f t="shared" si="3"/>
        <v>NORMAL</v>
      </c>
      <c r="Q209" s="3" cm="1">
        <f t="array" aca="1" ref="Q209" ca="1">AVERAGE(OFFSET(tbl_Process[[#This Row],[Temp_Firing_C]], MAX(1-ROW()+ROW(tbl_Process[#Headers]), -23), 0, MIN(ROW()-ROW(tbl_Process[#Headers]), 24), 1))</f>
        <v>1311.7208333333331</v>
      </c>
      <c r="R209" s="3" t="e" cm="1" vm="1">
        <f t="array" aca="1" ref="R209" ca="1">tbl_Process[Temp_Firing_C] - AVERAGE(tbl_Zones[[Target_Temp_Min_C]:[Target_Temp_Max_C]])</f>
        <v>#VALUE!</v>
      </c>
    </row>
    <row r="210" spans="1:18" x14ac:dyDescent="0.3">
      <c r="A210" s="2" t="s">
        <v>227</v>
      </c>
      <c r="B210" s="2" t="s">
        <v>33</v>
      </c>
      <c r="C210" s="2" t="s">
        <v>17</v>
      </c>
      <c r="D210" s="3">
        <v>419.5</v>
      </c>
      <c r="E210" s="3">
        <v>3.02</v>
      </c>
      <c r="F210" s="3">
        <v>317.8</v>
      </c>
      <c r="G210" s="3">
        <v>390.1</v>
      </c>
      <c r="H210" s="3">
        <v>968.8</v>
      </c>
      <c r="I210" s="4">
        <v>1309.9000000000001</v>
      </c>
      <c r="J210" s="4">
        <v>1251</v>
      </c>
      <c r="K210" s="3">
        <v>163.19999999999999</v>
      </c>
      <c r="L210" s="3">
        <v>4.1900000000000004</v>
      </c>
      <c r="M210" s="4">
        <v>425000</v>
      </c>
      <c r="N210" s="4">
        <v>8801</v>
      </c>
      <c r="O210" s="3">
        <v>14.05</v>
      </c>
      <c r="P210" s="3" t="str">
        <f t="shared" si="3"/>
        <v>NORMAL</v>
      </c>
      <c r="Q210" s="3" cm="1">
        <f t="array" aca="1" ref="Q210" ca="1">AVERAGE(OFFSET(tbl_Process[[#This Row],[Temp_Firing_C]], MAX(1-ROW()+ROW(tbl_Process[#Headers]), -23), 0, MIN(ROW()-ROW(tbl_Process[#Headers]), 24), 1))</f>
        <v>1311.325</v>
      </c>
      <c r="R210" s="3" t="e" cm="1" vm="1">
        <f t="array" aca="1" ref="R210" ca="1">tbl_Process[Temp_Firing_C] - AVERAGE(tbl_Zones[[Target_Temp_Min_C]:[Target_Temp_Max_C]])</f>
        <v>#VALUE!</v>
      </c>
    </row>
    <row r="211" spans="1:18" x14ac:dyDescent="0.3">
      <c r="A211" s="2" t="s">
        <v>228</v>
      </c>
      <c r="B211" s="2" t="s">
        <v>33</v>
      </c>
      <c r="C211" s="2" t="s">
        <v>17</v>
      </c>
      <c r="D211" s="3">
        <v>423.6</v>
      </c>
      <c r="E211" s="3">
        <v>3.18</v>
      </c>
      <c r="F211" s="3">
        <v>317.3</v>
      </c>
      <c r="G211" s="3">
        <v>393.2</v>
      </c>
      <c r="H211" s="3">
        <v>964.5</v>
      </c>
      <c r="I211" s="4">
        <v>1314</v>
      </c>
      <c r="J211" s="4">
        <v>1249.7</v>
      </c>
      <c r="K211" s="3">
        <v>157.69999999999999</v>
      </c>
      <c r="L211" s="3">
        <v>4.13</v>
      </c>
      <c r="M211" s="4">
        <v>427546</v>
      </c>
      <c r="N211" s="4">
        <v>8735</v>
      </c>
      <c r="O211" s="3">
        <v>13.58</v>
      </c>
      <c r="P211" s="3" t="str">
        <f t="shared" si="3"/>
        <v>NORMAL</v>
      </c>
      <c r="Q211" s="3" cm="1">
        <f t="array" aca="1" ref="Q211" ca="1">AVERAGE(OFFSET(tbl_Process[[#This Row],[Temp_Firing_C]], MAX(1-ROW()+ROW(tbl_Process[#Headers]), -23), 0, MIN(ROW()-ROW(tbl_Process[#Headers]), 24), 1))</f>
        <v>1311.625</v>
      </c>
      <c r="R211" s="3" t="e" cm="1" vm="1">
        <f t="array" aca="1" ref="R211" ca="1">tbl_Process[Temp_Firing_C] - AVERAGE(tbl_Zones[[Target_Temp_Min_C]:[Target_Temp_Max_C]])</f>
        <v>#VALUE!</v>
      </c>
    </row>
    <row r="212" spans="1:18" x14ac:dyDescent="0.3">
      <c r="A212" s="2" t="s">
        <v>229</v>
      </c>
      <c r="B212" s="2" t="s">
        <v>33</v>
      </c>
      <c r="C212" s="2" t="s">
        <v>17</v>
      </c>
      <c r="D212" s="3">
        <v>419.1</v>
      </c>
      <c r="E212" s="3">
        <v>3.34</v>
      </c>
      <c r="F212" s="3">
        <v>319.60000000000002</v>
      </c>
      <c r="G212" s="3">
        <v>368.6</v>
      </c>
      <c r="H212" s="3">
        <v>984.5</v>
      </c>
      <c r="I212" s="4">
        <v>1312.9</v>
      </c>
      <c r="J212" s="4">
        <v>1247.5</v>
      </c>
      <c r="K212" s="3">
        <v>158.69999999999999</v>
      </c>
      <c r="L212" s="3">
        <v>4.24</v>
      </c>
      <c r="M212" s="4">
        <v>420425</v>
      </c>
      <c r="N212" s="4">
        <v>8793</v>
      </c>
      <c r="O212" s="3">
        <v>14.1</v>
      </c>
      <c r="P212" s="3" t="str">
        <f t="shared" si="3"/>
        <v>NORMAL</v>
      </c>
      <c r="Q212" s="3" cm="1">
        <f t="array" aca="1" ref="Q212" ca="1">AVERAGE(OFFSET(tbl_Process[[#This Row],[Temp_Firing_C]], MAX(1-ROW()+ROW(tbl_Process[#Headers]), -23), 0, MIN(ROW()-ROW(tbl_Process[#Headers]), 24), 1))</f>
        <v>1311.9833333333333</v>
      </c>
      <c r="R212" s="3" t="e" cm="1" vm="1">
        <f t="array" aca="1" ref="R212" ca="1">tbl_Process[Temp_Firing_C] - AVERAGE(tbl_Zones[[Target_Temp_Min_C]:[Target_Temp_Max_C]])</f>
        <v>#VALUE!</v>
      </c>
    </row>
    <row r="213" spans="1:18" x14ac:dyDescent="0.3">
      <c r="A213" s="2" t="s">
        <v>230</v>
      </c>
      <c r="B213" s="2" t="s">
        <v>33</v>
      </c>
      <c r="C213" s="2" t="s">
        <v>17</v>
      </c>
      <c r="D213" s="3">
        <v>421</v>
      </c>
      <c r="E213" s="3">
        <v>3.21</v>
      </c>
      <c r="F213" s="3">
        <v>319.89999999999998</v>
      </c>
      <c r="G213" s="3">
        <v>388.6</v>
      </c>
      <c r="H213" s="3">
        <v>951.5</v>
      </c>
      <c r="I213" s="4">
        <v>1294.5999999999999</v>
      </c>
      <c r="J213" s="4">
        <v>1233.3</v>
      </c>
      <c r="K213" s="3">
        <v>163.80000000000001</v>
      </c>
      <c r="L213" s="3">
        <v>4.16</v>
      </c>
      <c r="M213" s="4">
        <v>420455</v>
      </c>
      <c r="N213" s="4">
        <v>8397</v>
      </c>
      <c r="O213" s="3">
        <v>14.48</v>
      </c>
      <c r="P213" s="3" t="str">
        <f t="shared" si="3"/>
        <v>NORMAL</v>
      </c>
      <c r="Q213" s="3" cm="1">
        <f t="array" aca="1" ref="Q213" ca="1">AVERAGE(OFFSET(tbl_Process[[#This Row],[Temp_Firing_C]], MAX(1-ROW()+ROW(tbl_Process[#Headers]), -23), 0, MIN(ROW()-ROW(tbl_Process[#Headers]), 24), 1))</f>
        <v>1311.1499999999999</v>
      </c>
      <c r="R213" s="3" t="e" cm="1" vm="1">
        <f t="array" aca="1" ref="R213" ca="1">tbl_Process[Temp_Firing_C] - AVERAGE(tbl_Zones[[Target_Temp_Min_C]:[Target_Temp_Max_C]])</f>
        <v>#VALUE!</v>
      </c>
    </row>
    <row r="214" spans="1:18" x14ac:dyDescent="0.3">
      <c r="A214" s="2" t="s">
        <v>231</v>
      </c>
      <c r="B214" s="2" t="s">
        <v>33</v>
      </c>
      <c r="C214" s="2" t="s">
        <v>17</v>
      </c>
      <c r="D214" s="3">
        <v>419.8</v>
      </c>
      <c r="E214" s="3">
        <v>3.16</v>
      </c>
      <c r="F214" s="3">
        <v>319.2</v>
      </c>
      <c r="G214" s="3">
        <v>395.6</v>
      </c>
      <c r="H214" s="3">
        <v>941.4</v>
      </c>
      <c r="I214" s="4">
        <v>1311.9</v>
      </c>
      <c r="J214" s="4">
        <v>1236.8</v>
      </c>
      <c r="K214" s="3">
        <v>160.19999999999999</v>
      </c>
      <c r="L214" s="3">
        <v>4.03</v>
      </c>
      <c r="M214" s="4">
        <v>414844</v>
      </c>
      <c r="N214" s="4">
        <v>8689</v>
      </c>
      <c r="O214" s="3">
        <v>13.95</v>
      </c>
      <c r="P214" s="3" t="str">
        <f t="shared" si="3"/>
        <v>NORMAL</v>
      </c>
      <c r="Q214" s="3" cm="1">
        <f t="array" aca="1" ref="Q214" ca="1">AVERAGE(OFFSET(tbl_Process[[#This Row],[Temp_Firing_C]], MAX(1-ROW()+ROW(tbl_Process[#Headers]), -23), 0, MIN(ROW()-ROW(tbl_Process[#Headers]), 24), 1))</f>
        <v>1311.6625000000001</v>
      </c>
      <c r="R214" s="3" t="e" cm="1" vm="1">
        <f t="array" aca="1" ref="R214" ca="1">tbl_Process[Temp_Firing_C] - AVERAGE(tbl_Zones[[Target_Temp_Min_C]:[Target_Temp_Max_C]])</f>
        <v>#VALUE!</v>
      </c>
    </row>
    <row r="215" spans="1:18" x14ac:dyDescent="0.3">
      <c r="A215" s="2" t="s">
        <v>232</v>
      </c>
      <c r="B215" s="2" t="s">
        <v>33</v>
      </c>
      <c r="C215" s="2" t="s">
        <v>17</v>
      </c>
      <c r="D215" s="3">
        <v>411.6</v>
      </c>
      <c r="E215" s="3">
        <v>3.27</v>
      </c>
      <c r="F215" s="3">
        <v>329.9</v>
      </c>
      <c r="G215" s="3">
        <v>392.2</v>
      </c>
      <c r="H215" s="3">
        <v>967</v>
      </c>
      <c r="I215" s="4">
        <v>1308.9000000000001</v>
      </c>
      <c r="J215" s="4">
        <v>1251.9000000000001</v>
      </c>
      <c r="K215" s="3">
        <v>169.3</v>
      </c>
      <c r="L215" s="3">
        <v>4.1399999999999997</v>
      </c>
      <c r="M215" s="4">
        <v>418307</v>
      </c>
      <c r="N215" s="4">
        <v>8631</v>
      </c>
      <c r="O215" s="3">
        <v>14.21</v>
      </c>
      <c r="P215" s="3" t="str">
        <f t="shared" si="3"/>
        <v>NORMAL</v>
      </c>
      <c r="Q215" s="3" cm="1">
        <f t="array" aca="1" ref="Q215" ca="1">AVERAGE(OFFSET(tbl_Process[[#This Row],[Temp_Firing_C]], MAX(1-ROW()+ROW(tbl_Process[#Headers]), -23), 0, MIN(ROW()-ROW(tbl_Process[#Headers]), 24), 1))</f>
        <v>1311.45</v>
      </c>
      <c r="R215" s="3" t="e" cm="1" vm="1">
        <f t="array" aca="1" ref="R215" ca="1">tbl_Process[Temp_Firing_C] - AVERAGE(tbl_Zones[[Target_Temp_Min_C]:[Target_Temp_Max_C]])</f>
        <v>#VALUE!</v>
      </c>
    </row>
    <row r="216" spans="1:18" x14ac:dyDescent="0.3">
      <c r="A216" s="2" t="s">
        <v>233</v>
      </c>
      <c r="B216" s="2" t="s">
        <v>16</v>
      </c>
      <c r="C216" s="2" t="s">
        <v>17</v>
      </c>
      <c r="D216" s="3">
        <v>412.8</v>
      </c>
      <c r="E216" s="3">
        <v>3.24</v>
      </c>
      <c r="F216" s="3">
        <v>335.3</v>
      </c>
      <c r="G216" s="3">
        <v>386.6</v>
      </c>
      <c r="H216" s="3">
        <v>980.9</v>
      </c>
      <c r="I216" s="4">
        <v>1310.8</v>
      </c>
      <c r="J216" s="4">
        <v>1245.4000000000001</v>
      </c>
      <c r="K216" s="3">
        <v>163</v>
      </c>
      <c r="L216" s="3">
        <v>3.92</v>
      </c>
      <c r="M216" s="4">
        <v>418571</v>
      </c>
      <c r="N216" s="4">
        <v>8782</v>
      </c>
      <c r="O216" s="3">
        <v>14.32</v>
      </c>
      <c r="P216" s="3" t="str">
        <f t="shared" si="3"/>
        <v>NORMAL</v>
      </c>
      <c r="Q216" s="3" cm="1">
        <f t="array" aca="1" ref="Q216" ca="1">AVERAGE(OFFSET(tbl_Process[[#This Row],[Temp_Firing_C]], MAX(1-ROW()+ROW(tbl_Process[#Headers]), -23), 0, MIN(ROW()-ROW(tbl_Process[#Headers]), 24), 1))</f>
        <v>1311.4583333333333</v>
      </c>
      <c r="R216" s="3" t="e" cm="1" vm="1">
        <f t="array" aca="1" ref="R216" ca="1">tbl_Process[Temp_Firing_C] - AVERAGE(tbl_Zones[[Target_Temp_Min_C]:[Target_Temp_Max_C]])</f>
        <v>#VALUE!</v>
      </c>
    </row>
    <row r="217" spans="1:18" x14ac:dyDescent="0.3">
      <c r="A217" s="2" t="s">
        <v>234</v>
      </c>
      <c r="B217" s="2" t="s">
        <v>16</v>
      </c>
      <c r="C217" s="2" t="s">
        <v>17</v>
      </c>
      <c r="D217" s="3">
        <v>416</v>
      </c>
      <c r="E217" s="3">
        <v>3.28</v>
      </c>
      <c r="F217" s="3">
        <v>321.39999999999998</v>
      </c>
      <c r="G217" s="3">
        <v>385</v>
      </c>
      <c r="H217" s="3">
        <v>969.5</v>
      </c>
      <c r="I217" s="4">
        <v>1318.2</v>
      </c>
      <c r="J217" s="4">
        <v>1253.7</v>
      </c>
      <c r="K217" s="3">
        <v>168.4</v>
      </c>
      <c r="L217" s="3">
        <v>4.0999999999999996</v>
      </c>
      <c r="M217" s="4">
        <v>425461</v>
      </c>
      <c r="N217" s="4">
        <v>8618</v>
      </c>
      <c r="O217" s="3">
        <v>14.65</v>
      </c>
      <c r="P217" s="3" t="str">
        <f t="shared" si="3"/>
        <v>NORMAL</v>
      </c>
      <c r="Q217" s="3" cm="1">
        <f t="array" aca="1" ref="Q217" ca="1">AVERAGE(OFFSET(tbl_Process[[#This Row],[Temp_Firing_C]], MAX(1-ROW()+ROW(tbl_Process[#Headers]), -23), 0, MIN(ROW()-ROW(tbl_Process[#Headers]), 24), 1))</f>
        <v>1312.1000000000001</v>
      </c>
      <c r="R217" s="3" t="e" cm="1" vm="1">
        <f t="array" aca="1" ref="R217" ca="1">tbl_Process[Temp_Firing_C] - AVERAGE(tbl_Zones[[Target_Temp_Min_C]:[Target_Temp_Max_C]])</f>
        <v>#VALUE!</v>
      </c>
    </row>
    <row r="218" spans="1:18" x14ac:dyDescent="0.3">
      <c r="A218" s="2" t="s">
        <v>235</v>
      </c>
      <c r="B218" s="2" t="s">
        <v>16</v>
      </c>
      <c r="C218" s="2" t="s">
        <v>17</v>
      </c>
      <c r="D218" s="3">
        <v>421.9</v>
      </c>
      <c r="E218" s="3">
        <v>3.26</v>
      </c>
      <c r="F218" s="3">
        <v>312.7</v>
      </c>
      <c r="G218" s="3">
        <v>377.4</v>
      </c>
      <c r="H218" s="3">
        <v>979.5</v>
      </c>
      <c r="I218" s="4">
        <v>1313.5</v>
      </c>
      <c r="J218" s="4">
        <v>1237</v>
      </c>
      <c r="K218" s="3">
        <v>166.8</v>
      </c>
      <c r="L218" s="3">
        <v>4.0599999999999996</v>
      </c>
      <c r="M218" s="4">
        <v>427370</v>
      </c>
      <c r="N218" s="4">
        <v>8651</v>
      </c>
      <c r="O218" s="3">
        <v>14.13</v>
      </c>
      <c r="P218" s="3" t="str">
        <f t="shared" si="3"/>
        <v>NORMAL</v>
      </c>
      <c r="Q218" s="3" cm="1">
        <f t="array" aca="1" ref="Q218" ca="1">AVERAGE(OFFSET(tbl_Process[[#This Row],[Temp_Firing_C]], MAX(1-ROW()+ROW(tbl_Process[#Headers]), -23), 0, MIN(ROW()-ROW(tbl_Process[#Headers]), 24), 1))</f>
        <v>1312.1583333333335</v>
      </c>
      <c r="R218" s="3" t="e" cm="1" vm="1">
        <f t="array" aca="1" ref="R218" ca="1">tbl_Process[Temp_Firing_C] - AVERAGE(tbl_Zones[[Target_Temp_Min_C]:[Target_Temp_Max_C]])</f>
        <v>#VALUE!</v>
      </c>
    </row>
    <row r="219" spans="1:18" x14ac:dyDescent="0.3">
      <c r="A219" s="2" t="s">
        <v>236</v>
      </c>
      <c r="B219" s="2" t="s">
        <v>16</v>
      </c>
      <c r="C219" s="2" t="s">
        <v>17</v>
      </c>
      <c r="D219" s="3">
        <v>424.7</v>
      </c>
      <c r="E219" s="3">
        <v>3.13</v>
      </c>
      <c r="F219" s="3">
        <v>316.7</v>
      </c>
      <c r="G219" s="3">
        <v>382.2</v>
      </c>
      <c r="H219" s="3">
        <v>975.3</v>
      </c>
      <c r="I219" s="4">
        <v>1301.5999999999999</v>
      </c>
      <c r="J219" s="4">
        <v>1226.5999999999999</v>
      </c>
      <c r="K219" s="3">
        <v>165.9</v>
      </c>
      <c r="L219" s="3">
        <v>4.0599999999999996</v>
      </c>
      <c r="M219" s="4">
        <v>418915</v>
      </c>
      <c r="N219" s="4">
        <v>8296</v>
      </c>
      <c r="O219" s="3">
        <v>14.19</v>
      </c>
      <c r="P219" s="3" t="str">
        <f t="shared" si="3"/>
        <v>NORMAL</v>
      </c>
      <c r="Q219" s="3" cm="1">
        <f t="array" aca="1" ref="Q219" ca="1">AVERAGE(OFFSET(tbl_Process[[#This Row],[Temp_Firing_C]], MAX(1-ROW()+ROW(tbl_Process[#Headers]), -23), 0, MIN(ROW()-ROW(tbl_Process[#Headers]), 24), 1))</f>
        <v>1311.3416666666669</v>
      </c>
      <c r="R219" s="3" t="e" cm="1" vm="1">
        <f t="array" aca="1" ref="R219" ca="1">tbl_Process[Temp_Firing_C] - AVERAGE(tbl_Zones[[Target_Temp_Min_C]:[Target_Temp_Max_C]])</f>
        <v>#VALUE!</v>
      </c>
    </row>
    <row r="220" spans="1:18" x14ac:dyDescent="0.3">
      <c r="A220" s="2" t="s">
        <v>237</v>
      </c>
      <c r="B220" s="2" t="s">
        <v>16</v>
      </c>
      <c r="C220" s="2" t="s">
        <v>17</v>
      </c>
      <c r="D220" s="3">
        <v>420</v>
      </c>
      <c r="E220" s="3">
        <v>3.27</v>
      </c>
      <c r="F220" s="3">
        <v>318.39999999999998</v>
      </c>
      <c r="G220" s="3">
        <v>395.7</v>
      </c>
      <c r="H220" s="3">
        <v>957.9</v>
      </c>
      <c r="I220" s="4">
        <v>1307.7</v>
      </c>
      <c r="J220" s="4">
        <v>1251.9000000000001</v>
      </c>
      <c r="K220" s="3">
        <v>163.1</v>
      </c>
      <c r="L220" s="3">
        <v>4.04</v>
      </c>
      <c r="M220" s="4">
        <v>420843</v>
      </c>
      <c r="N220" s="4">
        <v>8755</v>
      </c>
      <c r="O220" s="3">
        <v>14.36</v>
      </c>
      <c r="P220" s="3" t="str">
        <f t="shared" si="3"/>
        <v>NORMAL</v>
      </c>
      <c r="Q220" s="3" cm="1">
        <f t="array" aca="1" ref="Q220" ca="1">AVERAGE(OFFSET(tbl_Process[[#This Row],[Temp_Firing_C]], MAX(1-ROW()+ROW(tbl_Process[#Headers]), -23), 0, MIN(ROW()-ROW(tbl_Process[#Headers]), 24), 1))</f>
        <v>1311.1625000000001</v>
      </c>
      <c r="R220" s="3" t="e" cm="1" vm="1">
        <f t="array" aca="1" ref="R220" ca="1">tbl_Process[Temp_Firing_C] - AVERAGE(tbl_Zones[[Target_Temp_Min_C]:[Target_Temp_Max_C]])</f>
        <v>#VALUE!</v>
      </c>
    </row>
    <row r="221" spans="1:18" x14ac:dyDescent="0.3">
      <c r="A221" s="2" t="s">
        <v>238</v>
      </c>
      <c r="B221" s="2" t="s">
        <v>16</v>
      </c>
      <c r="C221" s="2" t="s">
        <v>17</v>
      </c>
      <c r="D221" s="3">
        <v>416.7</v>
      </c>
      <c r="E221" s="3">
        <v>3.2</v>
      </c>
      <c r="F221" s="3">
        <v>323.89999999999998</v>
      </c>
      <c r="G221" s="3">
        <v>377.5</v>
      </c>
      <c r="H221" s="3">
        <v>966</v>
      </c>
      <c r="I221" s="4">
        <v>1313.9</v>
      </c>
      <c r="J221" s="4">
        <v>1255.7</v>
      </c>
      <c r="K221" s="3">
        <v>168.3</v>
      </c>
      <c r="L221" s="3">
        <v>4.01</v>
      </c>
      <c r="M221" s="4">
        <v>421753</v>
      </c>
      <c r="N221" s="4">
        <v>8747</v>
      </c>
      <c r="O221" s="3">
        <v>13.86</v>
      </c>
      <c r="P221" s="3" t="str">
        <f t="shared" si="3"/>
        <v>NORMAL</v>
      </c>
      <c r="Q221" s="3" cm="1">
        <f t="array" aca="1" ref="Q221" ca="1">AVERAGE(OFFSET(tbl_Process[[#This Row],[Temp_Firing_C]], MAX(1-ROW()+ROW(tbl_Process[#Headers]), -23), 0, MIN(ROW()-ROW(tbl_Process[#Headers]), 24), 1))</f>
        <v>1311.5125</v>
      </c>
      <c r="R221" s="3" t="e" cm="1" vm="1">
        <f t="array" aca="1" ref="R221" ca="1">tbl_Process[Temp_Firing_C] - AVERAGE(tbl_Zones[[Target_Temp_Min_C]:[Target_Temp_Max_C]])</f>
        <v>#VALUE!</v>
      </c>
    </row>
    <row r="222" spans="1:18" x14ac:dyDescent="0.3">
      <c r="A222" s="2" t="s">
        <v>239</v>
      </c>
      <c r="B222" s="2" t="s">
        <v>16</v>
      </c>
      <c r="C222" s="2" t="s">
        <v>17</v>
      </c>
      <c r="D222" s="3">
        <v>422.4</v>
      </c>
      <c r="E222" s="3">
        <v>3.19</v>
      </c>
      <c r="F222" s="3">
        <v>317.7</v>
      </c>
      <c r="G222" s="3">
        <v>378</v>
      </c>
      <c r="H222" s="3">
        <v>984.4</v>
      </c>
      <c r="I222" s="4">
        <v>1313.2</v>
      </c>
      <c r="J222" s="4">
        <v>1258</v>
      </c>
      <c r="K222" s="3">
        <v>159.80000000000001</v>
      </c>
      <c r="L222" s="3">
        <v>4.1500000000000004</v>
      </c>
      <c r="M222" s="4">
        <v>430750</v>
      </c>
      <c r="N222" s="4">
        <v>8532</v>
      </c>
      <c r="O222" s="3">
        <v>13.7</v>
      </c>
      <c r="P222" s="3" t="str">
        <f t="shared" si="3"/>
        <v>NORMAL</v>
      </c>
      <c r="Q222" s="3" cm="1">
        <f t="array" aca="1" ref="Q222" ca="1">AVERAGE(OFFSET(tbl_Process[[#This Row],[Temp_Firing_C]], MAX(1-ROW()+ROW(tbl_Process[#Headers]), -23), 0, MIN(ROW()-ROW(tbl_Process[#Headers]), 24), 1))</f>
        <v>1311.3708333333334</v>
      </c>
      <c r="R222" s="3" t="e" cm="1" vm="1">
        <f t="array" aca="1" ref="R222" ca="1">tbl_Process[Temp_Firing_C] - AVERAGE(tbl_Zones[[Target_Temp_Min_C]:[Target_Temp_Max_C]])</f>
        <v>#VALUE!</v>
      </c>
    </row>
    <row r="223" spans="1:18" x14ac:dyDescent="0.3">
      <c r="A223" s="2" t="s">
        <v>240</v>
      </c>
      <c r="B223" s="2" t="s">
        <v>16</v>
      </c>
      <c r="C223" s="2" t="s">
        <v>17</v>
      </c>
      <c r="D223" s="3">
        <v>425.1</v>
      </c>
      <c r="E223" s="3">
        <v>3.13</v>
      </c>
      <c r="F223" s="3">
        <v>323.5</v>
      </c>
      <c r="G223" s="3">
        <v>380.8</v>
      </c>
      <c r="H223" s="3">
        <v>970.5</v>
      </c>
      <c r="I223" s="4">
        <v>1307.0999999999999</v>
      </c>
      <c r="J223" s="4">
        <v>1241</v>
      </c>
      <c r="K223" s="3">
        <v>164.7</v>
      </c>
      <c r="L223" s="3">
        <v>4.01</v>
      </c>
      <c r="M223" s="4">
        <v>418828</v>
      </c>
      <c r="N223" s="4">
        <v>8544</v>
      </c>
      <c r="O223" s="3">
        <v>13.81</v>
      </c>
      <c r="P223" s="3" t="str">
        <f t="shared" si="3"/>
        <v>NORMAL</v>
      </c>
      <c r="Q223" s="3" cm="1">
        <f t="array" aca="1" ref="Q223" ca="1">AVERAGE(OFFSET(tbl_Process[[#This Row],[Temp_Firing_C]], MAX(1-ROW()+ROW(tbl_Process[#Headers]), -23), 0, MIN(ROW()-ROW(tbl_Process[#Headers]), 24), 1))</f>
        <v>1310.8</v>
      </c>
      <c r="R223" s="3" t="e" cm="1" vm="1">
        <f t="array" aca="1" ref="R223" ca="1">tbl_Process[Temp_Firing_C] - AVERAGE(tbl_Zones[[Target_Temp_Min_C]:[Target_Temp_Max_C]])</f>
        <v>#VALUE!</v>
      </c>
    </row>
    <row r="224" spans="1:18" x14ac:dyDescent="0.3">
      <c r="A224" s="2" t="s">
        <v>241</v>
      </c>
      <c r="B224" s="2" t="s">
        <v>24</v>
      </c>
      <c r="C224" s="2" t="s">
        <v>17</v>
      </c>
      <c r="D224" s="3">
        <v>418.3</v>
      </c>
      <c r="E224" s="3">
        <v>3.21</v>
      </c>
      <c r="F224" s="3">
        <v>321.3</v>
      </c>
      <c r="G224" s="3">
        <v>383</v>
      </c>
      <c r="H224" s="3">
        <v>967.1</v>
      </c>
      <c r="I224" s="4">
        <v>1309.5</v>
      </c>
      <c r="J224" s="4">
        <v>1248.5999999999999</v>
      </c>
      <c r="K224" s="3">
        <v>169.6</v>
      </c>
      <c r="L224" s="3">
        <v>4.0199999999999996</v>
      </c>
      <c r="M224" s="4">
        <v>423408</v>
      </c>
      <c r="N224" s="4">
        <v>8585</v>
      </c>
      <c r="O224" s="3">
        <v>14.22</v>
      </c>
      <c r="P224" s="3" t="str">
        <f t="shared" si="3"/>
        <v>NORMAL</v>
      </c>
      <c r="Q224" s="3" cm="1">
        <f t="array" aca="1" ref="Q224" ca="1">AVERAGE(OFFSET(tbl_Process[[#This Row],[Temp_Firing_C]], MAX(1-ROW()+ROW(tbl_Process[#Headers]), -23), 0, MIN(ROW()-ROW(tbl_Process[#Headers]), 24), 1))</f>
        <v>1310.3166666666668</v>
      </c>
      <c r="R224" s="3" t="e" cm="1" vm="1">
        <f t="array" aca="1" ref="R224" ca="1">tbl_Process[Temp_Firing_C] - AVERAGE(tbl_Zones[[Target_Temp_Min_C]:[Target_Temp_Max_C]])</f>
        <v>#VALUE!</v>
      </c>
    </row>
    <row r="225" spans="1:18" x14ac:dyDescent="0.3">
      <c r="A225" s="2" t="s">
        <v>242</v>
      </c>
      <c r="B225" s="2" t="s">
        <v>24</v>
      </c>
      <c r="C225" s="2" t="s">
        <v>17</v>
      </c>
      <c r="D225" s="3">
        <v>426.3</v>
      </c>
      <c r="E225" s="3">
        <v>3.24</v>
      </c>
      <c r="F225" s="3">
        <v>312.89999999999998</v>
      </c>
      <c r="G225" s="3">
        <v>387.9</v>
      </c>
      <c r="H225" s="3">
        <v>981.9</v>
      </c>
      <c r="I225" s="4">
        <v>1312.7</v>
      </c>
      <c r="J225" s="4">
        <v>1253.7</v>
      </c>
      <c r="K225" s="3">
        <v>158.9</v>
      </c>
      <c r="L225" s="3">
        <v>4</v>
      </c>
      <c r="M225" s="4">
        <v>422780</v>
      </c>
      <c r="N225" s="4">
        <v>8442</v>
      </c>
      <c r="O225" s="3">
        <v>14.19</v>
      </c>
      <c r="P225" s="3" t="str">
        <f t="shared" si="3"/>
        <v>NORMAL</v>
      </c>
      <c r="Q225" s="3" cm="1">
        <f t="array" aca="1" ref="Q225" ca="1">AVERAGE(OFFSET(tbl_Process[[#This Row],[Temp_Firing_C]], MAX(1-ROW()+ROW(tbl_Process[#Headers]), -23), 0, MIN(ROW()-ROW(tbl_Process[#Headers]), 24), 1))</f>
        <v>1310.1291666666668</v>
      </c>
      <c r="R225" s="3" t="e" cm="1" vm="1">
        <f t="array" aca="1" ref="R225" ca="1">tbl_Process[Temp_Firing_C] - AVERAGE(tbl_Zones[[Target_Temp_Min_C]:[Target_Temp_Max_C]])</f>
        <v>#VALUE!</v>
      </c>
    </row>
    <row r="226" spans="1:18" x14ac:dyDescent="0.3">
      <c r="A226" s="2" t="s">
        <v>243</v>
      </c>
      <c r="B226" s="2" t="s">
        <v>24</v>
      </c>
      <c r="C226" s="2" t="s">
        <v>17</v>
      </c>
      <c r="D226" s="3">
        <v>425.1</v>
      </c>
      <c r="E226" s="3">
        <v>3.05</v>
      </c>
      <c r="F226" s="3">
        <v>315.7</v>
      </c>
      <c r="G226" s="3">
        <v>377.3</v>
      </c>
      <c r="H226" s="3">
        <v>966</v>
      </c>
      <c r="I226" s="4">
        <v>1311.1</v>
      </c>
      <c r="J226" s="4">
        <v>1254.5</v>
      </c>
      <c r="K226" s="3">
        <v>167</v>
      </c>
      <c r="L226" s="3">
        <v>4.17</v>
      </c>
      <c r="M226" s="4">
        <v>422508</v>
      </c>
      <c r="N226" s="4">
        <v>8680</v>
      </c>
      <c r="O226" s="3">
        <v>13.84</v>
      </c>
      <c r="P226" s="3" t="str">
        <f t="shared" si="3"/>
        <v>NORMAL</v>
      </c>
      <c r="Q226" s="3" cm="1">
        <f t="array" aca="1" ref="Q226" ca="1">AVERAGE(OFFSET(tbl_Process[[#This Row],[Temp_Firing_C]], MAX(1-ROW()+ROW(tbl_Process[#Headers]), -23), 0, MIN(ROW()-ROW(tbl_Process[#Headers]), 24), 1))</f>
        <v>1310.5416666666667</v>
      </c>
      <c r="R226" s="3" t="e" cm="1" vm="1">
        <f t="array" aca="1" ref="R226" ca="1">tbl_Process[Temp_Firing_C] - AVERAGE(tbl_Zones[[Target_Temp_Min_C]:[Target_Temp_Max_C]])</f>
        <v>#VALUE!</v>
      </c>
    </row>
    <row r="227" spans="1:18" x14ac:dyDescent="0.3">
      <c r="A227" s="2" t="s">
        <v>244</v>
      </c>
      <c r="B227" s="2" t="s">
        <v>24</v>
      </c>
      <c r="C227" s="2" t="s">
        <v>17</v>
      </c>
      <c r="D227" s="3">
        <v>423.4</v>
      </c>
      <c r="E227" s="3">
        <v>3.11</v>
      </c>
      <c r="F227" s="3">
        <v>328.1</v>
      </c>
      <c r="G227" s="3">
        <v>392.4</v>
      </c>
      <c r="H227" s="3">
        <v>968.7</v>
      </c>
      <c r="I227" s="4">
        <v>1311.8</v>
      </c>
      <c r="J227" s="4">
        <v>1249.2</v>
      </c>
      <c r="K227" s="3">
        <v>147.80000000000001</v>
      </c>
      <c r="L227" s="3">
        <v>4.1399999999999997</v>
      </c>
      <c r="M227" s="4">
        <v>421727</v>
      </c>
      <c r="N227" s="4">
        <v>8636</v>
      </c>
      <c r="O227" s="3">
        <v>14.27</v>
      </c>
      <c r="P227" s="3" t="str">
        <f t="shared" si="3"/>
        <v>NORMAL</v>
      </c>
      <c r="Q227" s="3" cm="1">
        <f t="array" aca="1" ref="Q227" ca="1">AVERAGE(OFFSET(tbl_Process[[#This Row],[Temp_Firing_C]], MAX(1-ROW()+ROW(tbl_Process[#Headers]), -23), 0, MIN(ROW()-ROW(tbl_Process[#Headers]), 24), 1))</f>
        <v>1310.6666666666667</v>
      </c>
      <c r="R227" s="3" t="e" cm="1" vm="1">
        <f t="array" aca="1" ref="R227" ca="1">tbl_Process[Temp_Firing_C] - AVERAGE(tbl_Zones[[Target_Temp_Min_C]:[Target_Temp_Max_C]])</f>
        <v>#VALUE!</v>
      </c>
    </row>
    <row r="228" spans="1:18" x14ac:dyDescent="0.3">
      <c r="A228" s="2" t="s">
        <v>245</v>
      </c>
      <c r="B228" s="2" t="s">
        <v>24</v>
      </c>
      <c r="C228" s="2" t="s">
        <v>17</v>
      </c>
      <c r="D228" s="3">
        <v>419.7</v>
      </c>
      <c r="E228" s="3">
        <v>3.11</v>
      </c>
      <c r="F228" s="3">
        <v>321.89999999999998</v>
      </c>
      <c r="G228" s="3">
        <v>384.1</v>
      </c>
      <c r="H228" s="3">
        <v>966.8</v>
      </c>
      <c r="I228" s="4">
        <v>1313.6</v>
      </c>
      <c r="J228" s="4">
        <v>1254.8</v>
      </c>
      <c r="K228" s="3">
        <v>156.4</v>
      </c>
      <c r="L228" s="3">
        <v>4.08</v>
      </c>
      <c r="M228" s="4">
        <v>426963</v>
      </c>
      <c r="N228" s="4">
        <v>8455</v>
      </c>
      <c r="O228" s="3">
        <v>14.28</v>
      </c>
      <c r="P228" s="3" t="str">
        <f t="shared" si="3"/>
        <v>NORMAL</v>
      </c>
      <c r="Q228" s="3" cm="1">
        <f t="array" aca="1" ref="Q228" ca="1">AVERAGE(OFFSET(tbl_Process[[#This Row],[Temp_Firing_C]], MAX(1-ROW()+ROW(tbl_Process[#Headers]), -23), 0, MIN(ROW()-ROW(tbl_Process[#Headers]), 24), 1))</f>
        <v>1310.0791666666664</v>
      </c>
      <c r="R228" s="3" t="e" cm="1" vm="1">
        <f t="array" aca="1" ref="R228" ca="1">tbl_Process[Temp_Firing_C] - AVERAGE(tbl_Zones[[Target_Temp_Min_C]:[Target_Temp_Max_C]])</f>
        <v>#VALUE!</v>
      </c>
    </row>
    <row r="229" spans="1:18" x14ac:dyDescent="0.3">
      <c r="A229" s="2" t="s">
        <v>246</v>
      </c>
      <c r="B229" s="2" t="s">
        <v>24</v>
      </c>
      <c r="C229" s="2" t="s">
        <v>17</v>
      </c>
      <c r="D229" s="3">
        <v>417.7</v>
      </c>
      <c r="E229" s="3">
        <v>3.17</v>
      </c>
      <c r="F229" s="3">
        <v>316.89999999999998</v>
      </c>
      <c r="G229" s="3">
        <v>381.9</v>
      </c>
      <c r="H229" s="3">
        <v>986.7</v>
      </c>
      <c r="I229" s="4">
        <v>1301.0999999999999</v>
      </c>
      <c r="J229" s="4">
        <v>1229.0999999999999</v>
      </c>
      <c r="K229" s="3">
        <v>155</v>
      </c>
      <c r="L229" s="3">
        <v>4.26</v>
      </c>
      <c r="M229" s="4">
        <v>418580</v>
      </c>
      <c r="N229" s="4">
        <v>8510</v>
      </c>
      <c r="O229" s="3">
        <v>14.09</v>
      </c>
      <c r="P229" s="3" t="str">
        <f t="shared" si="3"/>
        <v>NORMAL</v>
      </c>
      <c r="Q229" s="3" cm="1">
        <f t="array" aca="1" ref="Q229" ca="1">AVERAGE(OFFSET(tbl_Process[[#This Row],[Temp_Firing_C]], MAX(1-ROW()+ROW(tbl_Process[#Headers]), -23), 0, MIN(ROW()-ROW(tbl_Process[#Headers]), 24), 1))</f>
        <v>1309.425</v>
      </c>
      <c r="R229" s="3" t="e" cm="1" vm="1">
        <f t="array" aca="1" ref="R229" ca="1">tbl_Process[Temp_Firing_C] - AVERAGE(tbl_Zones[[Target_Temp_Min_C]:[Target_Temp_Max_C]])</f>
        <v>#VALUE!</v>
      </c>
    </row>
    <row r="230" spans="1:18" x14ac:dyDescent="0.3">
      <c r="A230" s="2" t="s">
        <v>247</v>
      </c>
      <c r="B230" s="2" t="s">
        <v>24</v>
      </c>
      <c r="C230" s="2" t="s">
        <v>17</v>
      </c>
      <c r="D230" s="3">
        <v>416.2</v>
      </c>
      <c r="E230" s="3">
        <v>3.18</v>
      </c>
      <c r="F230" s="3">
        <v>336.6</v>
      </c>
      <c r="G230" s="3">
        <v>392.2</v>
      </c>
      <c r="H230" s="3">
        <v>953.5</v>
      </c>
      <c r="I230" s="4">
        <v>1315.2</v>
      </c>
      <c r="J230" s="4">
        <v>1245.2</v>
      </c>
      <c r="K230" s="3">
        <v>152.4</v>
      </c>
      <c r="L230" s="3">
        <v>4.16</v>
      </c>
      <c r="M230" s="4">
        <v>426796</v>
      </c>
      <c r="N230" s="4">
        <v>8808</v>
      </c>
      <c r="O230" s="3">
        <v>13.84</v>
      </c>
      <c r="P230" s="3" t="str">
        <f t="shared" si="3"/>
        <v>NORMAL</v>
      </c>
      <c r="Q230" s="3" cm="1">
        <f t="array" aca="1" ref="Q230" ca="1">AVERAGE(OFFSET(tbl_Process[[#This Row],[Temp_Firing_C]], MAX(1-ROW()+ROW(tbl_Process[#Headers]), -23), 0, MIN(ROW()-ROW(tbl_Process[#Headers]), 24), 1))</f>
        <v>1309.8666666666666</v>
      </c>
      <c r="R230" s="3" t="e" cm="1" vm="1">
        <f t="array" aca="1" ref="R230" ca="1">tbl_Process[Temp_Firing_C] - AVERAGE(tbl_Zones[[Target_Temp_Min_C]:[Target_Temp_Max_C]])</f>
        <v>#VALUE!</v>
      </c>
    </row>
    <row r="231" spans="1:18" x14ac:dyDescent="0.3">
      <c r="A231" s="2" t="s">
        <v>248</v>
      </c>
      <c r="B231" s="2" t="s">
        <v>24</v>
      </c>
      <c r="C231" s="2" t="s">
        <v>17</v>
      </c>
      <c r="D231" s="3">
        <v>419.3</v>
      </c>
      <c r="E231" s="3">
        <v>3.26</v>
      </c>
      <c r="F231" s="3">
        <v>323.8</v>
      </c>
      <c r="G231" s="3">
        <v>379.2</v>
      </c>
      <c r="H231" s="3">
        <v>943.4</v>
      </c>
      <c r="I231" s="4">
        <v>1309.7</v>
      </c>
      <c r="J231" s="4">
        <v>1251.2</v>
      </c>
      <c r="K231" s="3">
        <v>155</v>
      </c>
      <c r="L231" s="3">
        <v>4.17</v>
      </c>
      <c r="M231" s="4">
        <v>422906</v>
      </c>
      <c r="N231" s="4">
        <v>8706</v>
      </c>
      <c r="O231" s="3">
        <v>14.25</v>
      </c>
      <c r="P231" s="3" t="str">
        <f t="shared" si="3"/>
        <v>NORMAL</v>
      </c>
      <c r="Q231" s="3" cm="1">
        <f t="array" aca="1" ref="Q231" ca="1">AVERAGE(OFFSET(tbl_Process[[#This Row],[Temp_Firing_C]], MAX(1-ROW()+ROW(tbl_Process[#Headers]), -23), 0, MIN(ROW()-ROW(tbl_Process[#Headers]), 24), 1))</f>
        <v>1310.0999999999999</v>
      </c>
      <c r="R231" s="3" t="e" cm="1" vm="1">
        <f t="array" aca="1" ref="R231" ca="1">tbl_Process[Temp_Firing_C] - AVERAGE(tbl_Zones[[Target_Temp_Min_C]:[Target_Temp_Max_C]])</f>
        <v>#VALUE!</v>
      </c>
    </row>
    <row r="232" spans="1:18" x14ac:dyDescent="0.3">
      <c r="A232" s="2" t="s">
        <v>249</v>
      </c>
      <c r="B232" s="2" t="s">
        <v>33</v>
      </c>
      <c r="C232" s="2" t="s">
        <v>17</v>
      </c>
      <c r="D232" s="3">
        <v>417.2</v>
      </c>
      <c r="E232" s="3">
        <v>3.07</v>
      </c>
      <c r="F232" s="3">
        <v>317.8</v>
      </c>
      <c r="G232" s="3">
        <v>387.6</v>
      </c>
      <c r="H232" s="3">
        <v>955.5</v>
      </c>
      <c r="I232" s="4">
        <v>1302.0999999999999</v>
      </c>
      <c r="J232" s="4">
        <v>1226.2</v>
      </c>
      <c r="K232" s="3">
        <v>169.4</v>
      </c>
      <c r="L232" s="3">
        <v>4.12</v>
      </c>
      <c r="M232" s="4">
        <v>423073</v>
      </c>
      <c r="N232" s="4">
        <v>8641</v>
      </c>
      <c r="O232" s="3">
        <v>14.23</v>
      </c>
      <c r="P232" s="3" t="str">
        <f t="shared" si="3"/>
        <v>NORMAL</v>
      </c>
      <c r="Q232" s="3" cm="1">
        <f t="array" aca="1" ref="Q232" ca="1">AVERAGE(OFFSET(tbl_Process[[#This Row],[Temp_Firing_C]], MAX(1-ROW()+ROW(tbl_Process[#Headers]), -23), 0, MIN(ROW()-ROW(tbl_Process[#Headers]), 24), 1))</f>
        <v>1309.7291666666665</v>
      </c>
      <c r="R232" s="3" t="e" cm="1" vm="1">
        <f t="array" aca="1" ref="R232" ca="1">tbl_Process[Temp_Firing_C] - AVERAGE(tbl_Zones[[Target_Temp_Min_C]:[Target_Temp_Max_C]])</f>
        <v>#VALUE!</v>
      </c>
    </row>
    <row r="233" spans="1:18" x14ac:dyDescent="0.3">
      <c r="A233" s="2" t="s">
        <v>250</v>
      </c>
      <c r="B233" s="2" t="s">
        <v>33</v>
      </c>
      <c r="C233" s="2" t="s">
        <v>17</v>
      </c>
      <c r="D233" s="3">
        <v>419</v>
      </c>
      <c r="E233" s="3">
        <v>3.19</v>
      </c>
      <c r="F233" s="3">
        <v>318.10000000000002</v>
      </c>
      <c r="G233" s="3">
        <v>399.3</v>
      </c>
      <c r="H233" s="3">
        <v>967.9</v>
      </c>
      <c r="I233" s="4">
        <v>1303</v>
      </c>
      <c r="J233" s="4">
        <v>1240.8</v>
      </c>
      <c r="K233" s="3">
        <v>155.4</v>
      </c>
      <c r="L233" s="3">
        <v>4.26</v>
      </c>
      <c r="M233" s="4">
        <v>418226</v>
      </c>
      <c r="N233" s="4">
        <v>8596</v>
      </c>
      <c r="O233" s="3">
        <v>14.39</v>
      </c>
      <c r="P233" s="3" t="str">
        <f t="shared" si="3"/>
        <v>NORMAL</v>
      </c>
      <c r="Q233" s="3" cm="1">
        <f t="array" aca="1" ref="Q233" ca="1">AVERAGE(OFFSET(tbl_Process[[#This Row],[Temp_Firing_C]], MAX(1-ROW()+ROW(tbl_Process[#Headers]), -23), 0, MIN(ROW()-ROW(tbl_Process[#Headers]), 24), 1))</f>
        <v>1309.4999999999998</v>
      </c>
      <c r="R233" s="3" t="e" cm="1" vm="1">
        <f t="array" aca="1" ref="R233" ca="1">tbl_Process[Temp_Firing_C] - AVERAGE(tbl_Zones[[Target_Temp_Min_C]:[Target_Temp_Max_C]])</f>
        <v>#VALUE!</v>
      </c>
    </row>
    <row r="234" spans="1:18" x14ac:dyDescent="0.3">
      <c r="A234" s="2" t="s">
        <v>251</v>
      </c>
      <c r="B234" s="2" t="s">
        <v>33</v>
      </c>
      <c r="C234" s="2" t="s">
        <v>17</v>
      </c>
      <c r="D234" s="3">
        <v>421.5</v>
      </c>
      <c r="E234" s="3">
        <v>3.21</v>
      </c>
      <c r="F234" s="3">
        <v>320.39999999999998</v>
      </c>
      <c r="G234" s="3">
        <v>380</v>
      </c>
      <c r="H234" s="3">
        <v>953.7</v>
      </c>
      <c r="I234" s="4">
        <v>1302.3</v>
      </c>
      <c r="J234" s="4">
        <v>1246.2</v>
      </c>
      <c r="K234" s="3">
        <v>159.69999999999999</v>
      </c>
      <c r="L234" s="3">
        <v>4.0199999999999996</v>
      </c>
      <c r="M234" s="4">
        <v>418607</v>
      </c>
      <c r="N234" s="4">
        <v>8660</v>
      </c>
      <c r="O234" s="3">
        <v>14.24</v>
      </c>
      <c r="P234" s="3" t="str">
        <f t="shared" si="3"/>
        <v>NORMAL</v>
      </c>
      <c r="Q234" s="3" cm="1">
        <f t="array" aca="1" ref="Q234" ca="1">AVERAGE(OFFSET(tbl_Process[[#This Row],[Temp_Firing_C]], MAX(1-ROW()+ROW(tbl_Process[#Headers]), -23), 0, MIN(ROW()-ROW(tbl_Process[#Headers]), 24), 1))</f>
        <v>1309.1833333333332</v>
      </c>
      <c r="R234" s="3" t="e" cm="1" vm="1">
        <f t="array" aca="1" ref="R234" ca="1">tbl_Process[Temp_Firing_C] - AVERAGE(tbl_Zones[[Target_Temp_Min_C]:[Target_Temp_Max_C]])</f>
        <v>#VALUE!</v>
      </c>
    </row>
    <row r="235" spans="1:18" x14ac:dyDescent="0.3">
      <c r="A235" s="2" t="s">
        <v>252</v>
      </c>
      <c r="B235" s="2" t="s">
        <v>33</v>
      </c>
      <c r="C235" s="2" t="s">
        <v>17</v>
      </c>
      <c r="D235" s="3">
        <v>422.2</v>
      </c>
      <c r="E235" s="3">
        <v>3.18</v>
      </c>
      <c r="F235" s="3">
        <v>323.60000000000002</v>
      </c>
      <c r="G235" s="3">
        <v>375.7</v>
      </c>
      <c r="H235" s="3">
        <v>957.1</v>
      </c>
      <c r="I235" s="4">
        <v>1313.1</v>
      </c>
      <c r="J235" s="4">
        <v>1253.3</v>
      </c>
      <c r="K235" s="3">
        <v>155.19999999999999</v>
      </c>
      <c r="L235" s="3">
        <v>4.01</v>
      </c>
      <c r="M235" s="4">
        <v>422738</v>
      </c>
      <c r="N235" s="4">
        <v>8864</v>
      </c>
      <c r="O235" s="3">
        <v>13.43</v>
      </c>
      <c r="P235" s="3" t="str">
        <f t="shared" si="3"/>
        <v>NORMAL</v>
      </c>
      <c r="Q235" s="3" cm="1">
        <f t="array" aca="1" ref="Q235" ca="1">AVERAGE(OFFSET(tbl_Process[[#This Row],[Temp_Firing_C]], MAX(1-ROW()+ROW(tbl_Process[#Headers]), -23), 0, MIN(ROW()-ROW(tbl_Process[#Headers]), 24), 1))</f>
        <v>1309.1458333333333</v>
      </c>
      <c r="R235" s="3" t="e" cm="1" vm="1">
        <f t="array" aca="1" ref="R235" ca="1">tbl_Process[Temp_Firing_C] - AVERAGE(tbl_Zones[[Target_Temp_Min_C]:[Target_Temp_Max_C]])</f>
        <v>#VALUE!</v>
      </c>
    </row>
    <row r="236" spans="1:18" x14ac:dyDescent="0.3">
      <c r="A236" s="2" t="s">
        <v>253</v>
      </c>
      <c r="B236" s="2" t="s">
        <v>33</v>
      </c>
      <c r="C236" s="2" t="s">
        <v>17</v>
      </c>
      <c r="D236" s="3">
        <v>421.1</v>
      </c>
      <c r="E236" s="3">
        <v>3.09</v>
      </c>
      <c r="F236" s="3">
        <v>316.2</v>
      </c>
      <c r="G236" s="3">
        <v>377.4</v>
      </c>
      <c r="H236" s="3">
        <v>954.9</v>
      </c>
      <c r="I236" s="4">
        <v>1300.7</v>
      </c>
      <c r="J236" s="4">
        <v>1235.7</v>
      </c>
      <c r="K236" s="3">
        <v>157.30000000000001</v>
      </c>
      <c r="L236" s="3">
        <v>3.9</v>
      </c>
      <c r="M236" s="4">
        <v>422856</v>
      </c>
      <c r="N236" s="4">
        <v>8599</v>
      </c>
      <c r="O236" s="3">
        <v>14.33</v>
      </c>
      <c r="P236" s="3" t="str">
        <f t="shared" si="3"/>
        <v>NORMAL</v>
      </c>
      <c r="Q236" s="3" cm="1">
        <f t="array" aca="1" ref="Q236" ca="1">AVERAGE(OFFSET(tbl_Process[[#This Row],[Temp_Firing_C]], MAX(1-ROW()+ROW(tbl_Process[#Headers]), -23), 0, MIN(ROW()-ROW(tbl_Process[#Headers]), 24), 1))</f>
        <v>1308.6374999999998</v>
      </c>
      <c r="R236" s="3" t="e" cm="1" vm="1">
        <f t="array" aca="1" ref="R236" ca="1">tbl_Process[Temp_Firing_C] - AVERAGE(tbl_Zones[[Target_Temp_Min_C]:[Target_Temp_Max_C]])</f>
        <v>#VALUE!</v>
      </c>
    </row>
    <row r="237" spans="1:18" x14ac:dyDescent="0.3">
      <c r="A237" s="2" t="s">
        <v>254</v>
      </c>
      <c r="B237" s="2" t="s">
        <v>33</v>
      </c>
      <c r="C237" s="2" t="s">
        <v>17</v>
      </c>
      <c r="D237" s="3">
        <v>413.8</v>
      </c>
      <c r="E237" s="3">
        <v>3.22</v>
      </c>
      <c r="F237" s="3">
        <v>324</v>
      </c>
      <c r="G237" s="3">
        <v>372.7</v>
      </c>
      <c r="H237" s="3">
        <v>960.1</v>
      </c>
      <c r="I237" s="4">
        <v>1304</v>
      </c>
      <c r="J237" s="4">
        <v>1250.0999999999999</v>
      </c>
      <c r="K237" s="3">
        <v>169.6</v>
      </c>
      <c r="L237" s="3">
        <v>3.82</v>
      </c>
      <c r="M237" s="4">
        <v>429449</v>
      </c>
      <c r="N237" s="4">
        <v>8438</v>
      </c>
      <c r="O237" s="3">
        <v>14.49</v>
      </c>
      <c r="P237" s="3" t="str">
        <f t="shared" si="3"/>
        <v>NORMAL</v>
      </c>
      <c r="Q237" s="3" cm="1">
        <f t="array" aca="1" ref="Q237" ca="1">AVERAGE(OFFSET(tbl_Process[[#This Row],[Temp_Firing_C]], MAX(1-ROW()+ROW(tbl_Process[#Headers]), -23), 0, MIN(ROW()-ROW(tbl_Process[#Headers]), 24), 1))</f>
        <v>1309.0291666666665</v>
      </c>
      <c r="R237" s="3" t="e" cm="1" vm="1">
        <f t="array" aca="1" ref="R237" ca="1">tbl_Process[Temp_Firing_C] - AVERAGE(tbl_Zones[[Target_Temp_Min_C]:[Target_Temp_Max_C]])</f>
        <v>#VALUE!</v>
      </c>
    </row>
    <row r="238" spans="1:18" x14ac:dyDescent="0.3">
      <c r="A238" s="2" t="s">
        <v>255</v>
      </c>
      <c r="B238" s="2" t="s">
        <v>33</v>
      </c>
      <c r="C238" s="2" t="s">
        <v>17</v>
      </c>
      <c r="D238" s="3">
        <v>423.9</v>
      </c>
      <c r="E238" s="3">
        <v>3.12</v>
      </c>
      <c r="F238" s="3">
        <v>323</v>
      </c>
      <c r="G238" s="3">
        <v>379.3</v>
      </c>
      <c r="H238" s="3">
        <v>966.8</v>
      </c>
      <c r="I238" s="4">
        <v>1307</v>
      </c>
      <c r="J238" s="4">
        <v>1249.2</v>
      </c>
      <c r="K238" s="3">
        <v>160.4</v>
      </c>
      <c r="L238" s="3">
        <v>4.0999999999999996</v>
      </c>
      <c r="M238" s="4">
        <v>425096</v>
      </c>
      <c r="N238" s="4">
        <v>8654</v>
      </c>
      <c r="O238" s="3">
        <v>14.26</v>
      </c>
      <c r="P238" s="3" t="str">
        <f t="shared" si="3"/>
        <v>NORMAL</v>
      </c>
      <c r="Q238" s="3" cm="1">
        <f t="array" aca="1" ref="Q238" ca="1">AVERAGE(OFFSET(tbl_Process[[#This Row],[Temp_Firing_C]], MAX(1-ROW()+ROW(tbl_Process[#Headers]), -23), 0, MIN(ROW()-ROW(tbl_Process[#Headers]), 24), 1))</f>
        <v>1308.825</v>
      </c>
      <c r="R238" s="3" t="e" cm="1" vm="1">
        <f t="array" aca="1" ref="R238" ca="1">tbl_Process[Temp_Firing_C] - AVERAGE(tbl_Zones[[Target_Temp_Min_C]:[Target_Temp_Max_C]])</f>
        <v>#VALUE!</v>
      </c>
    </row>
    <row r="239" spans="1:18" x14ac:dyDescent="0.3">
      <c r="A239" s="2" t="s">
        <v>256</v>
      </c>
      <c r="B239" s="2" t="s">
        <v>33</v>
      </c>
      <c r="C239" s="2" t="s">
        <v>17</v>
      </c>
      <c r="D239" s="3">
        <v>417.3</v>
      </c>
      <c r="E239" s="3">
        <v>3.12</v>
      </c>
      <c r="F239" s="3">
        <v>316.8</v>
      </c>
      <c r="G239" s="3">
        <v>375.9</v>
      </c>
      <c r="H239" s="3">
        <v>969.9</v>
      </c>
      <c r="I239" s="4">
        <v>1313.4</v>
      </c>
      <c r="J239" s="4">
        <v>1247.5</v>
      </c>
      <c r="K239" s="3">
        <v>167.3</v>
      </c>
      <c r="L239" s="3">
        <v>4.2</v>
      </c>
      <c r="M239" s="4">
        <v>423264</v>
      </c>
      <c r="N239" s="4">
        <v>8562</v>
      </c>
      <c r="O239" s="3">
        <v>14.54</v>
      </c>
      <c r="P239" s="3" t="str">
        <f t="shared" si="3"/>
        <v>NORMAL</v>
      </c>
      <c r="Q239" s="3" cm="1">
        <f t="array" aca="1" ref="Q239" ca="1">AVERAGE(OFFSET(tbl_Process[[#This Row],[Temp_Firing_C]], MAX(1-ROW()+ROW(tbl_Process[#Headers]), -23), 0, MIN(ROW()-ROW(tbl_Process[#Headers]), 24), 1))</f>
        <v>1309.0125</v>
      </c>
      <c r="R239" s="3" t="e" cm="1" vm="1">
        <f t="array" aca="1" ref="R239" ca="1">tbl_Process[Temp_Firing_C] - AVERAGE(tbl_Zones[[Target_Temp_Min_C]:[Target_Temp_Max_C]])</f>
        <v>#VALUE!</v>
      </c>
    </row>
    <row r="240" spans="1:18" x14ac:dyDescent="0.3">
      <c r="A240" s="2" t="s">
        <v>257</v>
      </c>
      <c r="B240" s="2" t="s">
        <v>16</v>
      </c>
      <c r="C240" s="2" t="s">
        <v>17</v>
      </c>
      <c r="D240" s="3">
        <v>419.8</v>
      </c>
      <c r="E240" s="3">
        <v>3.21</v>
      </c>
      <c r="F240" s="3">
        <v>318.39999999999998</v>
      </c>
      <c r="G240" s="3">
        <v>374.4</v>
      </c>
      <c r="H240" s="3">
        <v>943.3</v>
      </c>
      <c r="I240" s="4">
        <v>1311.3</v>
      </c>
      <c r="J240" s="4">
        <v>1241.5999999999999</v>
      </c>
      <c r="K240" s="3">
        <v>175.6</v>
      </c>
      <c r="L240" s="3">
        <v>3.96</v>
      </c>
      <c r="M240" s="4">
        <v>417633</v>
      </c>
      <c r="N240" s="4">
        <v>8697</v>
      </c>
      <c r="O240" s="3">
        <v>14.42</v>
      </c>
      <c r="P240" s="3" t="str">
        <f t="shared" si="3"/>
        <v>NORMAL</v>
      </c>
      <c r="Q240" s="3" cm="1">
        <f t="array" aca="1" ref="Q240" ca="1">AVERAGE(OFFSET(tbl_Process[[#This Row],[Temp_Firing_C]], MAX(1-ROW()+ROW(tbl_Process[#Headers]), -23), 0, MIN(ROW()-ROW(tbl_Process[#Headers]), 24), 1))</f>
        <v>1309.0333333333333</v>
      </c>
      <c r="R240" s="3" t="e" cm="1" vm="1">
        <f t="array" aca="1" ref="R240" ca="1">tbl_Process[Temp_Firing_C] - AVERAGE(tbl_Zones[[Target_Temp_Min_C]:[Target_Temp_Max_C]])</f>
        <v>#VALUE!</v>
      </c>
    </row>
    <row r="241" spans="1:18" x14ac:dyDescent="0.3">
      <c r="A241" s="2" t="s">
        <v>258</v>
      </c>
      <c r="B241" s="2" t="s">
        <v>16</v>
      </c>
      <c r="C241" s="2" t="s">
        <v>17</v>
      </c>
      <c r="D241" s="3">
        <v>420.3</v>
      </c>
      <c r="E241" s="3">
        <v>3.25</v>
      </c>
      <c r="F241" s="3">
        <v>309.7</v>
      </c>
      <c r="G241" s="3">
        <v>376.2</v>
      </c>
      <c r="H241" s="3">
        <v>948.6</v>
      </c>
      <c r="I241" s="4">
        <v>1291.8</v>
      </c>
      <c r="J241" s="4">
        <v>1227.5</v>
      </c>
      <c r="K241" s="3">
        <v>149.30000000000001</v>
      </c>
      <c r="L241" s="3">
        <v>3.95</v>
      </c>
      <c r="M241" s="4">
        <v>416644</v>
      </c>
      <c r="N241" s="4">
        <v>8302</v>
      </c>
      <c r="O241" s="3">
        <v>14.46</v>
      </c>
      <c r="P241" s="3" t="str">
        <f t="shared" si="3"/>
        <v>NORMAL</v>
      </c>
      <c r="Q241" s="3" cm="1">
        <f t="array" aca="1" ref="Q241" ca="1">AVERAGE(OFFSET(tbl_Process[[#This Row],[Temp_Firing_C]], MAX(1-ROW()+ROW(tbl_Process[#Headers]), -23), 0, MIN(ROW()-ROW(tbl_Process[#Headers]), 24), 1))</f>
        <v>1307.9333333333332</v>
      </c>
      <c r="R241" s="3" t="e" cm="1" vm="1">
        <f t="array" aca="1" ref="R241" ca="1">tbl_Process[Temp_Firing_C] - AVERAGE(tbl_Zones[[Target_Temp_Min_C]:[Target_Temp_Max_C]])</f>
        <v>#VALUE!</v>
      </c>
    </row>
    <row r="242" spans="1:18" x14ac:dyDescent="0.3">
      <c r="A242" s="2" t="s">
        <v>259</v>
      </c>
      <c r="B242" s="2" t="s">
        <v>16</v>
      </c>
      <c r="C242" s="2" t="s">
        <v>260</v>
      </c>
      <c r="D242" s="3">
        <v>401.2</v>
      </c>
      <c r="E242" s="3">
        <v>3.47</v>
      </c>
      <c r="F242" s="3">
        <v>325.60000000000002</v>
      </c>
      <c r="G242" s="3">
        <v>389.4</v>
      </c>
      <c r="H242" s="3">
        <v>962.1</v>
      </c>
      <c r="I242" s="4">
        <v>1290.2</v>
      </c>
      <c r="J242" s="4">
        <v>1228.3</v>
      </c>
      <c r="K242" s="3">
        <v>161.4</v>
      </c>
      <c r="L242" s="3">
        <v>3.88</v>
      </c>
      <c r="M242" s="4">
        <v>417072</v>
      </c>
      <c r="N242" s="4">
        <v>8284</v>
      </c>
      <c r="O242" s="3">
        <v>14.48</v>
      </c>
      <c r="P242" s="3" t="str">
        <f t="shared" si="3"/>
        <v>NORMAL</v>
      </c>
      <c r="Q242" s="3" cm="1">
        <f t="array" aca="1" ref="Q242" ca="1">AVERAGE(OFFSET(tbl_Process[[#This Row],[Temp_Firing_C]], MAX(1-ROW()+ROW(tbl_Process[#Headers]), -23), 0, MIN(ROW()-ROW(tbl_Process[#Headers]), 24), 1))</f>
        <v>1306.9624999999999</v>
      </c>
      <c r="R242" s="3" t="e" cm="1" vm="1">
        <f t="array" aca="1" ref="R242" ca="1">tbl_Process[Temp_Firing_C] - AVERAGE(tbl_Zones[[Target_Temp_Min_C]:[Target_Temp_Max_C]])</f>
        <v>#VALUE!</v>
      </c>
    </row>
    <row r="243" spans="1:18" x14ac:dyDescent="0.3">
      <c r="A243" s="2" t="s">
        <v>261</v>
      </c>
      <c r="B243" s="2" t="s">
        <v>16</v>
      </c>
      <c r="C243" s="2" t="s">
        <v>260</v>
      </c>
      <c r="D243" s="3">
        <v>399.6</v>
      </c>
      <c r="E243" s="3">
        <v>3.35</v>
      </c>
      <c r="F243" s="3">
        <v>317.39999999999998</v>
      </c>
      <c r="G243" s="3">
        <v>373.3</v>
      </c>
      <c r="H243" s="3">
        <v>974.4</v>
      </c>
      <c r="I243" s="4">
        <v>1289.2</v>
      </c>
      <c r="J243" s="4">
        <v>1219</v>
      </c>
      <c r="K243" s="3">
        <v>164.9</v>
      </c>
      <c r="L243" s="3">
        <v>3.82</v>
      </c>
      <c r="M243" s="4">
        <v>413133</v>
      </c>
      <c r="N243" s="4">
        <v>8493</v>
      </c>
      <c r="O243" s="3">
        <v>14.07</v>
      </c>
      <c r="P243" s="3" t="str">
        <f t="shared" si="3"/>
        <v>NORMAL</v>
      </c>
      <c r="Q243" s="3" cm="1">
        <f t="array" aca="1" ref="Q243" ca="1">AVERAGE(OFFSET(tbl_Process[[#This Row],[Temp_Firing_C]], MAX(1-ROW()+ROW(tbl_Process[#Headers]), -23), 0, MIN(ROW()-ROW(tbl_Process[#Headers]), 24), 1))</f>
        <v>1306.4458333333334</v>
      </c>
      <c r="R243" s="3" t="e" cm="1" vm="1">
        <f t="array" aca="1" ref="R243" ca="1">tbl_Process[Temp_Firing_C] - AVERAGE(tbl_Zones[[Target_Temp_Min_C]:[Target_Temp_Max_C]])</f>
        <v>#VALUE!</v>
      </c>
    </row>
    <row r="244" spans="1:18" x14ac:dyDescent="0.3">
      <c r="A244" s="2" t="s">
        <v>262</v>
      </c>
      <c r="B244" s="2" t="s">
        <v>16</v>
      </c>
      <c r="C244" s="2" t="s">
        <v>260</v>
      </c>
      <c r="D244" s="3">
        <v>398.4</v>
      </c>
      <c r="E244" s="3">
        <v>3.4</v>
      </c>
      <c r="F244" s="3">
        <v>328.5</v>
      </c>
      <c r="G244" s="3">
        <v>382.3</v>
      </c>
      <c r="H244" s="3">
        <v>948.9</v>
      </c>
      <c r="I244" s="4">
        <v>1293.7</v>
      </c>
      <c r="J244" s="4">
        <v>1225.8</v>
      </c>
      <c r="K244" s="3">
        <v>170.5</v>
      </c>
      <c r="L244" s="3">
        <v>3.88</v>
      </c>
      <c r="M244" s="4">
        <v>411043</v>
      </c>
      <c r="N244" s="4">
        <v>8467</v>
      </c>
      <c r="O244" s="3">
        <v>14.71</v>
      </c>
      <c r="P244" s="3" t="str">
        <f t="shared" si="3"/>
        <v>NORMAL</v>
      </c>
      <c r="Q244" s="3" cm="1">
        <f t="array" aca="1" ref="Q244" ca="1">AVERAGE(OFFSET(tbl_Process[[#This Row],[Temp_Firing_C]], MAX(1-ROW()+ROW(tbl_Process[#Headers]), -23), 0, MIN(ROW()-ROW(tbl_Process[#Headers]), 24), 1))</f>
        <v>1305.8625</v>
      </c>
      <c r="R244" s="3" t="e" cm="1" vm="1">
        <f t="array" aca="1" ref="R244" ca="1">tbl_Process[Temp_Firing_C] - AVERAGE(tbl_Zones[[Target_Temp_Min_C]:[Target_Temp_Max_C]])</f>
        <v>#VALUE!</v>
      </c>
    </row>
    <row r="245" spans="1:18" x14ac:dyDescent="0.3">
      <c r="A245" s="2" t="s">
        <v>263</v>
      </c>
      <c r="B245" s="2" t="s">
        <v>16</v>
      </c>
      <c r="C245" s="2" t="s">
        <v>260</v>
      </c>
      <c r="D245" s="3">
        <v>406.3</v>
      </c>
      <c r="E245" s="3">
        <v>3.55</v>
      </c>
      <c r="F245" s="3">
        <v>315.7</v>
      </c>
      <c r="G245" s="3">
        <v>388.9</v>
      </c>
      <c r="H245" s="3">
        <v>955</v>
      </c>
      <c r="I245" s="4">
        <v>1291.7</v>
      </c>
      <c r="J245" s="4">
        <v>1219.0999999999999</v>
      </c>
      <c r="K245" s="3">
        <v>158</v>
      </c>
      <c r="L245" s="3">
        <v>3.93</v>
      </c>
      <c r="M245" s="4">
        <v>421651</v>
      </c>
      <c r="N245" s="4">
        <v>8496</v>
      </c>
      <c r="O245" s="3">
        <v>14.27</v>
      </c>
      <c r="P245" s="3" t="str">
        <f t="shared" si="3"/>
        <v>NORMAL</v>
      </c>
      <c r="Q245" s="3" cm="1">
        <f t="array" aca="1" ref="Q245" ca="1">AVERAGE(OFFSET(tbl_Process[[#This Row],[Temp_Firing_C]], MAX(1-ROW()+ROW(tbl_Process[#Headers]), -23), 0, MIN(ROW()-ROW(tbl_Process[#Headers]), 24), 1))</f>
        <v>1304.9375000000002</v>
      </c>
      <c r="R245" s="3" t="e" cm="1" vm="1">
        <f t="array" aca="1" ref="R245" ca="1">tbl_Process[Temp_Firing_C] - AVERAGE(tbl_Zones[[Target_Temp_Min_C]:[Target_Temp_Max_C]])</f>
        <v>#VALUE!</v>
      </c>
    </row>
    <row r="246" spans="1:18" x14ac:dyDescent="0.3">
      <c r="A246" s="2" t="s">
        <v>264</v>
      </c>
      <c r="B246" s="2" t="s">
        <v>16</v>
      </c>
      <c r="C246" s="2" t="s">
        <v>260</v>
      </c>
      <c r="D246" s="3">
        <v>394.6</v>
      </c>
      <c r="E246" s="3">
        <v>3.38</v>
      </c>
      <c r="F246" s="3">
        <v>317.5</v>
      </c>
      <c r="G246" s="3">
        <v>388.8</v>
      </c>
      <c r="H246" s="3">
        <v>978.2</v>
      </c>
      <c r="I246" s="4">
        <v>1298.8</v>
      </c>
      <c r="J246" s="4">
        <v>1229.3</v>
      </c>
      <c r="K246" s="3">
        <v>147.6</v>
      </c>
      <c r="L246" s="3">
        <v>3.62</v>
      </c>
      <c r="M246" s="4">
        <v>424760</v>
      </c>
      <c r="N246" s="4">
        <v>8437</v>
      </c>
      <c r="O246" s="3">
        <v>14.06</v>
      </c>
      <c r="P246" s="3" t="str">
        <f t="shared" si="3"/>
        <v>NORMAL</v>
      </c>
      <c r="Q246" s="3" cm="1">
        <f t="array" aca="1" ref="Q246" ca="1">AVERAGE(OFFSET(tbl_Process[[#This Row],[Temp_Firing_C]], MAX(1-ROW()+ROW(tbl_Process[#Headers]), -23), 0, MIN(ROW()-ROW(tbl_Process[#Headers]), 24), 1))</f>
        <v>1304.3375000000001</v>
      </c>
      <c r="R246" s="3" t="e" cm="1" vm="1">
        <f t="array" aca="1" ref="R246" ca="1">tbl_Process[Temp_Firing_C] - AVERAGE(tbl_Zones[[Target_Temp_Min_C]:[Target_Temp_Max_C]])</f>
        <v>#VALUE!</v>
      </c>
    </row>
    <row r="247" spans="1:18" x14ac:dyDescent="0.3">
      <c r="A247" s="2" t="s">
        <v>265</v>
      </c>
      <c r="B247" s="2" t="s">
        <v>16</v>
      </c>
      <c r="C247" s="2" t="s">
        <v>260</v>
      </c>
      <c r="D247" s="3">
        <v>406.6</v>
      </c>
      <c r="E247" s="3">
        <v>3.5</v>
      </c>
      <c r="F247" s="3">
        <v>322.2</v>
      </c>
      <c r="G247" s="3">
        <v>380.7</v>
      </c>
      <c r="H247" s="3">
        <v>962.6</v>
      </c>
      <c r="I247" s="4">
        <v>1292.3</v>
      </c>
      <c r="J247" s="4">
        <v>1236.9000000000001</v>
      </c>
      <c r="K247" s="3">
        <v>163.5</v>
      </c>
      <c r="L247" s="3">
        <v>4.09</v>
      </c>
      <c r="M247" s="4">
        <v>422706</v>
      </c>
      <c r="N247" s="4">
        <v>8267</v>
      </c>
      <c r="O247" s="3">
        <v>14.58</v>
      </c>
      <c r="P247" s="3" t="str">
        <f t="shared" si="3"/>
        <v>NORMAL</v>
      </c>
      <c r="Q247" s="3" cm="1">
        <f t="array" aca="1" ref="Q247" ca="1">AVERAGE(OFFSET(tbl_Process[[#This Row],[Temp_Firing_C]], MAX(1-ROW()+ROW(tbl_Process[#Headers]), -23), 0, MIN(ROW()-ROW(tbl_Process[#Headers]), 24), 1))</f>
        <v>1303.7208333333335</v>
      </c>
      <c r="R247" s="3" t="e" cm="1" vm="1">
        <f t="array" aca="1" ref="R247" ca="1">tbl_Process[Temp_Firing_C] - AVERAGE(tbl_Zones[[Target_Temp_Min_C]:[Target_Temp_Max_C]])</f>
        <v>#VALUE!</v>
      </c>
    </row>
    <row r="248" spans="1:18" x14ac:dyDescent="0.3">
      <c r="A248" s="2" t="s">
        <v>266</v>
      </c>
      <c r="B248" s="2" t="s">
        <v>24</v>
      </c>
      <c r="C248" s="2" t="s">
        <v>260</v>
      </c>
      <c r="D248" s="3">
        <v>398.8</v>
      </c>
      <c r="E248" s="3">
        <v>3.2</v>
      </c>
      <c r="F248" s="3">
        <v>309.3</v>
      </c>
      <c r="G248" s="3">
        <v>375.6</v>
      </c>
      <c r="H248" s="3">
        <v>970.4</v>
      </c>
      <c r="I248" s="4">
        <v>1291.3</v>
      </c>
      <c r="J248" s="4">
        <v>1227.4000000000001</v>
      </c>
      <c r="K248" s="3">
        <v>171.1</v>
      </c>
      <c r="L248" s="3">
        <v>3.68</v>
      </c>
      <c r="M248" s="4">
        <v>418338</v>
      </c>
      <c r="N248" s="4">
        <v>8432</v>
      </c>
      <c r="O248" s="3">
        <v>14.07</v>
      </c>
      <c r="P248" s="3" t="str">
        <f t="shared" si="3"/>
        <v>NORMAL</v>
      </c>
      <c r="Q248" s="3" cm="1">
        <f t="array" aca="1" ref="Q248" ca="1">AVERAGE(OFFSET(tbl_Process[[#This Row],[Temp_Firing_C]], MAX(1-ROW()+ROW(tbl_Process[#Headers]), -23), 0, MIN(ROW()-ROW(tbl_Process[#Headers]), 24), 1))</f>
        <v>1302.9625000000001</v>
      </c>
      <c r="R248" s="3" t="e" cm="1" vm="1">
        <f t="array" aca="1" ref="R248" ca="1">tbl_Process[Temp_Firing_C] - AVERAGE(tbl_Zones[[Target_Temp_Min_C]:[Target_Temp_Max_C]])</f>
        <v>#VALUE!</v>
      </c>
    </row>
    <row r="249" spans="1:18" x14ac:dyDescent="0.3">
      <c r="A249" s="2" t="s">
        <v>267</v>
      </c>
      <c r="B249" s="2" t="s">
        <v>24</v>
      </c>
      <c r="C249" s="2" t="s">
        <v>260</v>
      </c>
      <c r="D249" s="3">
        <v>400.1</v>
      </c>
      <c r="E249" s="3">
        <v>3.27</v>
      </c>
      <c r="F249" s="3">
        <v>330.4</v>
      </c>
      <c r="G249" s="3">
        <v>377.8</v>
      </c>
      <c r="H249" s="3">
        <v>988.2</v>
      </c>
      <c r="I249" s="4">
        <v>1289.8</v>
      </c>
      <c r="J249" s="4">
        <v>1231</v>
      </c>
      <c r="K249" s="3">
        <v>161</v>
      </c>
      <c r="L249" s="3">
        <v>3.87</v>
      </c>
      <c r="M249" s="4">
        <v>416120</v>
      </c>
      <c r="N249" s="4">
        <v>8392</v>
      </c>
      <c r="O249" s="3">
        <v>14.37</v>
      </c>
      <c r="P249" s="3" t="str">
        <f t="shared" si="3"/>
        <v>NORMAL</v>
      </c>
      <c r="Q249" s="3" cm="1">
        <f t="array" aca="1" ref="Q249" ca="1">AVERAGE(OFFSET(tbl_Process[[#This Row],[Temp_Firing_C]], MAX(1-ROW()+ROW(tbl_Process[#Headers]), -23), 0, MIN(ROW()-ROW(tbl_Process[#Headers]), 24), 1))</f>
        <v>1302.0083333333332</v>
      </c>
      <c r="R249" s="3" t="e" cm="1" vm="1">
        <f t="array" aca="1" ref="R249" ca="1">tbl_Process[Temp_Firing_C] - AVERAGE(tbl_Zones[[Target_Temp_Min_C]:[Target_Temp_Max_C]])</f>
        <v>#VALUE!</v>
      </c>
    </row>
    <row r="250" spans="1:18" x14ac:dyDescent="0.3">
      <c r="A250" s="2" t="s">
        <v>268</v>
      </c>
      <c r="B250" s="2" t="s">
        <v>24</v>
      </c>
      <c r="C250" s="2" t="s">
        <v>260</v>
      </c>
      <c r="D250" s="3">
        <v>396.9</v>
      </c>
      <c r="E250" s="3">
        <v>3.39</v>
      </c>
      <c r="F250" s="3">
        <v>318</v>
      </c>
      <c r="G250" s="3">
        <v>398.3</v>
      </c>
      <c r="H250" s="3">
        <v>962.2</v>
      </c>
      <c r="I250" s="4">
        <v>1301.8</v>
      </c>
      <c r="J250" s="4">
        <v>1235.5999999999999</v>
      </c>
      <c r="K250" s="3">
        <v>162.4</v>
      </c>
      <c r="L250" s="3">
        <v>3.7</v>
      </c>
      <c r="M250" s="4">
        <v>418759</v>
      </c>
      <c r="N250" s="4">
        <v>8547</v>
      </c>
      <c r="O250" s="3">
        <v>14.56</v>
      </c>
      <c r="P250" s="3" t="str">
        <f t="shared" si="3"/>
        <v>NORMAL</v>
      </c>
      <c r="Q250" s="3" cm="1">
        <f t="array" aca="1" ref="Q250" ca="1">AVERAGE(OFFSET(tbl_Process[[#This Row],[Temp_Firing_C]], MAX(1-ROW()+ROW(tbl_Process[#Headers]), -23), 0, MIN(ROW()-ROW(tbl_Process[#Headers]), 24), 1))</f>
        <v>1301.6208333333332</v>
      </c>
      <c r="R250" s="3" t="e" cm="1" vm="1">
        <f t="array" aca="1" ref="R250" ca="1">tbl_Process[Temp_Firing_C] - AVERAGE(tbl_Zones[[Target_Temp_Min_C]:[Target_Temp_Max_C]])</f>
        <v>#VALUE!</v>
      </c>
    </row>
    <row r="251" spans="1:18" x14ac:dyDescent="0.3">
      <c r="A251" s="2" t="s">
        <v>269</v>
      </c>
      <c r="B251" s="2" t="s">
        <v>24</v>
      </c>
      <c r="C251" s="2" t="s">
        <v>260</v>
      </c>
      <c r="D251" s="3">
        <v>400.9</v>
      </c>
      <c r="E251" s="3">
        <v>3.51</v>
      </c>
      <c r="F251" s="3">
        <v>325.2</v>
      </c>
      <c r="G251" s="3">
        <v>393.2</v>
      </c>
      <c r="H251" s="3">
        <v>962</v>
      </c>
      <c r="I251" s="4">
        <v>1307.7</v>
      </c>
      <c r="J251" s="4">
        <v>1239.8</v>
      </c>
      <c r="K251" s="3">
        <v>157.1</v>
      </c>
      <c r="L251" s="3">
        <v>3.79</v>
      </c>
      <c r="M251" s="4">
        <v>429545</v>
      </c>
      <c r="N251" s="4">
        <v>8691</v>
      </c>
      <c r="O251" s="3">
        <v>13.96</v>
      </c>
      <c r="P251" s="3" t="str">
        <f t="shared" si="3"/>
        <v>NORMAL</v>
      </c>
      <c r="Q251" s="3" cm="1">
        <f t="array" aca="1" ref="Q251" ca="1">AVERAGE(OFFSET(tbl_Process[[#This Row],[Temp_Firing_C]], MAX(1-ROW()+ROW(tbl_Process[#Headers]), -23), 0, MIN(ROW()-ROW(tbl_Process[#Headers]), 24), 1))</f>
        <v>1301.45</v>
      </c>
      <c r="R251" s="3" t="e" cm="1" vm="1">
        <f t="array" aca="1" ref="R251" ca="1">tbl_Process[Temp_Firing_C] - AVERAGE(tbl_Zones[[Target_Temp_Min_C]:[Target_Temp_Max_C]])</f>
        <v>#VALUE!</v>
      </c>
    </row>
    <row r="252" spans="1:18" x14ac:dyDescent="0.3">
      <c r="A252" s="2" t="s">
        <v>270</v>
      </c>
      <c r="B252" s="2" t="s">
        <v>24</v>
      </c>
      <c r="C252" s="2" t="s">
        <v>260</v>
      </c>
      <c r="D252" s="3">
        <v>405</v>
      </c>
      <c r="E252" s="3">
        <v>3.46</v>
      </c>
      <c r="F252" s="3">
        <v>332.7</v>
      </c>
      <c r="G252" s="3">
        <v>370.4</v>
      </c>
      <c r="H252" s="3">
        <v>958.7</v>
      </c>
      <c r="I252" s="4">
        <v>1283.8</v>
      </c>
      <c r="J252" s="4">
        <v>1207</v>
      </c>
      <c r="K252" s="3">
        <v>165.9</v>
      </c>
      <c r="L252" s="3">
        <v>3.94</v>
      </c>
      <c r="M252" s="4">
        <v>419673</v>
      </c>
      <c r="N252" s="4">
        <v>8589</v>
      </c>
      <c r="O252" s="3">
        <v>14.04</v>
      </c>
      <c r="P252" s="3" t="str">
        <f t="shared" si="3"/>
        <v>NORMAL</v>
      </c>
      <c r="Q252" s="3" cm="1">
        <f t="array" aca="1" ref="Q252" ca="1">AVERAGE(OFFSET(tbl_Process[[#This Row],[Temp_Firing_C]], MAX(1-ROW()+ROW(tbl_Process[#Headers]), -23), 0, MIN(ROW()-ROW(tbl_Process[#Headers]), 24), 1))</f>
        <v>1300.2083333333333</v>
      </c>
      <c r="R252" s="3" t="e" cm="1" vm="1">
        <f t="array" aca="1" ref="R252" ca="1">tbl_Process[Temp_Firing_C] - AVERAGE(tbl_Zones[[Target_Temp_Min_C]:[Target_Temp_Max_C]])</f>
        <v>#VALUE!</v>
      </c>
    </row>
    <row r="253" spans="1:18" x14ac:dyDescent="0.3">
      <c r="A253" s="2" t="s">
        <v>271</v>
      </c>
      <c r="B253" s="2" t="s">
        <v>24</v>
      </c>
      <c r="C253" s="2" t="s">
        <v>260</v>
      </c>
      <c r="D253" s="3">
        <v>398.3</v>
      </c>
      <c r="E253" s="3">
        <v>3.41</v>
      </c>
      <c r="F253" s="3">
        <v>326.39999999999998</v>
      </c>
      <c r="G253" s="3">
        <v>376.7</v>
      </c>
      <c r="H253" s="3">
        <v>953.4</v>
      </c>
      <c r="I253" s="4">
        <v>1294.7</v>
      </c>
      <c r="J253" s="4">
        <v>1232</v>
      </c>
      <c r="K253" s="3">
        <v>150.1</v>
      </c>
      <c r="L253" s="3">
        <v>3.74</v>
      </c>
      <c r="M253" s="4">
        <v>424300</v>
      </c>
      <c r="N253" s="4">
        <v>8485</v>
      </c>
      <c r="O253" s="3">
        <v>14.02</v>
      </c>
      <c r="P253" s="3" t="str">
        <f t="shared" si="3"/>
        <v>NORMAL</v>
      </c>
      <c r="Q253" s="3" cm="1">
        <f t="array" aca="1" ref="Q253" ca="1">AVERAGE(OFFSET(tbl_Process[[#This Row],[Temp_Firing_C]], MAX(1-ROW()+ROW(tbl_Process[#Headers]), -23), 0, MIN(ROW()-ROW(tbl_Process[#Headers]), 24), 1))</f>
        <v>1299.9416666666666</v>
      </c>
      <c r="R253" s="3" t="e" cm="1" vm="1">
        <f t="array" aca="1" ref="R253" ca="1">tbl_Process[Temp_Firing_C] - AVERAGE(tbl_Zones[[Target_Temp_Min_C]:[Target_Temp_Max_C]])</f>
        <v>#VALUE!</v>
      </c>
    </row>
    <row r="254" spans="1:18" x14ac:dyDescent="0.3">
      <c r="A254" s="2" t="s">
        <v>272</v>
      </c>
      <c r="B254" s="2" t="s">
        <v>24</v>
      </c>
      <c r="C254" s="2" t="s">
        <v>260</v>
      </c>
      <c r="D254" s="3">
        <v>399.3</v>
      </c>
      <c r="E254" s="3">
        <v>3.4</v>
      </c>
      <c r="F254" s="3">
        <v>324.39999999999998</v>
      </c>
      <c r="G254" s="3">
        <v>370.5</v>
      </c>
      <c r="H254" s="3">
        <v>949.9</v>
      </c>
      <c r="I254" s="4">
        <v>1287.2</v>
      </c>
      <c r="J254" s="4">
        <v>1221.5999999999999</v>
      </c>
      <c r="K254" s="3">
        <v>162.9</v>
      </c>
      <c r="L254" s="3">
        <v>3.74</v>
      </c>
      <c r="M254" s="4">
        <v>418946</v>
      </c>
      <c r="N254" s="4">
        <v>8477</v>
      </c>
      <c r="O254" s="3">
        <v>14.34</v>
      </c>
      <c r="P254" s="3" t="str">
        <f t="shared" si="3"/>
        <v>NORMAL</v>
      </c>
      <c r="Q254" s="3" cm="1">
        <f t="array" aca="1" ref="Q254" ca="1">AVERAGE(OFFSET(tbl_Process[[#This Row],[Temp_Firing_C]], MAX(1-ROW()+ROW(tbl_Process[#Headers]), -23), 0, MIN(ROW()-ROW(tbl_Process[#Headers]), 24), 1))</f>
        <v>1298.7749999999999</v>
      </c>
      <c r="R254" s="3" t="e" cm="1" vm="1">
        <f t="array" aca="1" ref="R254" ca="1">tbl_Process[Temp_Firing_C] - AVERAGE(tbl_Zones[[Target_Temp_Min_C]:[Target_Temp_Max_C]])</f>
        <v>#VALUE!</v>
      </c>
    </row>
    <row r="255" spans="1:18" x14ac:dyDescent="0.3">
      <c r="A255" s="2" t="s">
        <v>273</v>
      </c>
      <c r="B255" s="2" t="s">
        <v>24</v>
      </c>
      <c r="C255" s="2" t="s">
        <v>260</v>
      </c>
      <c r="D255" s="3">
        <v>400.6</v>
      </c>
      <c r="E255" s="3">
        <v>3.39</v>
      </c>
      <c r="F255" s="3">
        <v>314.5</v>
      </c>
      <c r="G255" s="3">
        <v>378.9</v>
      </c>
      <c r="H255" s="3">
        <v>974.2</v>
      </c>
      <c r="I255" s="4">
        <v>1282.8</v>
      </c>
      <c r="J255" s="4">
        <v>1212.5</v>
      </c>
      <c r="K255" s="3">
        <v>157.19999999999999</v>
      </c>
      <c r="L255" s="3">
        <v>3.93</v>
      </c>
      <c r="M255" s="4">
        <v>415597</v>
      </c>
      <c r="N255" s="4">
        <v>8352</v>
      </c>
      <c r="O255" s="3">
        <v>14.45</v>
      </c>
      <c r="P255" s="3" t="str">
        <f t="shared" si="3"/>
        <v>NORMAL</v>
      </c>
      <c r="Q255" s="3" cm="1">
        <f t="array" aca="1" ref="Q255" ca="1">AVERAGE(OFFSET(tbl_Process[[#This Row],[Temp_Firing_C]], MAX(1-ROW()+ROW(tbl_Process[#Headers]), -23), 0, MIN(ROW()-ROW(tbl_Process[#Headers]), 24), 1))</f>
        <v>1297.6541666666665</v>
      </c>
      <c r="R255" s="3" t="e" cm="1" vm="1">
        <f t="array" aca="1" ref="R255" ca="1">tbl_Process[Temp_Firing_C] - AVERAGE(tbl_Zones[[Target_Temp_Min_C]:[Target_Temp_Max_C]])</f>
        <v>#VALUE!</v>
      </c>
    </row>
    <row r="256" spans="1:18" x14ac:dyDescent="0.3">
      <c r="A256" s="2" t="s">
        <v>274</v>
      </c>
      <c r="B256" s="2" t="s">
        <v>33</v>
      </c>
      <c r="C256" s="2" t="s">
        <v>260</v>
      </c>
      <c r="D256" s="3">
        <v>403.6</v>
      </c>
      <c r="E256" s="3">
        <v>3.51</v>
      </c>
      <c r="F256" s="3">
        <v>325</v>
      </c>
      <c r="G256" s="3">
        <v>372.2</v>
      </c>
      <c r="H256" s="3">
        <v>947.3</v>
      </c>
      <c r="I256" s="4">
        <v>1281.9000000000001</v>
      </c>
      <c r="J256" s="4">
        <v>1214.2</v>
      </c>
      <c r="K256" s="3">
        <v>153.69999999999999</v>
      </c>
      <c r="L256" s="3">
        <v>3.92</v>
      </c>
      <c r="M256" s="4">
        <v>415081</v>
      </c>
      <c r="N256" s="4">
        <v>8202</v>
      </c>
      <c r="O256" s="3">
        <v>14.36</v>
      </c>
      <c r="P256" s="3" t="str">
        <f t="shared" si="3"/>
        <v>NORMAL</v>
      </c>
      <c r="Q256" s="3" cm="1">
        <f t="array" aca="1" ref="Q256" ca="1">AVERAGE(OFFSET(tbl_Process[[#This Row],[Temp_Firing_C]], MAX(1-ROW()+ROW(tbl_Process[#Headers]), -23), 0, MIN(ROW()-ROW(tbl_Process[#Headers]), 24), 1))</f>
        <v>1296.8125</v>
      </c>
      <c r="R256" s="3" t="e" cm="1" vm="1">
        <f t="array" aca="1" ref="R256" ca="1">tbl_Process[Temp_Firing_C] - AVERAGE(tbl_Zones[[Target_Temp_Min_C]:[Target_Temp_Max_C]])</f>
        <v>#VALUE!</v>
      </c>
    </row>
    <row r="257" spans="1:18" x14ac:dyDescent="0.3">
      <c r="A257" s="2" t="s">
        <v>275</v>
      </c>
      <c r="B257" s="2" t="s">
        <v>33</v>
      </c>
      <c r="C257" s="2" t="s">
        <v>260</v>
      </c>
      <c r="D257" s="3">
        <v>404.7</v>
      </c>
      <c r="E257" s="3">
        <v>3.42</v>
      </c>
      <c r="F257" s="3">
        <v>333.5</v>
      </c>
      <c r="G257" s="3">
        <v>379.4</v>
      </c>
      <c r="H257" s="3">
        <v>953.9</v>
      </c>
      <c r="I257" s="4">
        <v>1281.5</v>
      </c>
      <c r="J257" s="4">
        <v>1218</v>
      </c>
      <c r="K257" s="3">
        <v>161.30000000000001</v>
      </c>
      <c r="L257" s="3">
        <v>4.21</v>
      </c>
      <c r="M257" s="4">
        <v>413711</v>
      </c>
      <c r="N257" s="4">
        <v>8381</v>
      </c>
      <c r="O257" s="3">
        <v>14.35</v>
      </c>
      <c r="P257" s="3" t="str">
        <f t="shared" si="3"/>
        <v>NORMAL</v>
      </c>
      <c r="Q257" s="3" cm="1">
        <f t="array" aca="1" ref="Q257" ca="1">AVERAGE(OFFSET(tbl_Process[[#This Row],[Temp_Firing_C]], MAX(1-ROW()+ROW(tbl_Process[#Headers]), -23), 0, MIN(ROW()-ROW(tbl_Process[#Headers]), 24), 1))</f>
        <v>1295.9166666666667</v>
      </c>
      <c r="R257" s="3" t="e" cm="1" vm="1">
        <f t="array" aca="1" ref="R257" ca="1">tbl_Process[Temp_Firing_C] - AVERAGE(tbl_Zones[[Target_Temp_Min_C]:[Target_Temp_Max_C]])</f>
        <v>#VALUE!</v>
      </c>
    </row>
    <row r="258" spans="1:18" x14ac:dyDescent="0.3">
      <c r="A258" s="2" t="s">
        <v>276</v>
      </c>
      <c r="B258" s="2" t="s">
        <v>33</v>
      </c>
      <c r="C258" s="2" t="s">
        <v>260</v>
      </c>
      <c r="D258" s="3">
        <v>393.7</v>
      </c>
      <c r="E258" s="3">
        <v>3.46</v>
      </c>
      <c r="F258" s="3">
        <v>325.89999999999998</v>
      </c>
      <c r="G258" s="3">
        <v>371.8</v>
      </c>
      <c r="H258" s="3">
        <v>956.6</v>
      </c>
      <c r="I258" s="4">
        <v>1266.8</v>
      </c>
      <c r="J258" s="4">
        <v>1194.2</v>
      </c>
      <c r="K258" s="3">
        <v>164.1</v>
      </c>
      <c r="L258" s="3">
        <v>3.78</v>
      </c>
      <c r="M258" s="4">
        <v>410143</v>
      </c>
      <c r="N258" s="4">
        <v>8129</v>
      </c>
      <c r="O258" s="3">
        <v>14.37</v>
      </c>
      <c r="P258" s="3" t="str">
        <f t="shared" ref="P258:P321" si="4">IF(L258&gt;4.5,"CRITICAL",IF(OR(I258&lt;1250,I258&gt;1330),"WARNING","NORMAL"))</f>
        <v>NORMAL</v>
      </c>
      <c r="Q258" s="3" cm="1">
        <f t="array" aca="1" ref="Q258" ca="1">AVERAGE(OFFSET(tbl_Process[[#This Row],[Temp_Firing_C]], MAX(1-ROW()+ROW(tbl_Process[#Headers]), -23), 0, MIN(ROW()-ROW(tbl_Process[#Headers]), 24), 1))</f>
        <v>1294.4375000000002</v>
      </c>
      <c r="R258" s="3" t="e" cm="1" vm="1">
        <f t="array" aca="1" ref="R258" ca="1">tbl_Process[Temp_Firing_C] - AVERAGE(tbl_Zones[[Target_Temp_Min_C]:[Target_Temp_Max_C]])</f>
        <v>#VALUE!</v>
      </c>
    </row>
    <row r="259" spans="1:18" x14ac:dyDescent="0.3">
      <c r="A259" s="2" t="s">
        <v>277</v>
      </c>
      <c r="B259" s="2" t="s">
        <v>33</v>
      </c>
      <c r="C259" s="2" t="s">
        <v>260</v>
      </c>
      <c r="D259" s="3">
        <v>398.1</v>
      </c>
      <c r="E259" s="3">
        <v>3.46</v>
      </c>
      <c r="F259" s="3">
        <v>311.10000000000002</v>
      </c>
      <c r="G259" s="3">
        <v>371.1</v>
      </c>
      <c r="H259" s="3">
        <v>958.1</v>
      </c>
      <c r="I259" s="4">
        <v>1287.7</v>
      </c>
      <c r="J259" s="4">
        <v>1230.0999999999999</v>
      </c>
      <c r="K259" s="3">
        <v>155.4</v>
      </c>
      <c r="L259" s="3">
        <v>4</v>
      </c>
      <c r="M259" s="4">
        <v>415042</v>
      </c>
      <c r="N259" s="4">
        <v>8572</v>
      </c>
      <c r="O259" s="3">
        <v>13.86</v>
      </c>
      <c r="P259" s="3" t="str">
        <f t="shared" si="4"/>
        <v>NORMAL</v>
      </c>
      <c r="Q259" s="3" cm="1">
        <f t="array" aca="1" ref="Q259" ca="1">AVERAGE(OFFSET(tbl_Process[[#This Row],[Temp_Firing_C]], MAX(1-ROW()+ROW(tbl_Process[#Headers]), -23), 0, MIN(ROW()-ROW(tbl_Process[#Headers]), 24), 1))</f>
        <v>1293.3791666666668</v>
      </c>
      <c r="R259" s="3" t="e" cm="1" vm="1">
        <f t="array" aca="1" ref="R259" ca="1">tbl_Process[Temp_Firing_C] - AVERAGE(tbl_Zones[[Target_Temp_Min_C]:[Target_Temp_Max_C]])</f>
        <v>#VALUE!</v>
      </c>
    </row>
    <row r="260" spans="1:18" x14ac:dyDescent="0.3">
      <c r="A260" s="2" t="s">
        <v>278</v>
      </c>
      <c r="B260" s="2" t="s">
        <v>33</v>
      </c>
      <c r="C260" s="2" t="s">
        <v>260</v>
      </c>
      <c r="D260" s="3">
        <v>405.3</v>
      </c>
      <c r="E260" s="3">
        <v>3.35</v>
      </c>
      <c r="F260" s="3">
        <v>330</v>
      </c>
      <c r="G260" s="3">
        <v>381.4</v>
      </c>
      <c r="H260" s="3">
        <v>943.7</v>
      </c>
      <c r="I260" s="4">
        <v>1275.4000000000001</v>
      </c>
      <c r="J260" s="4">
        <v>1215.0999999999999</v>
      </c>
      <c r="K260" s="3">
        <v>163.9</v>
      </c>
      <c r="L260" s="3">
        <v>3.94</v>
      </c>
      <c r="M260" s="4">
        <v>415728</v>
      </c>
      <c r="N260" s="4">
        <v>8296</v>
      </c>
      <c r="O260" s="3">
        <v>14.4</v>
      </c>
      <c r="P260" s="3" t="str">
        <f t="shared" si="4"/>
        <v>NORMAL</v>
      </c>
      <c r="Q260" s="3" cm="1">
        <f t="array" aca="1" ref="Q260" ca="1">AVERAGE(OFFSET(tbl_Process[[#This Row],[Temp_Firing_C]], MAX(1-ROW()+ROW(tbl_Process[#Headers]), -23), 0, MIN(ROW()-ROW(tbl_Process[#Headers]), 24), 1))</f>
        <v>1292.325</v>
      </c>
      <c r="R260" s="3" t="e" cm="1" vm="1">
        <f t="array" aca="1" ref="R260" ca="1">tbl_Process[Temp_Firing_C] - AVERAGE(tbl_Zones[[Target_Temp_Min_C]:[Target_Temp_Max_C]])</f>
        <v>#VALUE!</v>
      </c>
    </row>
    <row r="261" spans="1:18" x14ac:dyDescent="0.3">
      <c r="A261" s="2" t="s">
        <v>279</v>
      </c>
      <c r="B261" s="2" t="s">
        <v>33</v>
      </c>
      <c r="C261" s="2" t="s">
        <v>260</v>
      </c>
      <c r="D261" s="3">
        <v>394.8</v>
      </c>
      <c r="E261" s="3">
        <v>3.33</v>
      </c>
      <c r="F261" s="3">
        <v>319.3</v>
      </c>
      <c r="G261" s="3">
        <v>385.7</v>
      </c>
      <c r="H261" s="3">
        <v>975.3</v>
      </c>
      <c r="I261" s="4">
        <v>1285.7</v>
      </c>
      <c r="J261" s="4">
        <v>1222.4000000000001</v>
      </c>
      <c r="K261" s="3">
        <v>162.4</v>
      </c>
      <c r="L261" s="3">
        <v>3.74</v>
      </c>
      <c r="M261" s="4">
        <v>416890</v>
      </c>
      <c r="N261" s="4">
        <v>8230</v>
      </c>
      <c r="O261" s="3">
        <v>14.1</v>
      </c>
      <c r="P261" s="3" t="str">
        <f t="shared" si="4"/>
        <v>NORMAL</v>
      </c>
      <c r="Q261" s="3" cm="1">
        <f t="array" aca="1" ref="Q261" ca="1">AVERAGE(OFFSET(tbl_Process[[#This Row],[Temp_Firing_C]], MAX(1-ROW()+ROW(tbl_Process[#Headers]), -23), 0, MIN(ROW()-ROW(tbl_Process[#Headers]), 24), 1))</f>
        <v>1291.5625000000002</v>
      </c>
      <c r="R261" s="3" t="e" cm="1" vm="1">
        <f t="array" aca="1" ref="R261" ca="1">tbl_Process[Temp_Firing_C] - AVERAGE(tbl_Zones[[Target_Temp_Min_C]:[Target_Temp_Max_C]])</f>
        <v>#VALUE!</v>
      </c>
    </row>
    <row r="262" spans="1:18" x14ac:dyDescent="0.3">
      <c r="A262" s="2" t="s">
        <v>280</v>
      </c>
      <c r="B262" s="2" t="s">
        <v>33</v>
      </c>
      <c r="C262" s="2" t="s">
        <v>260</v>
      </c>
      <c r="D262" s="3">
        <v>401.3</v>
      </c>
      <c r="E262" s="3">
        <v>3.41</v>
      </c>
      <c r="F262" s="3">
        <v>322.10000000000002</v>
      </c>
      <c r="G262" s="3">
        <v>381.1</v>
      </c>
      <c r="H262" s="3">
        <v>958.9</v>
      </c>
      <c r="I262" s="4">
        <v>1284.0999999999999</v>
      </c>
      <c r="J262" s="4">
        <v>1218.8</v>
      </c>
      <c r="K262" s="3">
        <v>160.69999999999999</v>
      </c>
      <c r="L262" s="3">
        <v>3.83</v>
      </c>
      <c r="M262" s="4">
        <v>418432</v>
      </c>
      <c r="N262" s="4">
        <v>8389</v>
      </c>
      <c r="O262" s="3">
        <v>14.12</v>
      </c>
      <c r="P262" s="3" t="str">
        <f t="shared" si="4"/>
        <v>NORMAL</v>
      </c>
      <c r="Q262" s="3" cm="1">
        <f t="array" aca="1" ref="Q262" ca="1">AVERAGE(OFFSET(tbl_Process[[#This Row],[Temp_Firing_C]], MAX(1-ROW()+ROW(tbl_Process[#Headers]), -23), 0, MIN(ROW()-ROW(tbl_Process[#Headers]), 24), 1))</f>
        <v>1290.6083333333333</v>
      </c>
      <c r="R262" s="3" t="e" cm="1" vm="1">
        <f t="array" aca="1" ref="R262" ca="1">tbl_Process[Temp_Firing_C] - AVERAGE(tbl_Zones[[Target_Temp_Min_C]:[Target_Temp_Max_C]])</f>
        <v>#VALUE!</v>
      </c>
    </row>
    <row r="263" spans="1:18" x14ac:dyDescent="0.3">
      <c r="A263" s="2" t="s">
        <v>281</v>
      </c>
      <c r="B263" s="2" t="s">
        <v>33</v>
      </c>
      <c r="C263" s="2" t="s">
        <v>260</v>
      </c>
      <c r="D263" s="3">
        <v>400.2</v>
      </c>
      <c r="E263" s="3">
        <v>3.35</v>
      </c>
      <c r="F263" s="3">
        <v>315</v>
      </c>
      <c r="G263" s="3">
        <v>369.7</v>
      </c>
      <c r="H263" s="3">
        <v>971.5</v>
      </c>
      <c r="I263" s="4">
        <v>1288.5999999999999</v>
      </c>
      <c r="J263" s="4">
        <v>1226.8</v>
      </c>
      <c r="K263" s="3">
        <v>168.6</v>
      </c>
      <c r="L263" s="3">
        <v>3.87</v>
      </c>
      <c r="M263" s="4">
        <v>428559</v>
      </c>
      <c r="N263" s="4">
        <v>8336</v>
      </c>
      <c r="O263" s="3">
        <v>14.39</v>
      </c>
      <c r="P263" s="3" t="str">
        <f t="shared" si="4"/>
        <v>NORMAL</v>
      </c>
      <c r="Q263" s="3" cm="1">
        <f t="array" aca="1" ref="Q263" ca="1">AVERAGE(OFFSET(tbl_Process[[#This Row],[Temp_Firing_C]], MAX(1-ROW()+ROW(tbl_Process[#Headers]), -23), 0, MIN(ROW()-ROW(tbl_Process[#Headers]), 24), 1))</f>
        <v>1289.575</v>
      </c>
      <c r="R263" s="3" t="e" cm="1" vm="1">
        <f t="array" aca="1" ref="R263" ca="1">tbl_Process[Temp_Firing_C] - AVERAGE(tbl_Zones[[Target_Temp_Min_C]:[Target_Temp_Max_C]])</f>
        <v>#VALUE!</v>
      </c>
    </row>
    <row r="264" spans="1:18" x14ac:dyDescent="0.3">
      <c r="A264" s="2" t="s">
        <v>282</v>
      </c>
      <c r="B264" s="2" t="s">
        <v>16</v>
      </c>
      <c r="C264" s="2" t="s">
        <v>260</v>
      </c>
      <c r="D264" s="3">
        <v>398.4</v>
      </c>
      <c r="E264" s="3">
        <v>3.43</v>
      </c>
      <c r="F264" s="3">
        <v>323.39999999999998</v>
      </c>
      <c r="G264" s="3">
        <v>377</v>
      </c>
      <c r="H264" s="3">
        <v>978.1</v>
      </c>
      <c r="I264" s="4">
        <v>1282.5999999999999</v>
      </c>
      <c r="J264" s="4">
        <v>1219.2</v>
      </c>
      <c r="K264" s="3">
        <v>154.4</v>
      </c>
      <c r="L264" s="3">
        <v>3.94</v>
      </c>
      <c r="M264" s="4">
        <v>416399</v>
      </c>
      <c r="N264" s="4">
        <v>8218</v>
      </c>
      <c r="O264" s="3">
        <v>14.23</v>
      </c>
      <c r="P264" s="3" t="str">
        <f t="shared" si="4"/>
        <v>NORMAL</v>
      </c>
      <c r="Q264" s="3" cm="1">
        <f t="array" aca="1" ref="Q264" ca="1">AVERAGE(OFFSET(tbl_Process[[#This Row],[Temp_Firing_C]], MAX(1-ROW()+ROW(tbl_Process[#Headers]), -23), 0, MIN(ROW()-ROW(tbl_Process[#Headers]), 24), 1))</f>
        <v>1288.3791666666664</v>
      </c>
      <c r="R264" s="3" t="e" cm="1" vm="1">
        <f t="array" aca="1" ref="R264" ca="1">tbl_Process[Temp_Firing_C] - AVERAGE(tbl_Zones[[Target_Temp_Min_C]:[Target_Temp_Max_C]])</f>
        <v>#VALUE!</v>
      </c>
    </row>
    <row r="265" spans="1:18" x14ac:dyDescent="0.3">
      <c r="A265" s="2" t="s">
        <v>283</v>
      </c>
      <c r="B265" s="2" t="s">
        <v>16</v>
      </c>
      <c r="C265" s="2" t="s">
        <v>260</v>
      </c>
      <c r="D265" s="3">
        <v>410.7</v>
      </c>
      <c r="E265" s="3">
        <v>3.38</v>
      </c>
      <c r="F265" s="3">
        <v>309.89999999999998</v>
      </c>
      <c r="G265" s="3">
        <v>373.3</v>
      </c>
      <c r="H265" s="3">
        <v>956.7</v>
      </c>
      <c r="I265" s="4">
        <v>1285.8</v>
      </c>
      <c r="J265" s="4">
        <v>1224.0999999999999</v>
      </c>
      <c r="K265" s="3">
        <v>162.5</v>
      </c>
      <c r="L265" s="3">
        <v>3.95</v>
      </c>
      <c r="M265" s="4">
        <v>418636</v>
      </c>
      <c r="N265" s="4">
        <v>8224</v>
      </c>
      <c r="O265" s="3">
        <v>14.27</v>
      </c>
      <c r="P265" s="3" t="str">
        <f t="shared" si="4"/>
        <v>NORMAL</v>
      </c>
      <c r="Q265" s="3" cm="1">
        <f t="array" aca="1" ref="Q265" ca="1">AVERAGE(OFFSET(tbl_Process[[#This Row],[Temp_Firing_C]], MAX(1-ROW()+ROW(tbl_Process[#Headers]), -23), 0, MIN(ROW()-ROW(tbl_Process[#Headers]), 24), 1))</f>
        <v>1288.1291666666666</v>
      </c>
      <c r="R265" s="3" t="e" cm="1" vm="1">
        <f t="array" aca="1" ref="R265" ca="1">tbl_Process[Temp_Firing_C] - AVERAGE(tbl_Zones[[Target_Temp_Min_C]:[Target_Temp_Max_C]])</f>
        <v>#VALUE!</v>
      </c>
    </row>
    <row r="266" spans="1:18" x14ac:dyDescent="0.3">
      <c r="A266" s="2" t="s">
        <v>284</v>
      </c>
      <c r="B266" s="2" t="s">
        <v>16</v>
      </c>
      <c r="C266" s="2" t="s">
        <v>260</v>
      </c>
      <c r="D266" s="3">
        <v>396.3</v>
      </c>
      <c r="E266" s="3">
        <v>3.3</v>
      </c>
      <c r="F266" s="3">
        <v>325.3</v>
      </c>
      <c r="G266" s="3">
        <v>383.4</v>
      </c>
      <c r="H266" s="3">
        <v>969.6</v>
      </c>
      <c r="I266" s="4">
        <v>1282.5</v>
      </c>
      <c r="J266" s="4">
        <v>1222.2</v>
      </c>
      <c r="K266" s="3">
        <v>150.5</v>
      </c>
      <c r="L266" s="3">
        <v>3.93</v>
      </c>
      <c r="M266" s="4">
        <v>417470</v>
      </c>
      <c r="N266" s="4">
        <v>8365</v>
      </c>
      <c r="O266" s="3">
        <v>14.4</v>
      </c>
      <c r="P266" s="3" t="str">
        <f t="shared" si="4"/>
        <v>NORMAL</v>
      </c>
      <c r="Q266" s="3" cm="1">
        <f t="array" aca="1" ref="Q266" ca="1">AVERAGE(OFFSET(tbl_Process[[#This Row],[Temp_Firing_C]], MAX(1-ROW()+ROW(tbl_Process[#Headers]), -23), 0, MIN(ROW()-ROW(tbl_Process[#Headers]), 24), 1))</f>
        <v>1287.8083333333334</v>
      </c>
      <c r="R266" s="3" t="e" cm="1" vm="1">
        <f t="array" aca="1" ref="R266" ca="1">tbl_Process[Temp_Firing_C] - AVERAGE(tbl_Zones[[Target_Temp_Min_C]:[Target_Temp_Max_C]])</f>
        <v>#VALUE!</v>
      </c>
    </row>
    <row r="267" spans="1:18" x14ac:dyDescent="0.3">
      <c r="A267" s="2" t="s">
        <v>285</v>
      </c>
      <c r="B267" s="2" t="s">
        <v>16</v>
      </c>
      <c r="C267" s="2" t="s">
        <v>260</v>
      </c>
      <c r="D267" s="3">
        <v>396.1</v>
      </c>
      <c r="E267" s="3">
        <v>3.28</v>
      </c>
      <c r="F267" s="3">
        <v>315</v>
      </c>
      <c r="G267" s="3">
        <v>383</v>
      </c>
      <c r="H267" s="3">
        <v>966.8</v>
      </c>
      <c r="I267" s="4">
        <v>1272.0999999999999</v>
      </c>
      <c r="J267" s="4">
        <v>1201.2</v>
      </c>
      <c r="K267" s="3">
        <v>155.9</v>
      </c>
      <c r="L267" s="3">
        <v>3.78</v>
      </c>
      <c r="M267" s="4">
        <v>410211</v>
      </c>
      <c r="N267" s="4">
        <v>7995</v>
      </c>
      <c r="O267" s="3">
        <v>14.4</v>
      </c>
      <c r="P267" s="3" t="str">
        <f t="shared" si="4"/>
        <v>NORMAL</v>
      </c>
      <c r="Q267" s="3" cm="1">
        <f t="array" aca="1" ref="Q267" ca="1">AVERAGE(OFFSET(tbl_Process[[#This Row],[Temp_Firing_C]], MAX(1-ROW()+ROW(tbl_Process[#Headers]), -23), 0, MIN(ROW()-ROW(tbl_Process[#Headers]), 24), 1))</f>
        <v>1287.0958333333331</v>
      </c>
      <c r="R267" s="3" t="e" cm="1" vm="1">
        <f t="array" aca="1" ref="R267" ca="1">tbl_Process[Temp_Firing_C] - AVERAGE(tbl_Zones[[Target_Temp_Min_C]:[Target_Temp_Max_C]])</f>
        <v>#VALUE!</v>
      </c>
    </row>
    <row r="268" spans="1:18" x14ac:dyDescent="0.3">
      <c r="A268" s="2" t="s">
        <v>286</v>
      </c>
      <c r="B268" s="2" t="s">
        <v>16</v>
      </c>
      <c r="C268" s="2" t="s">
        <v>260</v>
      </c>
      <c r="D268" s="3">
        <v>400.3</v>
      </c>
      <c r="E268" s="3">
        <v>3.31</v>
      </c>
      <c r="F268" s="3">
        <v>318.89999999999998</v>
      </c>
      <c r="G268" s="3">
        <v>386.8</v>
      </c>
      <c r="H268" s="3">
        <v>943.5</v>
      </c>
      <c r="I268" s="4">
        <v>1282.0999999999999</v>
      </c>
      <c r="J268" s="4">
        <v>1223.2</v>
      </c>
      <c r="K268" s="3">
        <v>157.6</v>
      </c>
      <c r="L268" s="3">
        <v>3.81</v>
      </c>
      <c r="M268" s="4">
        <v>420850</v>
      </c>
      <c r="N268" s="4">
        <v>8248</v>
      </c>
      <c r="O268" s="3">
        <v>14.68</v>
      </c>
      <c r="P268" s="3" t="str">
        <f t="shared" si="4"/>
        <v>NORMAL</v>
      </c>
      <c r="Q268" s="3" cm="1">
        <f t="array" aca="1" ref="Q268" ca="1">AVERAGE(OFFSET(tbl_Process[[#This Row],[Temp_Firing_C]], MAX(1-ROW()+ROW(tbl_Process[#Headers]), -23), 0, MIN(ROW()-ROW(tbl_Process[#Headers]), 24), 1))</f>
        <v>1286.6125</v>
      </c>
      <c r="R268" s="3" t="e" cm="1" vm="1">
        <f t="array" aca="1" ref="R268" ca="1">tbl_Process[Temp_Firing_C] - AVERAGE(tbl_Zones[[Target_Temp_Min_C]:[Target_Temp_Max_C]])</f>
        <v>#VALUE!</v>
      </c>
    </row>
    <row r="269" spans="1:18" x14ac:dyDescent="0.3">
      <c r="A269" s="2" t="s">
        <v>287</v>
      </c>
      <c r="B269" s="2" t="s">
        <v>16</v>
      </c>
      <c r="C269" s="2" t="s">
        <v>260</v>
      </c>
      <c r="D269" s="3">
        <v>401.7</v>
      </c>
      <c r="E269" s="3">
        <v>3.37</v>
      </c>
      <c r="F269" s="3">
        <v>322.7</v>
      </c>
      <c r="G269" s="3">
        <v>382</v>
      </c>
      <c r="H269" s="3">
        <v>971.8</v>
      </c>
      <c r="I269" s="4">
        <v>1280</v>
      </c>
      <c r="J269" s="4">
        <v>1215.2</v>
      </c>
      <c r="K269" s="3">
        <v>159.5</v>
      </c>
      <c r="L269" s="3">
        <v>4</v>
      </c>
      <c r="M269" s="4">
        <v>412812</v>
      </c>
      <c r="N269" s="4">
        <v>8382</v>
      </c>
      <c r="O269" s="3">
        <v>14.41</v>
      </c>
      <c r="P269" s="3" t="str">
        <f t="shared" si="4"/>
        <v>NORMAL</v>
      </c>
      <c r="Q269" s="3" cm="1">
        <f t="array" aca="1" ref="Q269" ca="1">AVERAGE(OFFSET(tbl_Process[[#This Row],[Temp_Firing_C]], MAX(1-ROW()+ROW(tbl_Process[#Headers]), -23), 0, MIN(ROW()-ROW(tbl_Process[#Headers]), 24), 1))</f>
        <v>1286.1249999999998</v>
      </c>
      <c r="R269" s="3" t="e" cm="1" vm="1">
        <f t="array" aca="1" ref="R269" ca="1">tbl_Process[Temp_Firing_C] - AVERAGE(tbl_Zones[[Target_Temp_Min_C]:[Target_Temp_Max_C]])</f>
        <v>#VALUE!</v>
      </c>
    </row>
    <row r="270" spans="1:18" x14ac:dyDescent="0.3">
      <c r="A270" s="2" t="s">
        <v>288</v>
      </c>
      <c r="B270" s="2" t="s">
        <v>16</v>
      </c>
      <c r="C270" s="2" t="s">
        <v>260</v>
      </c>
      <c r="D270" s="3">
        <v>394.7</v>
      </c>
      <c r="E270" s="3">
        <v>3.5</v>
      </c>
      <c r="F270" s="3">
        <v>333.4</v>
      </c>
      <c r="G270" s="3">
        <v>386.9</v>
      </c>
      <c r="H270" s="3">
        <v>977</v>
      </c>
      <c r="I270" s="4">
        <v>1285.5</v>
      </c>
      <c r="J270" s="4">
        <v>1210.5</v>
      </c>
      <c r="K270" s="3">
        <v>150.69999999999999</v>
      </c>
      <c r="L270" s="3">
        <v>3.89</v>
      </c>
      <c r="M270" s="4">
        <v>415318</v>
      </c>
      <c r="N270" s="4">
        <v>8216</v>
      </c>
      <c r="O270" s="3">
        <v>14.41</v>
      </c>
      <c r="P270" s="3" t="str">
        <f t="shared" si="4"/>
        <v>NORMAL</v>
      </c>
      <c r="Q270" s="3" cm="1">
        <f t="array" aca="1" ref="Q270" ca="1">AVERAGE(OFFSET(tbl_Process[[#This Row],[Temp_Firing_C]], MAX(1-ROW()+ROW(tbl_Process[#Headers]), -23), 0, MIN(ROW()-ROW(tbl_Process[#Headers]), 24), 1))</f>
        <v>1285.570833333333</v>
      </c>
      <c r="R270" s="3" t="e" cm="1" vm="1">
        <f t="array" aca="1" ref="R270" ca="1">tbl_Process[Temp_Firing_C] - AVERAGE(tbl_Zones[[Target_Temp_Min_C]:[Target_Temp_Max_C]])</f>
        <v>#VALUE!</v>
      </c>
    </row>
    <row r="271" spans="1:18" x14ac:dyDescent="0.3">
      <c r="A271" s="2" t="s">
        <v>289</v>
      </c>
      <c r="B271" s="2" t="s">
        <v>16</v>
      </c>
      <c r="C271" s="2" t="s">
        <v>260</v>
      </c>
      <c r="D271" s="3">
        <v>402.5</v>
      </c>
      <c r="E271" s="3">
        <v>3.28</v>
      </c>
      <c r="F271" s="3">
        <v>317.3</v>
      </c>
      <c r="G271" s="3">
        <v>390.6</v>
      </c>
      <c r="H271" s="3">
        <v>947.1</v>
      </c>
      <c r="I271" s="4">
        <v>1292</v>
      </c>
      <c r="J271" s="4">
        <v>1224.0999999999999</v>
      </c>
      <c r="K271" s="3">
        <v>162.69999999999999</v>
      </c>
      <c r="L271" s="3">
        <v>4.03</v>
      </c>
      <c r="M271" s="4">
        <v>421154</v>
      </c>
      <c r="N271" s="4">
        <v>8513</v>
      </c>
      <c r="O271" s="3">
        <v>13.9</v>
      </c>
      <c r="P271" s="3" t="str">
        <f t="shared" si="4"/>
        <v>NORMAL</v>
      </c>
      <c r="Q271" s="3" cm="1">
        <f t="array" aca="1" ref="Q271" ca="1">AVERAGE(OFFSET(tbl_Process[[#This Row],[Temp_Firing_C]], MAX(1-ROW()+ROW(tbl_Process[#Headers]), -23), 0, MIN(ROW()-ROW(tbl_Process[#Headers]), 24), 1))</f>
        <v>1285.5583333333329</v>
      </c>
      <c r="R271" s="3" t="e" cm="1" vm="1">
        <f t="array" aca="1" ref="R271" ca="1">tbl_Process[Temp_Firing_C] - AVERAGE(tbl_Zones[[Target_Temp_Min_C]:[Target_Temp_Max_C]])</f>
        <v>#VALUE!</v>
      </c>
    </row>
    <row r="272" spans="1:18" x14ac:dyDescent="0.3">
      <c r="A272" s="2" t="s">
        <v>290</v>
      </c>
      <c r="B272" s="2" t="s">
        <v>24</v>
      </c>
      <c r="C272" s="2" t="s">
        <v>260</v>
      </c>
      <c r="D272" s="3">
        <v>404.5</v>
      </c>
      <c r="E272" s="3">
        <v>3.33</v>
      </c>
      <c r="F272" s="3">
        <v>321.60000000000002</v>
      </c>
      <c r="G272" s="3">
        <v>381.8</v>
      </c>
      <c r="H272" s="3">
        <v>965.8</v>
      </c>
      <c r="I272" s="4">
        <v>1287.7</v>
      </c>
      <c r="J272" s="4">
        <v>1217.5999999999999</v>
      </c>
      <c r="K272" s="3">
        <v>153.30000000000001</v>
      </c>
      <c r="L272" s="3">
        <v>4.04</v>
      </c>
      <c r="M272" s="4">
        <v>418436</v>
      </c>
      <c r="N272" s="4">
        <v>8490</v>
      </c>
      <c r="O272" s="3">
        <v>14.2</v>
      </c>
      <c r="P272" s="3" t="str">
        <f t="shared" si="4"/>
        <v>NORMAL</v>
      </c>
      <c r="Q272" s="3" cm="1">
        <f t="array" aca="1" ref="Q272" ca="1">AVERAGE(OFFSET(tbl_Process[[#This Row],[Temp_Firing_C]], MAX(1-ROW()+ROW(tbl_Process[#Headers]), -23), 0, MIN(ROW()-ROW(tbl_Process[#Headers]), 24), 1))</f>
        <v>1285.4083333333331</v>
      </c>
      <c r="R272" s="3" t="e" cm="1" vm="1">
        <f t="array" aca="1" ref="R272" ca="1">tbl_Process[Temp_Firing_C] - AVERAGE(tbl_Zones[[Target_Temp_Min_C]:[Target_Temp_Max_C]])</f>
        <v>#VALUE!</v>
      </c>
    </row>
    <row r="273" spans="1:18" x14ac:dyDescent="0.3">
      <c r="A273" s="2" t="s">
        <v>291</v>
      </c>
      <c r="B273" s="2" t="s">
        <v>24</v>
      </c>
      <c r="C273" s="2" t="s">
        <v>260</v>
      </c>
      <c r="D273" s="3">
        <v>394.4</v>
      </c>
      <c r="E273" s="3">
        <v>3.48</v>
      </c>
      <c r="F273" s="3">
        <v>317.7</v>
      </c>
      <c r="G273" s="3">
        <v>382.2</v>
      </c>
      <c r="H273" s="3">
        <v>952</v>
      </c>
      <c r="I273" s="4">
        <v>1297.8</v>
      </c>
      <c r="J273" s="4">
        <v>1227.5</v>
      </c>
      <c r="K273" s="3">
        <v>158.19999999999999</v>
      </c>
      <c r="L273" s="3">
        <v>3.87</v>
      </c>
      <c r="M273" s="4">
        <v>415781</v>
      </c>
      <c r="N273" s="4">
        <v>8513</v>
      </c>
      <c r="O273" s="3">
        <v>14.59</v>
      </c>
      <c r="P273" s="3" t="str">
        <f t="shared" si="4"/>
        <v>NORMAL</v>
      </c>
      <c r="Q273" s="3" cm="1">
        <f t="array" aca="1" ref="Q273" ca="1">AVERAGE(OFFSET(tbl_Process[[#This Row],[Temp_Firing_C]], MAX(1-ROW()+ROW(tbl_Process[#Headers]), -23), 0, MIN(ROW()-ROW(tbl_Process[#Headers]), 24), 1))</f>
        <v>1285.7416666666663</v>
      </c>
      <c r="R273" s="3" t="e" cm="1" vm="1">
        <f t="array" aca="1" ref="R273" ca="1">tbl_Process[Temp_Firing_C] - AVERAGE(tbl_Zones[[Target_Temp_Min_C]:[Target_Temp_Max_C]])</f>
        <v>#VALUE!</v>
      </c>
    </row>
    <row r="274" spans="1:18" x14ac:dyDescent="0.3">
      <c r="A274" s="2" t="s">
        <v>292</v>
      </c>
      <c r="B274" s="2" t="s">
        <v>24</v>
      </c>
      <c r="C274" s="2" t="s">
        <v>260</v>
      </c>
      <c r="D274" s="3">
        <v>398</v>
      </c>
      <c r="E274" s="3">
        <v>3.43</v>
      </c>
      <c r="F274" s="3">
        <v>303.2</v>
      </c>
      <c r="G274" s="3">
        <v>379.3</v>
      </c>
      <c r="H274" s="3">
        <v>955.6</v>
      </c>
      <c r="I274" s="4">
        <v>1277.5999999999999</v>
      </c>
      <c r="J274" s="4">
        <v>1219.0999999999999</v>
      </c>
      <c r="K274" s="3">
        <v>158.1</v>
      </c>
      <c r="L274" s="3">
        <v>3.86</v>
      </c>
      <c r="M274" s="4">
        <v>414648</v>
      </c>
      <c r="N274" s="4">
        <v>8001</v>
      </c>
      <c r="O274" s="3">
        <v>14.32</v>
      </c>
      <c r="P274" s="3" t="str">
        <f t="shared" si="4"/>
        <v>NORMAL</v>
      </c>
      <c r="Q274" s="3" cm="1">
        <f t="array" aca="1" ref="Q274" ca="1">AVERAGE(OFFSET(tbl_Process[[#This Row],[Temp_Firing_C]], MAX(1-ROW()+ROW(tbl_Process[#Headers]), -23), 0, MIN(ROW()-ROW(tbl_Process[#Headers]), 24), 1))</f>
        <v>1284.7333333333331</v>
      </c>
      <c r="R274" s="3" t="e" cm="1" vm="1">
        <f t="array" aca="1" ref="R274" ca="1">tbl_Process[Temp_Firing_C] - AVERAGE(tbl_Zones[[Target_Temp_Min_C]:[Target_Temp_Max_C]])</f>
        <v>#VALUE!</v>
      </c>
    </row>
    <row r="275" spans="1:18" x14ac:dyDescent="0.3">
      <c r="A275" s="2" t="s">
        <v>293</v>
      </c>
      <c r="B275" s="2" t="s">
        <v>24</v>
      </c>
      <c r="C275" s="2" t="s">
        <v>260</v>
      </c>
      <c r="D275" s="3">
        <v>403.8</v>
      </c>
      <c r="E275" s="3">
        <v>3.23</v>
      </c>
      <c r="F275" s="3">
        <v>314.8</v>
      </c>
      <c r="G275" s="3">
        <v>376.4</v>
      </c>
      <c r="H275" s="3">
        <v>979.7</v>
      </c>
      <c r="I275" s="4">
        <v>1289.5</v>
      </c>
      <c r="J275" s="4">
        <v>1221.2</v>
      </c>
      <c r="K275" s="3">
        <v>166.1</v>
      </c>
      <c r="L275" s="3">
        <v>3.81</v>
      </c>
      <c r="M275" s="4">
        <v>421642</v>
      </c>
      <c r="N275" s="4">
        <v>8211</v>
      </c>
      <c r="O275" s="3">
        <v>14.7</v>
      </c>
      <c r="P275" s="3" t="str">
        <f t="shared" si="4"/>
        <v>NORMAL</v>
      </c>
      <c r="Q275" s="3" cm="1">
        <f t="array" aca="1" ref="Q275" ca="1">AVERAGE(OFFSET(tbl_Process[[#This Row],[Temp_Firing_C]], MAX(1-ROW()+ROW(tbl_Process[#Headers]), -23), 0, MIN(ROW()-ROW(tbl_Process[#Headers]), 24), 1))</f>
        <v>1283.9749999999997</v>
      </c>
      <c r="R275" s="3" t="e" cm="1" vm="1">
        <f t="array" aca="1" ref="R275" ca="1">tbl_Process[Temp_Firing_C] - AVERAGE(tbl_Zones[[Target_Temp_Min_C]:[Target_Temp_Max_C]])</f>
        <v>#VALUE!</v>
      </c>
    </row>
    <row r="276" spans="1:18" x14ac:dyDescent="0.3">
      <c r="A276" s="2" t="s">
        <v>294</v>
      </c>
      <c r="B276" s="2" t="s">
        <v>24</v>
      </c>
      <c r="C276" s="2" t="s">
        <v>260</v>
      </c>
      <c r="D276" s="3">
        <v>398.4</v>
      </c>
      <c r="E276" s="3">
        <v>3.32</v>
      </c>
      <c r="F276" s="3">
        <v>317.7</v>
      </c>
      <c r="G276" s="3">
        <v>380.6</v>
      </c>
      <c r="H276" s="3">
        <v>952</v>
      </c>
      <c r="I276" s="4">
        <v>1286.7</v>
      </c>
      <c r="J276" s="4">
        <v>1218.2</v>
      </c>
      <c r="K276" s="3">
        <v>162.4</v>
      </c>
      <c r="L276" s="3">
        <v>3.91</v>
      </c>
      <c r="M276" s="4">
        <v>417393</v>
      </c>
      <c r="N276" s="4">
        <v>8287</v>
      </c>
      <c r="O276" s="3">
        <v>14.41</v>
      </c>
      <c r="P276" s="3" t="str">
        <f t="shared" si="4"/>
        <v>NORMAL</v>
      </c>
      <c r="Q276" s="3" cm="1">
        <f t="array" aca="1" ref="Q276" ca="1">AVERAGE(OFFSET(tbl_Process[[#This Row],[Temp_Firing_C]], MAX(1-ROW()+ROW(tbl_Process[#Headers]), -23), 0, MIN(ROW()-ROW(tbl_Process[#Headers]), 24), 1))</f>
        <v>1284.0958333333333</v>
      </c>
      <c r="R276" s="3" t="e" cm="1" vm="1">
        <f t="array" aca="1" ref="R276" ca="1">tbl_Process[Temp_Firing_C] - AVERAGE(tbl_Zones[[Target_Temp_Min_C]:[Target_Temp_Max_C]])</f>
        <v>#VALUE!</v>
      </c>
    </row>
    <row r="277" spans="1:18" x14ac:dyDescent="0.3">
      <c r="A277" s="2" t="s">
        <v>295</v>
      </c>
      <c r="B277" s="2" t="s">
        <v>24</v>
      </c>
      <c r="C277" s="2" t="s">
        <v>260</v>
      </c>
      <c r="D277" s="3">
        <v>402.2</v>
      </c>
      <c r="E277" s="3">
        <v>3.56</v>
      </c>
      <c r="F277" s="3">
        <v>324.2</v>
      </c>
      <c r="G277" s="3">
        <v>384.9</v>
      </c>
      <c r="H277" s="3">
        <v>994.2</v>
      </c>
      <c r="I277" s="4">
        <v>1285.3</v>
      </c>
      <c r="J277" s="4">
        <v>1223.2</v>
      </c>
      <c r="K277" s="3">
        <v>162.6</v>
      </c>
      <c r="L277" s="3">
        <v>3.85</v>
      </c>
      <c r="M277" s="4">
        <v>415800</v>
      </c>
      <c r="N277" s="4">
        <v>8263</v>
      </c>
      <c r="O277" s="3">
        <v>14.55</v>
      </c>
      <c r="P277" s="3" t="str">
        <f t="shared" si="4"/>
        <v>NORMAL</v>
      </c>
      <c r="Q277" s="3" cm="1">
        <f t="array" aca="1" ref="Q277" ca="1">AVERAGE(OFFSET(tbl_Process[[#This Row],[Temp_Firing_C]], MAX(1-ROW()+ROW(tbl_Process[#Headers]), -23), 0, MIN(ROW()-ROW(tbl_Process[#Headers]), 24), 1))</f>
        <v>1283.7041666666664</v>
      </c>
      <c r="R277" s="3" t="e" cm="1" vm="1">
        <f t="array" aca="1" ref="R277" ca="1">tbl_Process[Temp_Firing_C] - AVERAGE(tbl_Zones[[Target_Temp_Min_C]:[Target_Temp_Max_C]])</f>
        <v>#VALUE!</v>
      </c>
    </row>
    <row r="278" spans="1:18" x14ac:dyDescent="0.3">
      <c r="A278" s="2" t="s">
        <v>296</v>
      </c>
      <c r="B278" s="2" t="s">
        <v>24</v>
      </c>
      <c r="C278" s="2" t="s">
        <v>260</v>
      </c>
      <c r="D278" s="3">
        <v>399.3</v>
      </c>
      <c r="E278" s="3">
        <v>3.41</v>
      </c>
      <c r="F278" s="3">
        <v>324.60000000000002</v>
      </c>
      <c r="G278" s="3">
        <v>383.5</v>
      </c>
      <c r="H278" s="3">
        <v>954.3</v>
      </c>
      <c r="I278" s="4">
        <v>1274.5999999999999</v>
      </c>
      <c r="J278" s="4">
        <v>1216.4000000000001</v>
      </c>
      <c r="K278" s="3">
        <v>162.6</v>
      </c>
      <c r="L278" s="3">
        <v>3.7</v>
      </c>
      <c r="M278" s="4">
        <v>414332</v>
      </c>
      <c r="N278" s="4">
        <v>8215</v>
      </c>
      <c r="O278" s="3">
        <v>14.62</v>
      </c>
      <c r="P278" s="3" t="str">
        <f t="shared" si="4"/>
        <v>NORMAL</v>
      </c>
      <c r="Q278" s="3" cm="1">
        <f t="array" aca="1" ref="Q278" ca="1">AVERAGE(OFFSET(tbl_Process[[#This Row],[Temp_Firing_C]], MAX(1-ROW()+ROW(tbl_Process[#Headers]), -23), 0, MIN(ROW()-ROW(tbl_Process[#Headers]), 24), 1))</f>
        <v>1283.1791666666666</v>
      </c>
      <c r="R278" s="3" t="e" cm="1" vm="1">
        <f t="array" aca="1" ref="R278" ca="1">tbl_Process[Temp_Firing_C] - AVERAGE(tbl_Zones[[Target_Temp_Min_C]:[Target_Temp_Max_C]])</f>
        <v>#VALUE!</v>
      </c>
    </row>
    <row r="279" spans="1:18" x14ac:dyDescent="0.3">
      <c r="A279" s="2" t="s">
        <v>297</v>
      </c>
      <c r="B279" s="2" t="s">
        <v>24</v>
      </c>
      <c r="C279" s="2" t="s">
        <v>260</v>
      </c>
      <c r="D279" s="3">
        <v>403.6</v>
      </c>
      <c r="E279" s="3">
        <v>3.42</v>
      </c>
      <c r="F279" s="3">
        <v>321.2</v>
      </c>
      <c r="G279" s="3">
        <v>377.4</v>
      </c>
      <c r="H279" s="3">
        <v>947.3</v>
      </c>
      <c r="I279" s="4">
        <v>1276.7</v>
      </c>
      <c r="J279" s="4">
        <v>1211.8</v>
      </c>
      <c r="K279" s="3">
        <v>158.30000000000001</v>
      </c>
      <c r="L279" s="3">
        <v>3.72</v>
      </c>
      <c r="M279" s="4">
        <v>414415</v>
      </c>
      <c r="N279" s="4">
        <v>8227</v>
      </c>
      <c r="O279" s="3">
        <v>14.35</v>
      </c>
      <c r="P279" s="3" t="str">
        <f t="shared" si="4"/>
        <v>NORMAL</v>
      </c>
      <c r="Q279" s="3" cm="1">
        <f t="array" aca="1" ref="Q279" ca="1">AVERAGE(OFFSET(tbl_Process[[#This Row],[Temp_Firing_C]], MAX(1-ROW()+ROW(tbl_Process[#Headers]), -23), 0, MIN(ROW()-ROW(tbl_Process[#Headers]), 24), 1))</f>
        <v>1282.925</v>
      </c>
      <c r="R279" s="3" t="e" cm="1" vm="1">
        <f t="array" aca="1" ref="R279" ca="1">tbl_Process[Temp_Firing_C] - AVERAGE(tbl_Zones[[Target_Temp_Min_C]:[Target_Temp_Max_C]])</f>
        <v>#VALUE!</v>
      </c>
    </row>
    <row r="280" spans="1:18" x14ac:dyDescent="0.3">
      <c r="A280" s="2" t="s">
        <v>298</v>
      </c>
      <c r="B280" s="2" t="s">
        <v>33</v>
      </c>
      <c r="C280" s="2" t="s">
        <v>260</v>
      </c>
      <c r="D280" s="3">
        <v>399</v>
      </c>
      <c r="E280" s="3">
        <v>3.44</v>
      </c>
      <c r="F280" s="3">
        <v>310.8</v>
      </c>
      <c r="G280" s="3">
        <v>365</v>
      </c>
      <c r="H280" s="3">
        <v>950.4</v>
      </c>
      <c r="I280" s="4">
        <v>1283.8</v>
      </c>
      <c r="J280" s="4">
        <v>1228.9000000000001</v>
      </c>
      <c r="K280" s="3">
        <v>162.1</v>
      </c>
      <c r="L280" s="3">
        <v>3.72</v>
      </c>
      <c r="M280" s="4">
        <v>416271</v>
      </c>
      <c r="N280" s="4">
        <v>8336</v>
      </c>
      <c r="O280" s="3">
        <v>14.38</v>
      </c>
      <c r="P280" s="3" t="str">
        <f t="shared" si="4"/>
        <v>NORMAL</v>
      </c>
      <c r="Q280" s="3" cm="1">
        <f t="array" aca="1" ref="Q280" ca="1">AVERAGE(OFFSET(tbl_Process[[#This Row],[Temp_Firing_C]], MAX(1-ROW()+ROW(tbl_Process[#Headers]), -23), 0, MIN(ROW()-ROW(tbl_Process[#Headers]), 24), 1))</f>
        <v>1283.0041666666666</v>
      </c>
      <c r="R280" s="3" t="e" cm="1" vm="1">
        <f t="array" aca="1" ref="R280" ca="1">tbl_Process[Temp_Firing_C] - AVERAGE(tbl_Zones[[Target_Temp_Min_C]:[Target_Temp_Max_C]])</f>
        <v>#VALUE!</v>
      </c>
    </row>
    <row r="281" spans="1:18" x14ac:dyDescent="0.3">
      <c r="A281" s="2" t="s">
        <v>299</v>
      </c>
      <c r="B281" s="2" t="s">
        <v>33</v>
      </c>
      <c r="C281" s="2" t="s">
        <v>260</v>
      </c>
      <c r="D281" s="3">
        <v>402.2</v>
      </c>
      <c r="E281" s="3">
        <v>3.33</v>
      </c>
      <c r="F281" s="3">
        <v>317.3</v>
      </c>
      <c r="G281" s="3">
        <v>378.8</v>
      </c>
      <c r="H281" s="3">
        <v>963.7</v>
      </c>
      <c r="I281" s="4">
        <v>1270.3</v>
      </c>
      <c r="J281" s="4">
        <v>1203.2</v>
      </c>
      <c r="K281" s="3">
        <v>144.4</v>
      </c>
      <c r="L281" s="3">
        <v>3.83</v>
      </c>
      <c r="M281" s="4">
        <v>412819</v>
      </c>
      <c r="N281" s="4">
        <v>8021</v>
      </c>
      <c r="O281" s="3">
        <v>14.62</v>
      </c>
      <c r="P281" s="3" t="str">
        <f t="shared" si="4"/>
        <v>NORMAL</v>
      </c>
      <c r="Q281" s="3" cm="1">
        <f t="array" aca="1" ref="Q281" ca="1">AVERAGE(OFFSET(tbl_Process[[#This Row],[Temp_Firing_C]], MAX(1-ROW()+ROW(tbl_Process[#Headers]), -23), 0, MIN(ROW()-ROW(tbl_Process[#Headers]), 24), 1))</f>
        <v>1282.5374999999999</v>
      </c>
      <c r="R281" s="3" t="e" cm="1" vm="1">
        <f t="array" aca="1" ref="R281" ca="1">tbl_Process[Temp_Firing_C] - AVERAGE(tbl_Zones[[Target_Temp_Min_C]:[Target_Temp_Max_C]])</f>
        <v>#VALUE!</v>
      </c>
    </row>
    <row r="282" spans="1:18" x14ac:dyDescent="0.3">
      <c r="A282" s="2" t="s">
        <v>300</v>
      </c>
      <c r="B282" s="2" t="s">
        <v>33</v>
      </c>
      <c r="C282" s="2" t="s">
        <v>260</v>
      </c>
      <c r="D282" s="3">
        <v>399.8</v>
      </c>
      <c r="E282" s="3">
        <v>3.22</v>
      </c>
      <c r="F282" s="3">
        <v>317.89999999999998</v>
      </c>
      <c r="G282" s="3">
        <v>369</v>
      </c>
      <c r="H282" s="3">
        <v>959.1</v>
      </c>
      <c r="I282" s="4">
        <v>1265.7</v>
      </c>
      <c r="J282" s="4">
        <v>1200.9000000000001</v>
      </c>
      <c r="K282" s="3">
        <v>156.30000000000001</v>
      </c>
      <c r="L282" s="3">
        <v>3.89</v>
      </c>
      <c r="M282" s="4">
        <v>414262</v>
      </c>
      <c r="N282" s="4">
        <v>8058</v>
      </c>
      <c r="O282" s="3">
        <v>14.17</v>
      </c>
      <c r="P282" s="3" t="str">
        <f t="shared" si="4"/>
        <v>NORMAL</v>
      </c>
      <c r="Q282" s="3" cm="1">
        <f t="array" aca="1" ref="Q282" ca="1">AVERAGE(OFFSET(tbl_Process[[#This Row],[Temp_Firing_C]], MAX(1-ROW()+ROW(tbl_Process[#Headers]), -23), 0, MIN(ROW()-ROW(tbl_Process[#Headers]), 24), 1))</f>
        <v>1282.4916666666666</v>
      </c>
      <c r="R282" s="3" t="e" cm="1" vm="1">
        <f t="array" aca="1" ref="R282" ca="1">tbl_Process[Temp_Firing_C] - AVERAGE(tbl_Zones[[Target_Temp_Min_C]:[Target_Temp_Max_C]])</f>
        <v>#VALUE!</v>
      </c>
    </row>
    <row r="283" spans="1:18" x14ac:dyDescent="0.3">
      <c r="A283" s="2" t="s">
        <v>301</v>
      </c>
      <c r="B283" s="2" t="s">
        <v>33</v>
      </c>
      <c r="C283" s="2" t="s">
        <v>260</v>
      </c>
      <c r="D283" s="3">
        <v>394.1</v>
      </c>
      <c r="E283" s="3">
        <v>3.35</v>
      </c>
      <c r="F283" s="3">
        <v>316.39999999999998</v>
      </c>
      <c r="G283" s="3">
        <v>371</v>
      </c>
      <c r="H283" s="3">
        <v>960.4</v>
      </c>
      <c r="I283" s="4">
        <v>1273.2</v>
      </c>
      <c r="J283" s="4">
        <v>1202.4000000000001</v>
      </c>
      <c r="K283" s="3">
        <v>156.19999999999999</v>
      </c>
      <c r="L283" s="3">
        <v>3.84</v>
      </c>
      <c r="M283" s="4">
        <v>416313</v>
      </c>
      <c r="N283" s="4">
        <v>8404</v>
      </c>
      <c r="O283" s="3">
        <v>14.11</v>
      </c>
      <c r="P283" s="3" t="str">
        <f t="shared" si="4"/>
        <v>NORMAL</v>
      </c>
      <c r="Q283" s="3" cm="1">
        <f t="array" aca="1" ref="Q283" ca="1">AVERAGE(OFFSET(tbl_Process[[#This Row],[Temp_Firing_C]], MAX(1-ROW()+ROW(tbl_Process[#Headers]), -23), 0, MIN(ROW()-ROW(tbl_Process[#Headers]), 24), 1))</f>
        <v>1281.8875</v>
      </c>
      <c r="R283" s="3" t="e" cm="1" vm="1">
        <f t="array" aca="1" ref="R283" ca="1">tbl_Process[Temp_Firing_C] - AVERAGE(tbl_Zones[[Target_Temp_Min_C]:[Target_Temp_Max_C]])</f>
        <v>#VALUE!</v>
      </c>
    </row>
    <row r="284" spans="1:18" x14ac:dyDescent="0.3">
      <c r="A284" s="2" t="s">
        <v>302</v>
      </c>
      <c r="B284" s="2" t="s">
        <v>33</v>
      </c>
      <c r="C284" s="2" t="s">
        <v>260</v>
      </c>
      <c r="D284" s="3">
        <v>399.7</v>
      </c>
      <c r="E284" s="3">
        <v>3.43</v>
      </c>
      <c r="F284" s="3">
        <v>316.2</v>
      </c>
      <c r="G284" s="3">
        <v>371.6</v>
      </c>
      <c r="H284" s="3">
        <v>934.1</v>
      </c>
      <c r="I284" s="4">
        <v>1271.0999999999999</v>
      </c>
      <c r="J284" s="4">
        <v>1199.7</v>
      </c>
      <c r="K284" s="3">
        <v>148.9</v>
      </c>
      <c r="L284" s="3">
        <v>3.81</v>
      </c>
      <c r="M284" s="4">
        <v>411133</v>
      </c>
      <c r="N284" s="4">
        <v>8223</v>
      </c>
      <c r="O284" s="3">
        <v>14.57</v>
      </c>
      <c r="P284" s="3" t="str">
        <f t="shared" si="4"/>
        <v>NORMAL</v>
      </c>
      <c r="Q284" s="3" cm="1">
        <f t="array" aca="1" ref="Q284" ca="1">AVERAGE(OFFSET(tbl_Process[[#This Row],[Temp_Firing_C]], MAX(1-ROW()+ROW(tbl_Process[#Headers]), -23), 0, MIN(ROW()-ROW(tbl_Process[#Headers]), 24), 1))</f>
        <v>1281.7083333333333</v>
      </c>
      <c r="R284" s="3" t="e" cm="1" vm="1">
        <f t="array" aca="1" ref="R284" ca="1">tbl_Process[Temp_Firing_C] - AVERAGE(tbl_Zones[[Target_Temp_Min_C]:[Target_Temp_Max_C]])</f>
        <v>#VALUE!</v>
      </c>
    </row>
    <row r="285" spans="1:18" x14ac:dyDescent="0.3">
      <c r="A285" s="2" t="s">
        <v>303</v>
      </c>
      <c r="B285" s="2" t="s">
        <v>33</v>
      </c>
      <c r="C285" s="2" t="s">
        <v>260</v>
      </c>
      <c r="D285" s="3">
        <v>396.4</v>
      </c>
      <c r="E285" s="3">
        <v>3.38</v>
      </c>
      <c r="F285" s="3">
        <v>305.2</v>
      </c>
      <c r="G285" s="3">
        <v>371.7</v>
      </c>
      <c r="H285" s="3">
        <v>957.5</v>
      </c>
      <c r="I285" s="4">
        <v>1281.9000000000001</v>
      </c>
      <c r="J285" s="4">
        <v>1212.5999999999999</v>
      </c>
      <c r="K285" s="3">
        <v>162.80000000000001</v>
      </c>
      <c r="L285" s="3">
        <v>3.67</v>
      </c>
      <c r="M285" s="4">
        <v>412375</v>
      </c>
      <c r="N285" s="4">
        <v>8368</v>
      </c>
      <c r="O285" s="3">
        <v>14.72</v>
      </c>
      <c r="P285" s="3" t="str">
        <f t="shared" si="4"/>
        <v>NORMAL</v>
      </c>
      <c r="Q285" s="3" cm="1">
        <f t="array" aca="1" ref="Q285" ca="1">AVERAGE(OFFSET(tbl_Process[[#This Row],[Temp_Firing_C]], MAX(1-ROW()+ROW(tbl_Process[#Headers]), -23), 0, MIN(ROW()-ROW(tbl_Process[#Headers]), 24), 1))</f>
        <v>1281.55</v>
      </c>
      <c r="R285" s="3" t="e" cm="1" vm="1">
        <f t="array" aca="1" ref="R285" ca="1">tbl_Process[Temp_Firing_C] - AVERAGE(tbl_Zones[[Target_Temp_Min_C]:[Target_Temp_Max_C]])</f>
        <v>#VALUE!</v>
      </c>
    </row>
    <row r="286" spans="1:18" x14ac:dyDescent="0.3">
      <c r="A286" s="2" t="s">
        <v>304</v>
      </c>
      <c r="B286" s="2" t="s">
        <v>33</v>
      </c>
      <c r="C286" s="2" t="s">
        <v>260</v>
      </c>
      <c r="D286" s="3">
        <v>402</v>
      </c>
      <c r="E286" s="3">
        <v>3.4</v>
      </c>
      <c r="F286" s="3">
        <v>303.3</v>
      </c>
      <c r="G286" s="3">
        <v>361.1</v>
      </c>
      <c r="H286" s="3">
        <v>954.5</v>
      </c>
      <c r="I286" s="4">
        <v>1272.7</v>
      </c>
      <c r="J286" s="4">
        <v>1201.0999999999999</v>
      </c>
      <c r="K286" s="3">
        <v>158</v>
      </c>
      <c r="L286" s="3">
        <v>3.94</v>
      </c>
      <c r="M286" s="4">
        <v>418391</v>
      </c>
      <c r="N286" s="4">
        <v>8189</v>
      </c>
      <c r="O286" s="3">
        <v>14.76</v>
      </c>
      <c r="P286" s="3" t="str">
        <f t="shared" si="4"/>
        <v>NORMAL</v>
      </c>
      <c r="Q286" s="3" cm="1">
        <f t="array" aca="1" ref="Q286" ca="1">AVERAGE(OFFSET(tbl_Process[[#This Row],[Temp_Firing_C]], MAX(1-ROW()+ROW(tbl_Process[#Headers]), -23), 0, MIN(ROW()-ROW(tbl_Process[#Headers]), 24), 1))</f>
        <v>1281.075</v>
      </c>
      <c r="R286" s="3" t="e" cm="1" vm="1">
        <f t="array" aca="1" ref="R286" ca="1">tbl_Process[Temp_Firing_C] - AVERAGE(tbl_Zones[[Target_Temp_Min_C]:[Target_Temp_Max_C]])</f>
        <v>#VALUE!</v>
      </c>
    </row>
    <row r="287" spans="1:18" x14ac:dyDescent="0.3">
      <c r="A287" s="2" t="s">
        <v>305</v>
      </c>
      <c r="B287" s="2" t="s">
        <v>33</v>
      </c>
      <c r="C287" s="2" t="s">
        <v>260</v>
      </c>
      <c r="D287" s="3">
        <v>400</v>
      </c>
      <c r="E287" s="3">
        <v>3.39</v>
      </c>
      <c r="F287" s="3">
        <v>323.10000000000002</v>
      </c>
      <c r="G287" s="3">
        <v>368.7</v>
      </c>
      <c r="H287" s="3">
        <v>987.1</v>
      </c>
      <c r="I287" s="4">
        <v>1279.0999999999999</v>
      </c>
      <c r="J287" s="4">
        <v>1216.4000000000001</v>
      </c>
      <c r="K287" s="3">
        <v>160.4</v>
      </c>
      <c r="L287" s="3">
        <v>4.12</v>
      </c>
      <c r="M287" s="4">
        <v>419012</v>
      </c>
      <c r="N287" s="4">
        <v>8057</v>
      </c>
      <c r="O287" s="3">
        <v>14.91</v>
      </c>
      <c r="P287" s="3" t="str">
        <f t="shared" si="4"/>
        <v>NORMAL</v>
      </c>
      <c r="Q287" s="3" cm="1">
        <f t="array" aca="1" ref="Q287" ca="1">AVERAGE(OFFSET(tbl_Process[[#This Row],[Temp_Firing_C]], MAX(1-ROW()+ROW(tbl_Process[#Headers]), -23), 0, MIN(ROW()-ROW(tbl_Process[#Headers]), 24), 1))</f>
        <v>1280.6791666666666</v>
      </c>
      <c r="R287" s="3" t="e" cm="1" vm="1">
        <f t="array" aca="1" ref="R287" ca="1">tbl_Process[Temp_Firing_C] - AVERAGE(tbl_Zones[[Target_Temp_Min_C]:[Target_Temp_Max_C]])</f>
        <v>#VALUE!</v>
      </c>
    </row>
    <row r="288" spans="1:18" x14ac:dyDescent="0.3">
      <c r="A288" s="2" t="s">
        <v>306</v>
      </c>
      <c r="B288" s="2" t="s">
        <v>16</v>
      </c>
      <c r="C288" s="2" t="s">
        <v>260</v>
      </c>
      <c r="D288" s="3">
        <v>398.6</v>
      </c>
      <c r="E288" s="3">
        <v>3.41</v>
      </c>
      <c r="F288" s="3">
        <v>309.3</v>
      </c>
      <c r="G288" s="3">
        <v>379.6</v>
      </c>
      <c r="H288" s="3">
        <v>946.1</v>
      </c>
      <c r="I288" s="4">
        <v>1277.7</v>
      </c>
      <c r="J288" s="4">
        <v>1211</v>
      </c>
      <c r="K288" s="3">
        <v>167.6</v>
      </c>
      <c r="L288" s="3">
        <v>4.12</v>
      </c>
      <c r="M288" s="4">
        <v>416149</v>
      </c>
      <c r="N288" s="4">
        <v>8240</v>
      </c>
      <c r="O288" s="3">
        <v>14.31</v>
      </c>
      <c r="P288" s="3" t="str">
        <f t="shared" si="4"/>
        <v>NORMAL</v>
      </c>
      <c r="Q288" s="3" cm="1">
        <f t="array" aca="1" ref="Q288" ca="1">AVERAGE(OFFSET(tbl_Process[[#This Row],[Temp_Firing_C]], MAX(1-ROW()+ROW(tbl_Process[#Headers]), -23), 0, MIN(ROW()-ROW(tbl_Process[#Headers]), 24), 1))</f>
        <v>1280.4750000000001</v>
      </c>
      <c r="R288" s="3" t="e" cm="1" vm="1">
        <f t="array" aca="1" ref="R288" ca="1">tbl_Process[Temp_Firing_C] - AVERAGE(tbl_Zones[[Target_Temp_Min_C]:[Target_Temp_Max_C]])</f>
        <v>#VALUE!</v>
      </c>
    </row>
    <row r="289" spans="1:18" x14ac:dyDescent="0.3">
      <c r="A289" s="2" t="s">
        <v>307</v>
      </c>
      <c r="B289" s="2" t="s">
        <v>16</v>
      </c>
      <c r="C289" s="2" t="s">
        <v>260</v>
      </c>
      <c r="D289" s="3">
        <v>404.4</v>
      </c>
      <c r="E289" s="3">
        <v>3.37</v>
      </c>
      <c r="F289" s="3">
        <v>314.8</v>
      </c>
      <c r="G289" s="3">
        <v>383.2</v>
      </c>
      <c r="H289" s="3">
        <v>948.1</v>
      </c>
      <c r="I289" s="4">
        <v>1277.5</v>
      </c>
      <c r="J289" s="4">
        <v>1203</v>
      </c>
      <c r="K289" s="3">
        <v>161.69999999999999</v>
      </c>
      <c r="L289" s="3">
        <v>4.18</v>
      </c>
      <c r="M289" s="4">
        <v>418474</v>
      </c>
      <c r="N289" s="4">
        <v>8405</v>
      </c>
      <c r="O289" s="3">
        <v>14.06</v>
      </c>
      <c r="P289" s="3" t="str">
        <f t="shared" si="4"/>
        <v>NORMAL</v>
      </c>
      <c r="Q289" s="3" cm="1">
        <f t="array" aca="1" ref="Q289" ca="1">AVERAGE(OFFSET(tbl_Process[[#This Row],[Temp_Firing_C]], MAX(1-ROW()+ROW(tbl_Process[#Headers]), -23), 0, MIN(ROW()-ROW(tbl_Process[#Headers]), 24), 1))</f>
        <v>1280.1291666666666</v>
      </c>
      <c r="R289" s="3" t="e" cm="1" vm="1">
        <f t="array" aca="1" ref="R289" ca="1">tbl_Process[Temp_Firing_C] - AVERAGE(tbl_Zones[[Target_Temp_Min_C]:[Target_Temp_Max_C]])</f>
        <v>#VALUE!</v>
      </c>
    </row>
    <row r="290" spans="1:18" x14ac:dyDescent="0.3">
      <c r="A290" s="2" t="s">
        <v>308</v>
      </c>
      <c r="B290" s="2" t="s">
        <v>16</v>
      </c>
      <c r="C290" s="2" t="s">
        <v>260</v>
      </c>
      <c r="D290" s="3">
        <v>400.9</v>
      </c>
      <c r="E290" s="3">
        <v>3.32</v>
      </c>
      <c r="F290" s="3">
        <v>316.3</v>
      </c>
      <c r="G290" s="3">
        <v>382.3</v>
      </c>
      <c r="H290" s="3">
        <v>956.5</v>
      </c>
      <c r="I290" s="4">
        <v>1267.5</v>
      </c>
      <c r="J290" s="4">
        <v>1194.5999999999999</v>
      </c>
      <c r="K290" s="3">
        <v>151.5</v>
      </c>
      <c r="L290" s="3">
        <v>3.95</v>
      </c>
      <c r="M290" s="4">
        <v>421374</v>
      </c>
      <c r="N290" s="4">
        <v>8273</v>
      </c>
      <c r="O290" s="3">
        <v>13.91</v>
      </c>
      <c r="P290" s="3" t="str">
        <f t="shared" si="4"/>
        <v>NORMAL</v>
      </c>
      <c r="Q290" s="3" cm="1">
        <f t="array" aca="1" ref="Q290" ca="1">AVERAGE(OFFSET(tbl_Process[[#This Row],[Temp_Firing_C]], MAX(1-ROW()+ROW(tbl_Process[#Headers]), -23), 0, MIN(ROW()-ROW(tbl_Process[#Headers]), 24), 1))</f>
        <v>1279.5041666666666</v>
      </c>
      <c r="R290" s="3" t="e" cm="1" vm="1">
        <f t="array" aca="1" ref="R290" ca="1">tbl_Process[Temp_Firing_C] - AVERAGE(tbl_Zones[[Target_Temp_Min_C]:[Target_Temp_Max_C]])</f>
        <v>#VALUE!</v>
      </c>
    </row>
    <row r="291" spans="1:18" x14ac:dyDescent="0.3">
      <c r="A291" s="2" t="s">
        <v>309</v>
      </c>
      <c r="B291" s="2" t="s">
        <v>16</v>
      </c>
      <c r="C291" s="2" t="s">
        <v>260</v>
      </c>
      <c r="D291" s="3">
        <v>405.7</v>
      </c>
      <c r="E291" s="3">
        <v>3.47</v>
      </c>
      <c r="F291" s="3">
        <v>308.8</v>
      </c>
      <c r="G291" s="3">
        <v>375.3</v>
      </c>
      <c r="H291" s="3">
        <v>969.2</v>
      </c>
      <c r="I291" s="4">
        <v>1284.2</v>
      </c>
      <c r="J291" s="4">
        <v>1211.3</v>
      </c>
      <c r="K291" s="3">
        <v>161.69999999999999</v>
      </c>
      <c r="L291" s="3">
        <v>3.73</v>
      </c>
      <c r="M291" s="4">
        <v>416376</v>
      </c>
      <c r="N291" s="4">
        <v>8447</v>
      </c>
      <c r="O291" s="3">
        <v>14.25</v>
      </c>
      <c r="P291" s="3" t="str">
        <f t="shared" si="4"/>
        <v>NORMAL</v>
      </c>
      <c r="Q291" s="3" cm="1">
        <f t="array" aca="1" ref="Q291" ca="1">AVERAGE(OFFSET(tbl_Process[[#This Row],[Temp_Firing_C]], MAX(1-ROW()+ROW(tbl_Process[#Headers]), -23), 0, MIN(ROW()-ROW(tbl_Process[#Headers]), 24), 1))</f>
        <v>1280.0083333333334</v>
      </c>
      <c r="R291" s="3" t="e" cm="1" vm="1">
        <f t="array" aca="1" ref="R291" ca="1">tbl_Process[Temp_Firing_C] - AVERAGE(tbl_Zones[[Target_Temp_Min_C]:[Target_Temp_Max_C]])</f>
        <v>#VALUE!</v>
      </c>
    </row>
    <row r="292" spans="1:18" x14ac:dyDescent="0.3">
      <c r="A292" s="2" t="s">
        <v>310</v>
      </c>
      <c r="B292" s="2" t="s">
        <v>16</v>
      </c>
      <c r="C292" s="2" t="s">
        <v>260</v>
      </c>
      <c r="D292" s="3">
        <v>398</v>
      </c>
      <c r="E292" s="3">
        <v>3.47</v>
      </c>
      <c r="F292" s="3">
        <v>324.2</v>
      </c>
      <c r="G292" s="3">
        <v>387</v>
      </c>
      <c r="H292" s="3">
        <v>967.2</v>
      </c>
      <c r="I292" s="4">
        <v>1289.3</v>
      </c>
      <c r="J292" s="4">
        <v>1228.7</v>
      </c>
      <c r="K292" s="3">
        <v>160.19999999999999</v>
      </c>
      <c r="L292" s="3">
        <v>3.9</v>
      </c>
      <c r="M292" s="4">
        <v>417244</v>
      </c>
      <c r="N292" s="4">
        <v>8226</v>
      </c>
      <c r="O292" s="3">
        <v>14.18</v>
      </c>
      <c r="P292" s="3" t="str">
        <f t="shared" si="4"/>
        <v>NORMAL</v>
      </c>
      <c r="Q292" s="3" cm="1">
        <f t="array" aca="1" ref="Q292" ca="1">AVERAGE(OFFSET(tbl_Process[[#This Row],[Temp_Firing_C]], MAX(1-ROW()+ROW(tbl_Process[#Headers]), -23), 0, MIN(ROW()-ROW(tbl_Process[#Headers]), 24), 1))</f>
        <v>1280.3083333333334</v>
      </c>
      <c r="R292" s="3" t="e" cm="1" vm="1">
        <f t="array" aca="1" ref="R292" ca="1">tbl_Process[Temp_Firing_C] - AVERAGE(tbl_Zones[[Target_Temp_Min_C]:[Target_Temp_Max_C]])</f>
        <v>#VALUE!</v>
      </c>
    </row>
    <row r="293" spans="1:18" x14ac:dyDescent="0.3">
      <c r="A293" s="2" t="s">
        <v>311</v>
      </c>
      <c r="B293" s="2" t="s">
        <v>16</v>
      </c>
      <c r="C293" s="2" t="s">
        <v>260</v>
      </c>
      <c r="D293" s="3">
        <v>398.9</v>
      </c>
      <c r="E293" s="3">
        <v>3.42</v>
      </c>
      <c r="F293" s="3">
        <v>327.3</v>
      </c>
      <c r="G293" s="3">
        <v>377.9</v>
      </c>
      <c r="H293" s="3">
        <v>969.4</v>
      </c>
      <c r="I293" s="4">
        <v>1290.0999999999999</v>
      </c>
      <c r="J293" s="4">
        <v>1223.7</v>
      </c>
      <c r="K293" s="3">
        <v>162.1</v>
      </c>
      <c r="L293" s="3">
        <v>3.86</v>
      </c>
      <c r="M293" s="4">
        <v>422845</v>
      </c>
      <c r="N293" s="4">
        <v>8458</v>
      </c>
      <c r="O293" s="3">
        <v>13.94</v>
      </c>
      <c r="P293" s="3" t="str">
        <f t="shared" si="4"/>
        <v>NORMAL</v>
      </c>
      <c r="Q293" s="3" cm="1">
        <f t="array" aca="1" ref="Q293" ca="1">AVERAGE(OFFSET(tbl_Process[[#This Row],[Temp_Firing_C]], MAX(1-ROW()+ROW(tbl_Process[#Headers]), -23), 0, MIN(ROW()-ROW(tbl_Process[#Headers]), 24), 1))</f>
        <v>1280.7291666666667</v>
      </c>
      <c r="R293" s="3" t="e" cm="1" vm="1">
        <f t="array" aca="1" ref="R293" ca="1">tbl_Process[Temp_Firing_C] - AVERAGE(tbl_Zones[[Target_Temp_Min_C]:[Target_Temp_Max_C]])</f>
        <v>#VALUE!</v>
      </c>
    </row>
    <row r="294" spans="1:18" x14ac:dyDescent="0.3">
      <c r="A294" s="2" t="s">
        <v>312</v>
      </c>
      <c r="B294" s="2" t="s">
        <v>16</v>
      </c>
      <c r="C294" s="2" t="s">
        <v>260</v>
      </c>
      <c r="D294" s="3">
        <v>400.6</v>
      </c>
      <c r="E294" s="3">
        <v>3.53</v>
      </c>
      <c r="F294" s="3">
        <v>317.8</v>
      </c>
      <c r="G294" s="3">
        <v>381.7</v>
      </c>
      <c r="H294" s="3">
        <v>964.4</v>
      </c>
      <c r="I294" s="4">
        <v>1273.8</v>
      </c>
      <c r="J294" s="4">
        <v>1211.9000000000001</v>
      </c>
      <c r="K294" s="3">
        <v>152.30000000000001</v>
      </c>
      <c r="L294" s="3">
        <v>3.86</v>
      </c>
      <c r="M294" s="4">
        <v>419049</v>
      </c>
      <c r="N294" s="4">
        <v>8228</v>
      </c>
      <c r="O294" s="3">
        <v>14.34</v>
      </c>
      <c r="P294" s="3" t="str">
        <f t="shared" si="4"/>
        <v>NORMAL</v>
      </c>
      <c r="Q294" s="3" cm="1">
        <f t="array" aca="1" ref="Q294" ca="1">AVERAGE(OFFSET(tbl_Process[[#This Row],[Temp_Firing_C]], MAX(1-ROW()+ROW(tbl_Process[#Headers]), -23), 0, MIN(ROW()-ROW(tbl_Process[#Headers]), 24), 1))</f>
        <v>1280.2416666666666</v>
      </c>
      <c r="R294" s="3" t="e" cm="1" vm="1">
        <f t="array" aca="1" ref="R294" ca="1">tbl_Process[Temp_Firing_C] - AVERAGE(tbl_Zones[[Target_Temp_Min_C]:[Target_Temp_Max_C]])</f>
        <v>#VALUE!</v>
      </c>
    </row>
    <row r="295" spans="1:18" x14ac:dyDescent="0.3">
      <c r="A295" s="2" t="s">
        <v>313</v>
      </c>
      <c r="B295" s="2" t="s">
        <v>16</v>
      </c>
      <c r="C295" s="2" t="s">
        <v>260</v>
      </c>
      <c r="D295" s="3">
        <v>401.8</v>
      </c>
      <c r="E295" s="3">
        <v>3.4</v>
      </c>
      <c r="F295" s="3">
        <v>319.10000000000002</v>
      </c>
      <c r="G295" s="3">
        <v>383.3</v>
      </c>
      <c r="H295" s="3">
        <v>949.4</v>
      </c>
      <c r="I295" s="4">
        <v>1282.8</v>
      </c>
      <c r="J295" s="4">
        <v>1215.9000000000001</v>
      </c>
      <c r="K295" s="3">
        <v>151.4</v>
      </c>
      <c r="L295" s="3">
        <v>3.81</v>
      </c>
      <c r="M295" s="4">
        <v>422393</v>
      </c>
      <c r="N295" s="4">
        <v>8340</v>
      </c>
      <c r="O295" s="3">
        <v>14</v>
      </c>
      <c r="P295" s="3" t="str">
        <f t="shared" si="4"/>
        <v>NORMAL</v>
      </c>
      <c r="Q295" s="3" cm="1">
        <f t="array" aca="1" ref="Q295" ca="1">AVERAGE(OFFSET(tbl_Process[[#This Row],[Temp_Firing_C]], MAX(1-ROW()+ROW(tbl_Process[#Headers]), -23), 0, MIN(ROW()-ROW(tbl_Process[#Headers]), 24), 1))</f>
        <v>1279.8583333333333</v>
      </c>
      <c r="R295" s="3" t="e" cm="1" vm="1">
        <f t="array" aca="1" ref="R295" ca="1">tbl_Process[Temp_Firing_C] - AVERAGE(tbl_Zones[[Target_Temp_Min_C]:[Target_Temp_Max_C]])</f>
        <v>#VALUE!</v>
      </c>
    </row>
    <row r="296" spans="1:18" x14ac:dyDescent="0.3">
      <c r="A296" s="2" t="s">
        <v>314</v>
      </c>
      <c r="B296" s="2" t="s">
        <v>24</v>
      </c>
      <c r="C296" s="2" t="s">
        <v>260</v>
      </c>
      <c r="D296" s="3">
        <v>393.8</v>
      </c>
      <c r="E296" s="3">
        <v>3.39</v>
      </c>
      <c r="F296" s="3">
        <v>328.5</v>
      </c>
      <c r="G296" s="3">
        <v>377.5</v>
      </c>
      <c r="H296" s="3">
        <v>973.9</v>
      </c>
      <c r="I296" s="4">
        <v>1285.4000000000001</v>
      </c>
      <c r="J296" s="4">
        <v>1223.2</v>
      </c>
      <c r="K296" s="3">
        <v>152.69999999999999</v>
      </c>
      <c r="L296" s="3">
        <v>3.94</v>
      </c>
      <c r="M296" s="4">
        <v>416200</v>
      </c>
      <c r="N296" s="4">
        <v>8428</v>
      </c>
      <c r="O296" s="3">
        <v>14.05</v>
      </c>
      <c r="P296" s="3" t="str">
        <f t="shared" si="4"/>
        <v>NORMAL</v>
      </c>
      <c r="Q296" s="3" cm="1">
        <f t="array" aca="1" ref="Q296" ca="1">AVERAGE(OFFSET(tbl_Process[[#This Row],[Temp_Firing_C]], MAX(1-ROW()+ROW(tbl_Process[#Headers]), -23), 0, MIN(ROW()-ROW(tbl_Process[#Headers]), 24), 1))</f>
        <v>1279.7625</v>
      </c>
      <c r="R296" s="3" t="e" cm="1" vm="1">
        <f t="array" aca="1" ref="R296" ca="1">tbl_Process[Temp_Firing_C] - AVERAGE(tbl_Zones[[Target_Temp_Min_C]:[Target_Temp_Max_C]])</f>
        <v>#VALUE!</v>
      </c>
    </row>
    <row r="297" spans="1:18" x14ac:dyDescent="0.3">
      <c r="A297" s="2" t="s">
        <v>315</v>
      </c>
      <c r="B297" s="2" t="s">
        <v>24</v>
      </c>
      <c r="C297" s="2" t="s">
        <v>260</v>
      </c>
      <c r="D297" s="3">
        <v>400.7</v>
      </c>
      <c r="E297" s="3">
        <v>3.43</v>
      </c>
      <c r="F297" s="3">
        <v>318.10000000000002</v>
      </c>
      <c r="G297" s="3">
        <v>381.6</v>
      </c>
      <c r="H297" s="3">
        <v>954.9</v>
      </c>
      <c r="I297" s="4">
        <v>1277.3</v>
      </c>
      <c r="J297" s="4">
        <v>1221.9000000000001</v>
      </c>
      <c r="K297" s="3">
        <v>164.6</v>
      </c>
      <c r="L297" s="3">
        <v>3.82</v>
      </c>
      <c r="M297" s="4">
        <v>417904</v>
      </c>
      <c r="N297" s="4">
        <v>8138</v>
      </c>
      <c r="O297" s="3">
        <v>14.19</v>
      </c>
      <c r="P297" s="3" t="str">
        <f t="shared" si="4"/>
        <v>NORMAL</v>
      </c>
      <c r="Q297" s="3" cm="1">
        <f t="array" aca="1" ref="Q297" ca="1">AVERAGE(OFFSET(tbl_Process[[#This Row],[Temp_Firing_C]], MAX(1-ROW()+ROW(tbl_Process[#Headers]), -23), 0, MIN(ROW()-ROW(tbl_Process[#Headers]), 24), 1))</f>
        <v>1278.9083333333333</v>
      </c>
      <c r="R297" s="3" t="e" cm="1" vm="1">
        <f t="array" aca="1" ref="R297" ca="1">tbl_Process[Temp_Firing_C] - AVERAGE(tbl_Zones[[Target_Temp_Min_C]:[Target_Temp_Max_C]])</f>
        <v>#VALUE!</v>
      </c>
    </row>
    <row r="298" spans="1:18" x14ac:dyDescent="0.3">
      <c r="A298" s="2" t="s">
        <v>316</v>
      </c>
      <c r="B298" s="2" t="s">
        <v>24</v>
      </c>
      <c r="C298" s="2" t="s">
        <v>260</v>
      </c>
      <c r="D298" s="3">
        <v>404.1</v>
      </c>
      <c r="E298" s="3">
        <v>3.26</v>
      </c>
      <c r="F298" s="3">
        <v>324.5</v>
      </c>
      <c r="G298" s="3">
        <v>376.8</v>
      </c>
      <c r="H298" s="3">
        <v>955.3</v>
      </c>
      <c r="I298" s="4">
        <v>1285.4000000000001</v>
      </c>
      <c r="J298" s="4">
        <v>1223.9000000000001</v>
      </c>
      <c r="K298" s="3">
        <v>155.1</v>
      </c>
      <c r="L298" s="3">
        <v>4</v>
      </c>
      <c r="M298" s="4">
        <v>417769</v>
      </c>
      <c r="N298" s="4">
        <v>8174</v>
      </c>
      <c r="O298" s="3">
        <v>14.42</v>
      </c>
      <c r="P298" s="3" t="str">
        <f t="shared" si="4"/>
        <v>NORMAL</v>
      </c>
      <c r="Q298" s="3" cm="1">
        <f t="array" aca="1" ref="Q298" ca="1">AVERAGE(OFFSET(tbl_Process[[#This Row],[Temp_Firing_C]], MAX(1-ROW()+ROW(tbl_Process[#Headers]), -23), 0, MIN(ROW()-ROW(tbl_Process[#Headers]), 24), 1))</f>
        <v>1279.2333333333333</v>
      </c>
      <c r="R298" s="3" t="e" cm="1" vm="1">
        <f t="array" aca="1" ref="R298" ca="1">tbl_Process[Temp_Firing_C] - AVERAGE(tbl_Zones[[Target_Temp_Min_C]:[Target_Temp_Max_C]])</f>
        <v>#VALUE!</v>
      </c>
    </row>
    <row r="299" spans="1:18" x14ac:dyDescent="0.3">
      <c r="A299" s="2" t="s">
        <v>317</v>
      </c>
      <c r="B299" s="2" t="s">
        <v>24</v>
      </c>
      <c r="C299" s="2" t="s">
        <v>260</v>
      </c>
      <c r="D299" s="3">
        <v>405.5</v>
      </c>
      <c r="E299" s="3">
        <v>3.53</v>
      </c>
      <c r="F299" s="3">
        <v>323</v>
      </c>
      <c r="G299" s="3">
        <v>369.9</v>
      </c>
      <c r="H299" s="3">
        <v>963.2</v>
      </c>
      <c r="I299" s="4">
        <v>1288.3</v>
      </c>
      <c r="J299" s="4">
        <v>1227.7</v>
      </c>
      <c r="K299" s="3">
        <v>163</v>
      </c>
      <c r="L299" s="3">
        <v>4.04</v>
      </c>
      <c r="M299" s="4">
        <v>417641</v>
      </c>
      <c r="N299" s="4">
        <v>8287</v>
      </c>
      <c r="O299" s="3">
        <v>13.9</v>
      </c>
      <c r="P299" s="3" t="str">
        <f t="shared" si="4"/>
        <v>NORMAL</v>
      </c>
      <c r="Q299" s="3" cm="1">
        <f t="array" aca="1" ref="Q299" ca="1">AVERAGE(OFFSET(tbl_Process[[#This Row],[Temp_Firing_C]], MAX(1-ROW()+ROW(tbl_Process[#Headers]), -23), 0, MIN(ROW()-ROW(tbl_Process[#Headers]), 24), 1))</f>
        <v>1279.1833333333334</v>
      </c>
      <c r="R299" s="3" t="e" cm="1" vm="1">
        <f t="array" aca="1" ref="R299" ca="1">tbl_Process[Temp_Firing_C] - AVERAGE(tbl_Zones[[Target_Temp_Min_C]:[Target_Temp_Max_C]])</f>
        <v>#VALUE!</v>
      </c>
    </row>
    <row r="300" spans="1:18" x14ac:dyDescent="0.3">
      <c r="A300" s="2" t="s">
        <v>318</v>
      </c>
      <c r="B300" s="2" t="s">
        <v>24</v>
      </c>
      <c r="C300" s="2" t="s">
        <v>260</v>
      </c>
      <c r="D300" s="3">
        <v>401.4</v>
      </c>
      <c r="E300" s="3">
        <v>3.41</v>
      </c>
      <c r="F300" s="3">
        <v>321.7</v>
      </c>
      <c r="G300" s="3">
        <v>368.5</v>
      </c>
      <c r="H300" s="3">
        <v>964.5</v>
      </c>
      <c r="I300" s="4">
        <v>1297.0999999999999</v>
      </c>
      <c r="J300" s="4">
        <v>1232.5999999999999</v>
      </c>
      <c r="K300" s="3">
        <v>158.6</v>
      </c>
      <c r="L300" s="3">
        <v>3.96</v>
      </c>
      <c r="M300" s="4">
        <v>426591</v>
      </c>
      <c r="N300" s="4">
        <v>8342</v>
      </c>
      <c r="O300" s="3">
        <v>14.38</v>
      </c>
      <c r="P300" s="3" t="str">
        <f t="shared" si="4"/>
        <v>NORMAL</v>
      </c>
      <c r="Q300" s="3" cm="1">
        <f t="array" aca="1" ref="Q300" ca="1">AVERAGE(OFFSET(tbl_Process[[#This Row],[Temp_Firing_C]], MAX(1-ROW()+ROW(tbl_Process[#Headers]), -23), 0, MIN(ROW()-ROW(tbl_Process[#Headers]), 24), 1))</f>
        <v>1279.6166666666666</v>
      </c>
      <c r="R300" s="3" t="e" cm="1" vm="1">
        <f t="array" aca="1" ref="R300" ca="1">tbl_Process[Temp_Firing_C] - AVERAGE(tbl_Zones[[Target_Temp_Min_C]:[Target_Temp_Max_C]])</f>
        <v>#VALUE!</v>
      </c>
    </row>
    <row r="301" spans="1:18" x14ac:dyDescent="0.3">
      <c r="A301" s="2" t="s">
        <v>319</v>
      </c>
      <c r="B301" s="2" t="s">
        <v>24</v>
      </c>
      <c r="C301" s="2" t="s">
        <v>260</v>
      </c>
      <c r="D301" s="3">
        <v>396.8</v>
      </c>
      <c r="E301" s="3">
        <v>3.36</v>
      </c>
      <c r="F301" s="3">
        <v>317.7</v>
      </c>
      <c r="G301" s="3">
        <v>386.8</v>
      </c>
      <c r="H301" s="3">
        <v>977.7</v>
      </c>
      <c r="I301" s="4">
        <v>1283.3</v>
      </c>
      <c r="J301" s="4">
        <v>1216</v>
      </c>
      <c r="K301" s="3">
        <v>171.2</v>
      </c>
      <c r="L301" s="3">
        <v>3.8</v>
      </c>
      <c r="M301" s="4">
        <v>414995</v>
      </c>
      <c r="N301" s="4">
        <v>8087</v>
      </c>
      <c r="O301" s="3">
        <v>14.88</v>
      </c>
      <c r="P301" s="3" t="str">
        <f t="shared" si="4"/>
        <v>NORMAL</v>
      </c>
      <c r="Q301" s="3" cm="1">
        <f t="array" aca="1" ref="Q301" ca="1">AVERAGE(OFFSET(tbl_Process[[#This Row],[Temp_Firing_C]], MAX(1-ROW()+ROW(tbl_Process[#Headers]), -23), 0, MIN(ROW()-ROW(tbl_Process[#Headers]), 24), 1))</f>
        <v>1279.5333333333333</v>
      </c>
      <c r="R301" s="3" t="e" cm="1" vm="1">
        <f t="array" aca="1" ref="R301" ca="1">tbl_Process[Temp_Firing_C] - AVERAGE(tbl_Zones[[Target_Temp_Min_C]:[Target_Temp_Max_C]])</f>
        <v>#VALUE!</v>
      </c>
    </row>
    <row r="302" spans="1:18" x14ac:dyDescent="0.3">
      <c r="A302" s="2" t="s">
        <v>320</v>
      </c>
      <c r="B302" s="2" t="s">
        <v>24</v>
      </c>
      <c r="C302" s="2" t="s">
        <v>260</v>
      </c>
      <c r="D302" s="3">
        <v>403.9</v>
      </c>
      <c r="E302" s="3">
        <v>3.59</v>
      </c>
      <c r="F302" s="3">
        <v>309.3</v>
      </c>
      <c r="G302" s="3">
        <v>387.1</v>
      </c>
      <c r="H302" s="3">
        <v>956.2</v>
      </c>
      <c r="I302" s="4">
        <v>1285.2</v>
      </c>
      <c r="J302" s="4">
        <v>1210.3</v>
      </c>
      <c r="K302" s="3">
        <v>165.8</v>
      </c>
      <c r="L302" s="3">
        <v>4.09</v>
      </c>
      <c r="M302" s="4">
        <v>417200</v>
      </c>
      <c r="N302" s="4">
        <v>8400</v>
      </c>
      <c r="O302" s="3">
        <v>14.09</v>
      </c>
      <c r="P302" s="3" t="str">
        <f t="shared" si="4"/>
        <v>NORMAL</v>
      </c>
      <c r="Q302" s="3" cm="1">
        <f t="array" aca="1" ref="Q302" ca="1">AVERAGE(OFFSET(tbl_Process[[#This Row],[Temp_Firing_C]], MAX(1-ROW()+ROW(tbl_Process[#Headers]), -23), 0, MIN(ROW()-ROW(tbl_Process[#Headers]), 24), 1))</f>
        <v>1279.9749999999999</v>
      </c>
      <c r="R302" s="3" t="e" cm="1" vm="1">
        <f t="array" aca="1" ref="R302" ca="1">tbl_Process[Temp_Firing_C] - AVERAGE(tbl_Zones[[Target_Temp_Min_C]:[Target_Temp_Max_C]])</f>
        <v>#VALUE!</v>
      </c>
    </row>
    <row r="303" spans="1:18" x14ac:dyDescent="0.3">
      <c r="A303" s="2" t="s">
        <v>321</v>
      </c>
      <c r="B303" s="2" t="s">
        <v>24</v>
      </c>
      <c r="C303" s="2" t="s">
        <v>260</v>
      </c>
      <c r="D303" s="3">
        <v>397.7</v>
      </c>
      <c r="E303" s="3">
        <v>3.36</v>
      </c>
      <c r="F303" s="3">
        <v>306.2</v>
      </c>
      <c r="G303" s="3">
        <v>382.4</v>
      </c>
      <c r="H303" s="3">
        <v>968.9</v>
      </c>
      <c r="I303" s="4">
        <v>1272.2</v>
      </c>
      <c r="J303" s="4">
        <v>1209.3</v>
      </c>
      <c r="K303" s="3">
        <v>156.9</v>
      </c>
      <c r="L303" s="3">
        <v>3.9</v>
      </c>
      <c r="M303" s="4">
        <v>412799</v>
      </c>
      <c r="N303" s="4">
        <v>8060</v>
      </c>
      <c r="O303" s="3">
        <v>14.82</v>
      </c>
      <c r="P303" s="3" t="str">
        <f t="shared" si="4"/>
        <v>NORMAL</v>
      </c>
      <c r="Q303" s="3" cm="1">
        <f t="array" aca="1" ref="Q303" ca="1">AVERAGE(OFFSET(tbl_Process[[#This Row],[Temp_Firing_C]], MAX(1-ROW()+ROW(tbl_Process[#Headers]), -23), 0, MIN(ROW()-ROW(tbl_Process[#Headers]), 24), 1))</f>
        <v>1279.7875000000001</v>
      </c>
      <c r="R303" s="3" t="e" cm="1" vm="1">
        <f t="array" aca="1" ref="R303" ca="1">tbl_Process[Temp_Firing_C] - AVERAGE(tbl_Zones[[Target_Temp_Min_C]:[Target_Temp_Max_C]])</f>
        <v>#VALUE!</v>
      </c>
    </row>
    <row r="304" spans="1:18" x14ac:dyDescent="0.3">
      <c r="A304" s="2" t="s">
        <v>322</v>
      </c>
      <c r="B304" s="2" t="s">
        <v>33</v>
      </c>
      <c r="C304" s="2" t="s">
        <v>260</v>
      </c>
      <c r="D304" s="3">
        <v>399.7</v>
      </c>
      <c r="E304" s="3">
        <v>3.56</v>
      </c>
      <c r="F304" s="3">
        <v>317.2</v>
      </c>
      <c r="G304" s="3">
        <v>369.5</v>
      </c>
      <c r="H304" s="3">
        <v>968.6</v>
      </c>
      <c r="I304" s="4">
        <v>1281.9000000000001</v>
      </c>
      <c r="J304" s="4">
        <v>1221.3</v>
      </c>
      <c r="K304" s="3">
        <v>163.9</v>
      </c>
      <c r="L304" s="3">
        <v>3.86</v>
      </c>
      <c r="M304" s="4">
        <v>416297</v>
      </c>
      <c r="N304" s="4">
        <v>8262</v>
      </c>
      <c r="O304" s="3">
        <v>14.07</v>
      </c>
      <c r="P304" s="3" t="str">
        <f t="shared" si="4"/>
        <v>NORMAL</v>
      </c>
      <c r="Q304" s="3" cm="1">
        <f t="array" aca="1" ref="Q304" ca="1">AVERAGE(OFFSET(tbl_Process[[#This Row],[Temp_Firing_C]], MAX(1-ROW()+ROW(tbl_Process[#Headers]), -23), 0, MIN(ROW()-ROW(tbl_Process[#Headers]), 24), 1))</f>
        <v>1279.7083333333333</v>
      </c>
      <c r="R304" s="3" t="e" cm="1" vm="1">
        <f t="array" aca="1" ref="R304" ca="1">tbl_Process[Temp_Firing_C] - AVERAGE(tbl_Zones[[Target_Temp_Min_C]:[Target_Temp_Max_C]])</f>
        <v>#VALUE!</v>
      </c>
    </row>
    <row r="305" spans="1:18" x14ac:dyDescent="0.3">
      <c r="A305" s="2" t="s">
        <v>323</v>
      </c>
      <c r="B305" s="2" t="s">
        <v>33</v>
      </c>
      <c r="C305" s="2" t="s">
        <v>260</v>
      </c>
      <c r="D305" s="3">
        <v>398.9</v>
      </c>
      <c r="E305" s="3">
        <v>3.51</v>
      </c>
      <c r="F305" s="3">
        <v>318.10000000000002</v>
      </c>
      <c r="G305" s="3">
        <v>366.1</v>
      </c>
      <c r="H305" s="3">
        <v>934.7</v>
      </c>
      <c r="I305" s="4">
        <v>1289.4000000000001</v>
      </c>
      <c r="J305" s="4">
        <v>1223.9000000000001</v>
      </c>
      <c r="K305" s="3">
        <v>154.5</v>
      </c>
      <c r="L305" s="3">
        <v>3.88</v>
      </c>
      <c r="M305" s="4">
        <v>412921</v>
      </c>
      <c r="N305" s="4">
        <v>8544</v>
      </c>
      <c r="O305" s="3">
        <v>14.07</v>
      </c>
      <c r="P305" s="3" t="str">
        <f t="shared" si="4"/>
        <v>NORMAL</v>
      </c>
      <c r="Q305" s="3" cm="1">
        <f t="array" aca="1" ref="Q305" ca="1">AVERAGE(OFFSET(tbl_Process[[#This Row],[Temp_Firing_C]], MAX(1-ROW()+ROW(tbl_Process[#Headers]), -23), 0, MIN(ROW()-ROW(tbl_Process[#Headers]), 24), 1))</f>
        <v>1280.5041666666668</v>
      </c>
      <c r="R305" s="3" t="e" cm="1" vm="1">
        <f t="array" aca="1" ref="R305" ca="1">tbl_Process[Temp_Firing_C] - AVERAGE(tbl_Zones[[Target_Temp_Min_C]:[Target_Temp_Max_C]])</f>
        <v>#VALUE!</v>
      </c>
    </row>
    <row r="306" spans="1:18" x14ac:dyDescent="0.3">
      <c r="A306" s="2" t="s">
        <v>324</v>
      </c>
      <c r="B306" s="2" t="s">
        <v>33</v>
      </c>
      <c r="C306" s="2" t="s">
        <v>260</v>
      </c>
      <c r="D306" s="3">
        <v>405.5</v>
      </c>
      <c r="E306" s="3">
        <v>3.4</v>
      </c>
      <c r="F306" s="3">
        <v>325</v>
      </c>
      <c r="G306" s="3">
        <v>377.1</v>
      </c>
      <c r="H306" s="3">
        <v>963.2</v>
      </c>
      <c r="I306" s="4">
        <v>1281.3</v>
      </c>
      <c r="J306" s="4">
        <v>1220</v>
      </c>
      <c r="K306" s="3">
        <v>159.4</v>
      </c>
      <c r="L306" s="3">
        <v>3.94</v>
      </c>
      <c r="M306" s="4">
        <v>423338</v>
      </c>
      <c r="N306" s="4">
        <v>8167</v>
      </c>
      <c r="O306" s="3">
        <v>14.47</v>
      </c>
      <c r="P306" s="3" t="str">
        <f t="shared" si="4"/>
        <v>NORMAL</v>
      </c>
      <c r="Q306" s="3" cm="1">
        <f t="array" aca="1" ref="Q306" ca="1">AVERAGE(OFFSET(tbl_Process[[#This Row],[Temp_Firing_C]], MAX(1-ROW()+ROW(tbl_Process[#Headers]), -23), 0, MIN(ROW()-ROW(tbl_Process[#Headers]), 24), 1))</f>
        <v>1281.1541666666669</v>
      </c>
      <c r="R306" s="3" t="e" cm="1" vm="1">
        <f t="array" aca="1" ref="R306" ca="1">tbl_Process[Temp_Firing_C] - AVERAGE(tbl_Zones[[Target_Temp_Min_C]:[Target_Temp_Max_C]])</f>
        <v>#VALUE!</v>
      </c>
    </row>
    <row r="307" spans="1:18" x14ac:dyDescent="0.3">
      <c r="A307" s="2" t="s">
        <v>325</v>
      </c>
      <c r="B307" s="2" t="s">
        <v>33</v>
      </c>
      <c r="C307" s="2" t="s">
        <v>260</v>
      </c>
      <c r="D307" s="3">
        <v>400.1</v>
      </c>
      <c r="E307" s="3">
        <v>3.43</v>
      </c>
      <c r="F307" s="3">
        <v>313.8</v>
      </c>
      <c r="G307" s="3">
        <v>377.3</v>
      </c>
      <c r="H307" s="3">
        <v>950.7</v>
      </c>
      <c r="I307" s="4">
        <v>1262.5999999999999</v>
      </c>
      <c r="J307" s="4">
        <v>1197.7</v>
      </c>
      <c r="K307" s="3">
        <v>152.1</v>
      </c>
      <c r="L307" s="3">
        <v>3.7</v>
      </c>
      <c r="M307" s="4">
        <v>413747</v>
      </c>
      <c r="N307" s="4">
        <v>8110</v>
      </c>
      <c r="O307" s="3">
        <v>14.64</v>
      </c>
      <c r="P307" s="3" t="str">
        <f t="shared" si="4"/>
        <v>NORMAL</v>
      </c>
      <c r="Q307" s="3" cm="1">
        <f t="array" aca="1" ref="Q307" ca="1">AVERAGE(OFFSET(tbl_Process[[#This Row],[Temp_Firing_C]], MAX(1-ROW()+ROW(tbl_Process[#Headers]), -23), 0, MIN(ROW()-ROW(tbl_Process[#Headers]), 24), 1))</f>
        <v>1280.7124999999999</v>
      </c>
      <c r="R307" s="3" t="e" cm="1" vm="1">
        <f t="array" aca="1" ref="R307" ca="1">tbl_Process[Temp_Firing_C] - AVERAGE(tbl_Zones[[Target_Temp_Min_C]:[Target_Temp_Max_C]])</f>
        <v>#VALUE!</v>
      </c>
    </row>
    <row r="308" spans="1:18" x14ac:dyDescent="0.3">
      <c r="A308" s="2" t="s">
        <v>326</v>
      </c>
      <c r="B308" s="2" t="s">
        <v>33</v>
      </c>
      <c r="C308" s="2" t="s">
        <v>260</v>
      </c>
      <c r="D308" s="3">
        <v>402.3</v>
      </c>
      <c r="E308" s="3">
        <v>3.25</v>
      </c>
      <c r="F308" s="3">
        <v>308.2</v>
      </c>
      <c r="G308" s="3">
        <v>388.9</v>
      </c>
      <c r="H308" s="3">
        <v>940.1</v>
      </c>
      <c r="I308" s="4">
        <v>1280.0999999999999</v>
      </c>
      <c r="J308" s="4">
        <v>1211</v>
      </c>
      <c r="K308" s="3">
        <v>158</v>
      </c>
      <c r="L308" s="3">
        <v>3.81</v>
      </c>
      <c r="M308" s="4">
        <v>418383</v>
      </c>
      <c r="N308" s="4">
        <v>8278</v>
      </c>
      <c r="O308" s="3">
        <v>14.27</v>
      </c>
      <c r="P308" s="3" t="str">
        <f t="shared" si="4"/>
        <v>NORMAL</v>
      </c>
      <c r="Q308" s="3" cm="1">
        <f t="array" aca="1" ref="Q308" ca="1">AVERAGE(OFFSET(tbl_Process[[#This Row],[Temp_Firing_C]], MAX(1-ROW()+ROW(tbl_Process[#Headers]), -23), 0, MIN(ROW()-ROW(tbl_Process[#Headers]), 24), 1))</f>
        <v>1281.0874999999999</v>
      </c>
      <c r="R308" s="3" t="e" cm="1" vm="1">
        <f t="array" aca="1" ref="R308" ca="1">tbl_Process[Temp_Firing_C] - AVERAGE(tbl_Zones[[Target_Temp_Min_C]:[Target_Temp_Max_C]])</f>
        <v>#VALUE!</v>
      </c>
    </row>
    <row r="309" spans="1:18" x14ac:dyDescent="0.3">
      <c r="A309" s="2" t="s">
        <v>327</v>
      </c>
      <c r="B309" s="2" t="s">
        <v>33</v>
      </c>
      <c r="C309" s="2" t="s">
        <v>260</v>
      </c>
      <c r="D309" s="3">
        <v>395.8</v>
      </c>
      <c r="E309" s="3">
        <v>3.42</v>
      </c>
      <c r="F309" s="3">
        <v>309.2</v>
      </c>
      <c r="G309" s="3">
        <v>378.2</v>
      </c>
      <c r="H309" s="3">
        <v>984.4</v>
      </c>
      <c r="I309" s="4">
        <v>1286.3</v>
      </c>
      <c r="J309" s="4">
        <v>1225.5999999999999</v>
      </c>
      <c r="K309" s="3">
        <v>157.19999999999999</v>
      </c>
      <c r="L309" s="3">
        <v>3.62</v>
      </c>
      <c r="M309" s="4">
        <v>412906</v>
      </c>
      <c r="N309" s="4">
        <v>8490</v>
      </c>
      <c r="O309" s="3">
        <v>14.01</v>
      </c>
      <c r="P309" s="3" t="str">
        <f t="shared" si="4"/>
        <v>NORMAL</v>
      </c>
      <c r="Q309" s="3" cm="1">
        <f t="array" aca="1" ref="Q309" ca="1">AVERAGE(OFFSET(tbl_Process[[#This Row],[Temp_Firing_C]], MAX(1-ROW()+ROW(tbl_Process[#Headers]), -23), 0, MIN(ROW()-ROW(tbl_Process[#Headers]), 24), 1))</f>
        <v>1281.2708333333333</v>
      </c>
      <c r="R309" s="3" t="e" cm="1" vm="1">
        <f t="array" aca="1" ref="R309" ca="1">tbl_Process[Temp_Firing_C] - AVERAGE(tbl_Zones[[Target_Temp_Min_C]:[Target_Temp_Max_C]])</f>
        <v>#VALUE!</v>
      </c>
    </row>
    <row r="310" spans="1:18" x14ac:dyDescent="0.3">
      <c r="A310" s="2" t="s">
        <v>328</v>
      </c>
      <c r="B310" s="2" t="s">
        <v>33</v>
      </c>
      <c r="C310" s="2" t="s">
        <v>260</v>
      </c>
      <c r="D310" s="3">
        <v>397.2</v>
      </c>
      <c r="E310" s="3">
        <v>3.39</v>
      </c>
      <c r="F310" s="3">
        <v>310.3</v>
      </c>
      <c r="G310" s="3">
        <v>366.9</v>
      </c>
      <c r="H310" s="3">
        <v>952.6</v>
      </c>
      <c r="I310" s="4">
        <v>1268.9000000000001</v>
      </c>
      <c r="J310" s="4">
        <v>1199.5</v>
      </c>
      <c r="K310" s="3">
        <v>153.80000000000001</v>
      </c>
      <c r="L310" s="3">
        <v>3.93</v>
      </c>
      <c r="M310" s="4">
        <v>413590</v>
      </c>
      <c r="N310" s="4">
        <v>8105</v>
      </c>
      <c r="O310" s="3">
        <v>14.67</v>
      </c>
      <c r="P310" s="3" t="str">
        <f t="shared" si="4"/>
        <v>NORMAL</v>
      </c>
      <c r="Q310" s="3" cm="1">
        <f t="array" aca="1" ref="Q310" ca="1">AVERAGE(OFFSET(tbl_Process[[#This Row],[Temp_Firing_C]], MAX(1-ROW()+ROW(tbl_Process[#Headers]), -23), 0, MIN(ROW()-ROW(tbl_Process[#Headers]), 24), 1))</f>
        <v>1281.1125</v>
      </c>
      <c r="R310" s="3" t="e" cm="1" vm="1">
        <f t="array" aca="1" ref="R310" ca="1">tbl_Process[Temp_Firing_C] - AVERAGE(tbl_Zones[[Target_Temp_Min_C]:[Target_Temp_Max_C]])</f>
        <v>#VALUE!</v>
      </c>
    </row>
    <row r="311" spans="1:18" x14ac:dyDescent="0.3">
      <c r="A311" s="2" t="s">
        <v>329</v>
      </c>
      <c r="B311" s="2" t="s">
        <v>33</v>
      </c>
      <c r="C311" s="2" t="s">
        <v>260</v>
      </c>
      <c r="D311" s="3">
        <v>399.4</v>
      </c>
      <c r="E311" s="3">
        <v>3.38</v>
      </c>
      <c r="F311" s="3">
        <v>319.7</v>
      </c>
      <c r="G311" s="3">
        <v>380.6</v>
      </c>
      <c r="H311" s="3">
        <v>952</v>
      </c>
      <c r="I311" s="4">
        <v>1277.4000000000001</v>
      </c>
      <c r="J311" s="4">
        <v>1207.7</v>
      </c>
      <c r="K311" s="3">
        <v>153.6</v>
      </c>
      <c r="L311" s="3">
        <v>3.98</v>
      </c>
      <c r="M311" s="4">
        <v>417489</v>
      </c>
      <c r="N311" s="4">
        <v>8283</v>
      </c>
      <c r="O311" s="3">
        <v>14.44</v>
      </c>
      <c r="P311" s="3" t="str">
        <f t="shared" si="4"/>
        <v>NORMAL</v>
      </c>
      <c r="Q311" s="3" cm="1">
        <f t="array" aca="1" ref="Q311" ca="1">AVERAGE(OFFSET(tbl_Process[[#This Row],[Temp_Firing_C]], MAX(1-ROW()+ROW(tbl_Process[#Headers]), -23), 0, MIN(ROW()-ROW(tbl_Process[#Headers]), 24), 1))</f>
        <v>1281.0416666666665</v>
      </c>
      <c r="R311" s="3" t="e" cm="1" vm="1">
        <f t="array" aca="1" ref="R311" ca="1">tbl_Process[Temp_Firing_C] - AVERAGE(tbl_Zones[[Target_Temp_Min_C]:[Target_Temp_Max_C]])</f>
        <v>#VALUE!</v>
      </c>
    </row>
    <row r="312" spans="1:18" x14ac:dyDescent="0.3">
      <c r="A312" s="2" t="s">
        <v>330</v>
      </c>
      <c r="B312" s="2" t="s">
        <v>16</v>
      </c>
      <c r="C312" s="2" t="s">
        <v>260</v>
      </c>
      <c r="D312" s="3">
        <v>400.2</v>
      </c>
      <c r="E312" s="3">
        <v>3.46</v>
      </c>
      <c r="F312" s="3">
        <v>322.89999999999998</v>
      </c>
      <c r="G312" s="3">
        <v>382.7</v>
      </c>
      <c r="H312" s="3">
        <v>953.3</v>
      </c>
      <c r="I312" s="4">
        <v>1288.8</v>
      </c>
      <c r="J312" s="4">
        <v>1225.2</v>
      </c>
      <c r="K312" s="3">
        <v>161.30000000000001</v>
      </c>
      <c r="L312" s="3">
        <v>3.95</v>
      </c>
      <c r="M312" s="4">
        <v>418849</v>
      </c>
      <c r="N312" s="4">
        <v>8277</v>
      </c>
      <c r="O312" s="3">
        <v>14.55</v>
      </c>
      <c r="P312" s="3" t="str">
        <f t="shared" si="4"/>
        <v>NORMAL</v>
      </c>
      <c r="Q312" s="3" cm="1">
        <f t="array" aca="1" ref="Q312" ca="1">AVERAGE(OFFSET(tbl_Process[[#This Row],[Temp_Firing_C]], MAX(1-ROW()+ROW(tbl_Process[#Headers]), -23), 0, MIN(ROW()-ROW(tbl_Process[#Headers]), 24), 1))</f>
        <v>1281.5041666666668</v>
      </c>
      <c r="R312" s="3" t="e" cm="1" vm="1">
        <f t="array" aca="1" ref="R312" ca="1">tbl_Process[Temp_Firing_C] - AVERAGE(tbl_Zones[[Target_Temp_Min_C]:[Target_Temp_Max_C]])</f>
        <v>#VALUE!</v>
      </c>
    </row>
    <row r="313" spans="1:18" x14ac:dyDescent="0.3">
      <c r="A313" s="2" t="s">
        <v>331</v>
      </c>
      <c r="B313" s="2" t="s">
        <v>16</v>
      </c>
      <c r="C313" s="2" t="s">
        <v>260</v>
      </c>
      <c r="D313" s="3">
        <v>411.4</v>
      </c>
      <c r="E313" s="3">
        <v>3.37</v>
      </c>
      <c r="F313" s="3">
        <v>318.10000000000002</v>
      </c>
      <c r="G313" s="3">
        <v>373.8</v>
      </c>
      <c r="H313" s="3">
        <v>949.5</v>
      </c>
      <c r="I313" s="4">
        <v>1291.2</v>
      </c>
      <c r="J313" s="4">
        <v>1222.2</v>
      </c>
      <c r="K313" s="3">
        <v>156.1</v>
      </c>
      <c r="L313" s="3">
        <v>3.84</v>
      </c>
      <c r="M313" s="4">
        <v>415764</v>
      </c>
      <c r="N313" s="4">
        <v>8189</v>
      </c>
      <c r="O313" s="3">
        <v>14.61</v>
      </c>
      <c r="P313" s="3" t="str">
        <f t="shared" si="4"/>
        <v>NORMAL</v>
      </c>
      <c r="Q313" s="3" cm="1">
        <f t="array" aca="1" ref="Q313" ca="1">AVERAGE(OFFSET(tbl_Process[[#This Row],[Temp_Firing_C]], MAX(1-ROW()+ROW(tbl_Process[#Headers]), -23), 0, MIN(ROW()-ROW(tbl_Process[#Headers]), 24), 1))</f>
        <v>1282.075</v>
      </c>
      <c r="R313" s="3" t="e" cm="1" vm="1">
        <f t="array" aca="1" ref="R313" ca="1">tbl_Process[Temp_Firing_C] - AVERAGE(tbl_Zones[[Target_Temp_Min_C]:[Target_Temp_Max_C]])</f>
        <v>#VALUE!</v>
      </c>
    </row>
    <row r="314" spans="1:18" x14ac:dyDescent="0.3">
      <c r="A314" s="2" t="s">
        <v>332</v>
      </c>
      <c r="B314" s="2" t="s">
        <v>16</v>
      </c>
      <c r="C314" s="2" t="s">
        <v>260</v>
      </c>
      <c r="D314" s="3">
        <v>411.2</v>
      </c>
      <c r="E314" s="3">
        <v>3.37</v>
      </c>
      <c r="F314" s="3">
        <v>308.10000000000002</v>
      </c>
      <c r="G314" s="3">
        <v>383.8</v>
      </c>
      <c r="H314" s="3">
        <v>947.5</v>
      </c>
      <c r="I314" s="4">
        <v>1290.4000000000001</v>
      </c>
      <c r="J314" s="4">
        <v>1223.7</v>
      </c>
      <c r="K314" s="3">
        <v>155.6</v>
      </c>
      <c r="L314" s="3">
        <v>4.01</v>
      </c>
      <c r="M314" s="4">
        <v>420924</v>
      </c>
      <c r="N314" s="4">
        <v>8358</v>
      </c>
      <c r="O314" s="3">
        <v>14.19</v>
      </c>
      <c r="P314" s="3" t="str">
        <f t="shared" si="4"/>
        <v>NORMAL</v>
      </c>
      <c r="Q314" s="3" cm="1">
        <f t="array" aca="1" ref="Q314" ca="1">AVERAGE(OFFSET(tbl_Process[[#This Row],[Temp_Firing_C]], MAX(1-ROW()+ROW(tbl_Process[#Headers]), -23), 0, MIN(ROW()-ROW(tbl_Process[#Headers]), 24), 1))</f>
        <v>1283.0291666666667</v>
      </c>
      <c r="R314" s="3" t="e" cm="1" vm="1">
        <f t="array" aca="1" ref="R314" ca="1">tbl_Process[Temp_Firing_C] - AVERAGE(tbl_Zones[[Target_Temp_Min_C]:[Target_Temp_Max_C]])</f>
        <v>#VALUE!</v>
      </c>
    </row>
    <row r="315" spans="1:18" x14ac:dyDescent="0.3">
      <c r="A315" s="2" t="s">
        <v>333</v>
      </c>
      <c r="B315" s="2" t="s">
        <v>16</v>
      </c>
      <c r="C315" s="2" t="s">
        <v>260</v>
      </c>
      <c r="D315" s="3">
        <v>399.2</v>
      </c>
      <c r="E315" s="3">
        <v>3.3</v>
      </c>
      <c r="F315" s="3">
        <v>321</v>
      </c>
      <c r="G315" s="3">
        <v>365.6</v>
      </c>
      <c r="H315" s="3">
        <v>951.8</v>
      </c>
      <c r="I315" s="4">
        <v>1287.3</v>
      </c>
      <c r="J315" s="4">
        <v>1224.0999999999999</v>
      </c>
      <c r="K315" s="3">
        <v>162</v>
      </c>
      <c r="L315" s="3">
        <v>3.86</v>
      </c>
      <c r="M315" s="4">
        <v>421808</v>
      </c>
      <c r="N315" s="4">
        <v>8459</v>
      </c>
      <c r="O315" s="3">
        <v>14.34</v>
      </c>
      <c r="P315" s="3" t="str">
        <f t="shared" si="4"/>
        <v>NORMAL</v>
      </c>
      <c r="Q315" s="3" cm="1">
        <f t="array" aca="1" ref="Q315" ca="1">AVERAGE(OFFSET(tbl_Process[[#This Row],[Temp_Firing_C]], MAX(1-ROW()+ROW(tbl_Process[#Headers]), -23), 0, MIN(ROW()-ROW(tbl_Process[#Headers]), 24), 1))</f>
        <v>1283.1583333333335</v>
      </c>
      <c r="R315" s="3" t="e" cm="1" vm="1">
        <f t="array" aca="1" ref="R315" ca="1">tbl_Process[Temp_Firing_C] - AVERAGE(tbl_Zones[[Target_Temp_Min_C]:[Target_Temp_Max_C]])</f>
        <v>#VALUE!</v>
      </c>
    </row>
    <row r="316" spans="1:18" x14ac:dyDescent="0.3">
      <c r="A316" s="2" t="s">
        <v>334</v>
      </c>
      <c r="B316" s="2" t="s">
        <v>16</v>
      </c>
      <c r="C316" s="2" t="s">
        <v>260</v>
      </c>
      <c r="D316" s="3">
        <v>403.7</v>
      </c>
      <c r="E316" s="3">
        <v>3.46</v>
      </c>
      <c r="F316" s="3">
        <v>316.39999999999998</v>
      </c>
      <c r="G316" s="3">
        <v>369.2</v>
      </c>
      <c r="H316" s="3">
        <v>963</v>
      </c>
      <c r="I316" s="4">
        <v>1286.7</v>
      </c>
      <c r="J316" s="4">
        <v>1228.2</v>
      </c>
      <c r="K316" s="3">
        <v>154.6</v>
      </c>
      <c r="L316" s="3">
        <v>3.85</v>
      </c>
      <c r="M316" s="4">
        <v>419216</v>
      </c>
      <c r="N316" s="4">
        <v>8332</v>
      </c>
      <c r="O316" s="3">
        <v>13.86</v>
      </c>
      <c r="P316" s="3" t="str">
        <f t="shared" si="4"/>
        <v>NORMAL</v>
      </c>
      <c r="Q316" s="3" cm="1">
        <f t="array" aca="1" ref="Q316" ca="1">AVERAGE(OFFSET(tbl_Process[[#This Row],[Temp_Firing_C]], MAX(1-ROW()+ROW(tbl_Process[#Headers]), -23), 0, MIN(ROW()-ROW(tbl_Process[#Headers]), 24), 1))</f>
        <v>1283.05</v>
      </c>
      <c r="R316" s="3" t="e" cm="1" vm="1">
        <f t="array" aca="1" ref="R316" ca="1">tbl_Process[Temp_Firing_C] - AVERAGE(tbl_Zones[[Target_Temp_Min_C]:[Target_Temp_Max_C]])</f>
        <v>#VALUE!</v>
      </c>
    </row>
    <row r="317" spans="1:18" x14ac:dyDescent="0.3">
      <c r="A317" s="2" t="s">
        <v>335</v>
      </c>
      <c r="B317" s="2" t="s">
        <v>16</v>
      </c>
      <c r="C317" s="2" t="s">
        <v>260</v>
      </c>
      <c r="D317" s="3">
        <v>401.5</v>
      </c>
      <c r="E317" s="3">
        <v>3.25</v>
      </c>
      <c r="F317" s="3">
        <v>313.7</v>
      </c>
      <c r="G317" s="3">
        <v>388.6</v>
      </c>
      <c r="H317" s="3">
        <v>980.6</v>
      </c>
      <c r="I317" s="4">
        <v>1273.5999999999999</v>
      </c>
      <c r="J317" s="4">
        <v>1206.5999999999999</v>
      </c>
      <c r="K317" s="3">
        <v>159.80000000000001</v>
      </c>
      <c r="L317" s="3">
        <v>4.09</v>
      </c>
      <c r="M317" s="4">
        <v>413523</v>
      </c>
      <c r="N317" s="4">
        <v>8126</v>
      </c>
      <c r="O317" s="3">
        <v>14.89</v>
      </c>
      <c r="P317" s="3" t="str">
        <f t="shared" si="4"/>
        <v>NORMAL</v>
      </c>
      <c r="Q317" s="3" cm="1">
        <f t="array" aca="1" ref="Q317" ca="1">AVERAGE(OFFSET(tbl_Process[[#This Row],[Temp_Firing_C]], MAX(1-ROW()+ROW(tbl_Process[#Headers]), -23), 0, MIN(ROW()-ROW(tbl_Process[#Headers]), 24), 1))</f>
        <v>1282.3625</v>
      </c>
      <c r="R317" s="3" t="e" cm="1" vm="1">
        <f t="array" aca="1" ref="R317" ca="1">tbl_Process[Temp_Firing_C] - AVERAGE(tbl_Zones[[Target_Temp_Min_C]:[Target_Temp_Max_C]])</f>
        <v>#VALUE!</v>
      </c>
    </row>
    <row r="318" spans="1:18" x14ac:dyDescent="0.3">
      <c r="A318" s="2" t="s">
        <v>336</v>
      </c>
      <c r="B318" s="2" t="s">
        <v>16</v>
      </c>
      <c r="C318" s="2" t="s">
        <v>260</v>
      </c>
      <c r="D318" s="3">
        <v>398.5</v>
      </c>
      <c r="E318" s="3">
        <v>3.46</v>
      </c>
      <c r="F318" s="3">
        <v>310.8</v>
      </c>
      <c r="G318" s="3">
        <v>378.4</v>
      </c>
      <c r="H318" s="3">
        <v>939.4</v>
      </c>
      <c r="I318" s="4">
        <v>1275.7</v>
      </c>
      <c r="J318" s="4">
        <v>1215.7</v>
      </c>
      <c r="K318" s="3">
        <v>159.5</v>
      </c>
      <c r="L318" s="3">
        <v>3.86</v>
      </c>
      <c r="M318" s="4">
        <v>413005</v>
      </c>
      <c r="N318" s="4">
        <v>8182</v>
      </c>
      <c r="O318" s="3">
        <v>14.53</v>
      </c>
      <c r="P318" s="3" t="str">
        <f t="shared" si="4"/>
        <v>NORMAL</v>
      </c>
      <c r="Q318" s="3" cm="1">
        <f t="array" aca="1" ref="Q318" ca="1">AVERAGE(OFFSET(tbl_Process[[#This Row],[Temp_Firing_C]], MAX(1-ROW()+ROW(tbl_Process[#Headers]), -23), 0, MIN(ROW()-ROW(tbl_Process[#Headers]), 24), 1))</f>
        <v>1282.4416666666666</v>
      </c>
      <c r="R318" s="3" t="e" cm="1" vm="1">
        <f t="array" aca="1" ref="R318" ca="1">tbl_Process[Temp_Firing_C] - AVERAGE(tbl_Zones[[Target_Temp_Min_C]:[Target_Temp_Max_C]])</f>
        <v>#VALUE!</v>
      </c>
    </row>
    <row r="319" spans="1:18" x14ac:dyDescent="0.3">
      <c r="A319" s="2" t="s">
        <v>337</v>
      </c>
      <c r="B319" s="2" t="s">
        <v>16</v>
      </c>
      <c r="C319" s="2" t="s">
        <v>260</v>
      </c>
      <c r="D319" s="3">
        <v>403.9</v>
      </c>
      <c r="E319" s="3">
        <v>3.19</v>
      </c>
      <c r="F319" s="3">
        <v>314.89999999999998</v>
      </c>
      <c r="G319" s="3">
        <v>381</v>
      </c>
      <c r="H319" s="3">
        <v>958.6</v>
      </c>
      <c r="I319" s="4">
        <v>1287.9000000000001</v>
      </c>
      <c r="J319" s="4">
        <v>1224.5</v>
      </c>
      <c r="K319" s="3">
        <v>158.4</v>
      </c>
      <c r="L319" s="3">
        <v>3.83</v>
      </c>
      <c r="M319" s="4">
        <v>416963</v>
      </c>
      <c r="N319" s="4">
        <v>8493</v>
      </c>
      <c r="O319" s="3">
        <v>14.02</v>
      </c>
      <c r="P319" s="3" t="str">
        <f t="shared" si="4"/>
        <v>NORMAL</v>
      </c>
      <c r="Q319" s="3" cm="1">
        <f t="array" aca="1" ref="Q319" ca="1">AVERAGE(OFFSET(tbl_Process[[#This Row],[Temp_Firing_C]], MAX(1-ROW()+ROW(tbl_Process[#Headers]), -23), 0, MIN(ROW()-ROW(tbl_Process[#Headers]), 24), 1))</f>
        <v>1282.6541666666669</v>
      </c>
      <c r="R319" s="3" t="e" cm="1" vm="1">
        <f t="array" aca="1" ref="R319" ca="1">tbl_Process[Temp_Firing_C] - AVERAGE(tbl_Zones[[Target_Temp_Min_C]:[Target_Temp_Max_C]])</f>
        <v>#VALUE!</v>
      </c>
    </row>
    <row r="320" spans="1:18" x14ac:dyDescent="0.3">
      <c r="A320" s="2" t="s">
        <v>338</v>
      </c>
      <c r="B320" s="2" t="s">
        <v>24</v>
      </c>
      <c r="C320" s="2" t="s">
        <v>260</v>
      </c>
      <c r="D320" s="3">
        <v>399.7</v>
      </c>
      <c r="E320" s="3">
        <v>3.41</v>
      </c>
      <c r="F320" s="3">
        <v>329.4</v>
      </c>
      <c r="G320" s="3">
        <v>377.9</v>
      </c>
      <c r="H320" s="3">
        <v>971.5</v>
      </c>
      <c r="I320" s="4">
        <v>1294.9000000000001</v>
      </c>
      <c r="J320" s="4">
        <v>1229.5</v>
      </c>
      <c r="K320" s="3">
        <v>158.9</v>
      </c>
      <c r="L320" s="3">
        <v>3.86</v>
      </c>
      <c r="M320" s="4">
        <v>418187</v>
      </c>
      <c r="N320" s="4">
        <v>8541</v>
      </c>
      <c r="O320" s="3">
        <v>14.22</v>
      </c>
      <c r="P320" s="3" t="str">
        <f t="shared" si="4"/>
        <v>NORMAL</v>
      </c>
      <c r="Q320" s="3" cm="1">
        <f t="array" aca="1" ref="Q320" ca="1">AVERAGE(OFFSET(tbl_Process[[#This Row],[Temp_Firing_C]], MAX(1-ROW()+ROW(tbl_Process[#Headers]), -23), 0, MIN(ROW()-ROW(tbl_Process[#Headers]), 24), 1))</f>
        <v>1283.0500000000004</v>
      </c>
      <c r="R320" s="3" t="e" cm="1" vm="1">
        <f t="array" aca="1" ref="R320" ca="1">tbl_Process[Temp_Firing_C] - AVERAGE(tbl_Zones[[Target_Temp_Min_C]:[Target_Temp_Max_C]])</f>
        <v>#VALUE!</v>
      </c>
    </row>
    <row r="321" spans="1:18" x14ac:dyDescent="0.3">
      <c r="A321" s="2" t="s">
        <v>339</v>
      </c>
      <c r="B321" s="2" t="s">
        <v>24</v>
      </c>
      <c r="C321" s="2" t="s">
        <v>260</v>
      </c>
      <c r="D321" s="3">
        <v>400.9</v>
      </c>
      <c r="E321" s="3">
        <v>3.31</v>
      </c>
      <c r="F321" s="3">
        <v>314.2</v>
      </c>
      <c r="G321" s="3">
        <v>395</v>
      </c>
      <c r="H321" s="3">
        <v>957.9</v>
      </c>
      <c r="I321" s="4">
        <v>1278.9000000000001</v>
      </c>
      <c r="J321" s="4">
        <v>1222.5</v>
      </c>
      <c r="K321" s="3">
        <v>161.4</v>
      </c>
      <c r="L321" s="3">
        <v>3.96</v>
      </c>
      <c r="M321" s="4">
        <v>415719</v>
      </c>
      <c r="N321" s="4">
        <v>8209</v>
      </c>
      <c r="O321" s="3">
        <v>14.39</v>
      </c>
      <c r="P321" s="3" t="str">
        <f t="shared" si="4"/>
        <v>NORMAL</v>
      </c>
      <c r="Q321" s="3" cm="1">
        <f t="array" aca="1" ref="Q321" ca="1">AVERAGE(OFFSET(tbl_Process[[#This Row],[Temp_Firing_C]], MAX(1-ROW()+ROW(tbl_Process[#Headers]), -23), 0, MIN(ROW()-ROW(tbl_Process[#Headers]), 24), 1))</f>
        <v>1283.116666666667</v>
      </c>
      <c r="R321" s="3" t="e" cm="1" vm="1">
        <f t="array" aca="1" ref="R321" ca="1">tbl_Process[Temp_Firing_C] - AVERAGE(tbl_Zones[[Target_Temp_Min_C]:[Target_Temp_Max_C]])</f>
        <v>#VALUE!</v>
      </c>
    </row>
    <row r="322" spans="1:18" x14ac:dyDescent="0.3">
      <c r="A322" s="2" t="s">
        <v>340</v>
      </c>
      <c r="B322" s="2" t="s">
        <v>24</v>
      </c>
      <c r="C322" s="2" t="s">
        <v>260</v>
      </c>
      <c r="D322" s="3">
        <v>394.5</v>
      </c>
      <c r="E322" s="3">
        <v>3.39</v>
      </c>
      <c r="F322" s="3">
        <v>321.7</v>
      </c>
      <c r="G322" s="3">
        <v>392.9</v>
      </c>
      <c r="H322" s="3">
        <v>960.9</v>
      </c>
      <c r="I322" s="4">
        <v>1266.2</v>
      </c>
      <c r="J322" s="4">
        <v>1200.5999999999999</v>
      </c>
      <c r="K322" s="3">
        <v>173.7</v>
      </c>
      <c r="L322" s="3">
        <v>3.94</v>
      </c>
      <c r="M322" s="4">
        <v>411078</v>
      </c>
      <c r="N322" s="4">
        <v>8165</v>
      </c>
      <c r="O322" s="3">
        <v>14.28</v>
      </c>
      <c r="P322" s="3" t="str">
        <f t="shared" ref="P322:P385" si="5">IF(L322&gt;4.5,"CRITICAL",IF(OR(I322&lt;1250,I322&gt;1330),"WARNING","NORMAL"))</f>
        <v>NORMAL</v>
      </c>
      <c r="Q322" s="3" cm="1">
        <f t="array" aca="1" ref="Q322" ca="1">AVERAGE(OFFSET(tbl_Process[[#This Row],[Temp_Firing_C]], MAX(1-ROW()+ROW(tbl_Process[#Headers]), -23), 0, MIN(ROW()-ROW(tbl_Process[#Headers]), 24), 1))</f>
        <v>1282.3166666666668</v>
      </c>
      <c r="R322" s="3" t="e" cm="1" vm="1">
        <f t="array" aca="1" ref="R322" ca="1">tbl_Process[Temp_Firing_C] - AVERAGE(tbl_Zones[[Target_Temp_Min_C]:[Target_Temp_Max_C]])</f>
        <v>#VALUE!</v>
      </c>
    </row>
    <row r="323" spans="1:18" x14ac:dyDescent="0.3">
      <c r="A323" s="2" t="s">
        <v>341</v>
      </c>
      <c r="B323" s="2" t="s">
        <v>24</v>
      </c>
      <c r="C323" s="2" t="s">
        <v>260</v>
      </c>
      <c r="D323" s="3">
        <v>394.6</v>
      </c>
      <c r="E323" s="3">
        <v>3.37</v>
      </c>
      <c r="F323" s="3">
        <v>320.3</v>
      </c>
      <c r="G323" s="3">
        <v>366.6</v>
      </c>
      <c r="H323" s="3">
        <v>945.8</v>
      </c>
      <c r="I323" s="4">
        <v>1284.5</v>
      </c>
      <c r="J323" s="4">
        <v>1217.0999999999999</v>
      </c>
      <c r="K323" s="3">
        <v>161.80000000000001</v>
      </c>
      <c r="L323" s="3">
        <v>3.68</v>
      </c>
      <c r="M323" s="4">
        <v>419709</v>
      </c>
      <c r="N323" s="4">
        <v>8172</v>
      </c>
      <c r="O323" s="3">
        <v>14.87</v>
      </c>
      <c r="P323" s="3" t="str">
        <f t="shared" si="5"/>
        <v>NORMAL</v>
      </c>
      <c r="Q323" s="3" cm="1">
        <f t="array" aca="1" ref="Q323" ca="1">AVERAGE(OFFSET(tbl_Process[[#This Row],[Temp_Firing_C]], MAX(1-ROW()+ROW(tbl_Process[#Headers]), -23), 0, MIN(ROW()-ROW(tbl_Process[#Headers]), 24), 1))</f>
        <v>1282.1583333333335</v>
      </c>
      <c r="R323" s="3" t="e" cm="1" vm="1">
        <f t="array" aca="1" ref="R323" ca="1">tbl_Process[Temp_Firing_C] - AVERAGE(tbl_Zones[[Target_Temp_Min_C]:[Target_Temp_Max_C]])</f>
        <v>#VALUE!</v>
      </c>
    </row>
    <row r="324" spans="1:18" x14ac:dyDescent="0.3">
      <c r="A324" s="2" t="s">
        <v>342</v>
      </c>
      <c r="B324" s="2" t="s">
        <v>24</v>
      </c>
      <c r="C324" s="2" t="s">
        <v>260</v>
      </c>
      <c r="D324" s="3">
        <v>393.1</v>
      </c>
      <c r="E324" s="3">
        <v>3.31</v>
      </c>
      <c r="F324" s="3">
        <v>322.10000000000002</v>
      </c>
      <c r="G324" s="3">
        <v>391</v>
      </c>
      <c r="H324" s="3">
        <v>962.9</v>
      </c>
      <c r="I324" s="4">
        <v>1288.3</v>
      </c>
      <c r="J324" s="4">
        <v>1223.4000000000001</v>
      </c>
      <c r="K324" s="3">
        <v>154.6</v>
      </c>
      <c r="L324" s="3">
        <v>3.74</v>
      </c>
      <c r="M324" s="4">
        <v>413652</v>
      </c>
      <c r="N324" s="4">
        <v>8206</v>
      </c>
      <c r="O324" s="3">
        <v>14.54</v>
      </c>
      <c r="P324" s="3" t="str">
        <f t="shared" si="5"/>
        <v>NORMAL</v>
      </c>
      <c r="Q324" s="3" cm="1">
        <f t="array" aca="1" ref="Q324" ca="1">AVERAGE(OFFSET(tbl_Process[[#This Row],[Temp_Firing_C]], MAX(1-ROW()+ROW(tbl_Process[#Headers]), -23), 0, MIN(ROW()-ROW(tbl_Process[#Headers]), 24), 1))</f>
        <v>1281.7916666666667</v>
      </c>
      <c r="R324" s="3" t="e" cm="1" vm="1">
        <f t="array" aca="1" ref="R324" ca="1">tbl_Process[Temp_Firing_C] - AVERAGE(tbl_Zones[[Target_Temp_Min_C]:[Target_Temp_Max_C]])</f>
        <v>#VALUE!</v>
      </c>
    </row>
    <row r="325" spans="1:18" x14ac:dyDescent="0.3">
      <c r="A325" s="2" t="s">
        <v>343</v>
      </c>
      <c r="B325" s="2" t="s">
        <v>24</v>
      </c>
      <c r="C325" s="2" t="s">
        <v>260</v>
      </c>
      <c r="D325" s="3">
        <v>395.5</v>
      </c>
      <c r="E325" s="3">
        <v>3.43</v>
      </c>
      <c r="F325" s="3">
        <v>311.5</v>
      </c>
      <c r="G325" s="3">
        <v>381.1</v>
      </c>
      <c r="H325" s="3">
        <v>952.7</v>
      </c>
      <c r="I325" s="4">
        <v>1294.3</v>
      </c>
      <c r="J325" s="4">
        <v>1231.2</v>
      </c>
      <c r="K325" s="3">
        <v>165.7</v>
      </c>
      <c r="L325" s="3">
        <v>3.76</v>
      </c>
      <c r="M325" s="4">
        <v>419171</v>
      </c>
      <c r="N325" s="4">
        <v>8314</v>
      </c>
      <c r="O325" s="3">
        <v>14.25</v>
      </c>
      <c r="P325" s="3" t="str">
        <f t="shared" si="5"/>
        <v>NORMAL</v>
      </c>
      <c r="Q325" s="3" cm="1">
        <f t="array" aca="1" ref="Q325" ca="1">AVERAGE(OFFSET(tbl_Process[[#This Row],[Temp_Firing_C]], MAX(1-ROW()+ROW(tbl_Process[#Headers]), -23), 0, MIN(ROW()-ROW(tbl_Process[#Headers]), 24), 1))</f>
        <v>1282.2500000000002</v>
      </c>
      <c r="R325" s="3" t="e" cm="1" vm="1">
        <f t="array" aca="1" ref="R325" ca="1">tbl_Process[Temp_Firing_C] - AVERAGE(tbl_Zones[[Target_Temp_Min_C]:[Target_Temp_Max_C]])</f>
        <v>#VALUE!</v>
      </c>
    </row>
    <row r="326" spans="1:18" x14ac:dyDescent="0.3">
      <c r="A326" s="2" t="s">
        <v>344</v>
      </c>
      <c r="B326" s="2" t="s">
        <v>24</v>
      </c>
      <c r="C326" s="2" t="s">
        <v>260</v>
      </c>
      <c r="D326" s="3">
        <v>399</v>
      </c>
      <c r="E326" s="3">
        <v>3.34</v>
      </c>
      <c r="F326" s="3">
        <v>311.7</v>
      </c>
      <c r="G326" s="3">
        <v>368.7</v>
      </c>
      <c r="H326" s="3">
        <v>929.8</v>
      </c>
      <c r="I326" s="4">
        <v>1273.8</v>
      </c>
      <c r="J326" s="4">
        <v>1212.5999999999999</v>
      </c>
      <c r="K326" s="3">
        <v>151.30000000000001</v>
      </c>
      <c r="L326" s="3">
        <v>3.71</v>
      </c>
      <c r="M326" s="4">
        <v>421552</v>
      </c>
      <c r="N326" s="4">
        <v>8109</v>
      </c>
      <c r="O326" s="3">
        <v>14.59</v>
      </c>
      <c r="P326" s="3" t="str">
        <f t="shared" si="5"/>
        <v>NORMAL</v>
      </c>
      <c r="Q326" s="3" cm="1">
        <f t="array" aca="1" ref="Q326" ca="1">AVERAGE(OFFSET(tbl_Process[[#This Row],[Temp_Firing_C]], MAX(1-ROW()+ROW(tbl_Process[#Headers]), -23), 0, MIN(ROW()-ROW(tbl_Process[#Headers]), 24), 1))</f>
        <v>1281.7750000000001</v>
      </c>
      <c r="R326" s="3" t="e" cm="1" vm="1">
        <f t="array" aca="1" ref="R326" ca="1">tbl_Process[Temp_Firing_C] - AVERAGE(tbl_Zones[[Target_Temp_Min_C]:[Target_Temp_Max_C]])</f>
        <v>#VALUE!</v>
      </c>
    </row>
    <row r="327" spans="1:18" x14ac:dyDescent="0.3">
      <c r="A327" s="2" t="s">
        <v>345</v>
      </c>
      <c r="B327" s="2" t="s">
        <v>24</v>
      </c>
      <c r="C327" s="2" t="s">
        <v>260</v>
      </c>
      <c r="D327" s="3">
        <v>402.6</v>
      </c>
      <c r="E327" s="3">
        <v>3.45</v>
      </c>
      <c r="F327" s="3">
        <v>309.5</v>
      </c>
      <c r="G327" s="3">
        <v>376.6</v>
      </c>
      <c r="H327" s="3">
        <v>937.9</v>
      </c>
      <c r="I327" s="4">
        <v>1301</v>
      </c>
      <c r="J327" s="4">
        <v>1226.4000000000001</v>
      </c>
      <c r="K327" s="3">
        <v>153.9</v>
      </c>
      <c r="L327" s="3">
        <v>3.82</v>
      </c>
      <c r="M327" s="4">
        <v>414942</v>
      </c>
      <c r="N327" s="4">
        <v>8674</v>
      </c>
      <c r="O327" s="3">
        <v>14.67</v>
      </c>
      <c r="P327" s="3" t="str">
        <f t="shared" si="5"/>
        <v>NORMAL</v>
      </c>
      <c r="Q327" s="3" cm="1">
        <f t="array" aca="1" ref="Q327" ca="1">AVERAGE(OFFSET(tbl_Process[[#This Row],[Temp_Firing_C]], MAX(1-ROW()+ROW(tbl_Process[#Headers]), -23), 0, MIN(ROW()-ROW(tbl_Process[#Headers]), 24), 1))</f>
        <v>1282.9750000000001</v>
      </c>
      <c r="R327" s="3" t="e" cm="1" vm="1">
        <f t="array" aca="1" ref="R327" ca="1">tbl_Process[Temp_Firing_C] - AVERAGE(tbl_Zones[[Target_Temp_Min_C]:[Target_Temp_Max_C]])</f>
        <v>#VALUE!</v>
      </c>
    </row>
    <row r="328" spans="1:18" x14ac:dyDescent="0.3">
      <c r="A328" s="2" t="s">
        <v>346</v>
      </c>
      <c r="B328" s="2" t="s">
        <v>33</v>
      </c>
      <c r="C328" s="2" t="s">
        <v>260</v>
      </c>
      <c r="D328" s="3">
        <v>398.1</v>
      </c>
      <c r="E328" s="3">
        <v>3.29</v>
      </c>
      <c r="F328" s="3">
        <v>305</v>
      </c>
      <c r="G328" s="3">
        <v>376.1</v>
      </c>
      <c r="H328" s="3">
        <v>952.9</v>
      </c>
      <c r="I328" s="4">
        <v>1275.5</v>
      </c>
      <c r="J328" s="4">
        <v>1211.8</v>
      </c>
      <c r="K328" s="3">
        <v>160.9</v>
      </c>
      <c r="L328" s="3">
        <v>3.89</v>
      </c>
      <c r="M328" s="4">
        <v>414484</v>
      </c>
      <c r="N328" s="4">
        <v>8074</v>
      </c>
      <c r="O328" s="3">
        <v>14.71</v>
      </c>
      <c r="P328" s="3" t="str">
        <f t="shared" si="5"/>
        <v>NORMAL</v>
      </c>
      <c r="Q328" s="3" cm="1">
        <f t="array" aca="1" ref="Q328" ca="1">AVERAGE(OFFSET(tbl_Process[[#This Row],[Temp_Firing_C]], MAX(1-ROW()+ROW(tbl_Process[#Headers]), -23), 0, MIN(ROW()-ROW(tbl_Process[#Headers]), 24), 1))</f>
        <v>1282.7083333333335</v>
      </c>
      <c r="R328" s="3" t="e" cm="1" vm="1">
        <f t="array" aca="1" ref="R328" ca="1">tbl_Process[Temp_Firing_C] - AVERAGE(tbl_Zones[[Target_Temp_Min_C]:[Target_Temp_Max_C]])</f>
        <v>#VALUE!</v>
      </c>
    </row>
    <row r="329" spans="1:18" x14ac:dyDescent="0.3">
      <c r="A329" s="2" t="s">
        <v>347</v>
      </c>
      <c r="B329" s="2" t="s">
        <v>33</v>
      </c>
      <c r="C329" s="2" t="s">
        <v>260</v>
      </c>
      <c r="D329" s="3">
        <v>400.1</v>
      </c>
      <c r="E329" s="3">
        <v>3.47</v>
      </c>
      <c r="F329" s="3">
        <v>322.89999999999998</v>
      </c>
      <c r="G329" s="3">
        <v>367.6</v>
      </c>
      <c r="H329" s="3">
        <v>939.1</v>
      </c>
      <c r="I329" s="4">
        <v>1274</v>
      </c>
      <c r="J329" s="4">
        <v>1202.7</v>
      </c>
      <c r="K329" s="3">
        <v>162.5</v>
      </c>
      <c r="L329" s="3">
        <v>3.96</v>
      </c>
      <c r="M329" s="4">
        <v>419167</v>
      </c>
      <c r="N329" s="4">
        <v>8236</v>
      </c>
      <c r="O329" s="3">
        <v>14.46</v>
      </c>
      <c r="P329" s="3" t="str">
        <f t="shared" si="5"/>
        <v>NORMAL</v>
      </c>
      <c r="Q329" s="3" cm="1">
        <f t="array" aca="1" ref="Q329" ca="1">AVERAGE(OFFSET(tbl_Process[[#This Row],[Temp_Firing_C]], MAX(1-ROW()+ROW(tbl_Process[#Headers]), -23), 0, MIN(ROW()-ROW(tbl_Process[#Headers]), 24), 1))</f>
        <v>1282.0666666666668</v>
      </c>
      <c r="R329" s="3" t="e" cm="1" vm="1">
        <f t="array" aca="1" ref="R329" ca="1">tbl_Process[Temp_Firing_C] - AVERAGE(tbl_Zones[[Target_Temp_Min_C]:[Target_Temp_Max_C]])</f>
        <v>#VALUE!</v>
      </c>
    </row>
    <row r="330" spans="1:18" x14ac:dyDescent="0.3">
      <c r="A330" s="2" t="s">
        <v>348</v>
      </c>
      <c r="B330" s="2" t="s">
        <v>33</v>
      </c>
      <c r="C330" s="2" t="s">
        <v>260</v>
      </c>
      <c r="D330" s="3">
        <v>404.8</v>
      </c>
      <c r="E330" s="3">
        <v>3.44</v>
      </c>
      <c r="F330" s="3">
        <v>318.39999999999998</v>
      </c>
      <c r="G330" s="3">
        <v>387.7</v>
      </c>
      <c r="H330" s="3">
        <v>957.4</v>
      </c>
      <c r="I330" s="4">
        <v>1277.2</v>
      </c>
      <c r="J330" s="4">
        <v>1207.2</v>
      </c>
      <c r="K330" s="3">
        <v>162.19999999999999</v>
      </c>
      <c r="L330" s="3">
        <v>4.12</v>
      </c>
      <c r="M330" s="4">
        <v>415719</v>
      </c>
      <c r="N330" s="4">
        <v>8383</v>
      </c>
      <c r="O330" s="3">
        <v>13.8</v>
      </c>
      <c r="P330" s="3" t="str">
        <f t="shared" si="5"/>
        <v>NORMAL</v>
      </c>
      <c r="Q330" s="3" cm="1">
        <f t="array" aca="1" ref="Q330" ca="1">AVERAGE(OFFSET(tbl_Process[[#This Row],[Temp_Firing_C]], MAX(1-ROW()+ROW(tbl_Process[#Headers]), -23), 0, MIN(ROW()-ROW(tbl_Process[#Headers]), 24), 1))</f>
        <v>1281.8958333333335</v>
      </c>
      <c r="R330" s="3" t="e" cm="1" vm="1">
        <f t="array" aca="1" ref="R330" ca="1">tbl_Process[Temp_Firing_C] - AVERAGE(tbl_Zones[[Target_Temp_Min_C]:[Target_Temp_Max_C]])</f>
        <v>#VALUE!</v>
      </c>
    </row>
    <row r="331" spans="1:18" x14ac:dyDescent="0.3">
      <c r="A331" s="2" t="s">
        <v>349</v>
      </c>
      <c r="B331" s="2" t="s">
        <v>33</v>
      </c>
      <c r="C331" s="2" t="s">
        <v>260</v>
      </c>
      <c r="D331" s="3">
        <v>399.8</v>
      </c>
      <c r="E331" s="3">
        <v>3.4</v>
      </c>
      <c r="F331" s="3">
        <v>313.60000000000002</v>
      </c>
      <c r="G331" s="3">
        <v>393.9</v>
      </c>
      <c r="H331" s="3">
        <v>955.1</v>
      </c>
      <c r="I331" s="4">
        <v>1276.2</v>
      </c>
      <c r="J331" s="4">
        <v>1211.4000000000001</v>
      </c>
      <c r="K331" s="3">
        <v>148.6</v>
      </c>
      <c r="L331" s="3">
        <v>3.81</v>
      </c>
      <c r="M331" s="4">
        <v>419157</v>
      </c>
      <c r="N331" s="4">
        <v>8139</v>
      </c>
      <c r="O331" s="3">
        <v>14.28</v>
      </c>
      <c r="P331" s="3" t="str">
        <f t="shared" si="5"/>
        <v>NORMAL</v>
      </c>
      <c r="Q331" s="3" cm="1">
        <f t="array" aca="1" ref="Q331" ca="1">AVERAGE(OFFSET(tbl_Process[[#This Row],[Temp_Firing_C]], MAX(1-ROW()+ROW(tbl_Process[#Headers]), -23), 0, MIN(ROW()-ROW(tbl_Process[#Headers]), 24), 1))</f>
        <v>1282.4625000000001</v>
      </c>
      <c r="R331" s="3" t="e" cm="1" vm="1">
        <f t="array" aca="1" ref="R331" ca="1">tbl_Process[Temp_Firing_C] - AVERAGE(tbl_Zones[[Target_Temp_Min_C]:[Target_Temp_Max_C]])</f>
        <v>#VALUE!</v>
      </c>
    </row>
    <row r="332" spans="1:18" x14ac:dyDescent="0.3">
      <c r="A332" s="2" t="s">
        <v>350</v>
      </c>
      <c r="B332" s="2" t="s">
        <v>33</v>
      </c>
      <c r="C332" s="2" t="s">
        <v>260</v>
      </c>
      <c r="D332" s="3">
        <v>405.2</v>
      </c>
      <c r="E332" s="3">
        <v>3.51</v>
      </c>
      <c r="F332" s="3">
        <v>321.10000000000002</v>
      </c>
      <c r="G332" s="3">
        <v>374.1</v>
      </c>
      <c r="H332" s="3">
        <v>953.1</v>
      </c>
      <c r="I332" s="4">
        <v>1273.0999999999999</v>
      </c>
      <c r="J332" s="4">
        <v>1202.0999999999999</v>
      </c>
      <c r="K332" s="3">
        <v>153.4</v>
      </c>
      <c r="L332" s="3">
        <v>3.92</v>
      </c>
      <c r="M332" s="4">
        <v>411536</v>
      </c>
      <c r="N332" s="4">
        <v>7990</v>
      </c>
      <c r="O332" s="3">
        <v>14.66</v>
      </c>
      <c r="P332" s="3" t="str">
        <f t="shared" si="5"/>
        <v>NORMAL</v>
      </c>
      <c r="Q332" s="3" cm="1">
        <f t="array" aca="1" ref="Q332" ca="1">AVERAGE(OFFSET(tbl_Process[[#This Row],[Temp_Firing_C]], MAX(1-ROW()+ROW(tbl_Process[#Headers]), -23), 0, MIN(ROW()-ROW(tbl_Process[#Headers]), 24), 1))</f>
        <v>1282.1708333333333</v>
      </c>
      <c r="R332" s="3" t="e" cm="1" vm="1">
        <f t="array" aca="1" ref="R332" ca="1">tbl_Process[Temp_Firing_C] - AVERAGE(tbl_Zones[[Target_Temp_Min_C]:[Target_Temp_Max_C]])</f>
        <v>#VALUE!</v>
      </c>
    </row>
    <row r="333" spans="1:18" x14ac:dyDescent="0.3">
      <c r="A333" s="2" t="s">
        <v>351</v>
      </c>
      <c r="B333" s="2" t="s">
        <v>33</v>
      </c>
      <c r="C333" s="2" t="s">
        <v>260</v>
      </c>
      <c r="D333" s="3">
        <v>400.9</v>
      </c>
      <c r="E333" s="3">
        <v>3.54</v>
      </c>
      <c r="F333" s="3">
        <v>314.10000000000002</v>
      </c>
      <c r="G333" s="3">
        <v>379.5</v>
      </c>
      <c r="H333" s="3">
        <v>960</v>
      </c>
      <c r="I333" s="4">
        <v>1277.9000000000001</v>
      </c>
      <c r="J333" s="4">
        <v>1217.4000000000001</v>
      </c>
      <c r="K333" s="3">
        <v>162.6</v>
      </c>
      <c r="L333" s="3">
        <v>3.99</v>
      </c>
      <c r="M333" s="4">
        <v>415127</v>
      </c>
      <c r="N333" s="4">
        <v>8192</v>
      </c>
      <c r="O333" s="3">
        <v>14.1</v>
      </c>
      <c r="P333" s="3" t="str">
        <f t="shared" si="5"/>
        <v>NORMAL</v>
      </c>
      <c r="Q333" s="3" cm="1">
        <f t="array" aca="1" ref="Q333" ca="1">AVERAGE(OFFSET(tbl_Process[[#This Row],[Temp_Firing_C]], MAX(1-ROW()+ROW(tbl_Process[#Headers]), -23), 0, MIN(ROW()-ROW(tbl_Process[#Headers]), 24), 1))</f>
        <v>1281.8208333333334</v>
      </c>
      <c r="R333" s="3" t="e" cm="1" vm="1">
        <f t="array" aca="1" ref="R333" ca="1">tbl_Process[Temp_Firing_C] - AVERAGE(tbl_Zones[[Target_Temp_Min_C]:[Target_Temp_Max_C]])</f>
        <v>#VALUE!</v>
      </c>
    </row>
    <row r="334" spans="1:18" x14ac:dyDescent="0.3">
      <c r="A334" s="2" t="s">
        <v>352</v>
      </c>
      <c r="B334" s="2" t="s">
        <v>33</v>
      </c>
      <c r="C334" s="2" t="s">
        <v>260</v>
      </c>
      <c r="D334" s="3">
        <v>396.8</v>
      </c>
      <c r="E334" s="3">
        <v>3.35</v>
      </c>
      <c r="F334" s="3">
        <v>311.60000000000002</v>
      </c>
      <c r="G334" s="3">
        <v>380.9</v>
      </c>
      <c r="H334" s="3">
        <v>971</v>
      </c>
      <c r="I334" s="4">
        <v>1273.3</v>
      </c>
      <c r="J334" s="4">
        <v>1210</v>
      </c>
      <c r="K334" s="3">
        <v>153.69999999999999</v>
      </c>
      <c r="L334" s="3">
        <v>3.81</v>
      </c>
      <c r="M334" s="4">
        <v>412778</v>
      </c>
      <c r="N334" s="4">
        <v>8252</v>
      </c>
      <c r="O334" s="3">
        <v>14.23</v>
      </c>
      <c r="P334" s="3" t="str">
        <f t="shared" si="5"/>
        <v>NORMAL</v>
      </c>
      <c r="Q334" s="3" cm="1">
        <f t="array" aca="1" ref="Q334" ca="1">AVERAGE(OFFSET(tbl_Process[[#This Row],[Temp_Firing_C]], MAX(1-ROW()+ROW(tbl_Process[#Headers]), -23), 0, MIN(ROW()-ROW(tbl_Process[#Headers]), 24), 1))</f>
        <v>1282.0041666666666</v>
      </c>
      <c r="R334" s="3" t="e" cm="1" vm="1">
        <f t="array" aca="1" ref="R334" ca="1">tbl_Process[Temp_Firing_C] - AVERAGE(tbl_Zones[[Target_Temp_Min_C]:[Target_Temp_Max_C]])</f>
        <v>#VALUE!</v>
      </c>
    </row>
    <row r="335" spans="1:18" x14ac:dyDescent="0.3">
      <c r="A335" s="2" t="s">
        <v>353</v>
      </c>
      <c r="B335" s="2" t="s">
        <v>33</v>
      </c>
      <c r="C335" s="2" t="s">
        <v>260</v>
      </c>
      <c r="D335" s="3">
        <v>404</v>
      </c>
      <c r="E335" s="3">
        <v>3.38</v>
      </c>
      <c r="F335" s="3">
        <v>314.8</v>
      </c>
      <c r="G335" s="3">
        <v>369.5</v>
      </c>
      <c r="H335" s="3">
        <v>960.4</v>
      </c>
      <c r="I335" s="4">
        <v>1288.5999999999999</v>
      </c>
      <c r="J335" s="4">
        <v>1225.2</v>
      </c>
      <c r="K335" s="3">
        <v>170.3</v>
      </c>
      <c r="L335" s="3">
        <v>4.1100000000000003</v>
      </c>
      <c r="M335" s="4">
        <v>416872</v>
      </c>
      <c r="N335" s="4">
        <v>8325</v>
      </c>
      <c r="O335" s="3">
        <v>14.46</v>
      </c>
      <c r="P335" s="3" t="str">
        <f t="shared" si="5"/>
        <v>NORMAL</v>
      </c>
      <c r="Q335" s="3" cm="1">
        <f t="array" aca="1" ref="Q335" ca="1">AVERAGE(OFFSET(tbl_Process[[#This Row],[Temp_Firing_C]], MAX(1-ROW()+ROW(tbl_Process[#Headers]), -23), 0, MIN(ROW()-ROW(tbl_Process[#Headers]), 24), 1))</f>
        <v>1282.4708333333333</v>
      </c>
      <c r="R335" s="3" t="e" cm="1" vm="1">
        <f t="array" aca="1" ref="R335" ca="1">tbl_Process[Temp_Firing_C] - AVERAGE(tbl_Zones[[Target_Temp_Min_C]:[Target_Temp_Max_C]])</f>
        <v>#VALUE!</v>
      </c>
    </row>
    <row r="336" spans="1:18" x14ac:dyDescent="0.3">
      <c r="A336" s="2" t="s">
        <v>354</v>
      </c>
      <c r="B336" s="2" t="s">
        <v>16</v>
      </c>
      <c r="C336" s="2" t="s">
        <v>260</v>
      </c>
      <c r="D336" s="3">
        <v>396.6</v>
      </c>
      <c r="E336" s="3">
        <v>3.49</v>
      </c>
      <c r="F336" s="3">
        <v>321.2</v>
      </c>
      <c r="G336" s="3">
        <v>380.6</v>
      </c>
      <c r="H336" s="3">
        <v>966.4</v>
      </c>
      <c r="I336" s="4">
        <v>1296.3</v>
      </c>
      <c r="J336" s="4">
        <v>1232.3</v>
      </c>
      <c r="K336" s="3">
        <v>158.80000000000001</v>
      </c>
      <c r="L336" s="3">
        <v>4.0599999999999996</v>
      </c>
      <c r="M336" s="4">
        <v>422720</v>
      </c>
      <c r="N336" s="4">
        <v>8417</v>
      </c>
      <c r="O336" s="3">
        <v>14.27</v>
      </c>
      <c r="P336" s="3" t="str">
        <f t="shared" si="5"/>
        <v>NORMAL</v>
      </c>
      <c r="Q336" s="3" cm="1">
        <f t="array" aca="1" ref="Q336" ca="1">AVERAGE(OFFSET(tbl_Process[[#This Row],[Temp_Firing_C]], MAX(1-ROW()+ROW(tbl_Process[#Headers]), -23), 0, MIN(ROW()-ROW(tbl_Process[#Headers]), 24), 1))</f>
        <v>1282.7833333333333</v>
      </c>
      <c r="R336" s="3" t="e" cm="1" vm="1">
        <f t="array" aca="1" ref="R336" ca="1">tbl_Process[Temp_Firing_C] - AVERAGE(tbl_Zones[[Target_Temp_Min_C]:[Target_Temp_Max_C]])</f>
        <v>#VALUE!</v>
      </c>
    </row>
    <row r="337" spans="1:18" x14ac:dyDescent="0.3">
      <c r="A337" s="2" t="s">
        <v>355</v>
      </c>
      <c r="B337" s="2" t="s">
        <v>16</v>
      </c>
      <c r="C337" s="2" t="s">
        <v>260</v>
      </c>
      <c r="D337" s="3">
        <v>400.8</v>
      </c>
      <c r="E337" s="3">
        <v>3.43</v>
      </c>
      <c r="F337" s="3">
        <v>311.39999999999998</v>
      </c>
      <c r="G337" s="3">
        <v>368.6</v>
      </c>
      <c r="H337" s="3">
        <v>948.4</v>
      </c>
      <c r="I337" s="4">
        <v>1276</v>
      </c>
      <c r="J337" s="4">
        <v>1207.0999999999999</v>
      </c>
      <c r="K337" s="3">
        <v>162.9</v>
      </c>
      <c r="L337" s="3">
        <v>3.9</v>
      </c>
      <c r="M337" s="4">
        <v>416367</v>
      </c>
      <c r="N337" s="4">
        <v>8065</v>
      </c>
      <c r="O337" s="3">
        <v>14.43</v>
      </c>
      <c r="P337" s="3" t="str">
        <f t="shared" si="5"/>
        <v>NORMAL</v>
      </c>
      <c r="Q337" s="3" cm="1">
        <f t="array" aca="1" ref="Q337" ca="1">AVERAGE(OFFSET(tbl_Process[[#This Row],[Temp_Firing_C]], MAX(1-ROW()+ROW(tbl_Process[#Headers]), -23), 0, MIN(ROW()-ROW(tbl_Process[#Headers]), 24), 1))</f>
        <v>1282.1499999999999</v>
      </c>
      <c r="R337" s="3" t="e" cm="1" vm="1">
        <f t="array" aca="1" ref="R337" ca="1">tbl_Process[Temp_Firing_C] - AVERAGE(tbl_Zones[[Target_Temp_Min_C]:[Target_Temp_Max_C]])</f>
        <v>#VALUE!</v>
      </c>
    </row>
    <row r="338" spans="1:18" x14ac:dyDescent="0.3">
      <c r="A338" s="2" t="s">
        <v>356</v>
      </c>
      <c r="B338" s="2" t="s">
        <v>16</v>
      </c>
      <c r="C338" s="2" t="s">
        <v>260</v>
      </c>
      <c r="D338" s="3">
        <v>402.3</v>
      </c>
      <c r="E338" s="3">
        <v>3.45</v>
      </c>
      <c r="F338" s="3">
        <v>315.7</v>
      </c>
      <c r="G338" s="3">
        <v>381.1</v>
      </c>
      <c r="H338" s="3">
        <v>986.4</v>
      </c>
      <c r="I338" s="4">
        <v>1284.9000000000001</v>
      </c>
      <c r="J338" s="4">
        <v>1215.7</v>
      </c>
      <c r="K338" s="3">
        <v>159.1</v>
      </c>
      <c r="L338" s="3">
        <v>3.95</v>
      </c>
      <c r="M338" s="4">
        <v>416753</v>
      </c>
      <c r="N338" s="4">
        <v>8315</v>
      </c>
      <c r="O338" s="3">
        <v>13.99</v>
      </c>
      <c r="P338" s="3" t="str">
        <f t="shared" si="5"/>
        <v>NORMAL</v>
      </c>
      <c r="Q338" s="3" cm="1">
        <f t="array" aca="1" ref="Q338" ca="1">AVERAGE(OFFSET(tbl_Process[[#This Row],[Temp_Firing_C]], MAX(1-ROW()+ROW(tbl_Process[#Headers]), -23), 0, MIN(ROW()-ROW(tbl_Process[#Headers]), 24), 1))</f>
        <v>1281.9208333333333</v>
      </c>
      <c r="R338" s="3" t="e" cm="1" vm="1">
        <f t="array" aca="1" ref="R338" ca="1">tbl_Process[Temp_Firing_C] - AVERAGE(tbl_Zones[[Target_Temp_Min_C]:[Target_Temp_Max_C]])</f>
        <v>#VALUE!</v>
      </c>
    </row>
    <row r="339" spans="1:18" x14ac:dyDescent="0.3">
      <c r="A339" s="2" t="s">
        <v>357</v>
      </c>
      <c r="B339" s="2" t="s">
        <v>16</v>
      </c>
      <c r="C339" s="2" t="s">
        <v>260</v>
      </c>
      <c r="D339" s="3">
        <v>396.1</v>
      </c>
      <c r="E339" s="3">
        <v>3.39</v>
      </c>
      <c r="F339" s="3">
        <v>319.5</v>
      </c>
      <c r="G339" s="3">
        <v>376.7</v>
      </c>
      <c r="H339" s="3">
        <v>958.8</v>
      </c>
      <c r="I339" s="4">
        <v>1286.8</v>
      </c>
      <c r="J339" s="4">
        <v>1227.0999999999999</v>
      </c>
      <c r="K339" s="3">
        <v>159.80000000000001</v>
      </c>
      <c r="L339" s="3">
        <v>3.9</v>
      </c>
      <c r="M339" s="4">
        <v>415728</v>
      </c>
      <c r="N339" s="4">
        <v>8410</v>
      </c>
      <c r="O339" s="3">
        <v>14.37</v>
      </c>
      <c r="P339" s="3" t="str">
        <f t="shared" si="5"/>
        <v>NORMAL</v>
      </c>
      <c r="Q339" s="3" cm="1">
        <f t="array" aca="1" ref="Q339" ca="1">AVERAGE(OFFSET(tbl_Process[[#This Row],[Temp_Firing_C]], MAX(1-ROW()+ROW(tbl_Process[#Headers]), -23), 0, MIN(ROW()-ROW(tbl_Process[#Headers]), 24), 1))</f>
        <v>1281.8999999999999</v>
      </c>
      <c r="R339" s="3" t="e" cm="1" vm="1">
        <f t="array" aca="1" ref="R339" ca="1">tbl_Process[Temp_Firing_C] - AVERAGE(tbl_Zones[[Target_Temp_Min_C]:[Target_Temp_Max_C]])</f>
        <v>#VALUE!</v>
      </c>
    </row>
    <row r="340" spans="1:18" x14ac:dyDescent="0.3">
      <c r="A340" s="2" t="s">
        <v>358</v>
      </c>
      <c r="B340" s="2" t="s">
        <v>16</v>
      </c>
      <c r="C340" s="2" t="s">
        <v>260</v>
      </c>
      <c r="D340" s="3">
        <v>403.5</v>
      </c>
      <c r="E340" s="3">
        <v>3.46</v>
      </c>
      <c r="F340" s="3">
        <v>324.5</v>
      </c>
      <c r="G340" s="3">
        <v>380.6</v>
      </c>
      <c r="H340" s="3">
        <v>964.8</v>
      </c>
      <c r="I340" s="4">
        <v>1296</v>
      </c>
      <c r="J340" s="4">
        <v>1227.0999999999999</v>
      </c>
      <c r="K340" s="3">
        <v>157.5</v>
      </c>
      <c r="L340" s="3">
        <v>3.98</v>
      </c>
      <c r="M340" s="4">
        <v>420733</v>
      </c>
      <c r="N340" s="4">
        <v>8353</v>
      </c>
      <c r="O340" s="3">
        <v>14.3</v>
      </c>
      <c r="P340" s="3" t="str">
        <f t="shared" si="5"/>
        <v>NORMAL</v>
      </c>
      <c r="Q340" s="3" cm="1">
        <f t="array" aca="1" ref="Q340" ca="1">AVERAGE(OFFSET(tbl_Process[[#This Row],[Temp_Firing_C]], MAX(1-ROW()+ROW(tbl_Process[#Headers]), -23), 0, MIN(ROW()-ROW(tbl_Process[#Headers]), 24), 1))</f>
        <v>1282.2874999999999</v>
      </c>
      <c r="R340" s="3" t="e" cm="1" vm="1">
        <f t="array" aca="1" ref="R340" ca="1">tbl_Process[Temp_Firing_C] - AVERAGE(tbl_Zones[[Target_Temp_Min_C]:[Target_Temp_Max_C]])</f>
        <v>#VALUE!</v>
      </c>
    </row>
    <row r="341" spans="1:18" x14ac:dyDescent="0.3">
      <c r="A341" s="2" t="s">
        <v>359</v>
      </c>
      <c r="B341" s="2" t="s">
        <v>16</v>
      </c>
      <c r="C341" s="2" t="s">
        <v>260</v>
      </c>
      <c r="D341" s="3">
        <v>399.6</v>
      </c>
      <c r="E341" s="3">
        <v>3.22</v>
      </c>
      <c r="F341" s="3">
        <v>320</v>
      </c>
      <c r="G341" s="3">
        <v>380.7</v>
      </c>
      <c r="H341" s="3">
        <v>960.7</v>
      </c>
      <c r="I341" s="4">
        <v>1299.9000000000001</v>
      </c>
      <c r="J341" s="4">
        <v>1227.5999999999999</v>
      </c>
      <c r="K341" s="3">
        <v>156.80000000000001</v>
      </c>
      <c r="L341" s="3">
        <v>3.54</v>
      </c>
      <c r="M341" s="4">
        <v>418299</v>
      </c>
      <c r="N341" s="4">
        <v>8451</v>
      </c>
      <c r="O341" s="3">
        <v>14.11</v>
      </c>
      <c r="P341" s="3" t="str">
        <f t="shared" si="5"/>
        <v>NORMAL</v>
      </c>
      <c r="Q341" s="3" cm="1">
        <f t="array" aca="1" ref="Q341" ca="1">AVERAGE(OFFSET(tbl_Process[[#This Row],[Temp_Firing_C]], MAX(1-ROW()+ROW(tbl_Process[#Headers]), -23), 0, MIN(ROW()-ROW(tbl_Process[#Headers]), 24), 1))</f>
        <v>1283.3833333333332</v>
      </c>
      <c r="R341" s="3" t="e" cm="1" vm="1">
        <f t="array" aca="1" ref="R341" ca="1">tbl_Process[Temp_Firing_C] - AVERAGE(tbl_Zones[[Target_Temp_Min_C]:[Target_Temp_Max_C]])</f>
        <v>#VALUE!</v>
      </c>
    </row>
    <row r="342" spans="1:18" x14ac:dyDescent="0.3">
      <c r="A342" s="2" t="s">
        <v>360</v>
      </c>
      <c r="B342" s="2" t="s">
        <v>16</v>
      </c>
      <c r="C342" s="2" t="s">
        <v>260</v>
      </c>
      <c r="D342" s="3">
        <v>404.4</v>
      </c>
      <c r="E342" s="3">
        <v>3.47</v>
      </c>
      <c r="F342" s="3">
        <v>322.10000000000002</v>
      </c>
      <c r="G342" s="3">
        <v>379.6</v>
      </c>
      <c r="H342" s="3">
        <v>975.6</v>
      </c>
      <c r="I342" s="4">
        <v>1289.3</v>
      </c>
      <c r="J342" s="4">
        <v>1219.4000000000001</v>
      </c>
      <c r="K342" s="3">
        <v>152.5</v>
      </c>
      <c r="L342" s="3">
        <v>3.92</v>
      </c>
      <c r="M342" s="4">
        <v>420715</v>
      </c>
      <c r="N342" s="4">
        <v>8645</v>
      </c>
      <c r="O342" s="3">
        <v>14.1</v>
      </c>
      <c r="P342" s="3" t="str">
        <f t="shared" si="5"/>
        <v>NORMAL</v>
      </c>
      <c r="Q342" s="3" cm="1">
        <f t="array" aca="1" ref="Q342" ca="1">AVERAGE(OFFSET(tbl_Process[[#This Row],[Temp_Firing_C]], MAX(1-ROW()+ROW(tbl_Process[#Headers]), -23), 0, MIN(ROW()-ROW(tbl_Process[#Headers]), 24), 1))</f>
        <v>1283.95</v>
      </c>
      <c r="R342" s="3" t="e" cm="1" vm="1">
        <f t="array" aca="1" ref="R342" ca="1">tbl_Process[Temp_Firing_C] - AVERAGE(tbl_Zones[[Target_Temp_Min_C]:[Target_Temp_Max_C]])</f>
        <v>#VALUE!</v>
      </c>
    </row>
    <row r="343" spans="1:18" x14ac:dyDescent="0.3">
      <c r="A343" s="2" t="s">
        <v>361</v>
      </c>
      <c r="B343" s="2" t="s">
        <v>16</v>
      </c>
      <c r="C343" s="2" t="s">
        <v>260</v>
      </c>
      <c r="D343" s="3">
        <v>396.9</v>
      </c>
      <c r="E343" s="3">
        <v>3.31</v>
      </c>
      <c r="F343" s="3">
        <v>325.2</v>
      </c>
      <c r="G343" s="3">
        <v>370.2</v>
      </c>
      <c r="H343" s="3">
        <v>970.4</v>
      </c>
      <c r="I343" s="4">
        <v>1296.5999999999999</v>
      </c>
      <c r="J343" s="4">
        <v>1234.2</v>
      </c>
      <c r="K343" s="3">
        <v>160.19999999999999</v>
      </c>
      <c r="L343" s="3">
        <v>3.91</v>
      </c>
      <c r="M343" s="4">
        <v>419986</v>
      </c>
      <c r="N343" s="4">
        <v>8366</v>
      </c>
      <c r="O343" s="3">
        <v>14.77</v>
      </c>
      <c r="P343" s="3" t="str">
        <f t="shared" si="5"/>
        <v>NORMAL</v>
      </c>
      <c r="Q343" s="3" cm="1">
        <f t="array" aca="1" ref="Q343" ca="1">AVERAGE(OFFSET(tbl_Process[[#This Row],[Temp_Firing_C]], MAX(1-ROW()+ROW(tbl_Process[#Headers]), -23), 0, MIN(ROW()-ROW(tbl_Process[#Headers]), 24), 1))</f>
        <v>1284.3125</v>
      </c>
      <c r="R343" s="3" t="e" cm="1" vm="1">
        <f t="array" aca="1" ref="R343" ca="1">tbl_Process[Temp_Firing_C] - AVERAGE(tbl_Zones[[Target_Temp_Min_C]:[Target_Temp_Max_C]])</f>
        <v>#VALUE!</v>
      </c>
    </row>
    <row r="344" spans="1:18" x14ac:dyDescent="0.3">
      <c r="A344" s="2" t="s">
        <v>362</v>
      </c>
      <c r="B344" s="2" t="s">
        <v>24</v>
      </c>
      <c r="C344" s="2" t="s">
        <v>260</v>
      </c>
      <c r="D344" s="3">
        <v>398.6</v>
      </c>
      <c r="E344" s="3">
        <v>3.46</v>
      </c>
      <c r="F344" s="3">
        <v>307.5</v>
      </c>
      <c r="G344" s="3">
        <v>391.6</v>
      </c>
      <c r="H344" s="3">
        <v>981.7</v>
      </c>
      <c r="I344" s="4">
        <v>1290.7</v>
      </c>
      <c r="J344" s="4">
        <v>1229.0999999999999</v>
      </c>
      <c r="K344" s="3">
        <v>164.1</v>
      </c>
      <c r="L344" s="3">
        <v>3.82</v>
      </c>
      <c r="M344" s="4">
        <v>420241</v>
      </c>
      <c r="N344" s="4">
        <v>8291</v>
      </c>
      <c r="O344" s="3">
        <v>14.22</v>
      </c>
      <c r="P344" s="3" t="str">
        <f t="shared" si="5"/>
        <v>NORMAL</v>
      </c>
      <c r="Q344" s="3" cm="1">
        <f t="array" aca="1" ref="Q344" ca="1">AVERAGE(OFFSET(tbl_Process[[#This Row],[Temp_Firing_C]], MAX(1-ROW()+ROW(tbl_Process[#Headers]), -23), 0, MIN(ROW()-ROW(tbl_Process[#Headers]), 24), 1))</f>
        <v>1284.1375</v>
      </c>
      <c r="R344" s="3" t="e" cm="1" vm="1">
        <f t="array" aca="1" ref="R344" ca="1">tbl_Process[Temp_Firing_C] - AVERAGE(tbl_Zones[[Target_Temp_Min_C]:[Target_Temp_Max_C]])</f>
        <v>#VALUE!</v>
      </c>
    </row>
    <row r="345" spans="1:18" x14ac:dyDescent="0.3">
      <c r="A345" s="2" t="s">
        <v>363</v>
      </c>
      <c r="B345" s="2" t="s">
        <v>24</v>
      </c>
      <c r="C345" s="2" t="s">
        <v>260</v>
      </c>
      <c r="D345" s="3">
        <v>404.5</v>
      </c>
      <c r="E345" s="3">
        <v>3.48</v>
      </c>
      <c r="F345" s="3">
        <v>317.8</v>
      </c>
      <c r="G345" s="3">
        <v>377.6</v>
      </c>
      <c r="H345" s="3">
        <v>956.4</v>
      </c>
      <c r="I345" s="4">
        <v>1296.4000000000001</v>
      </c>
      <c r="J345" s="4">
        <v>1225.4000000000001</v>
      </c>
      <c r="K345" s="3">
        <v>163.19999999999999</v>
      </c>
      <c r="L345" s="3">
        <v>4.0599999999999996</v>
      </c>
      <c r="M345" s="4">
        <v>419043</v>
      </c>
      <c r="N345" s="4">
        <v>8578</v>
      </c>
      <c r="O345" s="3">
        <v>14.06</v>
      </c>
      <c r="P345" s="3" t="str">
        <f t="shared" si="5"/>
        <v>NORMAL</v>
      </c>
      <c r="Q345" s="3" cm="1">
        <f t="array" aca="1" ref="Q345" ca="1">AVERAGE(OFFSET(tbl_Process[[#This Row],[Temp_Firing_C]], MAX(1-ROW()+ROW(tbl_Process[#Headers]), -23), 0, MIN(ROW()-ROW(tbl_Process[#Headers]), 24), 1))</f>
        <v>1284.8666666666668</v>
      </c>
      <c r="R345" s="3" t="e" cm="1" vm="1">
        <f t="array" aca="1" ref="R345" ca="1">tbl_Process[Temp_Firing_C] - AVERAGE(tbl_Zones[[Target_Temp_Min_C]:[Target_Temp_Max_C]])</f>
        <v>#VALUE!</v>
      </c>
    </row>
    <row r="346" spans="1:18" x14ac:dyDescent="0.3">
      <c r="A346" s="2" t="s">
        <v>364</v>
      </c>
      <c r="B346" s="2" t="s">
        <v>24</v>
      </c>
      <c r="C346" s="2" t="s">
        <v>260</v>
      </c>
      <c r="D346" s="3">
        <v>399.1</v>
      </c>
      <c r="E346" s="3">
        <v>3.32</v>
      </c>
      <c r="F346" s="3">
        <v>328.1</v>
      </c>
      <c r="G346" s="3">
        <v>377.3</v>
      </c>
      <c r="H346" s="3">
        <v>968.2</v>
      </c>
      <c r="I346" s="4">
        <v>1289.8</v>
      </c>
      <c r="J346" s="4">
        <v>1218.5</v>
      </c>
      <c r="K346" s="3">
        <v>158.30000000000001</v>
      </c>
      <c r="L346" s="3">
        <v>4.04</v>
      </c>
      <c r="M346" s="4">
        <v>418870</v>
      </c>
      <c r="N346" s="4">
        <v>8257</v>
      </c>
      <c r="O346" s="3">
        <v>14.47</v>
      </c>
      <c r="P346" s="3" t="str">
        <f t="shared" si="5"/>
        <v>NORMAL</v>
      </c>
      <c r="Q346" s="3" cm="1">
        <f t="array" aca="1" ref="Q346" ca="1">AVERAGE(OFFSET(tbl_Process[[#This Row],[Temp_Firing_C]], MAX(1-ROW()+ROW(tbl_Process[#Headers]), -23), 0, MIN(ROW()-ROW(tbl_Process[#Headers]), 24), 1))</f>
        <v>1285.8500000000001</v>
      </c>
      <c r="R346" s="3" t="e" cm="1" vm="1">
        <f t="array" aca="1" ref="R346" ca="1">tbl_Process[Temp_Firing_C] - AVERAGE(tbl_Zones[[Target_Temp_Min_C]:[Target_Temp_Max_C]])</f>
        <v>#VALUE!</v>
      </c>
    </row>
    <row r="347" spans="1:18" x14ac:dyDescent="0.3">
      <c r="A347" s="2" t="s">
        <v>365</v>
      </c>
      <c r="B347" s="2" t="s">
        <v>24</v>
      </c>
      <c r="C347" s="2" t="s">
        <v>260</v>
      </c>
      <c r="D347" s="3">
        <v>399.4</v>
      </c>
      <c r="E347" s="3">
        <v>3.68</v>
      </c>
      <c r="F347" s="3">
        <v>323.60000000000002</v>
      </c>
      <c r="G347" s="3">
        <v>379.8</v>
      </c>
      <c r="H347" s="3">
        <v>980.7</v>
      </c>
      <c r="I347" s="4">
        <v>1275.2</v>
      </c>
      <c r="J347" s="4">
        <v>1210.8</v>
      </c>
      <c r="K347" s="3">
        <v>171.2</v>
      </c>
      <c r="L347" s="3">
        <v>3.95</v>
      </c>
      <c r="M347" s="4">
        <v>409469</v>
      </c>
      <c r="N347" s="4">
        <v>8155</v>
      </c>
      <c r="O347" s="3">
        <v>14.84</v>
      </c>
      <c r="P347" s="3" t="str">
        <f t="shared" si="5"/>
        <v>NORMAL</v>
      </c>
      <c r="Q347" s="3" cm="1">
        <f t="array" aca="1" ref="Q347" ca="1">AVERAGE(OFFSET(tbl_Process[[#This Row],[Temp_Firing_C]], MAX(1-ROW()+ROW(tbl_Process[#Headers]), -23), 0, MIN(ROW()-ROW(tbl_Process[#Headers]), 24), 1))</f>
        <v>1285.4625000000001</v>
      </c>
      <c r="R347" s="3" t="e" cm="1" vm="1">
        <f t="array" aca="1" ref="R347" ca="1">tbl_Process[Temp_Firing_C] - AVERAGE(tbl_Zones[[Target_Temp_Min_C]:[Target_Temp_Max_C]])</f>
        <v>#VALUE!</v>
      </c>
    </row>
    <row r="348" spans="1:18" x14ac:dyDescent="0.3">
      <c r="A348" s="2" t="s">
        <v>366</v>
      </c>
      <c r="B348" s="2" t="s">
        <v>24</v>
      </c>
      <c r="C348" s="2" t="s">
        <v>260</v>
      </c>
      <c r="D348" s="3">
        <v>401.5</v>
      </c>
      <c r="E348" s="3">
        <v>3.33</v>
      </c>
      <c r="F348" s="3">
        <v>317.5</v>
      </c>
      <c r="G348" s="3">
        <v>378.3</v>
      </c>
      <c r="H348" s="3">
        <v>967.6</v>
      </c>
      <c r="I348" s="4">
        <v>1300</v>
      </c>
      <c r="J348" s="4">
        <v>1241.3</v>
      </c>
      <c r="K348" s="3">
        <v>163.4</v>
      </c>
      <c r="L348" s="3">
        <v>3.74</v>
      </c>
      <c r="M348" s="4">
        <v>415352</v>
      </c>
      <c r="N348" s="4">
        <v>8564</v>
      </c>
      <c r="O348" s="3">
        <v>13.81</v>
      </c>
      <c r="P348" s="3" t="str">
        <f t="shared" si="5"/>
        <v>NORMAL</v>
      </c>
      <c r="Q348" s="3" cm="1">
        <f t="array" aca="1" ref="Q348" ca="1">AVERAGE(OFFSET(tbl_Process[[#This Row],[Temp_Firing_C]], MAX(1-ROW()+ROW(tbl_Process[#Headers]), -23), 0, MIN(ROW()-ROW(tbl_Process[#Headers]), 24), 1))</f>
        <v>1285.95</v>
      </c>
      <c r="R348" s="3" t="e" cm="1" vm="1">
        <f t="array" aca="1" ref="R348" ca="1">tbl_Process[Temp_Firing_C] - AVERAGE(tbl_Zones[[Target_Temp_Min_C]:[Target_Temp_Max_C]])</f>
        <v>#VALUE!</v>
      </c>
    </row>
    <row r="349" spans="1:18" x14ac:dyDescent="0.3">
      <c r="A349" s="2" t="s">
        <v>367</v>
      </c>
      <c r="B349" s="2" t="s">
        <v>24</v>
      </c>
      <c r="C349" s="2" t="s">
        <v>260</v>
      </c>
      <c r="D349" s="3">
        <v>399.1</v>
      </c>
      <c r="E349" s="3">
        <v>3.42</v>
      </c>
      <c r="F349" s="3">
        <v>314.5</v>
      </c>
      <c r="G349" s="3">
        <v>374.6</v>
      </c>
      <c r="H349" s="3">
        <v>961.6</v>
      </c>
      <c r="I349" s="4">
        <v>1292.5999999999999</v>
      </c>
      <c r="J349" s="4">
        <v>1234</v>
      </c>
      <c r="K349" s="3">
        <v>163.9</v>
      </c>
      <c r="L349" s="3">
        <v>3.9</v>
      </c>
      <c r="M349" s="4">
        <v>416056</v>
      </c>
      <c r="N349" s="4">
        <v>8283</v>
      </c>
      <c r="O349" s="3">
        <v>14.25</v>
      </c>
      <c r="P349" s="3" t="str">
        <f t="shared" si="5"/>
        <v>NORMAL</v>
      </c>
      <c r="Q349" s="3" cm="1">
        <f t="array" aca="1" ref="Q349" ca="1">AVERAGE(OFFSET(tbl_Process[[#This Row],[Temp_Firing_C]], MAX(1-ROW()+ROW(tbl_Process[#Headers]), -23), 0, MIN(ROW()-ROW(tbl_Process[#Headers]), 24), 1))</f>
        <v>1285.8791666666666</v>
      </c>
      <c r="R349" s="3" t="e" cm="1" vm="1">
        <f t="array" aca="1" ref="R349" ca="1">tbl_Process[Temp_Firing_C] - AVERAGE(tbl_Zones[[Target_Temp_Min_C]:[Target_Temp_Max_C]])</f>
        <v>#VALUE!</v>
      </c>
    </row>
    <row r="350" spans="1:18" x14ac:dyDescent="0.3">
      <c r="A350" s="2" t="s">
        <v>368</v>
      </c>
      <c r="B350" s="2" t="s">
        <v>24</v>
      </c>
      <c r="C350" s="2" t="s">
        <v>260</v>
      </c>
      <c r="D350" s="3">
        <v>401.6</v>
      </c>
      <c r="E350" s="3">
        <v>3.43</v>
      </c>
      <c r="F350" s="3">
        <v>308.39999999999998</v>
      </c>
      <c r="G350" s="3">
        <v>375.9</v>
      </c>
      <c r="H350" s="3">
        <v>976.5</v>
      </c>
      <c r="I350" s="4">
        <v>1288.4000000000001</v>
      </c>
      <c r="J350" s="4">
        <v>1214.9000000000001</v>
      </c>
      <c r="K350" s="3">
        <v>172.5</v>
      </c>
      <c r="L350" s="3">
        <v>3.92</v>
      </c>
      <c r="M350" s="4">
        <v>419257</v>
      </c>
      <c r="N350" s="4">
        <v>8409</v>
      </c>
      <c r="O350" s="3">
        <v>14.18</v>
      </c>
      <c r="P350" s="3" t="str">
        <f t="shared" si="5"/>
        <v>NORMAL</v>
      </c>
      <c r="Q350" s="3" cm="1">
        <f t="array" aca="1" ref="Q350" ca="1">AVERAGE(OFFSET(tbl_Process[[#This Row],[Temp_Firing_C]], MAX(1-ROW()+ROW(tbl_Process[#Headers]), -23), 0, MIN(ROW()-ROW(tbl_Process[#Headers]), 24), 1))</f>
        <v>1286.4875</v>
      </c>
      <c r="R350" s="3" t="e" cm="1" vm="1">
        <f t="array" aca="1" ref="R350" ca="1">tbl_Process[Temp_Firing_C] - AVERAGE(tbl_Zones[[Target_Temp_Min_C]:[Target_Temp_Max_C]])</f>
        <v>#VALUE!</v>
      </c>
    </row>
    <row r="351" spans="1:18" x14ac:dyDescent="0.3">
      <c r="A351" s="2" t="s">
        <v>369</v>
      </c>
      <c r="B351" s="2" t="s">
        <v>24</v>
      </c>
      <c r="C351" s="2" t="s">
        <v>260</v>
      </c>
      <c r="D351" s="3">
        <v>397.1</v>
      </c>
      <c r="E351" s="3">
        <v>3.57</v>
      </c>
      <c r="F351" s="3">
        <v>326.8</v>
      </c>
      <c r="G351" s="3">
        <v>386.7</v>
      </c>
      <c r="H351" s="3">
        <v>968.4</v>
      </c>
      <c r="I351" s="4">
        <v>1278.9000000000001</v>
      </c>
      <c r="J351" s="4">
        <v>1221.5999999999999</v>
      </c>
      <c r="K351" s="3">
        <v>156.30000000000001</v>
      </c>
      <c r="L351" s="3">
        <v>3.94</v>
      </c>
      <c r="M351" s="4">
        <v>410464</v>
      </c>
      <c r="N351" s="4">
        <v>8002</v>
      </c>
      <c r="O351" s="3">
        <v>14.68</v>
      </c>
      <c r="P351" s="3" t="str">
        <f t="shared" si="5"/>
        <v>NORMAL</v>
      </c>
      <c r="Q351" s="3" cm="1">
        <f t="array" aca="1" ref="Q351" ca="1">AVERAGE(OFFSET(tbl_Process[[#This Row],[Temp_Firing_C]], MAX(1-ROW()+ROW(tbl_Process[#Headers]), -23), 0, MIN(ROW()-ROW(tbl_Process[#Headers]), 24), 1))</f>
        <v>1285.5666666666666</v>
      </c>
      <c r="R351" s="3" t="e" cm="1" vm="1">
        <f t="array" aca="1" ref="R351" ca="1">tbl_Process[Temp_Firing_C] - AVERAGE(tbl_Zones[[Target_Temp_Min_C]:[Target_Temp_Max_C]])</f>
        <v>#VALUE!</v>
      </c>
    </row>
    <row r="352" spans="1:18" x14ac:dyDescent="0.3">
      <c r="A352" s="2" t="s">
        <v>370</v>
      </c>
      <c r="B352" s="2" t="s">
        <v>33</v>
      </c>
      <c r="C352" s="2" t="s">
        <v>260</v>
      </c>
      <c r="D352" s="3">
        <v>396.8</v>
      </c>
      <c r="E352" s="3">
        <v>3.24</v>
      </c>
      <c r="F352" s="3">
        <v>323.7</v>
      </c>
      <c r="G352" s="3">
        <v>395.4</v>
      </c>
      <c r="H352" s="3">
        <v>977.6</v>
      </c>
      <c r="I352" s="4">
        <v>1284.0999999999999</v>
      </c>
      <c r="J352" s="4">
        <v>1219.2</v>
      </c>
      <c r="K352" s="3">
        <v>164.7</v>
      </c>
      <c r="L352" s="3">
        <v>3.96</v>
      </c>
      <c r="M352" s="4">
        <v>415936</v>
      </c>
      <c r="N352" s="4">
        <v>8313</v>
      </c>
      <c r="O352" s="3">
        <v>14.42</v>
      </c>
      <c r="P352" s="3" t="str">
        <f t="shared" si="5"/>
        <v>NORMAL</v>
      </c>
      <c r="Q352" s="3" cm="1">
        <f t="array" aca="1" ref="Q352" ca="1">AVERAGE(OFFSET(tbl_Process[[#This Row],[Temp_Firing_C]], MAX(1-ROW()+ROW(tbl_Process[#Headers]), -23), 0, MIN(ROW()-ROW(tbl_Process[#Headers]), 24), 1))</f>
        <v>1285.925</v>
      </c>
      <c r="R352" s="3" t="e" cm="1" vm="1">
        <f t="array" aca="1" ref="R352" ca="1">tbl_Process[Temp_Firing_C] - AVERAGE(tbl_Zones[[Target_Temp_Min_C]:[Target_Temp_Max_C]])</f>
        <v>#VALUE!</v>
      </c>
    </row>
    <row r="353" spans="1:18" x14ac:dyDescent="0.3">
      <c r="A353" s="2" t="s">
        <v>371</v>
      </c>
      <c r="B353" s="2" t="s">
        <v>33</v>
      </c>
      <c r="C353" s="2" t="s">
        <v>260</v>
      </c>
      <c r="D353" s="3">
        <v>402.2</v>
      </c>
      <c r="E353" s="3">
        <v>3.39</v>
      </c>
      <c r="F353" s="3">
        <v>319.5</v>
      </c>
      <c r="G353" s="3">
        <v>389.9</v>
      </c>
      <c r="H353" s="3">
        <v>974.9</v>
      </c>
      <c r="I353" s="4">
        <v>1289.4000000000001</v>
      </c>
      <c r="J353" s="4">
        <v>1234.7</v>
      </c>
      <c r="K353" s="3">
        <v>158.19999999999999</v>
      </c>
      <c r="L353" s="3">
        <v>4.12</v>
      </c>
      <c r="M353" s="4">
        <v>419991</v>
      </c>
      <c r="N353" s="4">
        <v>8765</v>
      </c>
      <c r="O353" s="3">
        <v>13.69</v>
      </c>
      <c r="P353" s="3" t="str">
        <f t="shared" si="5"/>
        <v>NORMAL</v>
      </c>
      <c r="Q353" s="3" cm="1">
        <f t="array" aca="1" ref="Q353" ca="1">AVERAGE(OFFSET(tbl_Process[[#This Row],[Temp_Firing_C]], MAX(1-ROW()+ROW(tbl_Process[#Headers]), -23), 0, MIN(ROW()-ROW(tbl_Process[#Headers]), 24), 1))</f>
        <v>1286.5666666666666</v>
      </c>
      <c r="R353" s="3" t="e" cm="1" vm="1">
        <f t="array" aca="1" ref="R353" ca="1">tbl_Process[Temp_Firing_C] - AVERAGE(tbl_Zones[[Target_Temp_Min_C]:[Target_Temp_Max_C]])</f>
        <v>#VALUE!</v>
      </c>
    </row>
    <row r="354" spans="1:18" x14ac:dyDescent="0.3">
      <c r="A354" s="2" t="s">
        <v>372</v>
      </c>
      <c r="B354" s="2" t="s">
        <v>33</v>
      </c>
      <c r="C354" s="2" t="s">
        <v>260</v>
      </c>
      <c r="D354" s="3">
        <v>397.2</v>
      </c>
      <c r="E354" s="3">
        <v>3.43</v>
      </c>
      <c r="F354" s="3">
        <v>322.39999999999998</v>
      </c>
      <c r="G354" s="3">
        <v>393.7</v>
      </c>
      <c r="H354" s="3">
        <v>952.1</v>
      </c>
      <c r="I354" s="4">
        <v>1292.4000000000001</v>
      </c>
      <c r="J354" s="4">
        <v>1234.4000000000001</v>
      </c>
      <c r="K354" s="3">
        <v>163.6</v>
      </c>
      <c r="L354" s="3">
        <v>3.76</v>
      </c>
      <c r="M354" s="4">
        <v>423559</v>
      </c>
      <c r="N354" s="4">
        <v>8556</v>
      </c>
      <c r="O354" s="3">
        <v>14.31</v>
      </c>
      <c r="P354" s="3" t="str">
        <f t="shared" si="5"/>
        <v>NORMAL</v>
      </c>
      <c r="Q354" s="3" cm="1">
        <f t="array" aca="1" ref="Q354" ca="1">AVERAGE(OFFSET(tbl_Process[[#This Row],[Temp_Firing_C]], MAX(1-ROW()+ROW(tbl_Process[#Headers]), -23), 0, MIN(ROW()-ROW(tbl_Process[#Headers]), 24), 1))</f>
        <v>1287.2</v>
      </c>
      <c r="R354" s="3" t="e" cm="1" vm="1">
        <f t="array" aca="1" ref="R354" ca="1">tbl_Process[Temp_Firing_C] - AVERAGE(tbl_Zones[[Target_Temp_Min_C]:[Target_Temp_Max_C]])</f>
        <v>#VALUE!</v>
      </c>
    </row>
    <row r="355" spans="1:18" x14ac:dyDescent="0.3">
      <c r="A355" s="2" t="s">
        <v>373</v>
      </c>
      <c r="B355" s="2" t="s">
        <v>33</v>
      </c>
      <c r="C355" s="2" t="s">
        <v>260</v>
      </c>
      <c r="D355" s="3">
        <v>400.8</v>
      </c>
      <c r="E355" s="3">
        <v>3.42</v>
      </c>
      <c r="F355" s="3">
        <v>319.5</v>
      </c>
      <c r="G355" s="3">
        <v>384.5</v>
      </c>
      <c r="H355" s="3">
        <v>960.3</v>
      </c>
      <c r="I355" s="4">
        <v>1278.0999999999999</v>
      </c>
      <c r="J355" s="4">
        <v>1206.8</v>
      </c>
      <c r="K355" s="3">
        <v>156.19999999999999</v>
      </c>
      <c r="L355" s="3">
        <v>3.94</v>
      </c>
      <c r="M355" s="4">
        <v>415964</v>
      </c>
      <c r="N355" s="4">
        <v>8263</v>
      </c>
      <c r="O355" s="3">
        <v>14.51</v>
      </c>
      <c r="P355" s="3" t="str">
        <f t="shared" si="5"/>
        <v>NORMAL</v>
      </c>
      <c r="Q355" s="3" cm="1">
        <f t="array" aca="1" ref="Q355" ca="1">AVERAGE(OFFSET(tbl_Process[[#This Row],[Temp_Firing_C]], MAX(1-ROW()+ROW(tbl_Process[#Headers]), -23), 0, MIN(ROW()-ROW(tbl_Process[#Headers]), 24), 1))</f>
        <v>1287.2791666666667</v>
      </c>
      <c r="R355" s="3" t="e" cm="1" vm="1">
        <f t="array" aca="1" ref="R355" ca="1">tbl_Process[Temp_Firing_C] - AVERAGE(tbl_Zones[[Target_Temp_Min_C]:[Target_Temp_Max_C]])</f>
        <v>#VALUE!</v>
      </c>
    </row>
    <row r="356" spans="1:18" x14ac:dyDescent="0.3">
      <c r="A356" s="2" t="s">
        <v>374</v>
      </c>
      <c r="B356" s="2" t="s">
        <v>33</v>
      </c>
      <c r="C356" s="2" t="s">
        <v>260</v>
      </c>
      <c r="D356" s="3">
        <v>397.5</v>
      </c>
      <c r="E356" s="3">
        <v>3.52</v>
      </c>
      <c r="F356" s="3">
        <v>318.39999999999998</v>
      </c>
      <c r="G356" s="3">
        <v>377</v>
      </c>
      <c r="H356" s="3">
        <v>965.8</v>
      </c>
      <c r="I356" s="4">
        <v>1270.3</v>
      </c>
      <c r="J356" s="4">
        <v>1200.5999999999999</v>
      </c>
      <c r="K356" s="3">
        <v>164.9</v>
      </c>
      <c r="L356" s="3">
        <v>3.69</v>
      </c>
      <c r="M356" s="4">
        <v>418566</v>
      </c>
      <c r="N356" s="4">
        <v>8325</v>
      </c>
      <c r="O356" s="3">
        <v>14.25</v>
      </c>
      <c r="P356" s="3" t="str">
        <f t="shared" si="5"/>
        <v>NORMAL</v>
      </c>
      <c r="Q356" s="3" cm="1">
        <f t="array" aca="1" ref="Q356" ca="1">AVERAGE(OFFSET(tbl_Process[[#This Row],[Temp_Firing_C]], MAX(1-ROW()+ROW(tbl_Process[#Headers]), -23), 0, MIN(ROW()-ROW(tbl_Process[#Headers]), 24), 1))</f>
        <v>1287.1625000000001</v>
      </c>
      <c r="R356" s="3" t="e" cm="1" vm="1">
        <f t="array" aca="1" ref="R356" ca="1">tbl_Process[Temp_Firing_C] - AVERAGE(tbl_Zones[[Target_Temp_Min_C]:[Target_Temp_Max_C]])</f>
        <v>#VALUE!</v>
      </c>
    </row>
    <row r="357" spans="1:18" x14ac:dyDescent="0.3">
      <c r="A357" s="2" t="s">
        <v>375</v>
      </c>
      <c r="B357" s="2" t="s">
        <v>33</v>
      </c>
      <c r="C357" s="2" t="s">
        <v>260</v>
      </c>
      <c r="D357" s="3">
        <v>401.2</v>
      </c>
      <c r="E357" s="3">
        <v>3.49</v>
      </c>
      <c r="F357" s="3">
        <v>317.3</v>
      </c>
      <c r="G357" s="3">
        <v>386.2</v>
      </c>
      <c r="H357" s="3">
        <v>952.2</v>
      </c>
      <c r="I357" s="4">
        <v>1281.5</v>
      </c>
      <c r="J357" s="4">
        <v>1211.7</v>
      </c>
      <c r="K357" s="3">
        <v>161.80000000000001</v>
      </c>
      <c r="L357" s="3">
        <v>4.08</v>
      </c>
      <c r="M357" s="4">
        <v>416026</v>
      </c>
      <c r="N357" s="4">
        <v>8125</v>
      </c>
      <c r="O357" s="3">
        <v>14.23</v>
      </c>
      <c r="P357" s="3" t="str">
        <f t="shared" si="5"/>
        <v>NORMAL</v>
      </c>
      <c r="Q357" s="3" cm="1">
        <f t="array" aca="1" ref="Q357" ca="1">AVERAGE(OFFSET(tbl_Process[[#This Row],[Temp_Firing_C]], MAX(1-ROW()+ROW(tbl_Process[#Headers]), -23), 0, MIN(ROW()-ROW(tbl_Process[#Headers]), 24), 1))</f>
        <v>1287.3125000000002</v>
      </c>
      <c r="R357" s="3" t="e" cm="1" vm="1">
        <f t="array" aca="1" ref="R357" ca="1">tbl_Process[Temp_Firing_C] - AVERAGE(tbl_Zones[[Target_Temp_Min_C]:[Target_Temp_Max_C]])</f>
        <v>#VALUE!</v>
      </c>
    </row>
    <row r="358" spans="1:18" x14ac:dyDescent="0.3">
      <c r="A358" s="2" t="s">
        <v>376</v>
      </c>
      <c r="B358" s="2" t="s">
        <v>33</v>
      </c>
      <c r="C358" s="2" t="s">
        <v>260</v>
      </c>
      <c r="D358" s="3">
        <v>401.6</v>
      </c>
      <c r="E358" s="3">
        <v>3.55</v>
      </c>
      <c r="F358" s="3">
        <v>322.7</v>
      </c>
      <c r="G358" s="3">
        <v>377.7</v>
      </c>
      <c r="H358" s="3">
        <v>969.9</v>
      </c>
      <c r="I358" s="4">
        <v>1284</v>
      </c>
      <c r="J358" s="4">
        <v>1216.7</v>
      </c>
      <c r="K358" s="3">
        <v>155.4</v>
      </c>
      <c r="L358" s="3">
        <v>4.13</v>
      </c>
      <c r="M358" s="4">
        <v>408233</v>
      </c>
      <c r="N358" s="4">
        <v>8404</v>
      </c>
      <c r="O358" s="3">
        <v>14.16</v>
      </c>
      <c r="P358" s="3" t="str">
        <f t="shared" si="5"/>
        <v>NORMAL</v>
      </c>
      <c r="Q358" s="3" cm="1">
        <f t="array" aca="1" ref="Q358" ca="1">AVERAGE(OFFSET(tbl_Process[[#This Row],[Temp_Firing_C]], MAX(1-ROW()+ROW(tbl_Process[#Headers]), -23), 0, MIN(ROW()-ROW(tbl_Process[#Headers]), 24), 1))</f>
        <v>1287.7583333333334</v>
      </c>
      <c r="R358" s="3" t="e" cm="1" vm="1">
        <f t="array" aca="1" ref="R358" ca="1">tbl_Process[Temp_Firing_C] - AVERAGE(tbl_Zones[[Target_Temp_Min_C]:[Target_Temp_Max_C]])</f>
        <v>#VALUE!</v>
      </c>
    </row>
    <row r="359" spans="1:18" x14ac:dyDescent="0.3">
      <c r="A359" s="2" t="s">
        <v>377</v>
      </c>
      <c r="B359" s="2" t="s">
        <v>33</v>
      </c>
      <c r="C359" s="2" t="s">
        <v>260</v>
      </c>
      <c r="D359" s="3">
        <v>398.4</v>
      </c>
      <c r="E359" s="3">
        <v>3.54</v>
      </c>
      <c r="F359" s="3">
        <v>316.39999999999998</v>
      </c>
      <c r="G359" s="3">
        <v>376.1</v>
      </c>
      <c r="H359" s="3">
        <v>959.7</v>
      </c>
      <c r="I359" s="4">
        <v>1290</v>
      </c>
      <c r="J359" s="4">
        <v>1222.3</v>
      </c>
      <c r="K359" s="3">
        <v>152.6</v>
      </c>
      <c r="L359" s="3">
        <v>3.81</v>
      </c>
      <c r="M359" s="4">
        <v>422685</v>
      </c>
      <c r="N359" s="4">
        <v>8389</v>
      </c>
      <c r="O359" s="3">
        <v>14.4</v>
      </c>
      <c r="P359" s="3" t="str">
        <f t="shared" si="5"/>
        <v>NORMAL</v>
      </c>
      <c r="Q359" s="3" cm="1">
        <f t="array" aca="1" ref="Q359" ca="1">AVERAGE(OFFSET(tbl_Process[[#This Row],[Temp_Firing_C]], MAX(1-ROW()+ROW(tbl_Process[#Headers]), -23), 0, MIN(ROW()-ROW(tbl_Process[#Headers]), 24), 1))</f>
        <v>1287.8166666666668</v>
      </c>
      <c r="R359" s="3" t="e" cm="1" vm="1">
        <f t="array" aca="1" ref="R359" ca="1">tbl_Process[Temp_Firing_C] - AVERAGE(tbl_Zones[[Target_Temp_Min_C]:[Target_Temp_Max_C]])</f>
        <v>#VALUE!</v>
      </c>
    </row>
    <row r="360" spans="1:18" x14ac:dyDescent="0.3">
      <c r="A360" s="2" t="s">
        <v>378</v>
      </c>
      <c r="B360" s="2" t="s">
        <v>16</v>
      </c>
      <c r="C360" s="2" t="s">
        <v>260</v>
      </c>
      <c r="D360" s="3">
        <v>399</v>
      </c>
      <c r="E360" s="3">
        <v>3.35</v>
      </c>
      <c r="F360" s="3">
        <v>331.1</v>
      </c>
      <c r="G360" s="3">
        <v>380</v>
      </c>
      <c r="H360" s="3">
        <v>956.7</v>
      </c>
      <c r="I360" s="4">
        <v>1296.5</v>
      </c>
      <c r="J360" s="4">
        <v>1227.2</v>
      </c>
      <c r="K360" s="3">
        <v>157.69999999999999</v>
      </c>
      <c r="L360" s="3">
        <v>3.88</v>
      </c>
      <c r="M360" s="4">
        <v>419371</v>
      </c>
      <c r="N360" s="4">
        <v>8489</v>
      </c>
      <c r="O360" s="3">
        <v>14.73</v>
      </c>
      <c r="P360" s="3" t="str">
        <f t="shared" si="5"/>
        <v>NORMAL</v>
      </c>
      <c r="Q360" s="3" cm="1">
        <f t="array" aca="1" ref="Q360" ca="1">AVERAGE(OFFSET(tbl_Process[[#This Row],[Temp_Firing_C]], MAX(1-ROW()+ROW(tbl_Process[#Headers]), -23), 0, MIN(ROW()-ROW(tbl_Process[#Headers]), 24), 1))</f>
        <v>1287.825</v>
      </c>
      <c r="R360" s="3" t="e" cm="1" vm="1">
        <f t="array" aca="1" ref="R360" ca="1">tbl_Process[Temp_Firing_C] - AVERAGE(tbl_Zones[[Target_Temp_Min_C]:[Target_Temp_Max_C]])</f>
        <v>#VALUE!</v>
      </c>
    </row>
    <row r="361" spans="1:18" x14ac:dyDescent="0.3">
      <c r="A361" s="2" t="s">
        <v>379</v>
      </c>
      <c r="B361" s="2" t="s">
        <v>16</v>
      </c>
      <c r="C361" s="2" t="s">
        <v>260</v>
      </c>
      <c r="D361" s="3">
        <v>401.3</v>
      </c>
      <c r="E361" s="3">
        <v>3.21</v>
      </c>
      <c r="F361" s="3">
        <v>323.39999999999998</v>
      </c>
      <c r="G361" s="3">
        <v>382.2</v>
      </c>
      <c r="H361" s="3">
        <v>963.4</v>
      </c>
      <c r="I361" s="4">
        <v>1290.8</v>
      </c>
      <c r="J361" s="4">
        <v>1225.5999999999999</v>
      </c>
      <c r="K361" s="3">
        <v>160.69999999999999</v>
      </c>
      <c r="L361" s="3">
        <v>3.94</v>
      </c>
      <c r="M361" s="4">
        <v>416447</v>
      </c>
      <c r="N361" s="4">
        <v>8276</v>
      </c>
      <c r="O361" s="3">
        <v>15.14</v>
      </c>
      <c r="P361" s="3" t="str">
        <f t="shared" si="5"/>
        <v>NORMAL</v>
      </c>
      <c r="Q361" s="3" cm="1">
        <f t="array" aca="1" ref="Q361" ca="1">AVERAGE(OFFSET(tbl_Process[[#This Row],[Temp_Firing_C]], MAX(1-ROW()+ROW(tbl_Process[#Headers]), -23), 0, MIN(ROW()-ROW(tbl_Process[#Headers]), 24), 1))</f>
        <v>1288.4416666666668</v>
      </c>
      <c r="R361" s="3" t="e" cm="1" vm="1">
        <f t="array" aca="1" ref="R361" ca="1">tbl_Process[Temp_Firing_C] - AVERAGE(tbl_Zones[[Target_Temp_Min_C]:[Target_Temp_Max_C]])</f>
        <v>#VALUE!</v>
      </c>
    </row>
    <row r="362" spans="1:18" x14ac:dyDescent="0.3">
      <c r="A362" s="2" t="s">
        <v>380</v>
      </c>
      <c r="B362" s="2" t="s">
        <v>16</v>
      </c>
      <c r="C362" s="2" t="s">
        <v>260</v>
      </c>
      <c r="D362" s="3">
        <v>397.1</v>
      </c>
      <c r="E362" s="3">
        <v>3.41</v>
      </c>
      <c r="F362" s="3">
        <v>312.89999999999998</v>
      </c>
      <c r="G362" s="3">
        <v>383.3</v>
      </c>
      <c r="H362" s="3">
        <v>952.6</v>
      </c>
      <c r="I362" s="4">
        <v>1286.5</v>
      </c>
      <c r="J362" s="4">
        <v>1227.8</v>
      </c>
      <c r="K362" s="3">
        <v>163.6</v>
      </c>
      <c r="L362" s="3">
        <v>3.94</v>
      </c>
      <c r="M362" s="4">
        <v>411371</v>
      </c>
      <c r="N362" s="4">
        <v>8558</v>
      </c>
      <c r="O362" s="3">
        <v>13.86</v>
      </c>
      <c r="P362" s="3" t="str">
        <f t="shared" si="5"/>
        <v>NORMAL</v>
      </c>
      <c r="Q362" s="3" cm="1">
        <f t="array" aca="1" ref="Q362" ca="1">AVERAGE(OFFSET(tbl_Process[[#This Row],[Temp_Firing_C]], MAX(1-ROW()+ROW(tbl_Process[#Headers]), -23), 0, MIN(ROW()-ROW(tbl_Process[#Headers]), 24), 1))</f>
        <v>1288.5083333333334</v>
      </c>
      <c r="R362" s="3" t="e" cm="1" vm="1">
        <f t="array" aca="1" ref="R362" ca="1">tbl_Process[Temp_Firing_C] - AVERAGE(tbl_Zones[[Target_Temp_Min_C]:[Target_Temp_Max_C]])</f>
        <v>#VALUE!</v>
      </c>
    </row>
    <row r="363" spans="1:18" x14ac:dyDescent="0.3">
      <c r="A363" s="2" t="s">
        <v>381</v>
      </c>
      <c r="B363" s="2" t="s">
        <v>16</v>
      </c>
      <c r="C363" s="2" t="s">
        <v>260</v>
      </c>
      <c r="D363" s="3">
        <v>406.1</v>
      </c>
      <c r="E363" s="3">
        <v>3.48</v>
      </c>
      <c r="F363" s="3">
        <v>325.8</v>
      </c>
      <c r="G363" s="3">
        <v>377.1</v>
      </c>
      <c r="H363" s="3">
        <v>966.5</v>
      </c>
      <c r="I363" s="4">
        <v>1287.4000000000001</v>
      </c>
      <c r="J363" s="4">
        <v>1222.5999999999999</v>
      </c>
      <c r="K363" s="3">
        <v>160.30000000000001</v>
      </c>
      <c r="L363" s="3">
        <v>3.75</v>
      </c>
      <c r="M363" s="4">
        <v>421658</v>
      </c>
      <c r="N363" s="4">
        <v>8339</v>
      </c>
      <c r="O363" s="3">
        <v>14.21</v>
      </c>
      <c r="P363" s="3" t="str">
        <f t="shared" si="5"/>
        <v>NORMAL</v>
      </c>
      <c r="Q363" s="3" cm="1">
        <f t="array" aca="1" ref="Q363" ca="1">AVERAGE(OFFSET(tbl_Process[[#This Row],[Temp_Firing_C]], MAX(1-ROW()+ROW(tbl_Process[#Headers]), -23), 0, MIN(ROW()-ROW(tbl_Process[#Headers]), 24), 1))</f>
        <v>1288.5333333333333</v>
      </c>
      <c r="R363" s="3" t="e" cm="1" vm="1">
        <f t="array" aca="1" ref="R363" ca="1">tbl_Process[Temp_Firing_C] - AVERAGE(tbl_Zones[[Target_Temp_Min_C]:[Target_Temp_Max_C]])</f>
        <v>#VALUE!</v>
      </c>
    </row>
    <row r="364" spans="1:18" x14ac:dyDescent="0.3">
      <c r="A364" s="2" t="s">
        <v>382</v>
      </c>
      <c r="B364" s="2" t="s">
        <v>16</v>
      </c>
      <c r="C364" s="2" t="s">
        <v>260</v>
      </c>
      <c r="D364" s="3">
        <v>397.8</v>
      </c>
      <c r="E364" s="3">
        <v>3.43</v>
      </c>
      <c r="F364" s="3">
        <v>317.39999999999998</v>
      </c>
      <c r="G364" s="3">
        <v>367.9</v>
      </c>
      <c r="H364" s="3">
        <v>970.4</v>
      </c>
      <c r="I364" s="4">
        <v>1296.4000000000001</v>
      </c>
      <c r="J364" s="4">
        <v>1230.2</v>
      </c>
      <c r="K364" s="3">
        <v>156.1</v>
      </c>
      <c r="L364" s="3">
        <v>3.89</v>
      </c>
      <c r="M364" s="4">
        <v>414226</v>
      </c>
      <c r="N364" s="4">
        <v>8334</v>
      </c>
      <c r="O364" s="3">
        <v>14.15</v>
      </c>
      <c r="P364" s="3" t="str">
        <f t="shared" si="5"/>
        <v>NORMAL</v>
      </c>
      <c r="Q364" s="3" cm="1">
        <f t="array" aca="1" ref="Q364" ca="1">AVERAGE(OFFSET(tbl_Process[[#This Row],[Temp_Firing_C]], MAX(1-ROW()+ROW(tbl_Process[#Headers]), -23), 0, MIN(ROW()-ROW(tbl_Process[#Headers]), 24), 1))</f>
        <v>1288.55</v>
      </c>
      <c r="R364" s="3" t="e" cm="1" vm="1">
        <f t="array" aca="1" ref="R364" ca="1">tbl_Process[Temp_Firing_C] - AVERAGE(tbl_Zones[[Target_Temp_Min_C]:[Target_Temp_Max_C]])</f>
        <v>#VALUE!</v>
      </c>
    </row>
    <row r="365" spans="1:18" x14ac:dyDescent="0.3">
      <c r="A365" s="2" t="s">
        <v>383</v>
      </c>
      <c r="B365" s="2" t="s">
        <v>16</v>
      </c>
      <c r="C365" s="2" t="s">
        <v>260</v>
      </c>
      <c r="D365" s="3">
        <v>403.4</v>
      </c>
      <c r="E365" s="3">
        <v>3.37</v>
      </c>
      <c r="F365" s="3">
        <v>320.39999999999998</v>
      </c>
      <c r="G365" s="3">
        <v>397.8</v>
      </c>
      <c r="H365" s="3">
        <v>970.4</v>
      </c>
      <c r="I365" s="4">
        <v>1296</v>
      </c>
      <c r="J365" s="4">
        <v>1228.8</v>
      </c>
      <c r="K365" s="3">
        <v>159.1</v>
      </c>
      <c r="L365" s="3">
        <v>3.67</v>
      </c>
      <c r="M365" s="4">
        <v>422671</v>
      </c>
      <c r="N365" s="4">
        <v>8506</v>
      </c>
      <c r="O365" s="3">
        <v>14.15</v>
      </c>
      <c r="P365" s="3" t="str">
        <f t="shared" si="5"/>
        <v>NORMAL</v>
      </c>
      <c r="Q365" s="3" cm="1">
        <f t="array" aca="1" ref="Q365" ca="1">AVERAGE(OFFSET(tbl_Process[[#This Row],[Temp_Firing_C]], MAX(1-ROW()+ROW(tbl_Process[#Headers]), -23), 0, MIN(ROW()-ROW(tbl_Process[#Headers]), 24), 1))</f>
        <v>1288.3875</v>
      </c>
      <c r="R365" s="3" t="e" cm="1" vm="1">
        <f t="array" aca="1" ref="R365" ca="1">tbl_Process[Temp_Firing_C] - AVERAGE(tbl_Zones[[Target_Temp_Min_C]:[Target_Temp_Max_C]])</f>
        <v>#VALUE!</v>
      </c>
    </row>
    <row r="366" spans="1:18" x14ac:dyDescent="0.3">
      <c r="A366" s="2" t="s">
        <v>384</v>
      </c>
      <c r="B366" s="2" t="s">
        <v>16</v>
      </c>
      <c r="C366" s="2" t="s">
        <v>260</v>
      </c>
      <c r="D366" s="3">
        <v>399.5</v>
      </c>
      <c r="E366" s="3">
        <v>3.46</v>
      </c>
      <c r="F366" s="3">
        <v>314</v>
      </c>
      <c r="G366" s="3">
        <v>380.4</v>
      </c>
      <c r="H366" s="3">
        <v>953.1</v>
      </c>
      <c r="I366" s="4">
        <v>1308.2</v>
      </c>
      <c r="J366" s="4">
        <v>1248.5</v>
      </c>
      <c r="K366" s="3">
        <v>151.19999999999999</v>
      </c>
      <c r="L366" s="3">
        <v>3.73</v>
      </c>
      <c r="M366" s="4">
        <v>421013</v>
      </c>
      <c r="N366" s="4">
        <v>8542</v>
      </c>
      <c r="O366" s="3">
        <v>13.84</v>
      </c>
      <c r="P366" s="3" t="str">
        <f t="shared" si="5"/>
        <v>NORMAL</v>
      </c>
      <c r="Q366" s="3" cm="1">
        <f t="array" aca="1" ref="Q366" ca="1">AVERAGE(OFFSET(tbl_Process[[#This Row],[Temp_Firing_C]], MAX(1-ROW()+ROW(tbl_Process[#Headers]), -23), 0, MIN(ROW()-ROW(tbl_Process[#Headers]), 24), 1))</f>
        <v>1289.175</v>
      </c>
      <c r="R366" s="3" t="e" cm="1" vm="1">
        <f t="array" aca="1" ref="R366" ca="1">tbl_Process[Temp_Firing_C] - AVERAGE(tbl_Zones[[Target_Temp_Min_C]:[Target_Temp_Max_C]])</f>
        <v>#VALUE!</v>
      </c>
    </row>
    <row r="367" spans="1:18" x14ac:dyDescent="0.3">
      <c r="A367" s="2" t="s">
        <v>385</v>
      </c>
      <c r="B367" s="2" t="s">
        <v>16</v>
      </c>
      <c r="C367" s="2" t="s">
        <v>260</v>
      </c>
      <c r="D367" s="3">
        <v>407.8</v>
      </c>
      <c r="E367" s="3">
        <v>3.43</v>
      </c>
      <c r="F367" s="3">
        <v>326.39999999999998</v>
      </c>
      <c r="G367" s="3">
        <v>379.9</v>
      </c>
      <c r="H367" s="3">
        <v>975.8</v>
      </c>
      <c r="I367" s="4">
        <v>1291.5</v>
      </c>
      <c r="J367" s="4">
        <v>1224.8</v>
      </c>
      <c r="K367" s="3">
        <v>165.4</v>
      </c>
      <c r="L367" s="3">
        <v>3.81</v>
      </c>
      <c r="M367" s="4">
        <v>424060</v>
      </c>
      <c r="N367" s="4">
        <v>8420</v>
      </c>
      <c r="O367" s="3">
        <v>14.58</v>
      </c>
      <c r="P367" s="3" t="str">
        <f t="shared" si="5"/>
        <v>NORMAL</v>
      </c>
      <c r="Q367" s="3" cm="1">
        <f t="array" aca="1" ref="Q367" ca="1">AVERAGE(OFFSET(tbl_Process[[#This Row],[Temp_Firing_C]], MAX(1-ROW()+ROW(tbl_Process[#Headers]), -23), 0, MIN(ROW()-ROW(tbl_Process[#Headers]), 24), 1))</f>
        <v>1288.9625000000001</v>
      </c>
      <c r="R367" s="3" t="e" cm="1" vm="1">
        <f t="array" aca="1" ref="R367" ca="1">tbl_Process[Temp_Firing_C] - AVERAGE(tbl_Zones[[Target_Temp_Min_C]:[Target_Temp_Max_C]])</f>
        <v>#VALUE!</v>
      </c>
    </row>
    <row r="368" spans="1:18" x14ac:dyDescent="0.3">
      <c r="A368" s="2" t="s">
        <v>386</v>
      </c>
      <c r="B368" s="2" t="s">
        <v>24</v>
      </c>
      <c r="C368" s="2" t="s">
        <v>260</v>
      </c>
      <c r="D368" s="3">
        <v>395.7</v>
      </c>
      <c r="E368" s="3">
        <v>3.33</v>
      </c>
      <c r="F368" s="3">
        <v>316.7</v>
      </c>
      <c r="G368" s="3">
        <v>386.6</v>
      </c>
      <c r="H368" s="3">
        <v>968.1</v>
      </c>
      <c r="I368" s="4">
        <v>1291.0999999999999</v>
      </c>
      <c r="J368" s="4">
        <v>1220</v>
      </c>
      <c r="K368" s="3">
        <v>156.1</v>
      </c>
      <c r="L368" s="3">
        <v>3.83</v>
      </c>
      <c r="M368" s="4">
        <v>416768</v>
      </c>
      <c r="N368" s="4">
        <v>8311</v>
      </c>
      <c r="O368" s="3">
        <v>14.74</v>
      </c>
      <c r="P368" s="3" t="str">
        <f t="shared" si="5"/>
        <v>NORMAL</v>
      </c>
      <c r="Q368" s="3" cm="1">
        <f t="array" aca="1" ref="Q368" ca="1">AVERAGE(OFFSET(tbl_Process[[#This Row],[Temp_Firing_C]], MAX(1-ROW()+ROW(tbl_Process[#Headers]), -23), 0, MIN(ROW()-ROW(tbl_Process[#Headers]), 24), 1))</f>
        <v>1288.9791666666667</v>
      </c>
      <c r="R368" s="3" t="e" cm="1" vm="1">
        <f t="array" aca="1" ref="R368" ca="1">tbl_Process[Temp_Firing_C] - AVERAGE(tbl_Zones[[Target_Temp_Min_C]:[Target_Temp_Max_C]])</f>
        <v>#VALUE!</v>
      </c>
    </row>
    <row r="369" spans="1:18" x14ac:dyDescent="0.3">
      <c r="A369" s="2" t="s">
        <v>387</v>
      </c>
      <c r="B369" s="2" t="s">
        <v>24</v>
      </c>
      <c r="C369" s="2" t="s">
        <v>260</v>
      </c>
      <c r="D369" s="3">
        <v>399.7</v>
      </c>
      <c r="E369" s="3">
        <v>3.5</v>
      </c>
      <c r="F369" s="3">
        <v>320.39999999999998</v>
      </c>
      <c r="G369" s="3">
        <v>386.6</v>
      </c>
      <c r="H369" s="3">
        <v>966.6</v>
      </c>
      <c r="I369" s="4">
        <v>1281.0999999999999</v>
      </c>
      <c r="J369" s="4">
        <v>1224.7</v>
      </c>
      <c r="K369" s="3">
        <v>161.80000000000001</v>
      </c>
      <c r="L369" s="3">
        <v>4.01</v>
      </c>
      <c r="M369" s="4">
        <v>413966</v>
      </c>
      <c r="N369" s="4">
        <v>8253</v>
      </c>
      <c r="O369" s="3">
        <v>14.18</v>
      </c>
      <c r="P369" s="3" t="str">
        <f t="shared" si="5"/>
        <v>NORMAL</v>
      </c>
      <c r="Q369" s="3" cm="1">
        <f t="array" aca="1" ref="Q369" ca="1">AVERAGE(OFFSET(tbl_Process[[#This Row],[Temp_Firing_C]], MAX(1-ROW()+ROW(tbl_Process[#Headers]), -23), 0, MIN(ROW()-ROW(tbl_Process[#Headers]), 24), 1))</f>
        <v>1288.3416666666665</v>
      </c>
      <c r="R369" s="3" t="e" cm="1" vm="1">
        <f t="array" aca="1" ref="R369" ca="1">tbl_Process[Temp_Firing_C] - AVERAGE(tbl_Zones[[Target_Temp_Min_C]:[Target_Temp_Max_C]])</f>
        <v>#VALUE!</v>
      </c>
    </row>
    <row r="370" spans="1:18" x14ac:dyDescent="0.3">
      <c r="A370" s="2" t="s">
        <v>388</v>
      </c>
      <c r="B370" s="2" t="s">
        <v>24</v>
      </c>
      <c r="C370" s="2" t="s">
        <v>260</v>
      </c>
      <c r="D370" s="3">
        <v>404.9</v>
      </c>
      <c r="E370" s="3">
        <v>3.42</v>
      </c>
      <c r="F370" s="3">
        <v>325.7</v>
      </c>
      <c r="G370" s="3">
        <v>394.2</v>
      </c>
      <c r="H370" s="3">
        <v>980.9</v>
      </c>
      <c r="I370" s="4">
        <v>1300.5</v>
      </c>
      <c r="J370" s="4">
        <v>1227</v>
      </c>
      <c r="K370" s="3">
        <v>158.9</v>
      </c>
      <c r="L370" s="3">
        <v>3.84</v>
      </c>
      <c r="M370" s="4">
        <v>422636</v>
      </c>
      <c r="N370" s="4">
        <v>8526</v>
      </c>
      <c r="O370" s="3">
        <v>13.83</v>
      </c>
      <c r="P370" s="3" t="str">
        <f t="shared" si="5"/>
        <v>NORMAL</v>
      </c>
      <c r="Q370" s="3" cm="1">
        <f t="array" aca="1" ref="Q370" ca="1">AVERAGE(OFFSET(tbl_Process[[#This Row],[Temp_Firing_C]], MAX(1-ROW()+ROW(tbl_Process[#Headers]), -23), 0, MIN(ROW()-ROW(tbl_Process[#Headers]), 24), 1))</f>
        <v>1288.7875000000001</v>
      </c>
      <c r="R370" s="3" t="e" cm="1" vm="1">
        <f t="array" aca="1" ref="R370" ca="1">tbl_Process[Temp_Firing_C] - AVERAGE(tbl_Zones[[Target_Temp_Min_C]:[Target_Temp_Max_C]])</f>
        <v>#VALUE!</v>
      </c>
    </row>
    <row r="371" spans="1:18" x14ac:dyDescent="0.3">
      <c r="A371" s="2" t="s">
        <v>389</v>
      </c>
      <c r="B371" s="2" t="s">
        <v>24</v>
      </c>
      <c r="C371" s="2" t="s">
        <v>260</v>
      </c>
      <c r="D371" s="3">
        <v>399.2</v>
      </c>
      <c r="E371" s="3">
        <v>3.28</v>
      </c>
      <c r="F371" s="3">
        <v>323</v>
      </c>
      <c r="G371" s="3">
        <v>372.8</v>
      </c>
      <c r="H371" s="3">
        <v>973</v>
      </c>
      <c r="I371" s="4">
        <v>1296.9000000000001</v>
      </c>
      <c r="J371" s="4">
        <v>1243.3</v>
      </c>
      <c r="K371" s="3">
        <v>166.5</v>
      </c>
      <c r="L371" s="3">
        <v>3.81</v>
      </c>
      <c r="M371" s="4">
        <v>422305</v>
      </c>
      <c r="N371" s="4">
        <v>8295</v>
      </c>
      <c r="O371" s="3">
        <v>14.12</v>
      </c>
      <c r="P371" s="3" t="str">
        <f t="shared" si="5"/>
        <v>NORMAL</v>
      </c>
      <c r="Q371" s="3" cm="1">
        <f t="array" aca="1" ref="Q371" ca="1">AVERAGE(OFFSET(tbl_Process[[#This Row],[Temp_Firing_C]], MAX(1-ROW()+ROW(tbl_Process[#Headers]), -23), 0, MIN(ROW()-ROW(tbl_Process[#Headers]), 24), 1))</f>
        <v>1289.6916666666666</v>
      </c>
      <c r="R371" s="3" t="e" cm="1" vm="1">
        <f t="array" aca="1" ref="R371" ca="1">tbl_Process[Temp_Firing_C] - AVERAGE(tbl_Zones[[Target_Temp_Min_C]:[Target_Temp_Max_C]])</f>
        <v>#VALUE!</v>
      </c>
    </row>
    <row r="372" spans="1:18" x14ac:dyDescent="0.3">
      <c r="A372" s="2" t="s">
        <v>390</v>
      </c>
      <c r="B372" s="2" t="s">
        <v>24</v>
      </c>
      <c r="C372" s="2" t="s">
        <v>260</v>
      </c>
      <c r="D372" s="3">
        <v>401.3</v>
      </c>
      <c r="E372" s="3">
        <v>3.23</v>
      </c>
      <c r="F372" s="3">
        <v>322.8</v>
      </c>
      <c r="G372" s="3">
        <v>376.9</v>
      </c>
      <c r="H372" s="3">
        <v>967.3</v>
      </c>
      <c r="I372" s="4">
        <v>1284.5</v>
      </c>
      <c r="J372" s="4">
        <v>1222</v>
      </c>
      <c r="K372" s="3">
        <v>162.1</v>
      </c>
      <c r="L372" s="3">
        <v>4.04</v>
      </c>
      <c r="M372" s="4">
        <v>417234</v>
      </c>
      <c r="N372" s="4">
        <v>8222</v>
      </c>
      <c r="O372" s="3">
        <v>14.36</v>
      </c>
      <c r="P372" s="3" t="str">
        <f t="shared" si="5"/>
        <v>NORMAL</v>
      </c>
      <c r="Q372" s="3" cm="1">
        <f t="array" aca="1" ref="Q372" ca="1">AVERAGE(OFFSET(tbl_Process[[#This Row],[Temp_Firing_C]], MAX(1-ROW()+ROW(tbl_Process[#Headers]), -23), 0, MIN(ROW()-ROW(tbl_Process[#Headers]), 24), 1))</f>
        <v>1289.0458333333333</v>
      </c>
      <c r="R372" s="3" t="e" cm="1" vm="1">
        <f t="array" aca="1" ref="R372" ca="1">tbl_Process[Temp_Firing_C] - AVERAGE(tbl_Zones[[Target_Temp_Min_C]:[Target_Temp_Max_C]])</f>
        <v>#VALUE!</v>
      </c>
    </row>
    <row r="373" spans="1:18" x14ac:dyDescent="0.3">
      <c r="A373" s="2" t="s">
        <v>391</v>
      </c>
      <c r="B373" s="2" t="s">
        <v>24</v>
      </c>
      <c r="C373" s="2" t="s">
        <v>260</v>
      </c>
      <c r="D373" s="3">
        <v>394.6</v>
      </c>
      <c r="E373" s="3">
        <v>3.43</v>
      </c>
      <c r="F373" s="3">
        <v>326.2</v>
      </c>
      <c r="G373" s="3">
        <v>400.9</v>
      </c>
      <c r="H373" s="3">
        <v>958</v>
      </c>
      <c r="I373" s="4">
        <v>1290.0999999999999</v>
      </c>
      <c r="J373" s="4">
        <v>1221.5999999999999</v>
      </c>
      <c r="K373" s="3">
        <v>162.9</v>
      </c>
      <c r="L373" s="3">
        <v>3.89</v>
      </c>
      <c r="M373" s="4">
        <v>418031</v>
      </c>
      <c r="N373" s="4">
        <v>8512</v>
      </c>
      <c r="O373" s="3">
        <v>14.04</v>
      </c>
      <c r="P373" s="3" t="str">
        <f t="shared" si="5"/>
        <v>NORMAL</v>
      </c>
      <c r="Q373" s="3" cm="1">
        <f t="array" aca="1" ref="Q373" ca="1">AVERAGE(OFFSET(tbl_Process[[#This Row],[Temp_Firing_C]], MAX(1-ROW()+ROW(tbl_Process[#Headers]), -23), 0, MIN(ROW()-ROW(tbl_Process[#Headers]), 24), 1))</f>
        <v>1288.9416666666668</v>
      </c>
      <c r="R373" s="3" t="e" cm="1" vm="1">
        <f t="array" aca="1" ref="R373" ca="1">tbl_Process[Temp_Firing_C] - AVERAGE(tbl_Zones[[Target_Temp_Min_C]:[Target_Temp_Max_C]])</f>
        <v>#VALUE!</v>
      </c>
    </row>
    <row r="374" spans="1:18" x14ac:dyDescent="0.3">
      <c r="A374" s="2" t="s">
        <v>392</v>
      </c>
      <c r="B374" s="2" t="s">
        <v>24</v>
      </c>
      <c r="C374" s="2" t="s">
        <v>260</v>
      </c>
      <c r="D374" s="3">
        <v>403.9</v>
      </c>
      <c r="E374" s="3">
        <v>3.44</v>
      </c>
      <c r="F374" s="3">
        <v>322.3</v>
      </c>
      <c r="G374" s="3">
        <v>380.9</v>
      </c>
      <c r="H374" s="3">
        <v>993.8</v>
      </c>
      <c r="I374" s="4">
        <v>1284.7</v>
      </c>
      <c r="J374" s="4">
        <v>1221.5</v>
      </c>
      <c r="K374" s="3">
        <v>157.80000000000001</v>
      </c>
      <c r="L374" s="3">
        <v>4.17</v>
      </c>
      <c r="M374" s="4">
        <v>420350</v>
      </c>
      <c r="N374" s="4">
        <v>8235</v>
      </c>
      <c r="O374" s="3">
        <v>14.54</v>
      </c>
      <c r="P374" s="3" t="str">
        <f t="shared" si="5"/>
        <v>NORMAL</v>
      </c>
      <c r="Q374" s="3" cm="1">
        <f t="array" aca="1" ref="Q374" ca="1">AVERAGE(OFFSET(tbl_Process[[#This Row],[Temp_Firing_C]], MAX(1-ROW()+ROW(tbl_Process[#Headers]), -23), 0, MIN(ROW()-ROW(tbl_Process[#Headers]), 24), 1))</f>
        <v>1288.7875000000001</v>
      </c>
      <c r="R374" s="3" t="e" cm="1" vm="1">
        <f t="array" aca="1" ref="R374" ca="1">tbl_Process[Temp_Firing_C] - AVERAGE(tbl_Zones[[Target_Temp_Min_C]:[Target_Temp_Max_C]])</f>
        <v>#VALUE!</v>
      </c>
    </row>
    <row r="375" spans="1:18" x14ac:dyDescent="0.3">
      <c r="A375" s="2" t="s">
        <v>393</v>
      </c>
      <c r="B375" s="2" t="s">
        <v>24</v>
      </c>
      <c r="C375" s="2" t="s">
        <v>260</v>
      </c>
      <c r="D375" s="3">
        <v>401</v>
      </c>
      <c r="E375" s="3">
        <v>3.36</v>
      </c>
      <c r="F375" s="3">
        <v>326.5</v>
      </c>
      <c r="G375" s="3">
        <v>385.4</v>
      </c>
      <c r="H375" s="3">
        <v>966.5</v>
      </c>
      <c r="I375" s="4">
        <v>1289.9000000000001</v>
      </c>
      <c r="J375" s="4">
        <v>1227.5</v>
      </c>
      <c r="K375" s="3">
        <v>162.5</v>
      </c>
      <c r="L375" s="3">
        <v>3.91</v>
      </c>
      <c r="M375" s="4">
        <v>415938</v>
      </c>
      <c r="N375" s="4">
        <v>8582</v>
      </c>
      <c r="O375" s="3">
        <v>13.87</v>
      </c>
      <c r="P375" s="3" t="str">
        <f t="shared" si="5"/>
        <v>NORMAL</v>
      </c>
      <c r="Q375" s="3" cm="1">
        <f t="array" aca="1" ref="Q375" ca="1">AVERAGE(OFFSET(tbl_Process[[#This Row],[Temp_Firing_C]], MAX(1-ROW()+ROW(tbl_Process[#Headers]), -23), 0, MIN(ROW()-ROW(tbl_Process[#Headers]), 24), 1))</f>
        <v>1289.2458333333332</v>
      </c>
      <c r="R375" s="3" t="e" cm="1" vm="1">
        <f t="array" aca="1" ref="R375" ca="1">tbl_Process[Temp_Firing_C] - AVERAGE(tbl_Zones[[Target_Temp_Min_C]:[Target_Temp_Max_C]])</f>
        <v>#VALUE!</v>
      </c>
    </row>
    <row r="376" spans="1:18" x14ac:dyDescent="0.3">
      <c r="A376" s="2" t="s">
        <v>394</v>
      </c>
      <c r="B376" s="2" t="s">
        <v>33</v>
      </c>
      <c r="C376" s="2" t="s">
        <v>260</v>
      </c>
      <c r="D376" s="3">
        <v>401.7</v>
      </c>
      <c r="E376" s="3">
        <v>3.37</v>
      </c>
      <c r="F376" s="3">
        <v>332.2</v>
      </c>
      <c r="G376" s="3">
        <v>375.8</v>
      </c>
      <c r="H376" s="3">
        <v>954.4</v>
      </c>
      <c r="I376" s="4">
        <v>1281.5999999999999</v>
      </c>
      <c r="J376" s="4">
        <v>1218.5</v>
      </c>
      <c r="K376" s="3">
        <v>154.19999999999999</v>
      </c>
      <c r="L376" s="3">
        <v>3.86</v>
      </c>
      <c r="M376" s="4">
        <v>409155</v>
      </c>
      <c r="N376" s="4">
        <v>8308</v>
      </c>
      <c r="O376" s="3">
        <v>14.23</v>
      </c>
      <c r="P376" s="3" t="str">
        <f t="shared" si="5"/>
        <v>NORMAL</v>
      </c>
      <c r="Q376" s="3" cm="1">
        <f t="array" aca="1" ref="Q376" ca="1">AVERAGE(OFFSET(tbl_Process[[#This Row],[Temp_Firing_C]], MAX(1-ROW()+ROW(tbl_Process[#Headers]), -23), 0, MIN(ROW()-ROW(tbl_Process[#Headers]), 24), 1))</f>
        <v>1289.1416666666667</v>
      </c>
      <c r="R376" s="3" t="e" cm="1" vm="1">
        <f t="array" aca="1" ref="R376" ca="1">tbl_Process[Temp_Firing_C] - AVERAGE(tbl_Zones[[Target_Temp_Min_C]:[Target_Temp_Max_C]])</f>
        <v>#VALUE!</v>
      </c>
    </row>
    <row r="377" spans="1:18" x14ac:dyDescent="0.3">
      <c r="A377" s="2" t="s">
        <v>395</v>
      </c>
      <c r="B377" s="2" t="s">
        <v>33</v>
      </c>
      <c r="C377" s="2" t="s">
        <v>260</v>
      </c>
      <c r="D377" s="3">
        <v>394</v>
      </c>
      <c r="E377" s="3">
        <v>3.49</v>
      </c>
      <c r="F377" s="3">
        <v>313.5</v>
      </c>
      <c r="G377" s="3">
        <v>387.3</v>
      </c>
      <c r="H377" s="3">
        <v>954.2</v>
      </c>
      <c r="I377" s="4">
        <v>1301.3</v>
      </c>
      <c r="J377" s="4">
        <v>1240.8</v>
      </c>
      <c r="K377" s="3">
        <v>155.80000000000001</v>
      </c>
      <c r="L377" s="3">
        <v>3.74</v>
      </c>
      <c r="M377" s="4">
        <v>422353</v>
      </c>
      <c r="N377" s="4">
        <v>8484</v>
      </c>
      <c r="O377" s="3">
        <v>14.17</v>
      </c>
      <c r="P377" s="3" t="str">
        <f t="shared" si="5"/>
        <v>NORMAL</v>
      </c>
      <c r="Q377" s="3" cm="1">
        <f t="array" aca="1" ref="Q377" ca="1">AVERAGE(OFFSET(tbl_Process[[#This Row],[Temp_Firing_C]], MAX(1-ROW()+ROW(tbl_Process[#Headers]), -23), 0, MIN(ROW()-ROW(tbl_Process[#Headers]), 24), 1))</f>
        <v>1289.6374999999998</v>
      </c>
      <c r="R377" s="3" t="e" cm="1" vm="1">
        <f t="array" aca="1" ref="R377" ca="1">tbl_Process[Temp_Firing_C] - AVERAGE(tbl_Zones[[Target_Temp_Min_C]:[Target_Temp_Max_C]])</f>
        <v>#VALUE!</v>
      </c>
    </row>
    <row r="378" spans="1:18" x14ac:dyDescent="0.3">
      <c r="A378" s="2" t="s">
        <v>396</v>
      </c>
      <c r="B378" s="2" t="s">
        <v>33</v>
      </c>
      <c r="C378" s="2" t="s">
        <v>260</v>
      </c>
      <c r="D378" s="3">
        <v>405.1</v>
      </c>
      <c r="E378" s="3">
        <v>3.34</v>
      </c>
      <c r="F378" s="3">
        <v>321.60000000000002</v>
      </c>
      <c r="G378" s="3">
        <v>388.1</v>
      </c>
      <c r="H378" s="3">
        <v>971.9</v>
      </c>
      <c r="I378" s="4">
        <v>1286.5999999999999</v>
      </c>
      <c r="J378" s="4">
        <v>1219.9000000000001</v>
      </c>
      <c r="K378" s="3">
        <v>152</v>
      </c>
      <c r="L378" s="3">
        <v>3.82</v>
      </c>
      <c r="M378" s="4">
        <v>418702</v>
      </c>
      <c r="N378" s="4">
        <v>8323</v>
      </c>
      <c r="O378" s="3">
        <v>14.36</v>
      </c>
      <c r="P378" s="3" t="str">
        <f t="shared" si="5"/>
        <v>NORMAL</v>
      </c>
      <c r="Q378" s="3" cm="1">
        <f t="array" aca="1" ref="Q378" ca="1">AVERAGE(OFFSET(tbl_Process[[#This Row],[Temp_Firing_C]], MAX(1-ROW()+ROW(tbl_Process[#Headers]), -23), 0, MIN(ROW()-ROW(tbl_Process[#Headers]), 24), 1))</f>
        <v>1289.395833333333</v>
      </c>
      <c r="R378" s="3" t="e" cm="1" vm="1">
        <f t="array" aca="1" ref="R378" ca="1">tbl_Process[Temp_Firing_C] - AVERAGE(tbl_Zones[[Target_Temp_Min_C]:[Target_Temp_Max_C]])</f>
        <v>#VALUE!</v>
      </c>
    </row>
    <row r="379" spans="1:18" x14ac:dyDescent="0.3">
      <c r="A379" s="2" t="s">
        <v>397</v>
      </c>
      <c r="B379" s="2" t="s">
        <v>33</v>
      </c>
      <c r="C379" s="2" t="s">
        <v>260</v>
      </c>
      <c r="D379" s="3">
        <v>404.2</v>
      </c>
      <c r="E379" s="3">
        <v>3.31</v>
      </c>
      <c r="F379" s="3">
        <v>319.5</v>
      </c>
      <c r="G379" s="3">
        <v>382.6</v>
      </c>
      <c r="H379" s="3">
        <v>953.4</v>
      </c>
      <c r="I379" s="4">
        <v>1299</v>
      </c>
      <c r="J379" s="4">
        <v>1239.5</v>
      </c>
      <c r="K379" s="3">
        <v>162.1</v>
      </c>
      <c r="L379" s="3">
        <v>4.1399999999999997</v>
      </c>
      <c r="M379" s="4">
        <v>414574</v>
      </c>
      <c r="N379" s="4">
        <v>8487</v>
      </c>
      <c r="O379" s="3">
        <v>14.3</v>
      </c>
      <c r="P379" s="3" t="str">
        <f t="shared" si="5"/>
        <v>NORMAL</v>
      </c>
      <c r="Q379" s="3" cm="1">
        <f t="array" aca="1" ref="Q379" ca="1">AVERAGE(OFFSET(tbl_Process[[#This Row],[Temp_Firing_C]], MAX(1-ROW()+ROW(tbl_Process[#Headers]), -23), 0, MIN(ROW()-ROW(tbl_Process[#Headers]), 24), 1))</f>
        <v>1290.2666666666667</v>
      </c>
      <c r="R379" s="3" t="e" cm="1" vm="1">
        <f t="array" aca="1" ref="R379" ca="1">tbl_Process[Temp_Firing_C] - AVERAGE(tbl_Zones[[Target_Temp_Min_C]:[Target_Temp_Max_C]])</f>
        <v>#VALUE!</v>
      </c>
    </row>
    <row r="380" spans="1:18" x14ac:dyDescent="0.3">
      <c r="A380" s="2" t="s">
        <v>398</v>
      </c>
      <c r="B380" s="2" t="s">
        <v>33</v>
      </c>
      <c r="C380" s="2" t="s">
        <v>260</v>
      </c>
      <c r="D380" s="3">
        <v>396.3</v>
      </c>
      <c r="E380" s="3">
        <v>3.42</v>
      </c>
      <c r="F380" s="3">
        <v>314.3</v>
      </c>
      <c r="G380" s="3">
        <v>386</v>
      </c>
      <c r="H380" s="3">
        <v>974.5</v>
      </c>
      <c r="I380" s="4">
        <v>1289.5999999999999</v>
      </c>
      <c r="J380" s="4">
        <v>1213.5</v>
      </c>
      <c r="K380" s="3">
        <v>155.80000000000001</v>
      </c>
      <c r="L380" s="3">
        <v>3.93</v>
      </c>
      <c r="M380" s="4">
        <v>418202</v>
      </c>
      <c r="N380" s="4">
        <v>8052</v>
      </c>
      <c r="O380" s="3">
        <v>14.87</v>
      </c>
      <c r="P380" s="3" t="str">
        <f t="shared" si="5"/>
        <v>NORMAL</v>
      </c>
      <c r="Q380" s="3" cm="1">
        <f t="array" aca="1" ref="Q380" ca="1">AVERAGE(OFFSET(tbl_Process[[#This Row],[Temp_Firing_C]], MAX(1-ROW()+ROW(tbl_Process[#Headers]), -23), 0, MIN(ROW()-ROW(tbl_Process[#Headers]), 24), 1))</f>
        <v>1291.0708333333332</v>
      </c>
      <c r="R380" s="3" t="e" cm="1" vm="1">
        <f t="array" aca="1" ref="R380" ca="1">tbl_Process[Temp_Firing_C] - AVERAGE(tbl_Zones[[Target_Temp_Min_C]:[Target_Temp_Max_C]])</f>
        <v>#VALUE!</v>
      </c>
    </row>
    <row r="381" spans="1:18" x14ac:dyDescent="0.3">
      <c r="A381" s="2" t="s">
        <v>399</v>
      </c>
      <c r="B381" s="2" t="s">
        <v>33</v>
      </c>
      <c r="C381" s="2" t="s">
        <v>260</v>
      </c>
      <c r="D381" s="3">
        <v>400.5</v>
      </c>
      <c r="E381" s="3">
        <v>3.33</v>
      </c>
      <c r="F381" s="3">
        <v>326.89999999999998</v>
      </c>
      <c r="G381" s="3">
        <v>376.5</v>
      </c>
      <c r="H381" s="3">
        <v>953.6</v>
      </c>
      <c r="I381" s="4">
        <v>1290.4000000000001</v>
      </c>
      <c r="J381" s="4">
        <v>1236.0999999999999</v>
      </c>
      <c r="K381" s="3">
        <v>168.8</v>
      </c>
      <c r="L381" s="3">
        <v>3.93</v>
      </c>
      <c r="M381" s="4">
        <v>419890</v>
      </c>
      <c r="N381" s="4">
        <v>8480</v>
      </c>
      <c r="O381" s="3">
        <v>13.9</v>
      </c>
      <c r="P381" s="3" t="str">
        <f t="shared" si="5"/>
        <v>NORMAL</v>
      </c>
      <c r="Q381" s="3" cm="1">
        <f t="array" aca="1" ref="Q381" ca="1">AVERAGE(OFFSET(tbl_Process[[#This Row],[Temp_Firing_C]], MAX(1-ROW()+ROW(tbl_Process[#Headers]), -23), 0, MIN(ROW()-ROW(tbl_Process[#Headers]), 24), 1))</f>
        <v>1291.4416666666666</v>
      </c>
      <c r="R381" s="3" t="e" cm="1" vm="1">
        <f t="array" aca="1" ref="R381" ca="1">tbl_Process[Temp_Firing_C] - AVERAGE(tbl_Zones[[Target_Temp_Min_C]:[Target_Temp_Max_C]])</f>
        <v>#VALUE!</v>
      </c>
    </row>
    <row r="382" spans="1:18" x14ac:dyDescent="0.3">
      <c r="A382" s="2" t="s">
        <v>400</v>
      </c>
      <c r="B382" s="2" t="s">
        <v>33</v>
      </c>
      <c r="C382" s="2" t="s">
        <v>260</v>
      </c>
      <c r="D382" s="3">
        <v>402.6</v>
      </c>
      <c r="E382" s="3">
        <v>3.34</v>
      </c>
      <c r="F382" s="3">
        <v>323</v>
      </c>
      <c r="G382" s="3">
        <v>379.9</v>
      </c>
      <c r="H382" s="3">
        <v>968.2</v>
      </c>
      <c r="I382" s="4">
        <v>1288.9000000000001</v>
      </c>
      <c r="J382" s="4">
        <v>1205.5</v>
      </c>
      <c r="K382" s="3">
        <v>161.6</v>
      </c>
      <c r="L382" s="3">
        <v>3.99</v>
      </c>
      <c r="M382" s="4">
        <v>419563</v>
      </c>
      <c r="N382" s="4">
        <v>8354</v>
      </c>
      <c r="O382" s="3">
        <v>14.73</v>
      </c>
      <c r="P382" s="3" t="str">
        <f t="shared" si="5"/>
        <v>NORMAL</v>
      </c>
      <c r="Q382" s="3" cm="1">
        <f t="array" aca="1" ref="Q382" ca="1">AVERAGE(OFFSET(tbl_Process[[#This Row],[Temp_Firing_C]], MAX(1-ROW()+ROW(tbl_Process[#Headers]), -23), 0, MIN(ROW()-ROW(tbl_Process[#Headers]), 24), 1))</f>
        <v>1291.6458333333333</v>
      </c>
      <c r="R382" s="3" t="e" cm="1" vm="1">
        <f t="array" aca="1" ref="R382" ca="1">tbl_Process[Temp_Firing_C] - AVERAGE(tbl_Zones[[Target_Temp_Min_C]:[Target_Temp_Max_C]])</f>
        <v>#VALUE!</v>
      </c>
    </row>
    <row r="383" spans="1:18" x14ac:dyDescent="0.3">
      <c r="A383" s="2" t="s">
        <v>401</v>
      </c>
      <c r="B383" s="2" t="s">
        <v>33</v>
      </c>
      <c r="C383" s="2" t="s">
        <v>260</v>
      </c>
      <c r="D383" s="3">
        <v>401.2</v>
      </c>
      <c r="E383" s="3">
        <v>3.44</v>
      </c>
      <c r="F383" s="3">
        <v>327.60000000000002</v>
      </c>
      <c r="G383" s="3">
        <v>384.3</v>
      </c>
      <c r="H383" s="3">
        <v>951.9</v>
      </c>
      <c r="I383" s="4">
        <v>1269</v>
      </c>
      <c r="J383" s="4">
        <v>1201.0999999999999</v>
      </c>
      <c r="K383" s="3">
        <v>164.7</v>
      </c>
      <c r="L383" s="3">
        <v>3.88</v>
      </c>
      <c r="M383" s="4">
        <v>417224</v>
      </c>
      <c r="N383" s="4">
        <v>8146</v>
      </c>
      <c r="O383" s="3">
        <v>14.81</v>
      </c>
      <c r="P383" s="3" t="str">
        <f t="shared" si="5"/>
        <v>NORMAL</v>
      </c>
      <c r="Q383" s="3" cm="1">
        <f t="array" aca="1" ref="Q383" ca="1">AVERAGE(OFFSET(tbl_Process[[#This Row],[Temp_Firing_C]], MAX(1-ROW()+ROW(tbl_Process[#Headers]), -23), 0, MIN(ROW()-ROW(tbl_Process[#Headers]), 24), 1))</f>
        <v>1290.7708333333333</v>
      </c>
      <c r="R383" s="3" t="e" cm="1" vm="1">
        <f t="array" aca="1" ref="R383" ca="1">tbl_Process[Temp_Firing_C] - AVERAGE(tbl_Zones[[Target_Temp_Min_C]:[Target_Temp_Max_C]])</f>
        <v>#VALUE!</v>
      </c>
    </row>
    <row r="384" spans="1:18" x14ac:dyDescent="0.3">
      <c r="A384" s="2" t="s">
        <v>402</v>
      </c>
      <c r="B384" s="2" t="s">
        <v>16</v>
      </c>
      <c r="C384" s="2" t="s">
        <v>260</v>
      </c>
      <c r="D384" s="3">
        <v>398.8</v>
      </c>
      <c r="E384" s="3">
        <v>3.44</v>
      </c>
      <c r="F384" s="3">
        <v>324.7</v>
      </c>
      <c r="G384" s="3">
        <v>392.7</v>
      </c>
      <c r="H384" s="3">
        <v>942.8</v>
      </c>
      <c r="I384" s="4">
        <v>1285.7</v>
      </c>
      <c r="J384" s="4">
        <v>1225.8</v>
      </c>
      <c r="K384" s="3">
        <v>168.8</v>
      </c>
      <c r="L384" s="3">
        <v>3.92</v>
      </c>
      <c r="M384" s="4">
        <v>416402</v>
      </c>
      <c r="N384" s="4">
        <v>8419</v>
      </c>
      <c r="O384" s="3">
        <v>14.48</v>
      </c>
      <c r="P384" s="3" t="str">
        <f t="shared" si="5"/>
        <v>NORMAL</v>
      </c>
      <c r="Q384" s="3" cm="1">
        <f t="array" aca="1" ref="Q384" ca="1">AVERAGE(OFFSET(tbl_Process[[#This Row],[Temp_Firing_C]], MAX(1-ROW()+ROW(tbl_Process[#Headers]), -23), 0, MIN(ROW()-ROW(tbl_Process[#Headers]), 24), 1))</f>
        <v>1290.3208333333334</v>
      </c>
      <c r="R384" s="3" t="e" cm="1" vm="1">
        <f t="array" aca="1" ref="R384" ca="1">tbl_Process[Temp_Firing_C] - AVERAGE(tbl_Zones[[Target_Temp_Min_C]:[Target_Temp_Max_C]])</f>
        <v>#VALUE!</v>
      </c>
    </row>
    <row r="385" spans="1:18" x14ac:dyDescent="0.3">
      <c r="A385" s="2" t="s">
        <v>403</v>
      </c>
      <c r="B385" s="2" t="s">
        <v>16</v>
      </c>
      <c r="C385" s="2" t="s">
        <v>260</v>
      </c>
      <c r="D385" s="3">
        <v>398.6</v>
      </c>
      <c r="E385" s="3">
        <v>3.43</v>
      </c>
      <c r="F385" s="3">
        <v>329.1</v>
      </c>
      <c r="G385" s="3">
        <v>395.9</v>
      </c>
      <c r="H385" s="3">
        <v>972.9</v>
      </c>
      <c r="I385" s="4">
        <v>1290.5999999999999</v>
      </c>
      <c r="J385" s="4">
        <v>1225.3</v>
      </c>
      <c r="K385" s="3">
        <v>164.1</v>
      </c>
      <c r="L385" s="3">
        <v>3.88</v>
      </c>
      <c r="M385" s="4">
        <v>418972</v>
      </c>
      <c r="N385" s="4">
        <v>8260</v>
      </c>
      <c r="O385" s="3">
        <v>14.72</v>
      </c>
      <c r="P385" s="3" t="str">
        <f t="shared" si="5"/>
        <v>NORMAL</v>
      </c>
      <c r="Q385" s="3" cm="1">
        <f t="array" aca="1" ref="Q385" ca="1">AVERAGE(OFFSET(tbl_Process[[#This Row],[Temp_Firing_C]], MAX(1-ROW()+ROW(tbl_Process[#Headers]), -23), 0, MIN(ROW()-ROW(tbl_Process[#Headers]), 24), 1))</f>
        <v>1290.3125</v>
      </c>
      <c r="R385" s="3" t="e" cm="1" vm="1">
        <f t="array" aca="1" ref="R385" ca="1">tbl_Process[Temp_Firing_C] - AVERAGE(tbl_Zones[[Target_Temp_Min_C]:[Target_Temp_Max_C]])</f>
        <v>#VALUE!</v>
      </c>
    </row>
    <row r="386" spans="1:18" x14ac:dyDescent="0.3">
      <c r="A386" s="2" t="s">
        <v>404</v>
      </c>
      <c r="B386" s="2" t="s">
        <v>16</v>
      </c>
      <c r="C386" s="2" t="s">
        <v>260</v>
      </c>
      <c r="D386" s="3">
        <v>395.4</v>
      </c>
      <c r="E386" s="3">
        <v>3.37</v>
      </c>
      <c r="F386" s="3">
        <v>322.89999999999998</v>
      </c>
      <c r="G386" s="3">
        <v>397.1</v>
      </c>
      <c r="H386" s="3">
        <v>959.6</v>
      </c>
      <c r="I386" s="4">
        <v>1285.9000000000001</v>
      </c>
      <c r="J386" s="4">
        <v>1217.5999999999999</v>
      </c>
      <c r="K386" s="3">
        <v>169.9</v>
      </c>
      <c r="L386" s="3">
        <v>3.5</v>
      </c>
      <c r="M386" s="4">
        <v>413952</v>
      </c>
      <c r="N386" s="4">
        <v>8659</v>
      </c>
      <c r="O386" s="3">
        <v>14.22</v>
      </c>
      <c r="P386" s="3" t="str">
        <f t="shared" ref="P386:P449" si="6">IF(L386&gt;4.5,"CRITICAL",IF(OR(I386&lt;1250,I386&gt;1330),"WARNING","NORMAL"))</f>
        <v>NORMAL</v>
      </c>
      <c r="Q386" s="3" cm="1">
        <f t="array" aca="1" ref="Q386" ca="1">AVERAGE(OFFSET(tbl_Process[[#This Row],[Temp_Firing_C]], MAX(1-ROW()+ROW(tbl_Process[#Headers]), -23), 0, MIN(ROW()-ROW(tbl_Process[#Headers]), 24), 1))</f>
        <v>1290.2875000000001</v>
      </c>
      <c r="R386" s="3" t="e" cm="1" vm="1">
        <f t="array" aca="1" ref="R386" ca="1">tbl_Process[Temp_Firing_C] - AVERAGE(tbl_Zones[[Target_Temp_Min_C]:[Target_Temp_Max_C]])</f>
        <v>#VALUE!</v>
      </c>
    </row>
    <row r="387" spans="1:18" x14ac:dyDescent="0.3">
      <c r="A387" s="2" t="s">
        <v>405</v>
      </c>
      <c r="B387" s="2" t="s">
        <v>16</v>
      </c>
      <c r="C387" s="2" t="s">
        <v>260</v>
      </c>
      <c r="D387" s="3">
        <v>395.6</v>
      </c>
      <c r="E387" s="3">
        <v>3.4</v>
      </c>
      <c r="F387" s="3">
        <v>323.10000000000002</v>
      </c>
      <c r="G387" s="3">
        <v>389.5</v>
      </c>
      <c r="H387" s="3">
        <v>987.5</v>
      </c>
      <c r="I387" s="4">
        <v>1295.3</v>
      </c>
      <c r="J387" s="4">
        <v>1227.0999999999999</v>
      </c>
      <c r="K387" s="3">
        <v>165.7</v>
      </c>
      <c r="L387" s="3">
        <v>3.76</v>
      </c>
      <c r="M387" s="4">
        <v>415537</v>
      </c>
      <c r="N387" s="4">
        <v>8232</v>
      </c>
      <c r="O387" s="3">
        <v>14.02</v>
      </c>
      <c r="P387" s="3" t="str">
        <f t="shared" si="6"/>
        <v>NORMAL</v>
      </c>
      <c r="Q387" s="3" cm="1">
        <f t="array" aca="1" ref="Q387" ca="1">AVERAGE(OFFSET(tbl_Process[[#This Row],[Temp_Firing_C]], MAX(1-ROW()+ROW(tbl_Process[#Headers]), -23), 0, MIN(ROW()-ROW(tbl_Process[#Headers]), 24), 1))</f>
        <v>1290.6166666666666</v>
      </c>
      <c r="R387" s="3" t="e" cm="1" vm="1">
        <f t="array" aca="1" ref="R387" ca="1">tbl_Process[Temp_Firing_C] - AVERAGE(tbl_Zones[[Target_Temp_Min_C]:[Target_Temp_Max_C]])</f>
        <v>#VALUE!</v>
      </c>
    </row>
    <row r="388" spans="1:18" x14ac:dyDescent="0.3">
      <c r="A388" s="2" t="s">
        <v>406</v>
      </c>
      <c r="B388" s="2" t="s">
        <v>16</v>
      </c>
      <c r="C388" s="2" t="s">
        <v>260</v>
      </c>
      <c r="D388" s="3">
        <v>396.4</v>
      </c>
      <c r="E388" s="3">
        <v>3.31</v>
      </c>
      <c r="F388" s="3">
        <v>324.89999999999998</v>
      </c>
      <c r="G388" s="3">
        <v>375.7</v>
      </c>
      <c r="H388" s="3">
        <v>928.4</v>
      </c>
      <c r="I388" s="4">
        <v>1284.8</v>
      </c>
      <c r="J388" s="4">
        <v>1217</v>
      </c>
      <c r="K388" s="3">
        <v>159</v>
      </c>
      <c r="L388" s="3">
        <v>4.0199999999999996</v>
      </c>
      <c r="M388" s="4">
        <v>415117</v>
      </c>
      <c r="N388" s="4">
        <v>8423</v>
      </c>
      <c r="O388" s="3">
        <v>14.26</v>
      </c>
      <c r="P388" s="3" t="str">
        <f t="shared" si="6"/>
        <v>NORMAL</v>
      </c>
      <c r="Q388" s="3" cm="1">
        <f t="array" aca="1" ref="Q388" ca="1">AVERAGE(OFFSET(tbl_Process[[#This Row],[Temp_Firing_C]], MAX(1-ROW()+ROW(tbl_Process[#Headers]), -23), 0, MIN(ROW()-ROW(tbl_Process[#Headers]), 24), 1))</f>
        <v>1290.1333333333334</v>
      </c>
      <c r="R388" s="3" t="e" cm="1" vm="1">
        <f t="array" aca="1" ref="R388" ca="1">tbl_Process[Temp_Firing_C] - AVERAGE(tbl_Zones[[Target_Temp_Min_C]:[Target_Temp_Max_C]])</f>
        <v>#VALUE!</v>
      </c>
    </row>
    <row r="389" spans="1:18" x14ac:dyDescent="0.3">
      <c r="A389" s="2" t="s">
        <v>407</v>
      </c>
      <c r="B389" s="2" t="s">
        <v>16</v>
      </c>
      <c r="C389" s="2" t="s">
        <v>260</v>
      </c>
      <c r="D389" s="3">
        <v>399.8</v>
      </c>
      <c r="E389" s="3">
        <v>3.33</v>
      </c>
      <c r="F389" s="3">
        <v>323</v>
      </c>
      <c r="G389" s="3">
        <v>379.1</v>
      </c>
      <c r="H389" s="3">
        <v>968.7</v>
      </c>
      <c r="I389" s="4">
        <v>1292</v>
      </c>
      <c r="J389" s="4">
        <v>1221.3</v>
      </c>
      <c r="K389" s="3">
        <v>167.2</v>
      </c>
      <c r="L389" s="3">
        <v>3.93</v>
      </c>
      <c r="M389" s="4">
        <v>416992</v>
      </c>
      <c r="N389" s="4">
        <v>8421</v>
      </c>
      <c r="O389" s="3">
        <v>14.24</v>
      </c>
      <c r="P389" s="3" t="str">
        <f t="shared" si="6"/>
        <v>NORMAL</v>
      </c>
      <c r="Q389" s="3" cm="1">
        <f t="array" aca="1" ref="Q389" ca="1">AVERAGE(OFFSET(tbl_Process[[#This Row],[Temp_Firing_C]], MAX(1-ROW()+ROW(tbl_Process[#Headers]), -23), 0, MIN(ROW()-ROW(tbl_Process[#Headers]), 24), 1))</f>
        <v>1289.9666666666667</v>
      </c>
      <c r="R389" s="3" t="e" cm="1" vm="1">
        <f t="array" aca="1" ref="R389" ca="1">tbl_Process[Temp_Firing_C] - AVERAGE(tbl_Zones[[Target_Temp_Min_C]:[Target_Temp_Max_C]])</f>
        <v>#VALUE!</v>
      </c>
    </row>
    <row r="390" spans="1:18" x14ac:dyDescent="0.3">
      <c r="A390" s="2" t="s">
        <v>408</v>
      </c>
      <c r="B390" s="2" t="s">
        <v>16</v>
      </c>
      <c r="C390" s="2" t="s">
        <v>260</v>
      </c>
      <c r="D390" s="3">
        <v>396.5</v>
      </c>
      <c r="E390" s="3">
        <v>3.41</v>
      </c>
      <c r="F390" s="3">
        <v>319.8</v>
      </c>
      <c r="G390" s="3">
        <v>378.1</v>
      </c>
      <c r="H390" s="3">
        <v>947.6</v>
      </c>
      <c r="I390" s="4">
        <v>1291.5999999999999</v>
      </c>
      <c r="J390" s="4">
        <v>1230</v>
      </c>
      <c r="K390" s="3">
        <v>158.9</v>
      </c>
      <c r="L390" s="3">
        <v>4.16</v>
      </c>
      <c r="M390" s="4">
        <v>421588</v>
      </c>
      <c r="N390" s="4">
        <v>8556</v>
      </c>
      <c r="O390" s="3">
        <v>14.35</v>
      </c>
      <c r="P390" s="3" t="str">
        <f t="shared" si="6"/>
        <v>NORMAL</v>
      </c>
      <c r="Q390" s="3" cm="1">
        <f t="array" aca="1" ref="Q390" ca="1">AVERAGE(OFFSET(tbl_Process[[#This Row],[Temp_Firing_C]], MAX(1-ROW()+ROW(tbl_Process[#Headers]), -23), 0, MIN(ROW()-ROW(tbl_Process[#Headers]), 24), 1))</f>
        <v>1289.2750000000001</v>
      </c>
      <c r="R390" s="3" t="e" cm="1" vm="1">
        <f t="array" aca="1" ref="R390" ca="1">tbl_Process[Temp_Firing_C] - AVERAGE(tbl_Zones[[Target_Temp_Min_C]:[Target_Temp_Max_C]])</f>
        <v>#VALUE!</v>
      </c>
    </row>
    <row r="391" spans="1:18" x14ac:dyDescent="0.3">
      <c r="A391" s="2" t="s">
        <v>409</v>
      </c>
      <c r="B391" s="2" t="s">
        <v>16</v>
      </c>
      <c r="C391" s="2" t="s">
        <v>260</v>
      </c>
      <c r="D391" s="3">
        <v>407.4</v>
      </c>
      <c r="E391" s="3">
        <v>3.34</v>
      </c>
      <c r="F391" s="3">
        <v>308.3</v>
      </c>
      <c r="G391" s="3">
        <v>381.7</v>
      </c>
      <c r="H391" s="3">
        <v>974</v>
      </c>
      <c r="I391" s="4">
        <v>1295.9000000000001</v>
      </c>
      <c r="J391" s="4">
        <v>1232.5999999999999</v>
      </c>
      <c r="K391" s="3">
        <v>169</v>
      </c>
      <c r="L391" s="3">
        <v>4.0199999999999996</v>
      </c>
      <c r="M391" s="4">
        <v>422058</v>
      </c>
      <c r="N391" s="4">
        <v>8338</v>
      </c>
      <c r="O391" s="3">
        <v>14.06</v>
      </c>
      <c r="P391" s="3" t="str">
        <f t="shared" si="6"/>
        <v>NORMAL</v>
      </c>
      <c r="Q391" s="3" cm="1">
        <f t="array" aca="1" ref="Q391" ca="1">AVERAGE(OFFSET(tbl_Process[[#This Row],[Temp_Firing_C]], MAX(1-ROW()+ROW(tbl_Process[#Headers]), -23), 0, MIN(ROW()-ROW(tbl_Process[#Headers]), 24), 1))</f>
        <v>1289.4583333333335</v>
      </c>
      <c r="R391" s="3" t="e" cm="1" vm="1">
        <f t="array" aca="1" ref="R391" ca="1">tbl_Process[Temp_Firing_C] - AVERAGE(tbl_Zones[[Target_Temp_Min_C]:[Target_Temp_Max_C]])</f>
        <v>#VALUE!</v>
      </c>
    </row>
    <row r="392" spans="1:18" x14ac:dyDescent="0.3">
      <c r="A392" s="2" t="s">
        <v>410</v>
      </c>
      <c r="B392" s="2" t="s">
        <v>24</v>
      </c>
      <c r="C392" s="2" t="s">
        <v>260</v>
      </c>
      <c r="D392" s="3">
        <v>406.5</v>
      </c>
      <c r="E392" s="3">
        <v>3.41</v>
      </c>
      <c r="F392" s="3">
        <v>319.89999999999998</v>
      </c>
      <c r="G392" s="3">
        <v>380.5</v>
      </c>
      <c r="H392" s="3">
        <v>959.5</v>
      </c>
      <c r="I392" s="4">
        <v>1289.0999999999999</v>
      </c>
      <c r="J392" s="4">
        <v>1216.4000000000001</v>
      </c>
      <c r="K392" s="3">
        <v>154.9</v>
      </c>
      <c r="L392" s="3">
        <v>3.96</v>
      </c>
      <c r="M392" s="4">
        <v>415963</v>
      </c>
      <c r="N392" s="4">
        <v>8502</v>
      </c>
      <c r="O392" s="3">
        <v>14.27</v>
      </c>
      <c r="P392" s="3" t="str">
        <f t="shared" si="6"/>
        <v>NORMAL</v>
      </c>
      <c r="Q392" s="3" cm="1">
        <f t="array" aca="1" ref="Q392" ca="1">AVERAGE(OFFSET(tbl_Process[[#This Row],[Temp_Firing_C]], MAX(1-ROW()+ROW(tbl_Process[#Headers]), -23), 0, MIN(ROW()-ROW(tbl_Process[#Headers]), 24), 1))</f>
        <v>1289.375</v>
      </c>
      <c r="R392" s="3" t="e" cm="1" vm="1">
        <f t="array" aca="1" ref="R392" ca="1">tbl_Process[Temp_Firing_C] - AVERAGE(tbl_Zones[[Target_Temp_Min_C]:[Target_Temp_Max_C]])</f>
        <v>#VALUE!</v>
      </c>
    </row>
    <row r="393" spans="1:18" x14ac:dyDescent="0.3">
      <c r="A393" s="2" t="s">
        <v>411</v>
      </c>
      <c r="B393" s="2" t="s">
        <v>24</v>
      </c>
      <c r="C393" s="2" t="s">
        <v>260</v>
      </c>
      <c r="D393" s="3">
        <v>401.1</v>
      </c>
      <c r="E393" s="3">
        <v>3.34</v>
      </c>
      <c r="F393" s="3">
        <v>322.8</v>
      </c>
      <c r="G393" s="3">
        <v>387.3</v>
      </c>
      <c r="H393" s="3">
        <v>975.7</v>
      </c>
      <c r="I393" s="4">
        <v>1293.8</v>
      </c>
      <c r="J393" s="4">
        <v>1235.3</v>
      </c>
      <c r="K393" s="3">
        <v>162.4</v>
      </c>
      <c r="L393" s="3">
        <v>3.99</v>
      </c>
      <c r="M393" s="4">
        <v>417170</v>
      </c>
      <c r="N393" s="4">
        <v>8208</v>
      </c>
      <c r="O393" s="3">
        <v>14.5</v>
      </c>
      <c r="P393" s="3" t="str">
        <f t="shared" si="6"/>
        <v>NORMAL</v>
      </c>
      <c r="Q393" s="3" cm="1">
        <f t="array" aca="1" ref="Q393" ca="1">AVERAGE(OFFSET(tbl_Process[[#This Row],[Temp_Firing_C]], MAX(1-ROW()+ROW(tbl_Process[#Headers]), -23), 0, MIN(ROW()-ROW(tbl_Process[#Headers]), 24), 1))</f>
        <v>1289.9041666666665</v>
      </c>
      <c r="R393" s="3" t="e" cm="1" vm="1">
        <f t="array" aca="1" ref="R393" ca="1">tbl_Process[Temp_Firing_C] - AVERAGE(tbl_Zones[[Target_Temp_Min_C]:[Target_Temp_Max_C]])</f>
        <v>#VALUE!</v>
      </c>
    </row>
    <row r="394" spans="1:18" x14ac:dyDescent="0.3">
      <c r="A394" s="2" t="s">
        <v>412</v>
      </c>
      <c r="B394" s="2" t="s">
        <v>24</v>
      </c>
      <c r="C394" s="2" t="s">
        <v>260</v>
      </c>
      <c r="D394" s="3">
        <v>402.9</v>
      </c>
      <c r="E394" s="3">
        <v>3.45</v>
      </c>
      <c r="F394" s="3">
        <v>325.89999999999998</v>
      </c>
      <c r="G394" s="3">
        <v>382.1</v>
      </c>
      <c r="H394" s="3">
        <v>957.1</v>
      </c>
      <c r="I394" s="4">
        <v>1298.4000000000001</v>
      </c>
      <c r="J394" s="4">
        <v>1236</v>
      </c>
      <c r="K394" s="3">
        <v>159.4</v>
      </c>
      <c r="L394" s="3">
        <v>4.08</v>
      </c>
      <c r="M394" s="4">
        <v>416622</v>
      </c>
      <c r="N394" s="4">
        <v>8411</v>
      </c>
      <c r="O394" s="3">
        <v>14.68</v>
      </c>
      <c r="P394" s="3" t="str">
        <f t="shared" si="6"/>
        <v>NORMAL</v>
      </c>
      <c r="Q394" s="3" cm="1">
        <f t="array" aca="1" ref="Q394" ca="1">AVERAGE(OFFSET(tbl_Process[[#This Row],[Temp_Firing_C]], MAX(1-ROW()+ROW(tbl_Process[#Headers]), -23), 0, MIN(ROW()-ROW(tbl_Process[#Headers]), 24), 1))</f>
        <v>1289.8166666666666</v>
      </c>
      <c r="R394" s="3" t="e" cm="1" vm="1">
        <f t="array" aca="1" ref="R394" ca="1">tbl_Process[Temp_Firing_C] - AVERAGE(tbl_Zones[[Target_Temp_Min_C]:[Target_Temp_Max_C]])</f>
        <v>#VALUE!</v>
      </c>
    </row>
    <row r="395" spans="1:18" x14ac:dyDescent="0.3">
      <c r="A395" s="2" t="s">
        <v>413</v>
      </c>
      <c r="B395" s="2" t="s">
        <v>24</v>
      </c>
      <c r="C395" s="2" t="s">
        <v>260</v>
      </c>
      <c r="D395" s="3">
        <v>403.5</v>
      </c>
      <c r="E395" s="3">
        <v>3.37</v>
      </c>
      <c r="F395" s="3">
        <v>324.8</v>
      </c>
      <c r="G395" s="3">
        <v>385.2</v>
      </c>
      <c r="H395" s="3">
        <v>933.2</v>
      </c>
      <c r="I395" s="4">
        <v>1286</v>
      </c>
      <c r="J395" s="4">
        <v>1220.7</v>
      </c>
      <c r="K395" s="3">
        <v>160.30000000000001</v>
      </c>
      <c r="L395" s="3">
        <v>3.96</v>
      </c>
      <c r="M395" s="4">
        <v>421433</v>
      </c>
      <c r="N395" s="4">
        <v>8293</v>
      </c>
      <c r="O395" s="3">
        <v>14.1</v>
      </c>
      <c r="P395" s="3" t="str">
        <f t="shared" si="6"/>
        <v>NORMAL</v>
      </c>
      <c r="Q395" s="3" cm="1">
        <f t="array" aca="1" ref="Q395" ca="1">AVERAGE(OFFSET(tbl_Process[[#This Row],[Temp_Firing_C]], MAX(1-ROW()+ROW(tbl_Process[#Headers]), -23), 0, MIN(ROW()-ROW(tbl_Process[#Headers]), 24), 1))</f>
        <v>1289.3625</v>
      </c>
      <c r="R395" s="3" t="e" cm="1" vm="1">
        <f t="array" aca="1" ref="R395" ca="1">tbl_Process[Temp_Firing_C] - AVERAGE(tbl_Zones[[Target_Temp_Min_C]:[Target_Temp_Max_C]])</f>
        <v>#VALUE!</v>
      </c>
    </row>
    <row r="396" spans="1:18" x14ac:dyDescent="0.3">
      <c r="A396" s="2" t="s">
        <v>414</v>
      </c>
      <c r="B396" s="2" t="s">
        <v>24</v>
      </c>
      <c r="C396" s="2" t="s">
        <v>260</v>
      </c>
      <c r="D396" s="3">
        <v>401.3</v>
      </c>
      <c r="E396" s="3">
        <v>3.37</v>
      </c>
      <c r="F396" s="3">
        <v>321.8</v>
      </c>
      <c r="G396" s="3">
        <v>381.6</v>
      </c>
      <c r="H396" s="3">
        <v>992.4</v>
      </c>
      <c r="I396" s="4">
        <v>1274.4000000000001</v>
      </c>
      <c r="J396" s="4">
        <v>1207.0999999999999</v>
      </c>
      <c r="K396" s="3">
        <v>161.80000000000001</v>
      </c>
      <c r="L396" s="3">
        <v>3.81</v>
      </c>
      <c r="M396" s="4">
        <v>418541</v>
      </c>
      <c r="N396" s="4">
        <v>8290</v>
      </c>
      <c r="O396" s="3">
        <v>14.36</v>
      </c>
      <c r="P396" s="3" t="str">
        <f t="shared" si="6"/>
        <v>NORMAL</v>
      </c>
      <c r="Q396" s="3" cm="1">
        <f t="array" aca="1" ref="Q396" ca="1">AVERAGE(OFFSET(tbl_Process[[#This Row],[Temp_Firing_C]], MAX(1-ROW()+ROW(tbl_Process[#Headers]), -23), 0, MIN(ROW()-ROW(tbl_Process[#Headers]), 24), 1))</f>
        <v>1288.9416666666668</v>
      </c>
      <c r="R396" s="3" t="e" cm="1" vm="1">
        <f t="array" aca="1" ref="R396" ca="1">tbl_Process[Temp_Firing_C] - AVERAGE(tbl_Zones[[Target_Temp_Min_C]:[Target_Temp_Max_C]])</f>
        <v>#VALUE!</v>
      </c>
    </row>
    <row r="397" spans="1:18" x14ac:dyDescent="0.3">
      <c r="A397" s="2" t="s">
        <v>415</v>
      </c>
      <c r="B397" s="2" t="s">
        <v>24</v>
      </c>
      <c r="C397" s="2" t="s">
        <v>260</v>
      </c>
      <c r="D397" s="3">
        <v>398.9</v>
      </c>
      <c r="E397" s="3">
        <v>3.39</v>
      </c>
      <c r="F397" s="3">
        <v>321.7</v>
      </c>
      <c r="G397" s="3">
        <v>382.5</v>
      </c>
      <c r="H397" s="3">
        <v>962.4</v>
      </c>
      <c r="I397" s="4">
        <v>1293.2</v>
      </c>
      <c r="J397" s="4">
        <v>1232.7</v>
      </c>
      <c r="K397" s="3">
        <v>155.4</v>
      </c>
      <c r="L397" s="3">
        <v>3.76</v>
      </c>
      <c r="M397" s="4">
        <v>412656</v>
      </c>
      <c r="N397" s="4">
        <v>8522</v>
      </c>
      <c r="O397" s="3">
        <v>14.24</v>
      </c>
      <c r="P397" s="3" t="str">
        <f t="shared" si="6"/>
        <v>NORMAL</v>
      </c>
      <c r="Q397" s="3" cm="1">
        <f t="array" aca="1" ref="Q397" ca="1">AVERAGE(OFFSET(tbl_Process[[#This Row],[Temp_Firing_C]], MAX(1-ROW()+ROW(tbl_Process[#Headers]), -23), 0, MIN(ROW()-ROW(tbl_Process[#Headers]), 24), 1))</f>
        <v>1289.0708333333334</v>
      </c>
      <c r="R397" s="3" t="e" cm="1" vm="1">
        <f t="array" aca="1" ref="R397" ca="1">tbl_Process[Temp_Firing_C] - AVERAGE(tbl_Zones[[Target_Temp_Min_C]:[Target_Temp_Max_C]])</f>
        <v>#VALUE!</v>
      </c>
    </row>
    <row r="398" spans="1:18" x14ac:dyDescent="0.3">
      <c r="A398" s="2" t="s">
        <v>416</v>
      </c>
      <c r="B398" s="2" t="s">
        <v>24</v>
      </c>
      <c r="C398" s="2" t="s">
        <v>260</v>
      </c>
      <c r="D398" s="3">
        <v>402</v>
      </c>
      <c r="E398" s="3">
        <v>3.29</v>
      </c>
      <c r="F398" s="3">
        <v>332.6</v>
      </c>
      <c r="G398" s="3">
        <v>378.2</v>
      </c>
      <c r="H398" s="3">
        <v>965.8</v>
      </c>
      <c r="I398" s="4">
        <v>1296.8</v>
      </c>
      <c r="J398" s="4">
        <v>1225.9000000000001</v>
      </c>
      <c r="K398" s="3">
        <v>158.5</v>
      </c>
      <c r="L398" s="3">
        <v>3.92</v>
      </c>
      <c r="M398" s="4">
        <v>429425</v>
      </c>
      <c r="N398" s="4">
        <v>8498</v>
      </c>
      <c r="O398" s="3">
        <v>14.6</v>
      </c>
      <c r="P398" s="3" t="str">
        <f t="shared" si="6"/>
        <v>NORMAL</v>
      </c>
      <c r="Q398" s="3" cm="1">
        <f t="array" aca="1" ref="Q398" ca="1">AVERAGE(OFFSET(tbl_Process[[#This Row],[Temp_Firing_C]], MAX(1-ROW()+ROW(tbl_Process[#Headers]), -23), 0, MIN(ROW()-ROW(tbl_Process[#Headers]), 24), 1))</f>
        <v>1289.575</v>
      </c>
      <c r="R398" s="3" t="e" cm="1" vm="1">
        <f t="array" aca="1" ref="R398" ca="1">tbl_Process[Temp_Firing_C] - AVERAGE(tbl_Zones[[Target_Temp_Min_C]:[Target_Temp_Max_C]])</f>
        <v>#VALUE!</v>
      </c>
    </row>
    <row r="399" spans="1:18" x14ac:dyDescent="0.3">
      <c r="A399" s="2" t="s">
        <v>417</v>
      </c>
      <c r="B399" s="2" t="s">
        <v>24</v>
      </c>
      <c r="C399" s="2" t="s">
        <v>260</v>
      </c>
      <c r="D399" s="3">
        <v>404.8</v>
      </c>
      <c r="E399" s="3">
        <v>3.43</v>
      </c>
      <c r="F399" s="3">
        <v>315.5</v>
      </c>
      <c r="G399" s="3">
        <v>389.3</v>
      </c>
      <c r="H399" s="3">
        <v>944.9</v>
      </c>
      <c r="I399" s="4">
        <v>1301.5999999999999</v>
      </c>
      <c r="J399" s="4">
        <v>1237.8</v>
      </c>
      <c r="K399" s="3">
        <v>147.69999999999999</v>
      </c>
      <c r="L399" s="3">
        <v>3.92</v>
      </c>
      <c r="M399" s="4">
        <v>422577</v>
      </c>
      <c r="N399" s="4">
        <v>8491</v>
      </c>
      <c r="O399" s="3">
        <v>14.39</v>
      </c>
      <c r="P399" s="3" t="str">
        <f t="shared" si="6"/>
        <v>NORMAL</v>
      </c>
      <c r="Q399" s="3" cm="1">
        <f t="array" aca="1" ref="Q399" ca="1">AVERAGE(OFFSET(tbl_Process[[#This Row],[Temp_Firing_C]], MAX(1-ROW()+ROW(tbl_Process[#Headers]), -23), 0, MIN(ROW()-ROW(tbl_Process[#Headers]), 24), 1))</f>
        <v>1290.0625</v>
      </c>
      <c r="R399" s="3" t="e" cm="1" vm="1">
        <f t="array" aca="1" ref="R399" ca="1">tbl_Process[Temp_Firing_C] - AVERAGE(tbl_Zones[[Target_Temp_Min_C]:[Target_Temp_Max_C]])</f>
        <v>#VALUE!</v>
      </c>
    </row>
    <row r="400" spans="1:18" x14ac:dyDescent="0.3">
      <c r="A400" s="2" t="s">
        <v>418</v>
      </c>
      <c r="B400" s="2" t="s">
        <v>33</v>
      </c>
      <c r="C400" s="2" t="s">
        <v>260</v>
      </c>
      <c r="D400" s="3">
        <v>396.6</v>
      </c>
      <c r="E400" s="3">
        <v>3.3</v>
      </c>
      <c r="F400" s="3">
        <v>320.60000000000002</v>
      </c>
      <c r="G400" s="3">
        <v>381.6</v>
      </c>
      <c r="H400" s="3">
        <v>957.8</v>
      </c>
      <c r="I400" s="4">
        <v>1297.5</v>
      </c>
      <c r="J400" s="4">
        <v>1227.4000000000001</v>
      </c>
      <c r="K400" s="3">
        <v>162.19999999999999</v>
      </c>
      <c r="L400" s="3">
        <v>3.84</v>
      </c>
      <c r="M400" s="4">
        <v>414101</v>
      </c>
      <c r="N400" s="4">
        <v>8312</v>
      </c>
      <c r="O400" s="3">
        <v>14.35</v>
      </c>
      <c r="P400" s="3" t="str">
        <f t="shared" si="6"/>
        <v>NORMAL</v>
      </c>
      <c r="Q400" s="3" cm="1">
        <f t="array" aca="1" ref="Q400" ca="1">AVERAGE(OFFSET(tbl_Process[[#This Row],[Temp_Firing_C]], MAX(1-ROW()+ROW(tbl_Process[#Headers]), -23), 0, MIN(ROW()-ROW(tbl_Process[#Headers]), 24), 1))</f>
        <v>1290.7249999999999</v>
      </c>
      <c r="R400" s="3" t="e" cm="1" vm="1">
        <f t="array" aca="1" ref="R400" ca="1">tbl_Process[Temp_Firing_C] - AVERAGE(tbl_Zones[[Target_Temp_Min_C]:[Target_Temp_Max_C]])</f>
        <v>#VALUE!</v>
      </c>
    </row>
    <row r="401" spans="1:18" x14ac:dyDescent="0.3">
      <c r="A401" s="2" t="s">
        <v>419</v>
      </c>
      <c r="B401" s="2" t="s">
        <v>33</v>
      </c>
      <c r="C401" s="2" t="s">
        <v>260</v>
      </c>
      <c r="D401" s="3">
        <v>407.9</v>
      </c>
      <c r="E401" s="3">
        <v>3.45</v>
      </c>
      <c r="F401" s="3">
        <v>310.3</v>
      </c>
      <c r="G401" s="3">
        <v>359.1</v>
      </c>
      <c r="H401" s="3">
        <v>970.1</v>
      </c>
      <c r="I401" s="4">
        <v>1285.9000000000001</v>
      </c>
      <c r="J401" s="4">
        <v>1227.7</v>
      </c>
      <c r="K401" s="3">
        <v>156</v>
      </c>
      <c r="L401" s="3">
        <v>4.05</v>
      </c>
      <c r="M401" s="4">
        <v>420424</v>
      </c>
      <c r="N401" s="4">
        <v>8277</v>
      </c>
      <c r="O401" s="3">
        <v>14.27</v>
      </c>
      <c r="P401" s="3" t="str">
        <f t="shared" si="6"/>
        <v>NORMAL</v>
      </c>
      <c r="Q401" s="3" cm="1">
        <f t="array" aca="1" ref="Q401" ca="1">AVERAGE(OFFSET(tbl_Process[[#This Row],[Temp_Firing_C]], MAX(1-ROW()+ROW(tbl_Process[#Headers]), -23), 0, MIN(ROW()-ROW(tbl_Process[#Headers]), 24), 1))</f>
        <v>1290.0833333333333</v>
      </c>
      <c r="R401" s="3" t="e" cm="1" vm="1">
        <f t="array" aca="1" ref="R401" ca="1">tbl_Process[Temp_Firing_C] - AVERAGE(tbl_Zones[[Target_Temp_Min_C]:[Target_Temp_Max_C]])</f>
        <v>#VALUE!</v>
      </c>
    </row>
    <row r="402" spans="1:18" x14ac:dyDescent="0.3">
      <c r="A402" s="2" t="s">
        <v>420</v>
      </c>
      <c r="B402" s="2" t="s">
        <v>33</v>
      </c>
      <c r="C402" s="2" t="s">
        <v>260</v>
      </c>
      <c r="D402" s="3">
        <v>400.1</v>
      </c>
      <c r="E402" s="3">
        <v>3.44</v>
      </c>
      <c r="F402" s="3">
        <v>320.2</v>
      </c>
      <c r="G402" s="3">
        <v>387.3</v>
      </c>
      <c r="H402" s="3">
        <v>955.1</v>
      </c>
      <c r="I402" s="4">
        <v>1275.3</v>
      </c>
      <c r="J402" s="4">
        <v>1222.2</v>
      </c>
      <c r="K402" s="3">
        <v>157.19999999999999</v>
      </c>
      <c r="L402" s="3">
        <v>3.84</v>
      </c>
      <c r="M402" s="4">
        <v>415324</v>
      </c>
      <c r="N402" s="4">
        <v>8212</v>
      </c>
      <c r="O402" s="3">
        <v>14.33</v>
      </c>
      <c r="P402" s="3" t="str">
        <f t="shared" si="6"/>
        <v>NORMAL</v>
      </c>
      <c r="Q402" s="3" cm="1">
        <f t="array" aca="1" ref="Q402" ca="1">AVERAGE(OFFSET(tbl_Process[[#This Row],[Temp_Firing_C]], MAX(1-ROW()+ROW(tbl_Process[#Headers]), -23), 0, MIN(ROW()-ROW(tbl_Process[#Headers]), 24), 1))</f>
        <v>1289.6125</v>
      </c>
      <c r="R402" s="3" t="e" cm="1" vm="1">
        <f t="array" aca="1" ref="R402" ca="1">tbl_Process[Temp_Firing_C] - AVERAGE(tbl_Zones[[Target_Temp_Min_C]:[Target_Temp_Max_C]])</f>
        <v>#VALUE!</v>
      </c>
    </row>
    <row r="403" spans="1:18" x14ac:dyDescent="0.3">
      <c r="A403" s="2" t="s">
        <v>421</v>
      </c>
      <c r="B403" s="2" t="s">
        <v>33</v>
      </c>
      <c r="C403" s="2" t="s">
        <v>260</v>
      </c>
      <c r="D403" s="3">
        <v>399.9</v>
      </c>
      <c r="E403" s="3">
        <v>3.4</v>
      </c>
      <c r="F403" s="3">
        <v>321.2</v>
      </c>
      <c r="G403" s="3">
        <v>363.7</v>
      </c>
      <c r="H403" s="3">
        <v>982.8</v>
      </c>
      <c r="I403" s="4">
        <v>1284.0999999999999</v>
      </c>
      <c r="J403" s="4">
        <v>1222.5999999999999</v>
      </c>
      <c r="K403" s="3">
        <v>153.19999999999999</v>
      </c>
      <c r="L403" s="3">
        <v>3.84</v>
      </c>
      <c r="M403" s="4">
        <v>414785</v>
      </c>
      <c r="N403" s="4">
        <v>8486</v>
      </c>
      <c r="O403" s="3">
        <v>14.06</v>
      </c>
      <c r="P403" s="3" t="str">
        <f t="shared" si="6"/>
        <v>NORMAL</v>
      </c>
      <c r="Q403" s="3" cm="1">
        <f t="array" aca="1" ref="Q403" ca="1">AVERAGE(OFFSET(tbl_Process[[#This Row],[Temp_Firing_C]], MAX(1-ROW()+ROW(tbl_Process[#Headers]), -23), 0, MIN(ROW()-ROW(tbl_Process[#Headers]), 24), 1))</f>
        <v>1288.9916666666666</v>
      </c>
      <c r="R403" s="3" t="e" cm="1" vm="1">
        <f t="array" aca="1" ref="R403" ca="1">tbl_Process[Temp_Firing_C] - AVERAGE(tbl_Zones[[Target_Temp_Min_C]:[Target_Temp_Max_C]])</f>
        <v>#VALUE!</v>
      </c>
    </row>
    <row r="404" spans="1:18" x14ac:dyDescent="0.3">
      <c r="A404" s="2" t="s">
        <v>422</v>
      </c>
      <c r="B404" s="2" t="s">
        <v>33</v>
      </c>
      <c r="C404" s="2" t="s">
        <v>260</v>
      </c>
      <c r="D404" s="3">
        <v>403</v>
      </c>
      <c r="E404" s="3">
        <v>3.35</v>
      </c>
      <c r="F404" s="3">
        <v>317.3</v>
      </c>
      <c r="G404" s="3">
        <v>378.3</v>
      </c>
      <c r="H404" s="3">
        <v>975.4</v>
      </c>
      <c r="I404" s="4">
        <v>1269.9000000000001</v>
      </c>
      <c r="J404" s="4">
        <v>1197</v>
      </c>
      <c r="K404" s="3">
        <v>150.30000000000001</v>
      </c>
      <c r="L404" s="3">
        <v>3.79</v>
      </c>
      <c r="M404" s="4">
        <v>411741</v>
      </c>
      <c r="N404" s="4">
        <v>7945</v>
      </c>
      <c r="O404" s="3">
        <v>14.46</v>
      </c>
      <c r="P404" s="3" t="str">
        <f t="shared" si="6"/>
        <v>NORMAL</v>
      </c>
      <c r="Q404" s="3" cm="1">
        <f t="array" aca="1" ref="Q404" ca="1">AVERAGE(OFFSET(tbl_Process[[#This Row],[Temp_Firing_C]], MAX(1-ROW()+ROW(tbl_Process[#Headers]), -23), 0, MIN(ROW()-ROW(tbl_Process[#Headers]), 24), 1))</f>
        <v>1288.1708333333333</v>
      </c>
      <c r="R404" s="3" t="e" cm="1" vm="1">
        <f t="array" aca="1" ref="R404" ca="1">tbl_Process[Temp_Firing_C] - AVERAGE(tbl_Zones[[Target_Temp_Min_C]:[Target_Temp_Max_C]])</f>
        <v>#VALUE!</v>
      </c>
    </row>
    <row r="405" spans="1:18" x14ac:dyDescent="0.3">
      <c r="A405" s="2" t="s">
        <v>423</v>
      </c>
      <c r="B405" s="2" t="s">
        <v>33</v>
      </c>
      <c r="C405" s="2" t="s">
        <v>260</v>
      </c>
      <c r="D405" s="3">
        <v>391.9</v>
      </c>
      <c r="E405" s="3">
        <v>3.32</v>
      </c>
      <c r="F405" s="3">
        <v>327.2</v>
      </c>
      <c r="G405" s="3">
        <v>382.8</v>
      </c>
      <c r="H405" s="3">
        <v>962.2</v>
      </c>
      <c r="I405" s="4">
        <v>1276.9000000000001</v>
      </c>
      <c r="J405" s="4">
        <v>1202.7</v>
      </c>
      <c r="K405" s="3">
        <v>154.30000000000001</v>
      </c>
      <c r="L405" s="3">
        <v>3.78</v>
      </c>
      <c r="M405" s="4">
        <v>418881</v>
      </c>
      <c r="N405" s="4">
        <v>8331</v>
      </c>
      <c r="O405" s="3">
        <v>14.49</v>
      </c>
      <c r="P405" s="3" t="str">
        <f t="shared" si="6"/>
        <v>NORMAL</v>
      </c>
      <c r="Q405" s="3" cm="1">
        <f t="array" aca="1" ref="Q405" ca="1">AVERAGE(OFFSET(tbl_Process[[#This Row],[Temp_Firing_C]], MAX(1-ROW()+ROW(tbl_Process[#Headers]), -23), 0, MIN(ROW()-ROW(tbl_Process[#Headers]), 24), 1))</f>
        <v>1287.6083333333333</v>
      </c>
      <c r="R405" s="3" t="e" cm="1" vm="1">
        <f t="array" aca="1" ref="R405" ca="1">tbl_Process[Temp_Firing_C] - AVERAGE(tbl_Zones[[Target_Temp_Min_C]:[Target_Temp_Max_C]])</f>
        <v>#VALUE!</v>
      </c>
    </row>
    <row r="406" spans="1:18" x14ac:dyDescent="0.3">
      <c r="A406" s="2" t="s">
        <v>424</v>
      </c>
      <c r="B406" s="2" t="s">
        <v>33</v>
      </c>
      <c r="C406" s="2" t="s">
        <v>260</v>
      </c>
      <c r="D406" s="3">
        <v>397</v>
      </c>
      <c r="E406" s="3">
        <v>3.4</v>
      </c>
      <c r="F406" s="3">
        <v>318.10000000000002</v>
      </c>
      <c r="G406" s="3">
        <v>378.7</v>
      </c>
      <c r="H406" s="3">
        <v>984.6</v>
      </c>
      <c r="I406" s="4">
        <v>1271</v>
      </c>
      <c r="J406" s="4">
        <v>1204.5999999999999</v>
      </c>
      <c r="K406" s="3">
        <v>166.1</v>
      </c>
      <c r="L406" s="3">
        <v>3.69</v>
      </c>
      <c r="M406" s="4">
        <v>412527</v>
      </c>
      <c r="N406" s="4">
        <v>8089</v>
      </c>
      <c r="O406" s="3">
        <v>14.47</v>
      </c>
      <c r="P406" s="3" t="str">
        <f t="shared" si="6"/>
        <v>NORMAL</v>
      </c>
      <c r="Q406" s="3" cm="1">
        <f t="array" aca="1" ref="Q406" ca="1">AVERAGE(OFFSET(tbl_Process[[#This Row],[Temp_Firing_C]], MAX(1-ROW()+ROW(tbl_Process[#Headers]), -23), 0, MIN(ROW()-ROW(tbl_Process[#Headers]), 24), 1))</f>
        <v>1286.8625</v>
      </c>
      <c r="R406" s="3" t="e" cm="1" vm="1">
        <f t="array" aca="1" ref="R406" ca="1">tbl_Process[Temp_Firing_C] - AVERAGE(tbl_Zones[[Target_Temp_Min_C]:[Target_Temp_Max_C]])</f>
        <v>#VALUE!</v>
      </c>
    </row>
    <row r="407" spans="1:18" x14ac:dyDescent="0.3">
      <c r="A407" s="2" t="s">
        <v>425</v>
      </c>
      <c r="B407" s="2" t="s">
        <v>33</v>
      </c>
      <c r="C407" s="2" t="s">
        <v>260</v>
      </c>
      <c r="D407" s="3">
        <v>393.6</v>
      </c>
      <c r="E407" s="3">
        <v>3.45</v>
      </c>
      <c r="F407" s="3">
        <v>324.2</v>
      </c>
      <c r="G407" s="3">
        <v>383.8</v>
      </c>
      <c r="H407" s="3">
        <v>950</v>
      </c>
      <c r="I407" s="4">
        <v>1286.3</v>
      </c>
      <c r="J407" s="4">
        <v>1215.9000000000001</v>
      </c>
      <c r="K407" s="3">
        <v>158.5</v>
      </c>
      <c r="L407" s="3">
        <v>4.09</v>
      </c>
      <c r="M407" s="4">
        <v>417869</v>
      </c>
      <c r="N407" s="4">
        <v>8193</v>
      </c>
      <c r="O407" s="3">
        <v>14.49</v>
      </c>
      <c r="P407" s="3" t="str">
        <f t="shared" si="6"/>
        <v>NORMAL</v>
      </c>
      <c r="Q407" s="3" cm="1">
        <f t="array" aca="1" ref="Q407" ca="1">AVERAGE(OFFSET(tbl_Process[[#This Row],[Temp_Firing_C]], MAX(1-ROW()+ROW(tbl_Process[#Headers]), -23), 0, MIN(ROW()-ROW(tbl_Process[#Headers]), 24), 1))</f>
        <v>1287.5833333333333</v>
      </c>
      <c r="R407" s="3" t="e" cm="1" vm="1">
        <f t="array" aca="1" ref="R407" ca="1">tbl_Process[Temp_Firing_C] - AVERAGE(tbl_Zones[[Target_Temp_Min_C]:[Target_Temp_Max_C]])</f>
        <v>#VALUE!</v>
      </c>
    </row>
    <row r="408" spans="1:18" x14ac:dyDescent="0.3">
      <c r="A408" s="2" t="s">
        <v>426</v>
      </c>
      <c r="B408" s="2" t="s">
        <v>16</v>
      </c>
      <c r="C408" s="2" t="s">
        <v>260</v>
      </c>
      <c r="D408" s="3">
        <v>394.6</v>
      </c>
      <c r="E408" s="3">
        <v>3.3</v>
      </c>
      <c r="F408" s="3">
        <v>314.2</v>
      </c>
      <c r="G408" s="3">
        <v>377.5</v>
      </c>
      <c r="H408" s="3">
        <v>972.1</v>
      </c>
      <c r="I408" s="4">
        <v>1290.8</v>
      </c>
      <c r="J408" s="4">
        <v>1228.9000000000001</v>
      </c>
      <c r="K408" s="3">
        <v>154.80000000000001</v>
      </c>
      <c r="L408" s="3">
        <v>3.75</v>
      </c>
      <c r="M408" s="4">
        <v>419296</v>
      </c>
      <c r="N408" s="4">
        <v>8314</v>
      </c>
      <c r="O408" s="3">
        <v>14.28</v>
      </c>
      <c r="P408" s="3" t="str">
        <f t="shared" si="6"/>
        <v>NORMAL</v>
      </c>
      <c r="Q408" s="3" cm="1">
        <f t="array" aca="1" ref="Q408" ca="1">AVERAGE(OFFSET(tbl_Process[[#This Row],[Temp_Firing_C]], MAX(1-ROW()+ROW(tbl_Process[#Headers]), -23), 0, MIN(ROW()-ROW(tbl_Process[#Headers]), 24), 1))</f>
        <v>1287.7958333333333</v>
      </c>
      <c r="R408" s="3" t="e" cm="1" vm="1">
        <f t="array" aca="1" ref="R408" ca="1">tbl_Process[Temp_Firing_C] - AVERAGE(tbl_Zones[[Target_Temp_Min_C]:[Target_Temp_Max_C]])</f>
        <v>#VALUE!</v>
      </c>
    </row>
    <row r="409" spans="1:18" x14ac:dyDescent="0.3">
      <c r="A409" s="2" t="s">
        <v>427</v>
      </c>
      <c r="B409" s="2" t="s">
        <v>16</v>
      </c>
      <c r="C409" s="2" t="s">
        <v>260</v>
      </c>
      <c r="D409" s="3">
        <v>401.8</v>
      </c>
      <c r="E409" s="3">
        <v>3.37</v>
      </c>
      <c r="F409" s="3">
        <v>322.10000000000002</v>
      </c>
      <c r="G409" s="3">
        <v>392.1</v>
      </c>
      <c r="H409" s="3">
        <v>959.4</v>
      </c>
      <c r="I409" s="4">
        <v>1296.4000000000001</v>
      </c>
      <c r="J409" s="4">
        <v>1234.8</v>
      </c>
      <c r="K409" s="3">
        <v>153.19999999999999</v>
      </c>
      <c r="L409" s="3">
        <v>3.78</v>
      </c>
      <c r="M409" s="4">
        <v>416434</v>
      </c>
      <c r="N409" s="4">
        <v>8354</v>
      </c>
      <c r="O409" s="3">
        <v>14.29</v>
      </c>
      <c r="P409" s="3" t="str">
        <f t="shared" si="6"/>
        <v>NORMAL</v>
      </c>
      <c r="Q409" s="3" cm="1">
        <f t="array" aca="1" ref="Q409" ca="1">AVERAGE(OFFSET(tbl_Process[[#This Row],[Temp_Firing_C]], MAX(1-ROW()+ROW(tbl_Process[#Headers]), -23), 0, MIN(ROW()-ROW(tbl_Process[#Headers]), 24), 1))</f>
        <v>1288.0375000000001</v>
      </c>
      <c r="R409" s="3" t="e" cm="1" vm="1">
        <f t="array" aca="1" ref="R409" ca="1">tbl_Process[Temp_Firing_C] - AVERAGE(tbl_Zones[[Target_Temp_Min_C]:[Target_Temp_Max_C]])</f>
        <v>#VALUE!</v>
      </c>
    </row>
    <row r="410" spans="1:18" x14ac:dyDescent="0.3">
      <c r="A410" s="2" t="s">
        <v>428</v>
      </c>
      <c r="B410" s="2" t="s">
        <v>16</v>
      </c>
      <c r="C410" s="2" t="s">
        <v>260</v>
      </c>
      <c r="D410" s="3">
        <v>402.5</v>
      </c>
      <c r="E410" s="3">
        <v>3.5</v>
      </c>
      <c r="F410" s="3">
        <v>322.89999999999998</v>
      </c>
      <c r="G410" s="3">
        <v>378.3</v>
      </c>
      <c r="H410" s="3">
        <v>937.1</v>
      </c>
      <c r="I410" s="4">
        <v>1288.3</v>
      </c>
      <c r="J410" s="4">
        <v>1223.5</v>
      </c>
      <c r="K410" s="3">
        <v>161.6</v>
      </c>
      <c r="L410" s="3">
        <v>4.21</v>
      </c>
      <c r="M410" s="4">
        <v>422236</v>
      </c>
      <c r="N410" s="4">
        <v>8454</v>
      </c>
      <c r="O410" s="3">
        <v>14</v>
      </c>
      <c r="P410" s="3" t="str">
        <f t="shared" si="6"/>
        <v>NORMAL</v>
      </c>
      <c r="Q410" s="3" cm="1">
        <f t="array" aca="1" ref="Q410" ca="1">AVERAGE(OFFSET(tbl_Process[[#This Row],[Temp_Firing_C]], MAX(1-ROW()+ROW(tbl_Process[#Headers]), -23), 0, MIN(ROW()-ROW(tbl_Process[#Headers]), 24), 1))</f>
        <v>1288.1375</v>
      </c>
      <c r="R410" s="3" t="e" cm="1" vm="1">
        <f t="array" aca="1" ref="R410" ca="1">tbl_Process[Temp_Firing_C] - AVERAGE(tbl_Zones[[Target_Temp_Min_C]:[Target_Temp_Max_C]])</f>
        <v>#VALUE!</v>
      </c>
    </row>
    <row r="411" spans="1:18" x14ac:dyDescent="0.3">
      <c r="A411" s="2" t="s">
        <v>429</v>
      </c>
      <c r="B411" s="2" t="s">
        <v>16</v>
      </c>
      <c r="C411" s="2" t="s">
        <v>260</v>
      </c>
      <c r="D411" s="3">
        <v>397.9</v>
      </c>
      <c r="E411" s="3">
        <v>3.39</v>
      </c>
      <c r="F411" s="3">
        <v>316.7</v>
      </c>
      <c r="G411" s="3">
        <v>385.3</v>
      </c>
      <c r="H411" s="3">
        <v>967</v>
      </c>
      <c r="I411" s="4">
        <v>1279.9000000000001</v>
      </c>
      <c r="J411" s="4">
        <v>1222.0999999999999</v>
      </c>
      <c r="K411" s="3">
        <v>161.4</v>
      </c>
      <c r="L411" s="3">
        <v>3.66</v>
      </c>
      <c r="M411" s="4">
        <v>416202</v>
      </c>
      <c r="N411" s="4">
        <v>8293</v>
      </c>
      <c r="O411" s="3">
        <v>14.61</v>
      </c>
      <c r="P411" s="3" t="str">
        <f t="shared" si="6"/>
        <v>NORMAL</v>
      </c>
      <c r="Q411" s="3" cm="1">
        <f t="array" aca="1" ref="Q411" ca="1">AVERAGE(OFFSET(tbl_Process[[#This Row],[Temp_Firing_C]], MAX(1-ROW()+ROW(tbl_Process[#Headers]), -23), 0, MIN(ROW()-ROW(tbl_Process[#Headers]), 24), 1))</f>
        <v>1287.4958333333334</v>
      </c>
      <c r="R411" s="3" t="e" cm="1" vm="1">
        <f t="array" aca="1" ref="R411" ca="1">tbl_Process[Temp_Firing_C] - AVERAGE(tbl_Zones[[Target_Temp_Min_C]:[Target_Temp_Max_C]])</f>
        <v>#VALUE!</v>
      </c>
    </row>
    <row r="412" spans="1:18" x14ac:dyDescent="0.3">
      <c r="A412" s="2" t="s">
        <v>430</v>
      </c>
      <c r="B412" s="2" t="s">
        <v>16</v>
      </c>
      <c r="C412" s="2" t="s">
        <v>260</v>
      </c>
      <c r="D412" s="3">
        <v>398.7</v>
      </c>
      <c r="E412" s="3">
        <v>3.47</v>
      </c>
      <c r="F412" s="3">
        <v>322.7</v>
      </c>
      <c r="G412" s="3">
        <v>373</v>
      </c>
      <c r="H412" s="3">
        <v>946.3</v>
      </c>
      <c r="I412" s="4">
        <v>1298.3</v>
      </c>
      <c r="J412" s="4">
        <v>1240.5</v>
      </c>
      <c r="K412" s="3">
        <v>162.69999999999999</v>
      </c>
      <c r="L412" s="3">
        <v>4.08</v>
      </c>
      <c r="M412" s="4">
        <v>423392</v>
      </c>
      <c r="N412" s="4">
        <v>8562</v>
      </c>
      <c r="O412" s="3">
        <v>13.92</v>
      </c>
      <c r="P412" s="3" t="str">
        <f t="shared" si="6"/>
        <v>NORMAL</v>
      </c>
      <c r="Q412" s="3" cm="1">
        <f t="array" aca="1" ref="Q412" ca="1">AVERAGE(OFFSET(tbl_Process[[#This Row],[Temp_Firing_C]], MAX(1-ROW()+ROW(tbl_Process[#Headers]), -23), 0, MIN(ROW()-ROW(tbl_Process[#Headers]), 24), 1))</f>
        <v>1288.0583333333334</v>
      </c>
      <c r="R412" s="3" t="e" cm="1" vm="1">
        <f t="array" aca="1" ref="R412" ca="1">tbl_Process[Temp_Firing_C] - AVERAGE(tbl_Zones[[Target_Temp_Min_C]:[Target_Temp_Max_C]])</f>
        <v>#VALUE!</v>
      </c>
    </row>
    <row r="413" spans="1:18" x14ac:dyDescent="0.3">
      <c r="A413" s="2" t="s">
        <v>431</v>
      </c>
      <c r="B413" s="2" t="s">
        <v>16</v>
      </c>
      <c r="C413" s="2" t="s">
        <v>260</v>
      </c>
      <c r="D413" s="3">
        <v>406.9</v>
      </c>
      <c r="E413" s="3">
        <v>3.44</v>
      </c>
      <c r="F413" s="3">
        <v>319.5</v>
      </c>
      <c r="G413" s="3">
        <v>377.8</v>
      </c>
      <c r="H413" s="3">
        <v>966.8</v>
      </c>
      <c r="I413" s="4">
        <v>1276.5999999999999</v>
      </c>
      <c r="J413" s="4">
        <v>1215.8</v>
      </c>
      <c r="K413" s="3">
        <v>156.5</v>
      </c>
      <c r="L413" s="3">
        <v>4.04</v>
      </c>
      <c r="M413" s="4">
        <v>413962</v>
      </c>
      <c r="N413" s="4">
        <v>8187</v>
      </c>
      <c r="O413" s="3">
        <v>14.26</v>
      </c>
      <c r="P413" s="3" t="str">
        <f t="shared" si="6"/>
        <v>NORMAL</v>
      </c>
      <c r="Q413" s="3" cm="1">
        <f t="array" aca="1" ref="Q413" ca="1">AVERAGE(OFFSET(tbl_Process[[#This Row],[Temp_Firing_C]], MAX(1-ROW()+ROW(tbl_Process[#Headers]), -23), 0, MIN(ROW()-ROW(tbl_Process[#Headers]), 24), 1))</f>
        <v>1287.4166666666667</v>
      </c>
      <c r="R413" s="3" t="e" cm="1" vm="1">
        <f t="array" aca="1" ref="R413" ca="1">tbl_Process[Temp_Firing_C] - AVERAGE(tbl_Zones[[Target_Temp_Min_C]:[Target_Temp_Max_C]])</f>
        <v>#VALUE!</v>
      </c>
    </row>
    <row r="414" spans="1:18" x14ac:dyDescent="0.3">
      <c r="A414" s="2" t="s">
        <v>432</v>
      </c>
      <c r="B414" s="2" t="s">
        <v>16</v>
      </c>
      <c r="C414" s="2" t="s">
        <v>260</v>
      </c>
      <c r="D414" s="3">
        <v>399.4</v>
      </c>
      <c r="E414" s="3">
        <v>3.55</v>
      </c>
      <c r="F414" s="3">
        <v>330.3</v>
      </c>
      <c r="G414" s="3">
        <v>385.2</v>
      </c>
      <c r="H414" s="3">
        <v>963.7</v>
      </c>
      <c r="I414" s="4">
        <v>1297.0999999999999</v>
      </c>
      <c r="J414" s="4">
        <v>1238.9000000000001</v>
      </c>
      <c r="K414" s="3">
        <v>157.19999999999999</v>
      </c>
      <c r="L414" s="3">
        <v>3.92</v>
      </c>
      <c r="M414" s="4">
        <v>413101</v>
      </c>
      <c r="N414" s="4">
        <v>8600</v>
      </c>
      <c r="O414" s="3">
        <v>14.64</v>
      </c>
      <c r="P414" s="3" t="str">
        <f t="shared" si="6"/>
        <v>NORMAL</v>
      </c>
      <c r="Q414" s="3" cm="1">
        <f t="array" aca="1" ref="Q414" ca="1">AVERAGE(OFFSET(tbl_Process[[#This Row],[Temp_Firing_C]], MAX(1-ROW()+ROW(tbl_Process[#Headers]), -23), 0, MIN(ROW()-ROW(tbl_Process[#Headers]), 24), 1))</f>
        <v>1287.6458333333333</v>
      </c>
      <c r="R414" s="3" t="e" cm="1" vm="1">
        <f t="array" aca="1" ref="R414" ca="1">tbl_Process[Temp_Firing_C] - AVERAGE(tbl_Zones[[Target_Temp_Min_C]:[Target_Temp_Max_C]])</f>
        <v>#VALUE!</v>
      </c>
    </row>
    <row r="415" spans="1:18" x14ac:dyDescent="0.3">
      <c r="A415" s="2" t="s">
        <v>433</v>
      </c>
      <c r="B415" s="2" t="s">
        <v>16</v>
      </c>
      <c r="C415" s="2" t="s">
        <v>260</v>
      </c>
      <c r="D415" s="3">
        <v>400.3</v>
      </c>
      <c r="E415" s="3">
        <v>3.23</v>
      </c>
      <c r="F415" s="3">
        <v>325.7</v>
      </c>
      <c r="G415" s="3">
        <v>376.4</v>
      </c>
      <c r="H415" s="3">
        <v>956.2</v>
      </c>
      <c r="I415" s="4">
        <v>1295.5</v>
      </c>
      <c r="J415" s="4">
        <v>1232</v>
      </c>
      <c r="K415" s="3">
        <v>158.9</v>
      </c>
      <c r="L415" s="3">
        <v>3.78</v>
      </c>
      <c r="M415" s="4">
        <v>419630</v>
      </c>
      <c r="N415" s="4">
        <v>8397</v>
      </c>
      <c r="O415" s="3">
        <v>14.01</v>
      </c>
      <c r="P415" s="3" t="str">
        <f t="shared" si="6"/>
        <v>NORMAL</v>
      </c>
      <c r="Q415" s="3" cm="1">
        <f t="array" aca="1" ref="Q415" ca="1">AVERAGE(OFFSET(tbl_Process[[#This Row],[Temp_Firing_C]], MAX(1-ROW()+ROW(tbl_Process[#Headers]), -23), 0, MIN(ROW()-ROW(tbl_Process[#Headers]), 24), 1))</f>
        <v>1287.6291666666666</v>
      </c>
      <c r="R415" s="3" t="e" cm="1" vm="1">
        <f t="array" aca="1" ref="R415" ca="1">tbl_Process[Temp_Firing_C] - AVERAGE(tbl_Zones[[Target_Temp_Min_C]:[Target_Temp_Max_C]])</f>
        <v>#VALUE!</v>
      </c>
    </row>
    <row r="416" spans="1:18" x14ac:dyDescent="0.3">
      <c r="A416" s="2" t="s">
        <v>434</v>
      </c>
      <c r="B416" s="2" t="s">
        <v>24</v>
      </c>
      <c r="C416" s="2" t="s">
        <v>260</v>
      </c>
      <c r="D416" s="3">
        <v>398.7</v>
      </c>
      <c r="E416" s="3">
        <v>3.43</v>
      </c>
      <c r="F416" s="3">
        <v>321</v>
      </c>
      <c r="G416" s="3">
        <v>372.8</v>
      </c>
      <c r="H416" s="3">
        <v>975.9</v>
      </c>
      <c r="I416" s="4">
        <v>1268.5</v>
      </c>
      <c r="J416" s="4">
        <v>1200.8</v>
      </c>
      <c r="K416" s="3">
        <v>158.30000000000001</v>
      </c>
      <c r="L416" s="3">
        <v>3.91</v>
      </c>
      <c r="M416" s="4">
        <v>416296</v>
      </c>
      <c r="N416" s="4">
        <v>8257</v>
      </c>
      <c r="O416" s="3">
        <v>14.22</v>
      </c>
      <c r="P416" s="3" t="str">
        <f t="shared" si="6"/>
        <v>NORMAL</v>
      </c>
      <c r="Q416" s="3" cm="1">
        <f t="array" aca="1" ref="Q416" ca="1">AVERAGE(OFFSET(tbl_Process[[#This Row],[Temp_Firing_C]], MAX(1-ROW()+ROW(tbl_Process[#Headers]), -23), 0, MIN(ROW()-ROW(tbl_Process[#Headers]), 24), 1))</f>
        <v>1286.7708333333333</v>
      </c>
      <c r="R416" s="3" t="e" cm="1" vm="1">
        <f t="array" aca="1" ref="R416" ca="1">tbl_Process[Temp_Firing_C] - AVERAGE(tbl_Zones[[Target_Temp_Min_C]:[Target_Temp_Max_C]])</f>
        <v>#VALUE!</v>
      </c>
    </row>
    <row r="417" spans="1:18" x14ac:dyDescent="0.3">
      <c r="A417" s="2" t="s">
        <v>435</v>
      </c>
      <c r="B417" s="2" t="s">
        <v>24</v>
      </c>
      <c r="C417" s="2" t="s">
        <v>260</v>
      </c>
      <c r="D417" s="3">
        <v>402.3</v>
      </c>
      <c r="E417" s="3">
        <v>3.42</v>
      </c>
      <c r="F417" s="3">
        <v>311.60000000000002</v>
      </c>
      <c r="G417" s="3">
        <v>395.8</v>
      </c>
      <c r="H417" s="3">
        <v>946.5</v>
      </c>
      <c r="I417" s="4">
        <v>1293.4000000000001</v>
      </c>
      <c r="J417" s="4">
        <v>1230.7</v>
      </c>
      <c r="K417" s="3">
        <v>162.6</v>
      </c>
      <c r="L417" s="3">
        <v>3.87</v>
      </c>
      <c r="M417" s="4">
        <v>421707</v>
      </c>
      <c r="N417" s="4">
        <v>8234</v>
      </c>
      <c r="O417" s="3">
        <v>14.4</v>
      </c>
      <c r="P417" s="3" t="str">
        <f t="shared" si="6"/>
        <v>NORMAL</v>
      </c>
      <c r="Q417" s="3" cm="1">
        <f t="array" aca="1" ref="Q417" ca="1">AVERAGE(OFFSET(tbl_Process[[#This Row],[Temp_Firing_C]], MAX(1-ROW()+ROW(tbl_Process[#Headers]), -23), 0, MIN(ROW()-ROW(tbl_Process[#Headers]), 24), 1))</f>
        <v>1286.7541666666666</v>
      </c>
      <c r="R417" s="3" t="e" cm="1" vm="1">
        <f t="array" aca="1" ref="R417" ca="1">tbl_Process[Temp_Firing_C] - AVERAGE(tbl_Zones[[Target_Temp_Min_C]:[Target_Temp_Max_C]])</f>
        <v>#VALUE!</v>
      </c>
    </row>
    <row r="418" spans="1:18" x14ac:dyDescent="0.3">
      <c r="A418" s="2" t="s">
        <v>436</v>
      </c>
      <c r="B418" s="2" t="s">
        <v>24</v>
      </c>
      <c r="C418" s="2" t="s">
        <v>260</v>
      </c>
      <c r="D418" s="3">
        <v>397.7</v>
      </c>
      <c r="E418" s="3">
        <v>3.35</v>
      </c>
      <c r="F418" s="3">
        <v>324.2</v>
      </c>
      <c r="G418" s="3">
        <v>389.8</v>
      </c>
      <c r="H418" s="3">
        <v>959.2</v>
      </c>
      <c r="I418" s="4">
        <v>1295.7</v>
      </c>
      <c r="J418" s="4">
        <v>1231</v>
      </c>
      <c r="K418" s="3">
        <v>156.6</v>
      </c>
      <c r="L418" s="3">
        <v>3.83</v>
      </c>
      <c r="M418" s="4">
        <v>418178</v>
      </c>
      <c r="N418" s="4">
        <v>8365</v>
      </c>
      <c r="O418" s="3">
        <v>14.42</v>
      </c>
      <c r="P418" s="3" t="str">
        <f t="shared" si="6"/>
        <v>NORMAL</v>
      </c>
      <c r="Q418" s="3" cm="1">
        <f t="array" aca="1" ref="Q418" ca="1">AVERAGE(OFFSET(tbl_Process[[#This Row],[Temp_Firing_C]], MAX(1-ROW()+ROW(tbl_Process[#Headers]), -23), 0, MIN(ROW()-ROW(tbl_Process[#Headers]), 24), 1))</f>
        <v>1286.6416666666667</v>
      </c>
      <c r="R418" s="3" t="e" cm="1" vm="1">
        <f t="array" aca="1" ref="R418" ca="1">tbl_Process[Temp_Firing_C] - AVERAGE(tbl_Zones[[Target_Temp_Min_C]:[Target_Temp_Max_C]])</f>
        <v>#VALUE!</v>
      </c>
    </row>
    <row r="419" spans="1:18" x14ac:dyDescent="0.3">
      <c r="A419" s="2" t="s">
        <v>437</v>
      </c>
      <c r="B419" s="2" t="s">
        <v>24</v>
      </c>
      <c r="C419" s="2" t="s">
        <v>260</v>
      </c>
      <c r="D419" s="3">
        <v>400.9</v>
      </c>
      <c r="E419" s="3">
        <v>3.27</v>
      </c>
      <c r="F419" s="3">
        <v>311.39999999999998</v>
      </c>
      <c r="G419" s="3">
        <v>384.7</v>
      </c>
      <c r="H419" s="3">
        <v>952.9</v>
      </c>
      <c r="I419" s="4">
        <v>1291</v>
      </c>
      <c r="J419" s="4">
        <v>1230.7</v>
      </c>
      <c r="K419" s="3">
        <v>154.5</v>
      </c>
      <c r="L419" s="3">
        <v>3.71</v>
      </c>
      <c r="M419" s="4">
        <v>424241</v>
      </c>
      <c r="N419" s="4">
        <v>8434</v>
      </c>
      <c r="O419" s="3">
        <v>14.15</v>
      </c>
      <c r="P419" s="3" t="str">
        <f t="shared" si="6"/>
        <v>NORMAL</v>
      </c>
      <c r="Q419" s="3" cm="1">
        <f t="array" aca="1" ref="Q419" ca="1">AVERAGE(OFFSET(tbl_Process[[#This Row],[Temp_Firing_C]], MAX(1-ROW()+ROW(tbl_Process[#Headers]), -23), 0, MIN(ROW()-ROW(tbl_Process[#Headers]), 24), 1))</f>
        <v>1286.8499999999999</v>
      </c>
      <c r="R419" s="3" t="e" cm="1" vm="1">
        <f t="array" aca="1" ref="R419" ca="1">tbl_Process[Temp_Firing_C] - AVERAGE(tbl_Zones[[Target_Temp_Min_C]:[Target_Temp_Max_C]])</f>
        <v>#VALUE!</v>
      </c>
    </row>
    <row r="420" spans="1:18" x14ac:dyDescent="0.3">
      <c r="A420" s="2" t="s">
        <v>438</v>
      </c>
      <c r="B420" s="2" t="s">
        <v>24</v>
      </c>
      <c r="C420" s="2" t="s">
        <v>260</v>
      </c>
      <c r="D420" s="3">
        <v>396.3</v>
      </c>
      <c r="E420" s="3">
        <v>3.36</v>
      </c>
      <c r="F420" s="3">
        <v>313.8</v>
      </c>
      <c r="G420" s="3">
        <v>387.4</v>
      </c>
      <c r="H420" s="3">
        <v>952.5</v>
      </c>
      <c r="I420" s="4">
        <v>1296.2</v>
      </c>
      <c r="J420" s="4">
        <v>1228.8</v>
      </c>
      <c r="K420" s="3">
        <v>155.4</v>
      </c>
      <c r="L420" s="3">
        <v>3.79</v>
      </c>
      <c r="M420" s="4">
        <v>410131</v>
      </c>
      <c r="N420" s="4">
        <v>8440</v>
      </c>
      <c r="O420" s="3">
        <v>14.21</v>
      </c>
      <c r="P420" s="3" t="str">
        <f t="shared" si="6"/>
        <v>NORMAL</v>
      </c>
      <c r="Q420" s="3" cm="1">
        <f t="array" aca="1" ref="Q420" ca="1">AVERAGE(OFFSET(tbl_Process[[#This Row],[Temp_Firing_C]], MAX(1-ROW()+ROW(tbl_Process[#Headers]), -23), 0, MIN(ROW()-ROW(tbl_Process[#Headers]), 24), 1))</f>
        <v>1287.7583333333332</v>
      </c>
      <c r="R420" s="3" t="e" cm="1" vm="1">
        <f t="array" aca="1" ref="R420" ca="1">tbl_Process[Temp_Firing_C] - AVERAGE(tbl_Zones[[Target_Temp_Min_C]:[Target_Temp_Max_C]])</f>
        <v>#VALUE!</v>
      </c>
    </row>
    <row r="421" spans="1:18" x14ac:dyDescent="0.3">
      <c r="A421" s="2" t="s">
        <v>439</v>
      </c>
      <c r="B421" s="2" t="s">
        <v>24</v>
      </c>
      <c r="C421" s="2" t="s">
        <v>260</v>
      </c>
      <c r="D421" s="3">
        <v>403.3</v>
      </c>
      <c r="E421" s="3">
        <v>3.25</v>
      </c>
      <c r="F421" s="3">
        <v>327.39999999999998</v>
      </c>
      <c r="G421" s="3">
        <v>386.4</v>
      </c>
      <c r="H421" s="3">
        <v>976</v>
      </c>
      <c r="I421" s="4">
        <v>1285.9000000000001</v>
      </c>
      <c r="J421" s="4">
        <v>1227</v>
      </c>
      <c r="K421" s="3">
        <v>153</v>
      </c>
      <c r="L421" s="3">
        <v>3.99</v>
      </c>
      <c r="M421" s="4">
        <v>414763</v>
      </c>
      <c r="N421" s="4">
        <v>8133</v>
      </c>
      <c r="O421" s="3">
        <v>14.21</v>
      </c>
      <c r="P421" s="3" t="str">
        <f t="shared" si="6"/>
        <v>NORMAL</v>
      </c>
      <c r="Q421" s="3" cm="1">
        <f t="array" aca="1" ref="Q421" ca="1">AVERAGE(OFFSET(tbl_Process[[#This Row],[Temp_Firing_C]], MAX(1-ROW()+ROW(tbl_Process[#Headers]), -23), 0, MIN(ROW()-ROW(tbl_Process[#Headers]), 24), 1))</f>
        <v>1287.4541666666667</v>
      </c>
      <c r="R421" s="3" t="e" cm="1" vm="1">
        <f t="array" aca="1" ref="R421" ca="1">tbl_Process[Temp_Firing_C] - AVERAGE(tbl_Zones[[Target_Temp_Min_C]:[Target_Temp_Max_C]])</f>
        <v>#VALUE!</v>
      </c>
    </row>
    <row r="422" spans="1:18" x14ac:dyDescent="0.3">
      <c r="A422" s="2" t="s">
        <v>440</v>
      </c>
      <c r="B422" s="2" t="s">
        <v>24</v>
      </c>
      <c r="C422" s="2" t="s">
        <v>260</v>
      </c>
      <c r="D422" s="3">
        <v>400</v>
      </c>
      <c r="E422" s="3">
        <v>3.33</v>
      </c>
      <c r="F422" s="3">
        <v>322.3</v>
      </c>
      <c r="G422" s="3">
        <v>367.3</v>
      </c>
      <c r="H422" s="3">
        <v>934.5</v>
      </c>
      <c r="I422" s="4">
        <v>1296</v>
      </c>
      <c r="J422" s="4">
        <v>1236.4000000000001</v>
      </c>
      <c r="K422" s="3">
        <v>154.80000000000001</v>
      </c>
      <c r="L422" s="3">
        <v>3.88</v>
      </c>
      <c r="M422" s="4">
        <v>422848</v>
      </c>
      <c r="N422" s="4">
        <v>8502</v>
      </c>
      <c r="O422" s="3">
        <v>14.24</v>
      </c>
      <c r="P422" s="3" t="str">
        <f t="shared" si="6"/>
        <v>NORMAL</v>
      </c>
      <c r="Q422" s="3" cm="1">
        <f t="array" aca="1" ref="Q422" ca="1">AVERAGE(OFFSET(tbl_Process[[#This Row],[Temp_Firing_C]], MAX(1-ROW()+ROW(tbl_Process[#Headers]), -23), 0, MIN(ROW()-ROW(tbl_Process[#Headers]), 24), 1))</f>
        <v>1287.4208333333333</v>
      </c>
      <c r="R422" s="3" t="e" cm="1" vm="1">
        <f t="array" aca="1" ref="R422" ca="1">tbl_Process[Temp_Firing_C] - AVERAGE(tbl_Zones[[Target_Temp_Min_C]:[Target_Temp_Max_C]])</f>
        <v>#VALUE!</v>
      </c>
    </row>
    <row r="423" spans="1:18" x14ac:dyDescent="0.3">
      <c r="A423" s="2" t="s">
        <v>441</v>
      </c>
      <c r="B423" s="2" t="s">
        <v>24</v>
      </c>
      <c r="C423" s="2" t="s">
        <v>260</v>
      </c>
      <c r="D423" s="3">
        <v>404.4</v>
      </c>
      <c r="E423" s="3">
        <v>3.34</v>
      </c>
      <c r="F423" s="3">
        <v>319.7</v>
      </c>
      <c r="G423" s="3">
        <v>379.2</v>
      </c>
      <c r="H423" s="3">
        <v>955.8</v>
      </c>
      <c r="I423" s="4">
        <v>1280.5999999999999</v>
      </c>
      <c r="J423" s="4">
        <v>1216</v>
      </c>
      <c r="K423" s="3">
        <v>159.9</v>
      </c>
      <c r="L423" s="3">
        <v>3.81</v>
      </c>
      <c r="M423" s="4">
        <v>419314</v>
      </c>
      <c r="N423" s="4">
        <v>8150</v>
      </c>
      <c r="O423" s="3">
        <v>14.43</v>
      </c>
      <c r="P423" s="3" t="str">
        <f t="shared" si="6"/>
        <v>NORMAL</v>
      </c>
      <c r="Q423" s="3" cm="1">
        <f t="array" aca="1" ref="Q423" ca="1">AVERAGE(OFFSET(tbl_Process[[#This Row],[Temp_Firing_C]], MAX(1-ROW()+ROW(tbl_Process[#Headers]), -23), 0, MIN(ROW()-ROW(tbl_Process[#Headers]), 24), 1))</f>
        <v>1286.5458333333331</v>
      </c>
      <c r="R423" s="3" t="e" cm="1" vm="1">
        <f t="array" aca="1" ref="R423" ca="1">tbl_Process[Temp_Firing_C] - AVERAGE(tbl_Zones[[Target_Temp_Min_C]:[Target_Temp_Max_C]])</f>
        <v>#VALUE!</v>
      </c>
    </row>
    <row r="424" spans="1:18" x14ac:dyDescent="0.3">
      <c r="A424" s="2" t="s">
        <v>442</v>
      </c>
      <c r="B424" s="2" t="s">
        <v>33</v>
      </c>
      <c r="C424" s="2" t="s">
        <v>260</v>
      </c>
      <c r="D424" s="3">
        <v>398.8</v>
      </c>
      <c r="E424" s="3">
        <v>3.43</v>
      </c>
      <c r="F424" s="3">
        <v>306.39999999999998</v>
      </c>
      <c r="G424" s="3">
        <v>385</v>
      </c>
      <c r="H424" s="3">
        <v>950</v>
      </c>
      <c r="I424" s="4">
        <v>1292.3</v>
      </c>
      <c r="J424" s="4">
        <v>1224.4000000000001</v>
      </c>
      <c r="K424" s="3">
        <v>159.1</v>
      </c>
      <c r="L424" s="3">
        <v>4.12</v>
      </c>
      <c r="M424" s="4">
        <v>417643</v>
      </c>
      <c r="N424" s="4">
        <v>8556</v>
      </c>
      <c r="O424" s="3">
        <v>14.16</v>
      </c>
      <c r="P424" s="3" t="str">
        <f t="shared" si="6"/>
        <v>NORMAL</v>
      </c>
      <c r="Q424" s="3" cm="1">
        <f t="array" aca="1" ref="Q424" ca="1">AVERAGE(OFFSET(tbl_Process[[#This Row],[Temp_Firing_C]], MAX(1-ROW()+ROW(tbl_Process[#Headers]), -23), 0, MIN(ROW()-ROW(tbl_Process[#Headers]), 24), 1))</f>
        <v>1286.3291666666667</v>
      </c>
      <c r="R424" s="3" t="e" cm="1" vm="1">
        <f t="array" aca="1" ref="R424" ca="1">tbl_Process[Temp_Firing_C] - AVERAGE(tbl_Zones[[Target_Temp_Min_C]:[Target_Temp_Max_C]])</f>
        <v>#VALUE!</v>
      </c>
    </row>
    <row r="425" spans="1:18" x14ac:dyDescent="0.3">
      <c r="A425" s="2" t="s">
        <v>443</v>
      </c>
      <c r="B425" s="2" t="s">
        <v>33</v>
      </c>
      <c r="C425" s="2" t="s">
        <v>260</v>
      </c>
      <c r="D425" s="3">
        <v>401.7</v>
      </c>
      <c r="E425" s="3">
        <v>3.41</v>
      </c>
      <c r="F425" s="3">
        <v>323.8</v>
      </c>
      <c r="G425" s="3">
        <v>373.4</v>
      </c>
      <c r="H425" s="3">
        <v>945.5</v>
      </c>
      <c r="I425" s="4">
        <v>1276.3</v>
      </c>
      <c r="J425" s="4">
        <v>1211.9000000000001</v>
      </c>
      <c r="K425" s="3">
        <v>158</v>
      </c>
      <c r="L425" s="3">
        <v>4.01</v>
      </c>
      <c r="M425" s="4">
        <v>420301</v>
      </c>
      <c r="N425" s="4">
        <v>8098</v>
      </c>
      <c r="O425" s="3">
        <v>14.34</v>
      </c>
      <c r="P425" s="3" t="str">
        <f t="shared" si="6"/>
        <v>NORMAL</v>
      </c>
      <c r="Q425" s="3" cm="1">
        <f t="array" aca="1" ref="Q425" ca="1">AVERAGE(OFFSET(tbl_Process[[#This Row],[Temp_Firing_C]], MAX(1-ROW()+ROW(tbl_Process[#Headers]), -23), 0, MIN(ROW()-ROW(tbl_Process[#Headers]), 24), 1))</f>
        <v>1285.9291666666666</v>
      </c>
      <c r="R425" s="3" t="e" cm="1" vm="1">
        <f t="array" aca="1" ref="R425" ca="1">tbl_Process[Temp_Firing_C] - AVERAGE(tbl_Zones[[Target_Temp_Min_C]:[Target_Temp_Max_C]])</f>
        <v>#VALUE!</v>
      </c>
    </row>
    <row r="426" spans="1:18" x14ac:dyDescent="0.3">
      <c r="A426" s="2" t="s">
        <v>444</v>
      </c>
      <c r="B426" s="2" t="s">
        <v>33</v>
      </c>
      <c r="C426" s="2" t="s">
        <v>260</v>
      </c>
      <c r="D426" s="3">
        <v>394.3</v>
      </c>
      <c r="E426" s="3">
        <v>3.56</v>
      </c>
      <c r="F426" s="3">
        <v>320.2</v>
      </c>
      <c r="G426" s="3">
        <v>381.1</v>
      </c>
      <c r="H426" s="3">
        <v>940.6</v>
      </c>
      <c r="I426" s="4">
        <v>1280.5999999999999</v>
      </c>
      <c r="J426" s="4">
        <v>1218.7</v>
      </c>
      <c r="K426" s="3">
        <v>157.6</v>
      </c>
      <c r="L426" s="3">
        <v>4</v>
      </c>
      <c r="M426" s="4">
        <v>424599</v>
      </c>
      <c r="N426" s="4">
        <v>8154</v>
      </c>
      <c r="O426" s="3">
        <v>14.22</v>
      </c>
      <c r="P426" s="3" t="str">
        <f t="shared" si="6"/>
        <v>NORMAL</v>
      </c>
      <c r="Q426" s="3" cm="1">
        <f t="array" aca="1" ref="Q426" ca="1">AVERAGE(OFFSET(tbl_Process[[#This Row],[Temp_Firing_C]], MAX(1-ROW()+ROW(tbl_Process[#Headers]), -23), 0, MIN(ROW()-ROW(tbl_Process[#Headers]), 24), 1))</f>
        <v>1286.1499999999999</v>
      </c>
      <c r="R426" s="3" t="e" cm="1" vm="1">
        <f t="array" aca="1" ref="R426" ca="1">tbl_Process[Temp_Firing_C] - AVERAGE(tbl_Zones[[Target_Temp_Min_C]:[Target_Temp_Max_C]])</f>
        <v>#VALUE!</v>
      </c>
    </row>
    <row r="427" spans="1:18" x14ac:dyDescent="0.3">
      <c r="A427" s="2" t="s">
        <v>445</v>
      </c>
      <c r="B427" s="2" t="s">
        <v>33</v>
      </c>
      <c r="C427" s="2" t="s">
        <v>260</v>
      </c>
      <c r="D427" s="3">
        <v>396.5</v>
      </c>
      <c r="E427" s="3">
        <v>3.53</v>
      </c>
      <c r="F427" s="3">
        <v>324.39999999999998</v>
      </c>
      <c r="G427" s="3">
        <v>376.5</v>
      </c>
      <c r="H427" s="3">
        <v>956.6</v>
      </c>
      <c r="I427" s="4">
        <v>1273.4000000000001</v>
      </c>
      <c r="J427" s="4">
        <v>1213.7</v>
      </c>
      <c r="K427" s="3">
        <v>156.80000000000001</v>
      </c>
      <c r="L427" s="3">
        <v>3.86</v>
      </c>
      <c r="M427" s="4">
        <v>417343</v>
      </c>
      <c r="N427" s="4">
        <v>8158</v>
      </c>
      <c r="O427" s="3">
        <v>14.41</v>
      </c>
      <c r="P427" s="3" t="str">
        <f t="shared" si="6"/>
        <v>NORMAL</v>
      </c>
      <c r="Q427" s="3" cm="1">
        <f t="array" aca="1" ref="Q427" ca="1">AVERAGE(OFFSET(tbl_Process[[#This Row],[Temp_Firing_C]], MAX(1-ROW()+ROW(tbl_Process[#Headers]), -23), 0, MIN(ROW()-ROW(tbl_Process[#Headers]), 24), 1))</f>
        <v>1285.7041666666667</v>
      </c>
      <c r="R427" s="3" t="e" cm="1" vm="1">
        <f t="array" aca="1" ref="R427" ca="1">tbl_Process[Temp_Firing_C] - AVERAGE(tbl_Zones[[Target_Temp_Min_C]:[Target_Temp_Max_C]])</f>
        <v>#VALUE!</v>
      </c>
    </row>
    <row r="428" spans="1:18" x14ac:dyDescent="0.3">
      <c r="A428" s="2" t="s">
        <v>446</v>
      </c>
      <c r="B428" s="2" t="s">
        <v>33</v>
      </c>
      <c r="C428" s="2" t="s">
        <v>260</v>
      </c>
      <c r="D428" s="3">
        <v>400</v>
      </c>
      <c r="E428" s="3">
        <v>3.46</v>
      </c>
      <c r="F428" s="3">
        <v>327.8</v>
      </c>
      <c r="G428" s="3">
        <v>381.4</v>
      </c>
      <c r="H428" s="3">
        <v>965.6</v>
      </c>
      <c r="I428" s="4">
        <v>1278</v>
      </c>
      <c r="J428" s="4">
        <v>1208.8</v>
      </c>
      <c r="K428" s="3">
        <v>161.9</v>
      </c>
      <c r="L428" s="3">
        <v>3.94</v>
      </c>
      <c r="M428" s="4">
        <v>411061</v>
      </c>
      <c r="N428" s="4">
        <v>8197</v>
      </c>
      <c r="O428" s="3">
        <v>14.42</v>
      </c>
      <c r="P428" s="3" t="str">
        <f t="shared" si="6"/>
        <v>NORMAL</v>
      </c>
      <c r="Q428" s="3" cm="1">
        <f t="array" aca="1" ref="Q428" ca="1">AVERAGE(OFFSET(tbl_Process[[#This Row],[Temp_Firing_C]], MAX(1-ROW()+ROW(tbl_Process[#Headers]), -23), 0, MIN(ROW()-ROW(tbl_Process[#Headers]), 24), 1))</f>
        <v>1286.0416666666667</v>
      </c>
      <c r="R428" s="3" t="e" cm="1" vm="1">
        <f t="array" aca="1" ref="R428" ca="1">tbl_Process[Temp_Firing_C] - AVERAGE(tbl_Zones[[Target_Temp_Min_C]:[Target_Temp_Max_C]])</f>
        <v>#VALUE!</v>
      </c>
    </row>
    <row r="429" spans="1:18" x14ac:dyDescent="0.3">
      <c r="A429" s="2" t="s">
        <v>447</v>
      </c>
      <c r="B429" s="2" t="s">
        <v>33</v>
      </c>
      <c r="C429" s="2" t="s">
        <v>260</v>
      </c>
      <c r="D429" s="3">
        <v>398</v>
      </c>
      <c r="E429" s="3">
        <v>3.52</v>
      </c>
      <c r="F429" s="3">
        <v>320.8</v>
      </c>
      <c r="G429" s="3">
        <v>386.9</v>
      </c>
      <c r="H429" s="3">
        <v>959</v>
      </c>
      <c r="I429" s="4">
        <v>1280.0999999999999</v>
      </c>
      <c r="J429" s="4">
        <v>1209.5</v>
      </c>
      <c r="K429" s="3">
        <v>158.69999999999999</v>
      </c>
      <c r="L429" s="3">
        <v>3.91</v>
      </c>
      <c r="M429" s="4">
        <v>411633</v>
      </c>
      <c r="N429" s="4">
        <v>8196</v>
      </c>
      <c r="O429" s="3">
        <v>14.36</v>
      </c>
      <c r="P429" s="3" t="str">
        <f t="shared" si="6"/>
        <v>NORMAL</v>
      </c>
      <c r="Q429" s="3" cm="1">
        <f t="array" aca="1" ref="Q429" ca="1">AVERAGE(OFFSET(tbl_Process[[#This Row],[Temp_Firing_C]], MAX(1-ROW()+ROW(tbl_Process[#Headers]), -23), 0, MIN(ROW()-ROW(tbl_Process[#Headers]), 24), 1))</f>
        <v>1286.175</v>
      </c>
      <c r="R429" s="3" t="e" cm="1" vm="1">
        <f t="array" aca="1" ref="R429" ca="1">tbl_Process[Temp_Firing_C] - AVERAGE(tbl_Zones[[Target_Temp_Min_C]:[Target_Temp_Max_C]])</f>
        <v>#VALUE!</v>
      </c>
    </row>
    <row r="430" spans="1:18" x14ac:dyDescent="0.3">
      <c r="A430" s="2" t="s">
        <v>448</v>
      </c>
      <c r="B430" s="2" t="s">
        <v>33</v>
      </c>
      <c r="C430" s="2" t="s">
        <v>260</v>
      </c>
      <c r="D430" s="3">
        <v>401.7</v>
      </c>
      <c r="E430" s="3">
        <v>3.44</v>
      </c>
      <c r="F430" s="3">
        <v>314.5</v>
      </c>
      <c r="G430" s="3">
        <v>380.6</v>
      </c>
      <c r="H430" s="3">
        <v>953.8</v>
      </c>
      <c r="I430" s="4">
        <v>1256.7</v>
      </c>
      <c r="J430" s="4">
        <v>1188.8</v>
      </c>
      <c r="K430" s="3">
        <v>164.1</v>
      </c>
      <c r="L430" s="3">
        <v>3.73</v>
      </c>
      <c r="M430" s="4">
        <v>412600</v>
      </c>
      <c r="N430" s="4">
        <v>8171</v>
      </c>
      <c r="O430" s="3">
        <v>14.27</v>
      </c>
      <c r="P430" s="3" t="str">
        <f t="shared" si="6"/>
        <v>NORMAL</v>
      </c>
      <c r="Q430" s="3" cm="1">
        <f t="array" aca="1" ref="Q430" ca="1">AVERAGE(OFFSET(tbl_Process[[#This Row],[Temp_Firing_C]], MAX(1-ROW()+ROW(tbl_Process[#Headers]), -23), 0, MIN(ROW()-ROW(tbl_Process[#Headers]), 24), 1))</f>
        <v>1285.5791666666667</v>
      </c>
      <c r="R430" s="3" t="e" cm="1" vm="1">
        <f t="array" aca="1" ref="R430" ca="1">tbl_Process[Temp_Firing_C] - AVERAGE(tbl_Zones[[Target_Temp_Min_C]:[Target_Temp_Max_C]])</f>
        <v>#VALUE!</v>
      </c>
    </row>
    <row r="431" spans="1:18" x14ac:dyDescent="0.3">
      <c r="A431" s="2" t="s">
        <v>449</v>
      </c>
      <c r="B431" s="2" t="s">
        <v>33</v>
      </c>
      <c r="C431" s="2" t="s">
        <v>260</v>
      </c>
      <c r="D431" s="3">
        <v>400</v>
      </c>
      <c r="E431" s="3">
        <v>3.3</v>
      </c>
      <c r="F431" s="3">
        <v>327.9</v>
      </c>
      <c r="G431" s="3">
        <v>376.9</v>
      </c>
      <c r="H431" s="3">
        <v>956.9</v>
      </c>
      <c r="I431" s="4">
        <v>1290.9000000000001</v>
      </c>
      <c r="J431" s="4">
        <v>1229.9000000000001</v>
      </c>
      <c r="K431" s="3">
        <v>154.4</v>
      </c>
      <c r="L431" s="3">
        <v>3.8</v>
      </c>
      <c r="M431" s="4">
        <v>420094</v>
      </c>
      <c r="N431" s="4">
        <v>8316</v>
      </c>
      <c r="O431" s="3">
        <v>13.82</v>
      </c>
      <c r="P431" s="3" t="str">
        <f t="shared" si="6"/>
        <v>NORMAL</v>
      </c>
      <c r="Q431" s="3" cm="1">
        <f t="array" aca="1" ref="Q431" ca="1">AVERAGE(OFFSET(tbl_Process[[#This Row],[Temp_Firing_C]], MAX(1-ROW()+ROW(tbl_Process[#Headers]), -23), 0, MIN(ROW()-ROW(tbl_Process[#Headers]), 24), 1))</f>
        <v>1285.7708333333333</v>
      </c>
      <c r="R431" s="3" t="e" cm="1" vm="1">
        <f t="array" aca="1" ref="R431" ca="1">tbl_Process[Temp_Firing_C] - AVERAGE(tbl_Zones[[Target_Temp_Min_C]:[Target_Temp_Max_C]])</f>
        <v>#VALUE!</v>
      </c>
    </row>
    <row r="432" spans="1:18" x14ac:dyDescent="0.3">
      <c r="A432" s="2" t="s">
        <v>450</v>
      </c>
      <c r="B432" s="2" t="s">
        <v>16</v>
      </c>
      <c r="C432" s="2" t="s">
        <v>260</v>
      </c>
      <c r="D432" s="3">
        <v>399.8</v>
      </c>
      <c r="E432" s="3">
        <v>3.28</v>
      </c>
      <c r="F432" s="3">
        <v>328.1</v>
      </c>
      <c r="G432" s="3">
        <v>379.1</v>
      </c>
      <c r="H432" s="3">
        <v>945.9</v>
      </c>
      <c r="I432" s="4">
        <v>1275.0999999999999</v>
      </c>
      <c r="J432" s="4">
        <v>1198.8</v>
      </c>
      <c r="K432" s="3">
        <v>153.4</v>
      </c>
      <c r="L432" s="3">
        <v>3.99</v>
      </c>
      <c r="M432" s="4">
        <v>423329</v>
      </c>
      <c r="N432" s="4">
        <v>8288</v>
      </c>
      <c r="O432" s="3">
        <v>14.35</v>
      </c>
      <c r="P432" s="3" t="str">
        <f t="shared" si="6"/>
        <v>NORMAL</v>
      </c>
      <c r="Q432" s="3" cm="1">
        <f t="array" aca="1" ref="Q432" ca="1">AVERAGE(OFFSET(tbl_Process[[#This Row],[Temp_Firing_C]], MAX(1-ROW()+ROW(tbl_Process[#Headers]), -23), 0, MIN(ROW()-ROW(tbl_Process[#Headers]), 24), 1))</f>
        <v>1285.1166666666666</v>
      </c>
      <c r="R432" s="3" t="e" cm="1" vm="1">
        <f t="array" aca="1" ref="R432" ca="1">tbl_Process[Temp_Firing_C] - AVERAGE(tbl_Zones[[Target_Temp_Min_C]:[Target_Temp_Max_C]])</f>
        <v>#VALUE!</v>
      </c>
    </row>
    <row r="433" spans="1:18" x14ac:dyDescent="0.3">
      <c r="A433" s="2" t="s">
        <v>451</v>
      </c>
      <c r="B433" s="2" t="s">
        <v>16</v>
      </c>
      <c r="C433" s="2" t="s">
        <v>260</v>
      </c>
      <c r="D433" s="3">
        <v>398.3</v>
      </c>
      <c r="E433" s="3">
        <v>3.32</v>
      </c>
      <c r="F433" s="3">
        <v>331</v>
      </c>
      <c r="G433" s="3">
        <v>376.9</v>
      </c>
      <c r="H433" s="3">
        <v>982.7</v>
      </c>
      <c r="I433" s="4">
        <v>1292.5999999999999</v>
      </c>
      <c r="J433" s="4">
        <v>1217.2</v>
      </c>
      <c r="K433" s="3">
        <v>155.80000000000001</v>
      </c>
      <c r="L433" s="3">
        <v>3.78</v>
      </c>
      <c r="M433" s="4">
        <v>418389</v>
      </c>
      <c r="N433" s="4">
        <v>8404</v>
      </c>
      <c r="O433" s="3">
        <v>15.03</v>
      </c>
      <c r="P433" s="3" t="str">
        <f t="shared" si="6"/>
        <v>NORMAL</v>
      </c>
      <c r="Q433" s="3" cm="1">
        <f t="array" aca="1" ref="Q433" ca="1">AVERAGE(OFFSET(tbl_Process[[#This Row],[Temp_Firing_C]], MAX(1-ROW()+ROW(tbl_Process[#Headers]), -23), 0, MIN(ROW()-ROW(tbl_Process[#Headers]), 24), 1))</f>
        <v>1284.9583333333333</v>
      </c>
      <c r="R433" s="3" t="e" cm="1" vm="1">
        <f t="array" aca="1" ref="R433" ca="1">tbl_Process[Temp_Firing_C] - AVERAGE(tbl_Zones[[Target_Temp_Min_C]:[Target_Temp_Max_C]])</f>
        <v>#VALUE!</v>
      </c>
    </row>
    <row r="434" spans="1:18" x14ac:dyDescent="0.3">
      <c r="A434" s="2" t="s">
        <v>452</v>
      </c>
      <c r="B434" s="2" t="s">
        <v>16</v>
      </c>
      <c r="C434" s="2" t="s">
        <v>260</v>
      </c>
      <c r="D434" s="3">
        <v>395.7</v>
      </c>
      <c r="E434" s="3">
        <v>3.42</v>
      </c>
      <c r="F434" s="3">
        <v>322.7</v>
      </c>
      <c r="G434" s="3">
        <v>378.6</v>
      </c>
      <c r="H434" s="3">
        <v>959.2</v>
      </c>
      <c r="I434" s="4">
        <v>1273.9000000000001</v>
      </c>
      <c r="J434" s="4">
        <v>1209.5</v>
      </c>
      <c r="K434" s="3">
        <v>161.9</v>
      </c>
      <c r="L434" s="3">
        <v>3.89</v>
      </c>
      <c r="M434" s="4">
        <v>417298</v>
      </c>
      <c r="N434" s="4">
        <v>8356</v>
      </c>
      <c r="O434" s="3">
        <v>14.55</v>
      </c>
      <c r="P434" s="3" t="str">
        <f t="shared" si="6"/>
        <v>NORMAL</v>
      </c>
      <c r="Q434" s="3" cm="1">
        <f t="array" aca="1" ref="Q434" ca="1">AVERAGE(OFFSET(tbl_Process[[#This Row],[Temp_Firing_C]], MAX(1-ROW()+ROW(tbl_Process[#Headers]), -23), 0, MIN(ROW()-ROW(tbl_Process[#Headers]), 24), 1))</f>
        <v>1284.3583333333333</v>
      </c>
      <c r="R434" s="3" t="e" cm="1" vm="1">
        <f t="array" aca="1" ref="R434" ca="1">tbl_Process[Temp_Firing_C] - AVERAGE(tbl_Zones[[Target_Temp_Min_C]:[Target_Temp_Max_C]])</f>
        <v>#VALUE!</v>
      </c>
    </row>
    <row r="435" spans="1:18" x14ac:dyDescent="0.3">
      <c r="A435" s="2" t="s">
        <v>453</v>
      </c>
      <c r="B435" s="2" t="s">
        <v>16</v>
      </c>
      <c r="C435" s="2" t="s">
        <v>260</v>
      </c>
      <c r="D435" s="3">
        <v>400.3</v>
      </c>
      <c r="E435" s="3">
        <v>3.31</v>
      </c>
      <c r="F435" s="3">
        <v>315.7</v>
      </c>
      <c r="G435" s="3">
        <v>377.5</v>
      </c>
      <c r="H435" s="3">
        <v>961.6</v>
      </c>
      <c r="I435" s="4">
        <v>1279.2</v>
      </c>
      <c r="J435" s="4">
        <v>1208.5999999999999</v>
      </c>
      <c r="K435" s="3">
        <v>153.6</v>
      </c>
      <c r="L435" s="3">
        <v>3.68</v>
      </c>
      <c r="M435" s="4">
        <v>415434</v>
      </c>
      <c r="N435" s="4">
        <v>8074</v>
      </c>
      <c r="O435" s="3">
        <v>14.29</v>
      </c>
      <c r="P435" s="3" t="str">
        <f t="shared" si="6"/>
        <v>NORMAL</v>
      </c>
      <c r="Q435" s="3" cm="1">
        <f t="array" aca="1" ref="Q435" ca="1">AVERAGE(OFFSET(tbl_Process[[#This Row],[Temp_Firing_C]], MAX(1-ROW()+ROW(tbl_Process[#Headers]), -23), 0, MIN(ROW()-ROW(tbl_Process[#Headers]), 24), 1))</f>
        <v>1284.3291666666667</v>
      </c>
      <c r="R435" s="3" t="e" cm="1" vm="1">
        <f t="array" aca="1" ref="R435" ca="1">tbl_Process[Temp_Firing_C] - AVERAGE(tbl_Zones[[Target_Temp_Min_C]:[Target_Temp_Max_C]])</f>
        <v>#VALUE!</v>
      </c>
    </row>
    <row r="436" spans="1:18" x14ac:dyDescent="0.3">
      <c r="A436" s="2" t="s">
        <v>454</v>
      </c>
      <c r="B436" s="2" t="s">
        <v>16</v>
      </c>
      <c r="C436" s="2" t="s">
        <v>260</v>
      </c>
      <c r="D436" s="3">
        <v>398.4</v>
      </c>
      <c r="E436" s="3">
        <v>3.29</v>
      </c>
      <c r="F436" s="3">
        <v>321.8</v>
      </c>
      <c r="G436" s="3">
        <v>384.6</v>
      </c>
      <c r="H436" s="3">
        <v>952.5</v>
      </c>
      <c r="I436" s="4">
        <v>1280.3</v>
      </c>
      <c r="J436" s="4">
        <v>1218.5</v>
      </c>
      <c r="K436" s="3">
        <v>156.1</v>
      </c>
      <c r="L436" s="3">
        <v>3.76</v>
      </c>
      <c r="M436" s="4">
        <v>420642</v>
      </c>
      <c r="N436" s="4">
        <v>8370</v>
      </c>
      <c r="O436" s="3">
        <v>14.45</v>
      </c>
      <c r="P436" s="3" t="str">
        <f t="shared" si="6"/>
        <v>NORMAL</v>
      </c>
      <c r="Q436" s="3" cm="1">
        <f t="array" aca="1" ref="Q436" ca="1">AVERAGE(OFFSET(tbl_Process[[#This Row],[Temp_Firing_C]], MAX(1-ROW()+ROW(tbl_Process[#Headers]), -23), 0, MIN(ROW()-ROW(tbl_Process[#Headers]), 24), 1))</f>
        <v>1283.5791666666667</v>
      </c>
      <c r="R436" s="3" t="e" cm="1" vm="1">
        <f t="array" aca="1" ref="R436" ca="1">tbl_Process[Temp_Firing_C] - AVERAGE(tbl_Zones[[Target_Temp_Min_C]:[Target_Temp_Max_C]])</f>
        <v>#VALUE!</v>
      </c>
    </row>
    <row r="437" spans="1:18" x14ac:dyDescent="0.3">
      <c r="A437" s="2" t="s">
        <v>455</v>
      </c>
      <c r="B437" s="2" t="s">
        <v>16</v>
      </c>
      <c r="C437" s="2" t="s">
        <v>260</v>
      </c>
      <c r="D437" s="3">
        <v>403.7</v>
      </c>
      <c r="E437" s="3">
        <v>3.24</v>
      </c>
      <c r="F437" s="3">
        <v>327.9</v>
      </c>
      <c r="G437" s="3">
        <v>382.5</v>
      </c>
      <c r="H437" s="3">
        <v>971.7</v>
      </c>
      <c r="I437" s="4">
        <v>1287.5</v>
      </c>
      <c r="J437" s="4">
        <v>1222.8</v>
      </c>
      <c r="K437" s="3">
        <v>158.5</v>
      </c>
      <c r="L437" s="3">
        <v>3.95</v>
      </c>
      <c r="M437" s="4">
        <v>416659</v>
      </c>
      <c r="N437" s="4">
        <v>8454</v>
      </c>
      <c r="O437" s="3">
        <v>13.84</v>
      </c>
      <c r="P437" s="3" t="str">
        <f t="shared" si="6"/>
        <v>NORMAL</v>
      </c>
      <c r="Q437" s="3" cm="1">
        <f t="array" aca="1" ref="Q437" ca="1">AVERAGE(OFFSET(tbl_Process[[#This Row],[Temp_Firing_C]], MAX(1-ROW()+ROW(tbl_Process[#Headers]), -23), 0, MIN(ROW()-ROW(tbl_Process[#Headers]), 24), 1))</f>
        <v>1284.0333333333333</v>
      </c>
      <c r="R437" s="3" t="e" cm="1" vm="1">
        <f t="array" aca="1" ref="R437" ca="1">tbl_Process[Temp_Firing_C] - AVERAGE(tbl_Zones[[Target_Temp_Min_C]:[Target_Temp_Max_C]])</f>
        <v>#VALUE!</v>
      </c>
    </row>
    <row r="438" spans="1:18" x14ac:dyDescent="0.3">
      <c r="A438" s="2" t="s">
        <v>456</v>
      </c>
      <c r="B438" s="2" t="s">
        <v>16</v>
      </c>
      <c r="C438" s="2" t="s">
        <v>260</v>
      </c>
      <c r="D438" s="3">
        <v>397.8</v>
      </c>
      <c r="E438" s="3">
        <v>3.56</v>
      </c>
      <c r="F438" s="3">
        <v>316.2</v>
      </c>
      <c r="G438" s="3">
        <v>378.3</v>
      </c>
      <c r="H438" s="3">
        <v>949.3</v>
      </c>
      <c r="I438" s="4">
        <v>1287.5</v>
      </c>
      <c r="J438" s="4">
        <v>1218.0999999999999</v>
      </c>
      <c r="K438" s="3">
        <v>159</v>
      </c>
      <c r="L438" s="3">
        <v>4.0199999999999996</v>
      </c>
      <c r="M438" s="4">
        <v>415304</v>
      </c>
      <c r="N438" s="4">
        <v>8445</v>
      </c>
      <c r="O438" s="3">
        <v>14.45</v>
      </c>
      <c r="P438" s="3" t="str">
        <f t="shared" si="6"/>
        <v>NORMAL</v>
      </c>
      <c r="Q438" s="3" cm="1">
        <f t="array" aca="1" ref="Q438" ca="1">AVERAGE(OFFSET(tbl_Process[[#This Row],[Temp_Firing_C]], MAX(1-ROW()+ROW(tbl_Process[#Headers]), -23), 0, MIN(ROW()-ROW(tbl_Process[#Headers]), 24), 1))</f>
        <v>1283.6333333333334</v>
      </c>
      <c r="R438" s="3" t="e" cm="1" vm="1">
        <f t="array" aca="1" ref="R438" ca="1">tbl_Process[Temp_Firing_C] - AVERAGE(tbl_Zones[[Target_Temp_Min_C]:[Target_Temp_Max_C]])</f>
        <v>#VALUE!</v>
      </c>
    </row>
    <row r="439" spans="1:18" x14ac:dyDescent="0.3">
      <c r="A439" s="2" t="s">
        <v>457</v>
      </c>
      <c r="B439" s="2" t="s">
        <v>16</v>
      </c>
      <c r="C439" s="2" t="s">
        <v>260</v>
      </c>
      <c r="D439" s="3">
        <v>404.2</v>
      </c>
      <c r="E439" s="3">
        <v>3.41</v>
      </c>
      <c r="F439" s="3">
        <v>339.5</v>
      </c>
      <c r="G439" s="3">
        <v>387.4</v>
      </c>
      <c r="H439" s="3">
        <v>963.9</v>
      </c>
      <c r="I439" s="4">
        <v>1278.0999999999999</v>
      </c>
      <c r="J439" s="4">
        <v>1212.5</v>
      </c>
      <c r="K439" s="3">
        <v>167.1</v>
      </c>
      <c r="L439" s="3">
        <v>4.16</v>
      </c>
      <c r="M439" s="4">
        <v>421232</v>
      </c>
      <c r="N439" s="4">
        <v>8331</v>
      </c>
      <c r="O439" s="3">
        <v>14.02</v>
      </c>
      <c r="P439" s="3" t="str">
        <f t="shared" si="6"/>
        <v>NORMAL</v>
      </c>
      <c r="Q439" s="3" cm="1">
        <f t="array" aca="1" ref="Q439" ca="1">AVERAGE(OFFSET(tbl_Process[[#This Row],[Temp_Firing_C]], MAX(1-ROW()+ROW(tbl_Process[#Headers]), -23), 0, MIN(ROW()-ROW(tbl_Process[#Headers]), 24), 1))</f>
        <v>1282.9083333333333</v>
      </c>
      <c r="R439" s="3" t="e" cm="1" vm="1">
        <f t="array" aca="1" ref="R439" ca="1">tbl_Process[Temp_Firing_C] - AVERAGE(tbl_Zones[[Target_Temp_Min_C]:[Target_Temp_Max_C]])</f>
        <v>#VALUE!</v>
      </c>
    </row>
    <row r="440" spans="1:18" x14ac:dyDescent="0.3">
      <c r="A440" s="2" t="s">
        <v>458</v>
      </c>
      <c r="B440" s="2" t="s">
        <v>24</v>
      </c>
      <c r="C440" s="2" t="s">
        <v>260</v>
      </c>
      <c r="D440" s="3">
        <v>401.9</v>
      </c>
      <c r="E440" s="3">
        <v>3.3</v>
      </c>
      <c r="F440" s="3">
        <v>311.10000000000002</v>
      </c>
      <c r="G440" s="3">
        <v>381.7</v>
      </c>
      <c r="H440" s="3">
        <v>966.3</v>
      </c>
      <c r="I440" s="4">
        <v>1292.2</v>
      </c>
      <c r="J440" s="4">
        <v>1230.2</v>
      </c>
      <c r="K440" s="3">
        <v>162.69999999999999</v>
      </c>
      <c r="L440" s="3">
        <v>3.78</v>
      </c>
      <c r="M440" s="4">
        <v>418229</v>
      </c>
      <c r="N440" s="4">
        <v>8226</v>
      </c>
      <c r="O440" s="3">
        <v>13.92</v>
      </c>
      <c r="P440" s="3" t="str">
        <f t="shared" si="6"/>
        <v>NORMAL</v>
      </c>
      <c r="Q440" s="3" cm="1">
        <f t="array" aca="1" ref="Q440" ca="1">AVERAGE(OFFSET(tbl_Process[[#This Row],[Temp_Firing_C]], MAX(1-ROW()+ROW(tbl_Process[#Headers]), -23), 0, MIN(ROW()-ROW(tbl_Process[#Headers]), 24), 1))</f>
        <v>1283.8958333333333</v>
      </c>
      <c r="R440" s="3" t="e" cm="1" vm="1">
        <f t="array" aca="1" ref="R440" ca="1">tbl_Process[Temp_Firing_C] - AVERAGE(tbl_Zones[[Target_Temp_Min_C]:[Target_Temp_Max_C]])</f>
        <v>#VALUE!</v>
      </c>
    </row>
    <row r="441" spans="1:18" x14ac:dyDescent="0.3">
      <c r="A441" s="2" t="s">
        <v>459</v>
      </c>
      <c r="B441" s="2" t="s">
        <v>24</v>
      </c>
      <c r="C441" s="2" t="s">
        <v>260</v>
      </c>
      <c r="D441" s="3">
        <v>403</v>
      </c>
      <c r="E441" s="3">
        <v>3.34</v>
      </c>
      <c r="F441" s="3">
        <v>325.10000000000002</v>
      </c>
      <c r="G441" s="3">
        <v>387.6</v>
      </c>
      <c r="H441" s="3">
        <v>952.3</v>
      </c>
      <c r="I441" s="4">
        <v>1289.4000000000001</v>
      </c>
      <c r="J441" s="4">
        <v>1220.4000000000001</v>
      </c>
      <c r="K441" s="3">
        <v>150.69999999999999</v>
      </c>
      <c r="L441" s="3">
        <v>3.94</v>
      </c>
      <c r="M441" s="4">
        <v>416444</v>
      </c>
      <c r="N441" s="4">
        <v>8320</v>
      </c>
      <c r="O441" s="3">
        <v>14.84</v>
      </c>
      <c r="P441" s="3" t="str">
        <f t="shared" si="6"/>
        <v>NORMAL</v>
      </c>
      <c r="Q441" s="3" cm="1">
        <f t="array" aca="1" ref="Q441" ca="1">AVERAGE(OFFSET(tbl_Process[[#This Row],[Temp_Firing_C]], MAX(1-ROW()+ROW(tbl_Process[#Headers]), -23), 0, MIN(ROW()-ROW(tbl_Process[#Headers]), 24), 1))</f>
        <v>1283.7291666666667</v>
      </c>
      <c r="R441" s="3" t="e" cm="1" vm="1">
        <f t="array" aca="1" ref="R441" ca="1">tbl_Process[Temp_Firing_C] - AVERAGE(tbl_Zones[[Target_Temp_Min_C]:[Target_Temp_Max_C]])</f>
        <v>#VALUE!</v>
      </c>
    </row>
    <row r="442" spans="1:18" x14ac:dyDescent="0.3">
      <c r="A442" s="2" t="s">
        <v>460</v>
      </c>
      <c r="B442" s="2" t="s">
        <v>24</v>
      </c>
      <c r="C442" s="2" t="s">
        <v>260</v>
      </c>
      <c r="D442" s="3">
        <v>393.9</v>
      </c>
      <c r="E442" s="3">
        <v>3.43</v>
      </c>
      <c r="F442" s="3">
        <v>313.7</v>
      </c>
      <c r="G442" s="3">
        <v>385.9</v>
      </c>
      <c r="H442" s="3">
        <v>962.9</v>
      </c>
      <c r="I442" s="4">
        <v>1287.0999999999999</v>
      </c>
      <c r="J442" s="4">
        <v>1216.4000000000001</v>
      </c>
      <c r="K442" s="3">
        <v>155.9</v>
      </c>
      <c r="L442" s="3">
        <v>3.95</v>
      </c>
      <c r="M442" s="4">
        <v>423876</v>
      </c>
      <c r="N442" s="4">
        <v>8403</v>
      </c>
      <c r="O442" s="3">
        <v>14.05</v>
      </c>
      <c r="P442" s="3" t="str">
        <f t="shared" si="6"/>
        <v>NORMAL</v>
      </c>
      <c r="Q442" s="3" cm="1">
        <f t="array" aca="1" ref="Q442" ca="1">AVERAGE(OFFSET(tbl_Process[[#This Row],[Temp_Firing_C]], MAX(1-ROW()+ROW(tbl_Process[#Headers]), -23), 0, MIN(ROW()-ROW(tbl_Process[#Headers]), 24), 1))</f>
        <v>1283.3708333333334</v>
      </c>
      <c r="R442" s="3" t="e" cm="1" vm="1">
        <f t="array" aca="1" ref="R442" ca="1">tbl_Process[Temp_Firing_C] - AVERAGE(tbl_Zones[[Target_Temp_Min_C]:[Target_Temp_Max_C]])</f>
        <v>#VALUE!</v>
      </c>
    </row>
    <row r="443" spans="1:18" x14ac:dyDescent="0.3">
      <c r="A443" s="2" t="s">
        <v>461</v>
      </c>
      <c r="B443" s="2" t="s">
        <v>24</v>
      </c>
      <c r="C443" s="2" t="s">
        <v>260</v>
      </c>
      <c r="D443" s="3">
        <v>401.4</v>
      </c>
      <c r="E443" s="3">
        <v>3.59</v>
      </c>
      <c r="F443" s="3">
        <v>320</v>
      </c>
      <c r="G443" s="3">
        <v>389.4</v>
      </c>
      <c r="H443" s="3">
        <v>949.8</v>
      </c>
      <c r="I443" s="4">
        <v>1283</v>
      </c>
      <c r="J443" s="4">
        <v>1221.7</v>
      </c>
      <c r="K443" s="3">
        <v>161.6</v>
      </c>
      <c r="L443" s="3">
        <v>3.87</v>
      </c>
      <c r="M443" s="4">
        <v>414107</v>
      </c>
      <c r="N443" s="4">
        <v>8415</v>
      </c>
      <c r="O443" s="3">
        <v>14.57</v>
      </c>
      <c r="P443" s="3" t="str">
        <f t="shared" si="6"/>
        <v>NORMAL</v>
      </c>
      <c r="Q443" s="3" cm="1">
        <f t="array" aca="1" ref="Q443" ca="1">AVERAGE(OFFSET(tbl_Process[[#This Row],[Temp_Firing_C]], MAX(1-ROW()+ROW(tbl_Process[#Headers]), -23), 0, MIN(ROW()-ROW(tbl_Process[#Headers]), 24), 1))</f>
        <v>1283.0375000000001</v>
      </c>
      <c r="R443" s="3" t="e" cm="1" vm="1">
        <f t="array" aca="1" ref="R443" ca="1">tbl_Process[Temp_Firing_C] - AVERAGE(tbl_Zones[[Target_Temp_Min_C]:[Target_Temp_Max_C]])</f>
        <v>#VALUE!</v>
      </c>
    </row>
    <row r="444" spans="1:18" x14ac:dyDescent="0.3">
      <c r="A444" s="2" t="s">
        <v>462</v>
      </c>
      <c r="B444" s="2" t="s">
        <v>24</v>
      </c>
      <c r="C444" s="2" t="s">
        <v>260</v>
      </c>
      <c r="D444" s="3">
        <v>406</v>
      </c>
      <c r="E444" s="3">
        <v>3.54</v>
      </c>
      <c r="F444" s="3">
        <v>319.8</v>
      </c>
      <c r="G444" s="3">
        <v>376.5</v>
      </c>
      <c r="H444" s="3">
        <v>974.2</v>
      </c>
      <c r="I444" s="4">
        <v>1288</v>
      </c>
      <c r="J444" s="4">
        <v>1217.0999999999999</v>
      </c>
      <c r="K444" s="3">
        <v>154.19999999999999</v>
      </c>
      <c r="L444" s="3">
        <v>4.07</v>
      </c>
      <c r="M444" s="4">
        <v>417220</v>
      </c>
      <c r="N444" s="4">
        <v>8353</v>
      </c>
      <c r="O444" s="3">
        <v>14.59</v>
      </c>
      <c r="P444" s="3" t="str">
        <f t="shared" si="6"/>
        <v>NORMAL</v>
      </c>
      <c r="Q444" s="3" cm="1">
        <f t="array" aca="1" ref="Q444" ca="1">AVERAGE(OFFSET(tbl_Process[[#This Row],[Temp_Firing_C]], MAX(1-ROW()+ROW(tbl_Process[#Headers]), -23), 0, MIN(ROW()-ROW(tbl_Process[#Headers]), 24), 1))</f>
        <v>1282.6958333333334</v>
      </c>
      <c r="R444" s="3" t="e" cm="1" vm="1">
        <f t="array" aca="1" ref="R444" ca="1">tbl_Process[Temp_Firing_C] - AVERAGE(tbl_Zones[[Target_Temp_Min_C]:[Target_Temp_Max_C]])</f>
        <v>#VALUE!</v>
      </c>
    </row>
    <row r="445" spans="1:18" x14ac:dyDescent="0.3">
      <c r="A445" s="2" t="s">
        <v>463</v>
      </c>
      <c r="B445" s="2" t="s">
        <v>24</v>
      </c>
      <c r="C445" s="2" t="s">
        <v>260</v>
      </c>
      <c r="D445" s="3">
        <v>403</v>
      </c>
      <c r="E445" s="3">
        <v>3.51</v>
      </c>
      <c r="F445" s="3">
        <v>307</v>
      </c>
      <c r="G445" s="3">
        <v>379.9</v>
      </c>
      <c r="H445" s="3">
        <v>965.5</v>
      </c>
      <c r="I445" s="4">
        <v>1269</v>
      </c>
      <c r="J445" s="4">
        <v>1200.0999999999999</v>
      </c>
      <c r="K445" s="3">
        <v>154.80000000000001</v>
      </c>
      <c r="L445" s="3">
        <v>3.97</v>
      </c>
      <c r="M445" s="4">
        <v>420117</v>
      </c>
      <c r="N445" s="4">
        <v>8371</v>
      </c>
      <c r="O445" s="3">
        <v>14.1</v>
      </c>
      <c r="P445" s="3" t="str">
        <f t="shared" si="6"/>
        <v>NORMAL</v>
      </c>
      <c r="Q445" s="3" cm="1">
        <f t="array" aca="1" ref="Q445" ca="1">AVERAGE(OFFSET(tbl_Process[[#This Row],[Temp_Firing_C]], MAX(1-ROW()+ROW(tbl_Process[#Headers]), -23), 0, MIN(ROW()-ROW(tbl_Process[#Headers]), 24), 1))</f>
        <v>1281.9916666666666</v>
      </c>
      <c r="R445" s="3" t="e" cm="1" vm="1">
        <f t="array" aca="1" ref="R445" ca="1">tbl_Process[Temp_Firing_C] - AVERAGE(tbl_Zones[[Target_Temp_Min_C]:[Target_Temp_Max_C]])</f>
        <v>#VALUE!</v>
      </c>
    </row>
    <row r="446" spans="1:18" x14ac:dyDescent="0.3">
      <c r="A446" s="2" t="s">
        <v>464</v>
      </c>
      <c r="B446" s="2" t="s">
        <v>24</v>
      </c>
      <c r="C446" s="2" t="s">
        <v>260</v>
      </c>
      <c r="D446" s="3">
        <v>402.1</v>
      </c>
      <c r="E446" s="3">
        <v>3.44</v>
      </c>
      <c r="F446" s="3">
        <v>320.39999999999998</v>
      </c>
      <c r="G446" s="3">
        <v>380.3</v>
      </c>
      <c r="H446" s="3">
        <v>959.9</v>
      </c>
      <c r="I446" s="4">
        <v>1293.5</v>
      </c>
      <c r="J446" s="4">
        <v>1235.0999999999999</v>
      </c>
      <c r="K446" s="3">
        <v>153.4</v>
      </c>
      <c r="L446" s="3">
        <v>4.03</v>
      </c>
      <c r="M446" s="4">
        <v>421953</v>
      </c>
      <c r="N446" s="4">
        <v>8460</v>
      </c>
      <c r="O446" s="3">
        <v>14.51</v>
      </c>
      <c r="P446" s="3" t="str">
        <f t="shared" si="6"/>
        <v>NORMAL</v>
      </c>
      <c r="Q446" s="3" cm="1">
        <f t="array" aca="1" ref="Q446" ca="1">AVERAGE(OFFSET(tbl_Process[[#This Row],[Temp_Firing_C]], MAX(1-ROW()+ROW(tbl_Process[#Headers]), -23), 0, MIN(ROW()-ROW(tbl_Process[#Headers]), 24), 1))</f>
        <v>1281.8875</v>
      </c>
      <c r="R446" s="3" t="e" cm="1" vm="1">
        <f t="array" aca="1" ref="R446" ca="1">tbl_Process[Temp_Firing_C] - AVERAGE(tbl_Zones[[Target_Temp_Min_C]:[Target_Temp_Max_C]])</f>
        <v>#VALUE!</v>
      </c>
    </row>
    <row r="447" spans="1:18" x14ac:dyDescent="0.3">
      <c r="A447" s="2" t="s">
        <v>465</v>
      </c>
      <c r="B447" s="2" t="s">
        <v>24</v>
      </c>
      <c r="C447" s="2" t="s">
        <v>260</v>
      </c>
      <c r="D447" s="3">
        <v>400.8</v>
      </c>
      <c r="E447" s="3">
        <v>3.42</v>
      </c>
      <c r="F447" s="3">
        <v>318.39999999999998</v>
      </c>
      <c r="G447" s="3">
        <v>362.8</v>
      </c>
      <c r="H447" s="3">
        <v>954.4</v>
      </c>
      <c r="I447" s="4">
        <v>1273.5</v>
      </c>
      <c r="J447" s="4">
        <v>1201.4000000000001</v>
      </c>
      <c r="K447" s="3">
        <v>165.6</v>
      </c>
      <c r="L447" s="3">
        <v>3.98</v>
      </c>
      <c r="M447" s="4">
        <v>415126</v>
      </c>
      <c r="N447" s="4">
        <v>8114</v>
      </c>
      <c r="O447" s="3">
        <v>14.58</v>
      </c>
      <c r="P447" s="3" t="str">
        <f t="shared" si="6"/>
        <v>NORMAL</v>
      </c>
      <c r="Q447" s="3" cm="1">
        <f t="array" aca="1" ref="Q447" ca="1">AVERAGE(OFFSET(tbl_Process[[#This Row],[Temp_Firing_C]], MAX(1-ROW()+ROW(tbl_Process[#Headers]), -23), 0, MIN(ROW()-ROW(tbl_Process[#Headers]), 24), 1))</f>
        <v>1281.5916666666667</v>
      </c>
      <c r="R447" s="3" t="e" cm="1" vm="1">
        <f t="array" aca="1" ref="R447" ca="1">tbl_Process[Temp_Firing_C] - AVERAGE(tbl_Zones[[Target_Temp_Min_C]:[Target_Temp_Max_C]])</f>
        <v>#VALUE!</v>
      </c>
    </row>
    <row r="448" spans="1:18" x14ac:dyDescent="0.3">
      <c r="A448" s="2" t="s">
        <v>466</v>
      </c>
      <c r="B448" s="2" t="s">
        <v>33</v>
      </c>
      <c r="C448" s="2" t="s">
        <v>260</v>
      </c>
      <c r="D448" s="3">
        <v>404</v>
      </c>
      <c r="E448" s="3">
        <v>3.33</v>
      </c>
      <c r="F448" s="3">
        <v>317.2</v>
      </c>
      <c r="G448" s="3">
        <v>382.4</v>
      </c>
      <c r="H448" s="3">
        <v>931.3</v>
      </c>
      <c r="I448" s="4">
        <v>1277.3</v>
      </c>
      <c r="J448" s="4">
        <v>1209.7</v>
      </c>
      <c r="K448" s="3">
        <v>157.5</v>
      </c>
      <c r="L448" s="3">
        <v>3.87</v>
      </c>
      <c r="M448" s="4">
        <v>416396</v>
      </c>
      <c r="N448" s="4">
        <v>8458</v>
      </c>
      <c r="O448" s="3">
        <v>14.15</v>
      </c>
      <c r="P448" s="3" t="str">
        <f t="shared" si="6"/>
        <v>NORMAL</v>
      </c>
      <c r="Q448" s="3" cm="1">
        <f t="array" aca="1" ref="Q448" ca="1">AVERAGE(OFFSET(tbl_Process[[#This Row],[Temp_Firing_C]], MAX(1-ROW()+ROW(tbl_Process[#Headers]), -23), 0, MIN(ROW()-ROW(tbl_Process[#Headers]), 24), 1))</f>
        <v>1280.9666666666665</v>
      </c>
      <c r="R448" s="3" t="e" cm="1" vm="1">
        <f t="array" aca="1" ref="R448" ca="1">tbl_Process[Temp_Firing_C] - AVERAGE(tbl_Zones[[Target_Temp_Min_C]:[Target_Temp_Max_C]])</f>
        <v>#VALUE!</v>
      </c>
    </row>
    <row r="449" spans="1:18" x14ac:dyDescent="0.3">
      <c r="A449" s="2" t="s">
        <v>467</v>
      </c>
      <c r="B449" s="2" t="s">
        <v>33</v>
      </c>
      <c r="C449" s="2" t="s">
        <v>260</v>
      </c>
      <c r="D449" s="3">
        <v>401.2</v>
      </c>
      <c r="E449" s="3">
        <v>3.56</v>
      </c>
      <c r="F449" s="3">
        <v>313.60000000000002</v>
      </c>
      <c r="G449" s="3">
        <v>388.6</v>
      </c>
      <c r="H449" s="3">
        <v>953.9</v>
      </c>
      <c r="I449" s="4">
        <v>1291</v>
      </c>
      <c r="J449" s="4">
        <v>1230.5</v>
      </c>
      <c r="K449" s="3">
        <v>159.5</v>
      </c>
      <c r="L449" s="3">
        <v>3.95</v>
      </c>
      <c r="M449" s="4">
        <v>416196</v>
      </c>
      <c r="N449" s="4">
        <v>8401</v>
      </c>
      <c r="O449" s="3">
        <v>14.5</v>
      </c>
      <c r="P449" s="3" t="str">
        <f t="shared" si="6"/>
        <v>NORMAL</v>
      </c>
      <c r="Q449" s="3" cm="1">
        <f t="array" aca="1" ref="Q449" ca="1">AVERAGE(OFFSET(tbl_Process[[#This Row],[Temp_Firing_C]], MAX(1-ROW()+ROW(tbl_Process[#Headers]), -23), 0, MIN(ROW()-ROW(tbl_Process[#Headers]), 24), 1))</f>
        <v>1281.5791666666667</v>
      </c>
      <c r="R449" s="3" t="e" cm="1" vm="1">
        <f t="array" aca="1" ref="R449" ca="1">tbl_Process[Temp_Firing_C] - AVERAGE(tbl_Zones[[Target_Temp_Min_C]:[Target_Temp_Max_C]])</f>
        <v>#VALUE!</v>
      </c>
    </row>
    <row r="450" spans="1:18" x14ac:dyDescent="0.3">
      <c r="A450" s="2" t="s">
        <v>468</v>
      </c>
      <c r="B450" s="2" t="s">
        <v>33</v>
      </c>
      <c r="C450" s="2" t="s">
        <v>260</v>
      </c>
      <c r="D450" s="3">
        <v>399.9</v>
      </c>
      <c r="E450" s="3">
        <v>3.37</v>
      </c>
      <c r="F450" s="3">
        <v>315.10000000000002</v>
      </c>
      <c r="G450" s="3">
        <v>382.4</v>
      </c>
      <c r="H450" s="3">
        <v>967.9</v>
      </c>
      <c r="I450" s="4">
        <v>1270.7</v>
      </c>
      <c r="J450" s="4">
        <v>1201.7</v>
      </c>
      <c r="K450" s="3">
        <v>159.6</v>
      </c>
      <c r="L450" s="3">
        <v>4.07</v>
      </c>
      <c r="M450" s="4">
        <v>418737</v>
      </c>
      <c r="N450" s="4">
        <v>7998</v>
      </c>
      <c r="O450" s="3">
        <v>14.54</v>
      </c>
      <c r="P450" s="3" t="str">
        <f t="shared" ref="P450:P513" si="7">IF(L450&gt;4.5,"CRITICAL",IF(OR(I450&lt;1250,I450&gt;1330),"WARNING","NORMAL"))</f>
        <v>NORMAL</v>
      </c>
      <c r="Q450" s="3" cm="1">
        <f t="array" aca="1" ref="Q450" ca="1">AVERAGE(OFFSET(tbl_Process[[#This Row],[Temp_Firing_C]], MAX(1-ROW()+ROW(tbl_Process[#Headers]), -23), 0, MIN(ROW()-ROW(tbl_Process[#Headers]), 24), 1))</f>
        <v>1281.1666666666667</v>
      </c>
      <c r="R450" s="3" t="e" cm="1" vm="1">
        <f t="array" aca="1" ref="R450" ca="1">tbl_Process[Temp_Firing_C] - AVERAGE(tbl_Zones[[Target_Temp_Min_C]:[Target_Temp_Max_C]])</f>
        <v>#VALUE!</v>
      </c>
    </row>
    <row r="451" spans="1:18" x14ac:dyDescent="0.3">
      <c r="A451" s="2" t="s">
        <v>469</v>
      </c>
      <c r="B451" s="2" t="s">
        <v>33</v>
      </c>
      <c r="C451" s="2" t="s">
        <v>260</v>
      </c>
      <c r="D451" s="3">
        <v>396.3</v>
      </c>
      <c r="E451" s="3">
        <v>3.38</v>
      </c>
      <c r="F451" s="3">
        <v>326.10000000000002</v>
      </c>
      <c r="G451" s="3">
        <v>365.3</v>
      </c>
      <c r="H451" s="3">
        <v>933.4</v>
      </c>
      <c r="I451" s="4">
        <v>1268.8</v>
      </c>
      <c r="J451" s="4">
        <v>1205.5</v>
      </c>
      <c r="K451" s="3">
        <v>160.69999999999999</v>
      </c>
      <c r="L451" s="3">
        <v>3.9</v>
      </c>
      <c r="M451" s="4">
        <v>418499</v>
      </c>
      <c r="N451" s="4">
        <v>7914</v>
      </c>
      <c r="O451" s="3">
        <v>14.97</v>
      </c>
      <c r="P451" s="3" t="str">
        <f t="shared" si="7"/>
        <v>NORMAL</v>
      </c>
      <c r="Q451" s="3" cm="1">
        <f t="array" aca="1" ref="Q451" ca="1">AVERAGE(OFFSET(tbl_Process[[#This Row],[Temp_Firing_C]], MAX(1-ROW()+ROW(tbl_Process[#Headers]), -23), 0, MIN(ROW()-ROW(tbl_Process[#Headers]), 24), 1))</f>
        <v>1280.9750000000001</v>
      </c>
      <c r="R451" s="3" t="e" cm="1" vm="1">
        <f t="array" aca="1" ref="R451" ca="1">tbl_Process[Temp_Firing_C] - AVERAGE(tbl_Zones[[Target_Temp_Min_C]:[Target_Temp_Max_C]])</f>
        <v>#VALUE!</v>
      </c>
    </row>
    <row r="452" spans="1:18" x14ac:dyDescent="0.3">
      <c r="A452" s="2" t="s">
        <v>470</v>
      </c>
      <c r="B452" s="2" t="s">
        <v>33</v>
      </c>
      <c r="C452" s="2" t="s">
        <v>260</v>
      </c>
      <c r="D452" s="3">
        <v>398.8</v>
      </c>
      <c r="E452" s="3">
        <v>3.46</v>
      </c>
      <c r="F452" s="3">
        <v>308.39999999999998</v>
      </c>
      <c r="G452" s="3">
        <v>375.2</v>
      </c>
      <c r="H452" s="3">
        <v>955.5</v>
      </c>
      <c r="I452" s="4">
        <v>1284.5</v>
      </c>
      <c r="J452" s="4">
        <v>1210</v>
      </c>
      <c r="K452" s="3">
        <v>157.69999999999999</v>
      </c>
      <c r="L452" s="3">
        <v>3.77</v>
      </c>
      <c r="M452" s="4">
        <v>418979</v>
      </c>
      <c r="N452" s="4">
        <v>8407</v>
      </c>
      <c r="O452" s="3">
        <v>14.6</v>
      </c>
      <c r="P452" s="3" t="str">
        <f t="shared" si="7"/>
        <v>NORMAL</v>
      </c>
      <c r="Q452" s="3" cm="1">
        <f t="array" aca="1" ref="Q452" ca="1">AVERAGE(OFFSET(tbl_Process[[#This Row],[Temp_Firing_C]], MAX(1-ROW()+ROW(tbl_Process[#Headers]), -23), 0, MIN(ROW()-ROW(tbl_Process[#Headers]), 24), 1))</f>
        <v>1281.2458333333332</v>
      </c>
      <c r="R452" s="3" t="e" cm="1" vm="1">
        <f t="array" aca="1" ref="R452" ca="1">tbl_Process[Temp_Firing_C] - AVERAGE(tbl_Zones[[Target_Temp_Min_C]:[Target_Temp_Max_C]])</f>
        <v>#VALUE!</v>
      </c>
    </row>
    <row r="453" spans="1:18" x14ac:dyDescent="0.3">
      <c r="A453" s="2" t="s">
        <v>471</v>
      </c>
      <c r="B453" s="2" t="s">
        <v>33</v>
      </c>
      <c r="C453" s="2" t="s">
        <v>260</v>
      </c>
      <c r="D453" s="3">
        <v>397.9</v>
      </c>
      <c r="E453" s="3">
        <v>3.47</v>
      </c>
      <c r="F453" s="3">
        <v>324.5</v>
      </c>
      <c r="G453" s="3">
        <v>363.6</v>
      </c>
      <c r="H453" s="3">
        <v>960.1</v>
      </c>
      <c r="I453" s="4">
        <v>1282.9000000000001</v>
      </c>
      <c r="J453" s="4">
        <v>1216.3</v>
      </c>
      <c r="K453" s="3">
        <v>151.5</v>
      </c>
      <c r="L453" s="3">
        <v>4.01</v>
      </c>
      <c r="M453" s="4">
        <v>412724</v>
      </c>
      <c r="N453" s="4">
        <v>8273</v>
      </c>
      <c r="O453" s="3">
        <v>14.37</v>
      </c>
      <c r="P453" s="3" t="str">
        <f t="shared" si="7"/>
        <v>NORMAL</v>
      </c>
      <c r="Q453" s="3" cm="1">
        <f t="array" aca="1" ref="Q453" ca="1">AVERAGE(OFFSET(tbl_Process[[#This Row],[Temp_Firing_C]], MAX(1-ROW()+ROW(tbl_Process[#Headers]), -23), 0, MIN(ROW()-ROW(tbl_Process[#Headers]), 24), 1))</f>
        <v>1281.3625</v>
      </c>
      <c r="R453" s="3" t="e" cm="1" vm="1">
        <f t="array" aca="1" ref="R453" ca="1">tbl_Process[Temp_Firing_C] - AVERAGE(tbl_Zones[[Target_Temp_Min_C]:[Target_Temp_Max_C]])</f>
        <v>#VALUE!</v>
      </c>
    </row>
    <row r="454" spans="1:18" x14ac:dyDescent="0.3">
      <c r="A454" s="2" t="s">
        <v>472</v>
      </c>
      <c r="B454" s="2" t="s">
        <v>33</v>
      </c>
      <c r="C454" s="2" t="s">
        <v>260</v>
      </c>
      <c r="D454" s="3">
        <v>402.9</v>
      </c>
      <c r="E454" s="3">
        <v>3.35</v>
      </c>
      <c r="F454" s="3">
        <v>312.39999999999998</v>
      </c>
      <c r="G454" s="3">
        <v>376</v>
      </c>
      <c r="H454" s="3">
        <v>965</v>
      </c>
      <c r="I454" s="4">
        <v>1293.9000000000001</v>
      </c>
      <c r="J454" s="4">
        <v>1219.9000000000001</v>
      </c>
      <c r="K454" s="3">
        <v>159.19999999999999</v>
      </c>
      <c r="L454" s="3">
        <v>3.79</v>
      </c>
      <c r="M454" s="4">
        <v>422468</v>
      </c>
      <c r="N454" s="4">
        <v>8314</v>
      </c>
      <c r="O454" s="3">
        <v>14.18</v>
      </c>
      <c r="P454" s="3" t="str">
        <f t="shared" si="7"/>
        <v>NORMAL</v>
      </c>
      <c r="Q454" s="3" cm="1">
        <f t="array" aca="1" ref="Q454" ca="1">AVERAGE(OFFSET(tbl_Process[[#This Row],[Temp_Firing_C]], MAX(1-ROW()+ROW(tbl_Process[#Headers]), -23), 0, MIN(ROW()-ROW(tbl_Process[#Headers]), 24), 1))</f>
        <v>1282.9125000000001</v>
      </c>
      <c r="R454" s="3" t="e" cm="1" vm="1">
        <f t="array" aca="1" ref="R454" ca="1">tbl_Process[Temp_Firing_C] - AVERAGE(tbl_Zones[[Target_Temp_Min_C]:[Target_Temp_Max_C]])</f>
        <v>#VALUE!</v>
      </c>
    </row>
    <row r="455" spans="1:18" x14ac:dyDescent="0.3">
      <c r="A455" s="2" t="s">
        <v>473</v>
      </c>
      <c r="B455" s="2" t="s">
        <v>33</v>
      </c>
      <c r="C455" s="2" t="s">
        <v>260</v>
      </c>
      <c r="D455" s="3">
        <v>397.6</v>
      </c>
      <c r="E455" s="3">
        <v>3.39</v>
      </c>
      <c r="F455" s="3">
        <v>318.60000000000002</v>
      </c>
      <c r="G455" s="3">
        <v>379</v>
      </c>
      <c r="H455" s="3">
        <v>953.3</v>
      </c>
      <c r="I455" s="4">
        <v>1265.5</v>
      </c>
      <c r="J455" s="4">
        <v>1204.9000000000001</v>
      </c>
      <c r="K455" s="3">
        <v>157.5</v>
      </c>
      <c r="L455" s="3">
        <v>4.01</v>
      </c>
      <c r="M455" s="4">
        <v>411313</v>
      </c>
      <c r="N455" s="4">
        <v>7894</v>
      </c>
      <c r="O455" s="3">
        <v>14.68</v>
      </c>
      <c r="P455" s="3" t="str">
        <f t="shared" si="7"/>
        <v>NORMAL</v>
      </c>
      <c r="Q455" s="3" cm="1">
        <f t="array" aca="1" ref="Q455" ca="1">AVERAGE(OFFSET(tbl_Process[[#This Row],[Temp_Firing_C]], MAX(1-ROW()+ROW(tbl_Process[#Headers]), -23), 0, MIN(ROW()-ROW(tbl_Process[#Headers]), 24), 1))</f>
        <v>1281.8541666666667</v>
      </c>
      <c r="R455" s="3" t="e" cm="1" vm="1">
        <f t="array" aca="1" ref="R455" ca="1">tbl_Process[Temp_Firing_C] - AVERAGE(tbl_Zones[[Target_Temp_Min_C]:[Target_Temp_Max_C]])</f>
        <v>#VALUE!</v>
      </c>
    </row>
    <row r="456" spans="1:18" x14ac:dyDescent="0.3">
      <c r="A456" s="2" t="s">
        <v>474</v>
      </c>
      <c r="B456" s="2" t="s">
        <v>16</v>
      </c>
      <c r="C456" s="2" t="s">
        <v>260</v>
      </c>
      <c r="D456" s="3">
        <v>405.2</v>
      </c>
      <c r="E456" s="3">
        <v>3.41</v>
      </c>
      <c r="F456" s="3">
        <v>315.8</v>
      </c>
      <c r="G456" s="3">
        <v>369.8</v>
      </c>
      <c r="H456" s="3">
        <v>975</v>
      </c>
      <c r="I456" s="4">
        <v>1268.5999999999999</v>
      </c>
      <c r="J456" s="4">
        <v>1199.2</v>
      </c>
      <c r="K456" s="3">
        <v>160.80000000000001</v>
      </c>
      <c r="L456" s="3">
        <v>3.74</v>
      </c>
      <c r="M456" s="4">
        <v>418809</v>
      </c>
      <c r="N456" s="4">
        <v>8198</v>
      </c>
      <c r="O456" s="3">
        <v>14.67</v>
      </c>
      <c r="P456" s="3" t="str">
        <f t="shared" si="7"/>
        <v>NORMAL</v>
      </c>
      <c r="Q456" s="3" cm="1">
        <f t="array" aca="1" ref="Q456" ca="1">AVERAGE(OFFSET(tbl_Process[[#This Row],[Temp_Firing_C]], MAX(1-ROW()+ROW(tbl_Process[#Headers]), -23), 0, MIN(ROW()-ROW(tbl_Process[#Headers]), 24), 1))</f>
        <v>1281.5833333333335</v>
      </c>
      <c r="R456" s="3" t="e" cm="1" vm="1">
        <f t="array" aca="1" ref="R456" ca="1">tbl_Process[Temp_Firing_C] - AVERAGE(tbl_Zones[[Target_Temp_Min_C]:[Target_Temp_Max_C]])</f>
        <v>#VALUE!</v>
      </c>
    </row>
    <row r="457" spans="1:18" x14ac:dyDescent="0.3">
      <c r="A457" s="2" t="s">
        <v>475</v>
      </c>
      <c r="B457" s="2" t="s">
        <v>16</v>
      </c>
      <c r="C457" s="2" t="s">
        <v>260</v>
      </c>
      <c r="D457" s="3">
        <v>402.2</v>
      </c>
      <c r="E457" s="3">
        <v>3.39</v>
      </c>
      <c r="F457" s="3">
        <v>310.89999999999998</v>
      </c>
      <c r="G457" s="3">
        <v>375.4</v>
      </c>
      <c r="H457" s="3">
        <v>942.9</v>
      </c>
      <c r="I457" s="4">
        <v>1281.7</v>
      </c>
      <c r="J457" s="4">
        <v>1221.5</v>
      </c>
      <c r="K457" s="3">
        <v>165.6</v>
      </c>
      <c r="L457" s="3">
        <v>3.97</v>
      </c>
      <c r="M457" s="4">
        <v>419942</v>
      </c>
      <c r="N457" s="4">
        <v>8245</v>
      </c>
      <c r="O457" s="3">
        <v>14.28</v>
      </c>
      <c r="P457" s="3" t="str">
        <f t="shared" si="7"/>
        <v>NORMAL</v>
      </c>
      <c r="Q457" s="3" cm="1">
        <f t="array" aca="1" ref="Q457" ca="1">AVERAGE(OFFSET(tbl_Process[[#This Row],[Temp_Firing_C]], MAX(1-ROW()+ROW(tbl_Process[#Headers]), -23), 0, MIN(ROW()-ROW(tbl_Process[#Headers]), 24), 1))</f>
        <v>1281.1291666666668</v>
      </c>
      <c r="R457" s="3" t="e" cm="1" vm="1">
        <f t="array" aca="1" ref="R457" ca="1">tbl_Process[Temp_Firing_C] - AVERAGE(tbl_Zones[[Target_Temp_Min_C]:[Target_Temp_Max_C]])</f>
        <v>#VALUE!</v>
      </c>
    </row>
    <row r="458" spans="1:18" x14ac:dyDescent="0.3">
      <c r="A458" s="2" t="s">
        <v>476</v>
      </c>
      <c r="B458" s="2" t="s">
        <v>16</v>
      </c>
      <c r="C458" s="2" t="s">
        <v>260</v>
      </c>
      <c r="D458" s="3">
        <v>401.9</v>
      </c>
      <c r="E458" s="3">
        <v>3.37</v>
      </c>
      <c r="F458" s="3">
        <v>319.3</v>
      </c>
      <c r="G458" s="3">
        <v>369.5</v>
      </c>
      <c r="H458" s="3">
        <v>944.7</v>
      </c>
      <c r="I458" s="4">
        <v>1283.8</v>
      </c>
      <c r="J458" s="4">
        <v>1224.0999999999999</v>
      </c>
      <c r="K458" s="3">
        <v>153.5</v>
      </c>
      <c r="L458" s="3">
        <v>4</v>
      </c>
      <c r="M458" s="4">
        <v>415219</v>
      </c>
      <c r="N458" s="4">
        <v>8308</v>
      </c>
      <c r="O458" s="3">
        <v>14.71</v>
      </c>
      <c r="P458" s="3" t="str">
        <f t="shared" si="7"/>
        <v>NORMAL</v>
      </c>
      <c r="Q458" s="3" cm="1">
        <f t="array" aca="1" ref="Q458" ca="1">AVERAGE(OFFSET(tbl_Process[[#This Row],[Temp_Firing_C]], MAX(1-ROW()+ROW(tbl_Process[#Headers]), -23), 0, MIN(ROW()-ROW(tbl_Process[#Headers]), 24), 1))</f>
        <v>1281.5416666666667</v>
      </c>
      <c r="R458" s="3" t="e" cm="1" vm="1">
        <f t="array" aca="1" ref="R458" ca="1">tbl_Process[Temp_Firing_C] - AVERAGE(tbl_Zones[[Target_Temp_Min_C]:[Target_Temp_Max_C]])</f>
        <v>#VALUE!</v>
      </c>
    </row>
    <row r="459" spans="1:18" x14ac:dyDescent="0.3">
      <c r="A459" s="2" t="s">
        <v>477</v>
      </c>
      <c r="B459" s="2" t="s">
        <v>16</v>
      </c>
      <c r="C459" s="2" t="s">
        <v>260</v>
      </c>
      <c r="D459" s="3">
        <v>403.2</v>
      </c>
      <c r="E459" s="3">
        <v>3.46</v>
      </c>
      <c r="F459" s="3">
        <v>329.5</v>
      </c>
      <c r="G459" s="3">
        <v>372.4</v>
      </c>
      <c r="H459" s="3">
        <v>944.2</v>
      </c>
      <c r="I459" s="4">
        <v>1274</v>
      </c>
      <c r="J459" s="4">
        <v>1207.5</v>
      </c>
      <c r="K459" s="3">
        <v>146.9</v>
      </c>
      <c r="L459" s="3">
        <v>3.93</v>
      </c>
      <c r="M459" s="4">
        <v>413414</v>
      </c>
      <c r="N459" s="4">
        <v>8282</v>
      </c>
      <c r="O459" s="3">
        <v>14.46</v>
      </c>
      <c r="P459" s="3" t="str">
        <f t="shared" si="7"/>
        <v>NORMAL</v>
      </c>
      <c r="Q459" s="3" cm="1">
        <f t="array" aca="1" ref="Q459" ca="1">AVERAGE(OFFSET(tbl_Process[[#This Row],[Temp_Firing_C]], MAX(1-ROW()+ROW(tbl_Process[#Headers]), -23), 0, MIN(ROW()-ROW(tbl_Process[#Headers]), 24), 1))</f>
        <v>1281.325</v>
      </c>
      <c r="R459" s="3" t="e" cm="1" vm="1">
        <f t="array" aca="1" ref="R459" ca="1">tbl_Process[Temp_Firing_C] - AVERAGE(tbl_Zones[[Target_Temp_Min_C]:[Target_Temp_Max_C]])</f>
        <v>#VALUE!</v>
      </c>
    </row>
    <row r="460" spans="1:18" x14ac:dyDescent="0.3">
      <c r="A460" s="2" t="s">
        <v>478</v>
      </c>
      <c r="B460" s="2" t="s">
        <v>16</v>
      </c>
      <c r="C460" s="2" t="s">
        <v>260</v>
      </c>
      <c r="D460" s="3">
        <v>397.6</v>
      </c>
      <c r="E460" s="3">
        <v>3.45</v>
      </c>
      <c r="F460" s="3">
        <v>322.7</v>
      </c>
      <c r="G460" s="3">
        <v>372.5</v>
      </c>
      <c r="H460" s="3">
        <v>950.8</v>
      </c>
      <c r="I460" s="4">
        <v>1262.9000000000001</v>
      </c>
      <c r="J460" s="4">
        <v>1191.4000000000001</v>
      </c>
      <c r="K460" s="3">
        <v>155.19999999999999</v>
      </c>
      <c r="L460" s="3">
        <v>3.89</v>
      </c>
      <c r="M460" s="4">
        <v>410013</v>
      </c>
      <c r="N460" s="4">
        <v>7993</v>
      </c>
      <c r="O460" s="3">
        <v>14.3</v>
      </c>
      <c r="P460" s="3" t="str">
        <f t="shared" si="7"/>
        <v>NORMAL</v>
      </c>
      <c r="Q460" s="3" cm="1">
        <f t="array" aca="1" ref="Q460" ca="1">AVERAGE(OFFSET(tbl_Process[[#This Row],[Temp_Firing_C]], MAX(1-ROW()+ROW(tbl_Process[#Headers]), -23), 0, MIN(ROW()-ROW(tbl_Process[#Headers]), 24), 1))</f>
        <v>1280.6000000000001</v>
      </c>
      <c r="R460" s="3" t="e" cm="1" vm="1">
        <f t="array" aca="1" ref="R460" ca="1">tbl_Process[Temp_Firing_C] - AVERAGE(tbl_Zones[[Target_Temp_Min_C]:[Target_Temp_Max_C]])</f>
        <v>#VALUE!</v>
      </c>
    </row>
    <row r="461" spans="1:18" x14ac:dyDescent="0.3">
      <c r="A461" s="2" t="s">
        <v>479</v>
      </c>
      <c r="B461" s="2" t="s">
        <v>16</v>
      </c>
      <c r="C461" s="2" t="s">
        <v>260</v>
      </c>
      <c r="D461" s="3">
        <v>400.7</v>
      </c>
      <c r="E461" s="3">
        <v>3.43</v>
      </c>
      <c r="F461" s="3">
        <v>321.10000000000002</v>
      </c>
      <c r="G461" s="3">
        <v>378.3</v>
      </c>
      <c r="H461" s="3">
        <v>938.9</v>
      </c>
      <c r="I461" s="4">
        <v>1276.5</v>
      </c>
      <c r="J461" s="4">
        <v>1209.0999999999999</v>
      </c>
      <c r="K461" s="3">
        <v>157.1</v>
      </c>
      <c r="L461" s="3">
        <v>3.92</v>
      </c>
      <c r="M461" s="4">
        <v>420759</v>
      </c>
      <c r="N461" s="4">
        <v>8315</v>
      </c>
      <c r="O461" s="3">
        <v>14.1</v>
      </c>
      <c r="P461" s="3" t="str">
        <f t="shared" si="7"/>
        <v>NORMAL</v>
      </c>
      <c r="Q461" s="3" cm="1">
        <f t="array" aca="1" ref="Q461" ca="1">AVERAGE(OFFSET(tbl_Process[[#This Row],[Temp_Firing_C]], MAX(1-ROW()+ROW(tbl_Process[#Headers]), -23), 0, MIN(ROW()-ROW(tbl_Process[#Headers]), 24), 1))</f>
        <v>1280.1416666666667</v>
      </c>
      <c r="R461" s="3" t="e" cm="1" vm="1">
        <f t="array" aca="1" ref="R461" ca="1">tbl_Process[Temp_Firing_C] - AVERAGE(tbl_Zones[[Target_Temp_Min_C]:[Target_Temp_Max_C]])</f>
        <v>#VALUE!</v>
      </c>
    </row>
    <row r="462" spans="1:18" x14ac:dyDescent="0.3">
      <c r="A462" s="2" t="s">
        <v>480</v>
      </c>
      <c r="B462" s="2" t="s">
        <v>16</v>
      </c>
      <c r="C462" s="2" t="s">
        <v>260</v>
      </c>
      <c r="D462" s="3">
        <v>402.7</v>
      </c>
      <c r="E462" s="3">
        <v>3.45</v>
      </c>
      <c r="F462" s="3">
        <v>314.10000000000002</v>
      </c>
      <c r="G462" s="3">
        <v>384.5</v>
      </c>
      <c r="H462" s="3">
        <v>955.9</v>
      </c>
      <c r="I462" s="4">
        <v>1270.8</v>
      </c>
      <c r="J462" s="4">
        <v>1208.5</v>
      </c>
      <c r="K462" s="3">
        <v>160.4</v>
      </c>
      <c r="L462" s="3">
        <v>3.92</v>
      </c>
      <c r="M462" s="4">
        <v>414613</v>
      </c>
      <c r="N462" s="4">
        <v>8063</v>
      </c>
      <c r="O462" s="3">
        <v>14.7</v>
      </c>
      <c r="P462" s="3" t="str">
        <f t="shared" si="7"/>
        <v>NORMAL</v>
      </c>
      <c r="Q462" s="3" cm="1">
        <f t="array" aca="1" ref="Q462" ca="1">AVERAGE(OFFSET(tbl_Process[[#This Row],[Temp_Firing_C]], MAX(1-ROW()+ROW(tbl_Process[#Headers]), -23), 0, MIN(ROW()-ROW(tbl_Process[#Headers]), 24), 1))</f>
        <v>1279.4458333333334</v>
      </c>
      <c r="R462" s="3" t="e" cm="1" vm="1">
        <f t="array" aca="1" ref="R462" ca="1">tbl_Process[Temp_Firing_C] - AVERAGE(tbl_Zones[[Target_Temp_Min_C]:[Target_Temp_Max_C]])</f>
        <v>#VALUE!</v>
      </c>
    </row>
    <row r="463" spans="1:18" x14ac:dyDescent="0.3">
      <c r="A463" s="2" t="s">
        <v>481</v>
      </c>
      <c r="B463" s="2" t="s">
        <v>16</v>
      </c>
      <c r="C463" s="2" t="s">
        <v>260</v>
      </c>
      <c r="D463" s="3">
        <v>399.8</v>
      </c>
      <c r="E463" s="3">
        <v>3.41</v>
      </c>
      <c r="F463" s="3">
        <v>321.2</v>
      </c>
      <c r="G463" s="3">
        <v>370.7</v>
      </c>
      <c r="H463" s="3">
        <v>947.4</v>
      </c>
      <c r="I463" s="4">
        <v>1264.8</v>
      </c>
      <c r="J463" s="4">
        <v>1203.2</v>
      </c>
      <c r="K463" s="3">
        <v>153.30000000000001</v>
      </c>
      <c r="L463" s="3">
        <v>3.92</v>
      </c>
      <c r="M463" s="4">
        <v>414962</v>
      </c>
      <c r="N463" s="4">
        <v>8150</v>
      </c>
      <c r="O463" s="3">
        <v>14.18</v>
      </c>
      <c r="P463" s="3" t="str">
        <f t="shared" si="7"/>
        <v>NORMAL</v>
      </c>
      <c r="Q463" s="3" cm="1">
        <f t="array" aca="1" ref="Q463" ca="1">AVERAGE(OFFSET(tbl_Process[[#This Row],[Temp_Firing_C]], MAX(1-ROW()+ROW(tbl_Process[#Headers]), -23), 0, MIN(ROW()-ROW(tbl_Process[#Headers]), 24), 1))</f>
        <v>1278.8916666666667</v>
      </c>
      <c r="R463" s="3" t="e" cm="1" vm="1">
        <f t="array" aca="1" ref="R463" ca="1">tbl_Process[Temp_Firing_C] - AVERAGE(tbl_Zones[[Target_Temp_Min_C]:[Target_Temp_Max_C]])</f>
        <v>#VALUE!</v>
      </c>
    </row>
    <row r="464" spans="1:18" x14ac:dyDescent="0.3">
      <c r="A464" s="2" t="s">
        <v>482</v>
      </c>
      <c r="B464" s="2" t="s">
        <v>24</v>
      </c>
      <c r="C464" s="2" t="s">
        <v>260</v>
      </c>
      <c r="D464" s="3">
        <v>399.7</v>
      </c>
      <c r="E464" s="3">
        <v>3.53</v>
      </c>
      <c r="F464" s="3">
        <v>329.4</v>
      </c>
      <c r="G464" s="3">
        <v>385.7</v>
      </c>
      <c r="H464" s="3">
        <v>962.2</v>
      </c>
      <c r="I464" s="4">
        <v>1274.5999999999999</v>
      </c>
      <c r="J464" s="4">
        <v>1213.9000000000001</v>
      </c>
      <c r="K464" s="3">
        <v>158.6</v>
      </c>
      <c r="L464" s="3">
        <v>4</v>
      </c>
      <c r="M464" s="4">
        <v>413213</v>
      </c>
      <c r="N464" s="4">
        <v>8174</v>
      </c>
      <c r="O464" s="3">
        <v>14.5</v>
      </c>
      <c r="P464" s="3" t="str">
        <f t="shared" si="7"/>
        <v>NORMAL</v>
      </c>
      <c r="Q464" s="3" cm="1">
        <f t="array" aca="1" ref="Q464" ca="1">AVERAGE(OFFSET(tbl_Process[[#This Row],[Temp_Firing_C]], MAX(1-ROW()+ROW(tbl_Process[#Headers]), -23), 0, MIN(ROW()-ROW(tbl_Process[#Headers]), 24), 1))</f>
        <v>1278.1583333333333</v>
      </c>
      <c r="R464" s="3" t="e" cm="1" vm="1">
        <f t="array" aca="1" ref="R464" ca="1">tbl_Process[Temp_Firing_C] - AVERAGE(tbl_Zones[[Target_Temp_Min_C]:[Target_Temp_Max_C]])</f>
        <v>#VALUE!</v>
      </c>
    </row>
    <row r="465" spans="1:18" x14ac:dyDescent="0.3">
      <c r="A465" s="2" t="s">
        <v>483</v>
      </c>
      <c r="B465" s="2" t="s">
        <v>24</v>
      </c>
      <c r="C465" s="2" t="s">
        <v>260</v>
      </c>
      <c r="D465" s="3">
        <v>401</v>
      </c>
      <c r="E465" s="3">
        <v>3.44</v>
      </c>
      <c r="F465" s="3">
        <v>315.60000000000002</v>
      </c>
      <c r="G465" s="3">
        <v>369.3</v>
      </c>
      <c r="H465" s="3">
        <v>977.6</v>
      </c>
      <c r="I465" s="4">
        <v>1302.4000000000001</v>
      </c>
      <c r="J465" s="4">
        <v>1240.0999999999999</v>
      </c>
      <c r="K465" s="3">
        <v>152.69999999999999</v>
      </c>
      <c r="L465" s="3">
        <v>3.83</v>
      </c>
      <c r="M465" s="4">
        <v>422214</v>
      </c>
      <c r="N465" s="4">
        <v>8690</v>
      </c>
      <c r="O465" s="3">
        <v>13.74</v>
      </c>
      <c r="P465" s="3" t="str">
        <f t="shared" si="7"/>
        <v>NORMAL</v>
      </c>
      <c r="Q465" s="3" cm="1">
        <f t="array" aca="1" ref="Q465" ca="1">AVERAGE(OFFSET(tbl_Process[[#This Row],[Temp_Firing_C]], MAX(1-ROW()+ROW(tbl_Process[#Headers]), -23), 0, MIN(ROW()-ROW(tbl_Process[#Headers]), 24), 1))</f>
        <v>1278.7</v>
      </c>
      <c r="R465" s="3" t="e" cm="1" vm="1">
        <f t="array" aca="1" ref="R465" ca="1">tbl_Process[Temp_Firing_C] - AVERAGE(tbl_Zones[[Target_Temp_Min_C]:[Target_Temp_Max_C]])</f>
        <v>#VALUE!</v>
      </c>
    </row>
    <row r="466" spans="1:18" x14ac:dyDescent="0.3">
      <c r="A466" s="2" t="s">
        <v>484</v>
      </c>
      <c r="B466" s="2" t="s">
        <v>24</v>
      </c>
      <c r="C466" s="2" t="s">
        <v>260</v>
      </c>
      <c r="D466" s="3">
        <v>399.5</v>
      </c>
      <c r="E466" s="3">
        <v>3.42</v>
      </c>
      <c r="F466" s="3">
        <v>324.10000000000002</v>
      </c>
      <c r="G466" s="3">
        <v>376.1</v>
      </c>
      <c r="H466" s="3">
        <v>939</v>
      </c>
      <c r="I466" s="4">
        <v>1287.0999999999999</v>
      </c>
      <c r="J466" s="4">
        <v>1228.8</v>
      </c>
      <c r="K466" s="3">
        <v>158.9</v>
      </c>
      <c r="L466" s="3">
        <v>3.95</v>
      </c>
      <c r="M466" s="4">
        <v>416017</v>
      </c>
      <c r="N466" s="4">
        <v>8244</v>
      </c>
      <c r="O466" s="3">
        <v>14.66</v>
      </c>
      <c r="P466" s="3" t="str">
        <f t="shared" si="7"/>
        <v>NORMAL</v>
      </c>
      <c r="Q466" s="3" cm="1">
        <f t="array" aca="1" ref="Q466" ca="1">AVERAGE(OFFSET(tbl_Process[[#This Row],[Temp_Firing_C]], MAX(1-ROW()+ROW(tbl_Process[#Headers]), -23), 0, MIN(ROW()-ROW(tbl_Process[#Headers]), 24), 1))</f>
        <v>1278.6999999999998</v>
      </c>
      <c r="R466" s="3" t="e" cm="1" vm="1">
        <f t="array" aca="1" ref="R466" ca="1">tbl_Process[Temp_Firing_C] - AVERAGE(tbl_Zones[[Target_Temp_Min_C]:[Target_Temp_Max_C]])</f>
        <v>#VALUE!</v>
      </c>
    </row>
    <row r="467" spans="1:18" x14ac:dyDescent="0.3">
      <c r="A467" s="2" t="s">
        <v>485</v>
      </c>
      <c r="B467" s="2" t="s">
        <v>24</v>
      </c>
      <c r="C467" s="2" t="s">
        <v>260</v>
      </c>
      <c r="D467" s="3">
        <v>401.5</v>
      </c>
      <c r="E467" s="3">
        <v>3.44</v>
      </c>
      <c r="F467" s="3">
        <v>327.7</v>
      </c>
      <c r="G467" s="3">
        <v>370.9</v>
      </c>
      <c r="H467" s="3">
        <v>950.7</v>
      </c>
      <c r="I467" s="4">
        <v>1282.7</v>
      </c>
      <c r="J467" s="4">
        <v>1214.3</v>
      </c>
      <c r="K467" s="3">
        <v>163</v>
      </c>
      <c r="L467" s="3">
        <v>3.91</v>
      </c>
      <c r="M467" s="4">
        <v>413412</v>
      </c>
      <c r="N467" s="4">
        <v>8300</v>
      </c>
      <c r="O467" s="3">
        <v>14.4</v>
      </c>
      <c r="P467" s="3" t="str">
        <f t="shared" si="7"/>
        <v>NORMAL</v>
      </c>
      <c r="Q467" s="3" cm="1">
        <f t="array" aca="1" ref="Q467" ca="1">AVERAGE(OFFSET(tbl_Process[[#This Row],[Temp_Firing_C]], MAX(1-ROW()+ROW(tbl_Process[#Headers]), -23), 0, MIN(ROW()-ROW(tbl_Process[#Headers]), 24), 1))</f>
        <v>1278.6874999999998</v>
      </c>
      <c r="R467" s="3" t="e" cm="1" vm="1">
        <f t="array" aca="1" ref="R467" ca="1">tbl_Process[Temp_Firing_C] - AVERAGE(tbl_Zones[[Target_Temp_Min_C]:[Target_Temp_Max_C]])</f>
        <v>#VALUE!</v>
      </c>
    </row>
    <row r="468" spans="1:18" x14ac:dyDescent="0.3">
      <c r="A468" s="2" t="s">
        <v>486</v>
      </c>
      <c r="B468" s="2" t="s">
        <v>24</v>
      </c>
      <c r="C468" s="2" t="s">
        <v>260</v>
      </c>
      <c r="D468" s="3">
        <v>403.7</v>
      </c>
      <c r="E468" s="3">
        <v>3.43</v>
      </c>
      <c r="F468" s="3">
        <v>321.10000000000002</v>
      </c>
      <c r="G468" s="3">
        <v>380.1</v>
      </c>
      <c r="H468" s="3">
        <v>954.5</v>
      </c>
      <c r="I468" s="4">
        <v>1274.9000000000001</v>
      </c>
      <c r="J468" s="4">
        <v>1211.5999999999999</v>
      </c>
      <c r="K468" s="3">
        <v>157.30000000000001</v>
      </c>
      <c r="L468" s="3">
        <v>4.1500000000000004</v>
      </c>
      <c r="M468" s="4">
        <v>420180</v>
      </c>
      <c r="N468" s="4">
        <v>8275</v>
      </c>
      <c r="O468" s="3">
        <v>14.47</v>
      </c>
      <c r="P468" s="3" t="str">
        <f t="shared" si="7"/>
        <v>NORMAL</v>
      </c>
      <c r="Q468" s="3" cm="1">
        <f t="array" aca="1" ref="Q468" ca="1">AVERAGE(OFFSET(tbl_Process[[#This Row],[Temp_Firing_C]], MAX(1-ROW()+ROW(tbl_Process[#Headers]), -23), 0, MIN(ROW()-ROW(tbl_Process[#Headers]), 24), 1))</f>
        <v>1278.1416666666667</v>
      </c>
      <c r="R468" s="3" t="e" cm="1" vm="1">
        <f t="array" aca="1" ref="R468" ca="1">tbl_Process[Temp_Firing_C] - AVERAGE(tbl_Zones[[Target_Temp_Min_C]:[Target_Temp_Max_C]])</f>
        <v>#VALUE!</v>
      </c>
    </row>
    <row r="469" spans="1:18" x14ac:dyDescent="0.3">
      <c r="A469" s="2" t="s">
        <v>487</v>
      </c>
      <c r="B469" s="2" t="s">
        <v>24</v>
      </c>
      <c r="C469" s="2" t="s">
        <v>260</v>
      </c>
      <c r="D469" s="3">
        <v>399.6</v>
      </c>
      <c r="E469" s="3">
        <v>3.3</v>
      </c>
      <c r="F469" s="3">
        <v>316.7</v>
      </c>
      <c r="G469" s="3">
        <v>378.1</v>
      </c>
      <c r="H469" s="3">
        <v>958.8</v>
      </c>
      <c r="I469" s="4">
        <v>1283.5</v>
      </c>
      <c r="J469" s="4">
        <v>1224</v>
      </c>
      <c r="K469" s="3">
        <v>155.19999999999999</v>
      </c>
      <c r="L469" s="3">
        <v>3.79</v>
      </c>
      <c r="M469" s="4">
        <v>422108</v>
      </c>
      <c r="N469" s="4">
        <v>8395</v>
      </c>
      <c r="O469" s="3">
        <v>14.19</v>
      </c>
      <c r="P469" s="3" t="str">
        <f t="shared" si="7"/>
        <v>NORMAL</v>
      </c>
      <c r="Q469" s="3" cm="1">
        <f t="array" aca="1" ref="Q469" ca="1">AVERAGE(OFFSET(tbl_Process[[#This Row],[Temp_Firing_C]], MAX(1-ROW()+ROW(tbl_Process[#Headers]), -23), 0, MIN(ROW()-ROW(tbl_Process[#Headers]), 24), 1))</f>
        <v>1278.7458333333334</v>
      </c>
      <c r="R469" s="3" t="e" cm="1" vm="1">
        <f t="array" aca="1" ref="R469" ca="1">tbl_Process[Temp_Firing_C] - AVERAGE(tbl_Zones[[Target_Temp_Min_C]:[Target_Temp_Max_C]])</f>
        <v>#VALUE!</v>
      </c>
    </row>
    <row r="470" spans="1:18" x14ac:dyDescent="0.3">
      <c r="A470" s="2" t="s">
        <v>488</v>
      </c>
      <c r="B470" s="2" t="s">
        <v>24</v>
      </c>
      <c r="C470" s="2" t="s">
        <v>260</v>
      </c>
      <c r="D470" s="3">
        <v>399.6</v>
      </c>
      <c r="E470" s="3">
        <v>3.39</v>
      </c>
      <c r="F470" s="3">
        <v>317.8</v>
      </c>
      <c r="G470" s="3">
        <v>380.2</v>
      </c>
      <c r="H470" s="3">
        <v>985.7</v>
      </c>
      <c r="I470" s="4">
        <v>1280.3</v>
      </c>
      <c r="J470" s="4">
        <v>1219.3</v>
      </c>
      <c r="K470" s="3">
        <v>150</v>
      </c>
      <c r="L470" s="3">
        <v>3.83</v>
      </c>
      <c r="M470" s="4">
        <v>420755</v>
      </c>
      <c r="N470" s="4">
        <v>8312</v>
      </c>
      <c r="O470" s="3">
        <v>13.25</v>
      </c>
      <c r="P470" s="3" t="str">
        <f t="shared" si="7"/>
        <v>NORMAL</v>
      </c>
      <c r="Q470" s="3" cm="1">
        <f t="array" aca="1" ref="Q470" ca="1">AVERAGE(OFFSET(tbl_Process[[#This Row],[Temp_Firing_C]], MAX(1-ROW()+ROW(tbl_Process[#Headers]), -23), 0, MIN(ROW()-ROW(tbl_Process[#Headers]), 24), 1))</f>
        <v>1278.1958333333334</v>
      </c>
      <c r="R470" s="3" t="e" cm="1" vm="1">
        <f t="array" aca="1" ref="R470" ca="1">tbl_Process[Temp_Firing_C] - AVERAGE(tbl_Zones[[Target_Temp_Min_C]:[Target_Temp_Max_C]])</f>
        <v>#VALUE!</v>
      </c>
    </row>
    <row r="471" spans="1:18" x14ac:dyDescent="0.3">
      <c r="A471" s="2" t="s">
        <v>489</v>
      </c>
      <c r="B471" s="2" t="s">
        <v>24</v>
      </c>
      <c r="C471" s="2" t="s">
        <v>260</v>
      </c>
      <c r="D471" s="3">
        <v>402.7</v>
      </c>
      <c r="E471" s="3">
        <v>3.55</v>
      </c>
      <c r="F471" s="3">
        <v>305.3</v>
      </c>
      <c r="G471" s="3">
        <v>387</v>
      </c>
      <c r="H471" s="3">
        <v>921.3</v>
      </c>
      <c r="I471" s="4">
        <v>1285.3</v>
      </c>
      <c r="J471" s="4">
        <v>1220.2</v>
      </c>
      <c r="K471" s="3">
        <v>146.4</v>
      </c>
      <c r="L471" s="3">
        <v>4.0199999999999996</v>
      </c>
      <c r="M471" s="4">
        <v>421382</v>
      </c>
      <c r="N471" s="4">
        <v>8367</v>
      </c>
      <c r="O471" s="3">
        <v>14.45</v>
      </c>
      <c r="P471" s="3" t="str">
        <f t="shared" si="7"/>
        <v>NORMAL</v>
      </c>
      <c r="Q471" s="3" cm="1">
        <f t="array" aca="1" ref="Q471" ca="1">AVERAGE(OFFSET(tbl_Process[[#This Row],[Temp_Firing_C]], MAX(1-ROW()+ROW(tbl_Process[#Headers]), -23), 0, MIN(ROW()-ROW(tbl_Process[#Headers]), 24), 1))</f>
        <v>1278.6875</v>
      </c>
      <c r="R471" s="3" t="e" cm="1" vm="1">
        <f t="array" aca="1" ref="R471" ca="1">tbl_Process[Temp_Firing_C] - AVERAGE(tbl_Zones[[Target_Temp_Min_C]:[Target_Temp_Max_C]])</f>
        <v>#VALUE!</v>
      </c>
    </row>
    <row r="472" spans="1:18" x14ac:dyDescent="0.3">
      <c r="A472" s="2" t="s">
        <v>490</v>
      </c>
      <c r="B472" s="2" t="s">
        <v>33</v>
      </c>
      <c r="C472" s="2" t="s">
        <v>260</v>
      </c>
      <c r="D472" s="3">
        <v>398.4</v>
      </c>
      <c r="E472" s="3">
        <v>3.25</v>
      </c>
      <c r="F472" s="3">
        <v>321.10000000000002</v>
      </c>
      <c r="G472" s="3">
        <v>388.2</v>
      </c>
      <c r="H472" s="3">
        <v>967.5</v>
      </c>
      <c r="I472" s="4">
        <v>1261</v>
      </c>
      <c r="J472" s="4">
        <v>1186.9000000000001</v>
      </c>
      <c r="K472" s="3">
        <v>153.69999999999999</v>
      </c>
      <c r="L472" s="3">
        <v>3.65</v>
      </c>
      <c r="M472" s="4">
        <v>413135</v>
      </c>
      <c r="N472" s="4">
        <v>8079</v>
      </c>
      <c r="O472" s="3">
        <v>14.18</v>
      </c>
      <c r="P472" s="3" t="str">
        <f t="shared" si="7"/>
        <v>NORMAL</v>
      </c>
      <c r="Q472" s="3" cm="1">
        <f t="array" aca="1" ref="Q472" ca="1">AVERAGE(OFFSET(tbl_Process[[#This Row],[Temp_Firing_C]], MAX(1-ROW()+ROW(tbl_Process[#Headers]), -23), 0, MIN(ROW()-ROW(tbl_Process[#Headers]), 24), 1))</f>
        <v>1278.0083333333332</v>
      </c>
      <c r="R472" s="3" t="e" cm="1" vm="1">
        <f t="array" aca="1" ref="R472" ca="1">tbl_Process[Temp_Firing_C] - AVERAGE(tbl_Zones[[Target_Temp_Min_C]:[Target_Temp_Max_C]])</f>
        <v>#VALUE!</v>
      </c>
    </row>
    <row r="473" spans="1:18" x14ac:dyDescent="0.3">
      <c r="A473" s="2" t="s">
        <v>491</v>
      </c>
      <c r="B473" s="2" t="s">
        <v>33</v>
      </c>
      <c r="C473" s="2" t="s">
        <v>260</v>
      </c>
      <c r="D473" s="3">
        <v>403.1</v>
      </c>
      <c r="E473" s="3">
        <v>3.45</v>
      </c>
      <c r="F473" s="3">
        <v>313.39999999999998</v>
      </c>
      <c r="G473" s="3">
        <v>374.4</v>
      </c>
      <c r="H473" s="3">
        <v>930</v>
      </c>
      <c r="I473" s="4">
        <v>1273.5</v>
      </c>
      <c r="J473" s="4">
        <v>1208.5</v>
      </c>
      <c r="K473" s="3">
        <v>158.6</v>
      </c>
      <c r="L473" s="3">
        <v>4</v>
      </c>
      <c r="M473" s="4">
        <v>416085</v>
      </c>
      <c r="N473" s="4">
        <v>8150</v>
      </c>
      <c r="O473" s="3">
        <v>14.55</v>
      </c>
      <c r="P473" s="3" t="str">
        <f t="shared" si="7"/>
        <v>NORMAL</v>
      </c>
      <c r="Q473" s="3" cm="1">
        <f t="array" aca="1" ref="Q473" ca="1">AVERAGE(OFFSET(tbl_Process[[#This Row],[Temp_Firing_C]], MAX(1-ROW()+ROW(tbl_Process[#Headers]), -23), 0, MIN(ROW()-ROW(tbl_Process[#Headers]), 24), 1))</f>
        <v>1277.2791666666665</v>
      </c>
      <c r="R473" s="3" t="e" cm="1" vm="1">
        <f t="array" aca="1" ref="R473" ca="1">tbl_Process[Temp_Firing_C] - AVERAGE(tbl_Zones[[Target_Temp_Min_C]:[Target_Temp_Max_C]])</f>
        <v>#VALUE!</v>
      </c>
    </row>
    <row r="474" spans="1:18" x14ac:dyDescent="0.3">
      <c r="A474" s="2" t="s">
        <v>492</v>
      </c>
      <c r="B474" s="2" t="s">
        <v>33</v>
      </c>
      <c r="C474" s="2" t="s">
        <v>260</v>
      </c>
      <c r="D474" s="3">
        <v>404</v>
      </c>
      <c r="E474" s="3">
        <v>3.39</v>
      </c>
      <c r="F474" s="3">
        <v>318.39999999999998</v>
      </c>
      <c r="G474" s="3">
        <v>374</v>
      </c>
      <c r="H474" s="3">
        <v>945.2</v>
      </c>
      <c r="I474" s="4">
        <v>1279.8</v>
      </c>
      <c r="J474" s="4">
        <v>1211.5</v>
      </c>
      <c r="K474" s="3">
        <v>159.6</v>
      </c>
      <c r="L474" s="3">
        <v>3.95</v>
      </c>
      <c r="M474" s="4">
        <v>415300</v>
      </c>
      <c r="N474" s="4">
        <v>8218</v>
      </c>
      <c r="O474" s="3">
        <v>14.3</v>
      </c>
      <c r="P474" s="3" t="str">
        <f t="shared" si="7"/>
        <v>NORMAL</v>
      </c>
      <c r="Q474" s="3" cm="1">
        <f t="array" aca="1" ref="Q474" ca="1">AVERAGE(OFFSET(tbl_Process[[#This Row],[Temp_Firing_C]], MAX(1-ROW()+ROW(tbl_Process[#Headers]), -23), 0, MIN(ROW()-ROW(tbl_Process[#Headers]), 24), 1))</f>
        <v>1277.6583333333333</v>
      </c>
      <c r="R474" s="3" t="e" cm="1" vm="1">
        <f t="array" aca="1" ref="R474" ca="1">tbl_Process[Temp_Firing_C] - AVERAGE(tbl_Zones[[Target_Temp_Min_C]:[Target_Temp_Max_C]])</f>
        <v>#VALUE!</v>
      </c>
    </row>
    <row r="475" spans="1:18" x14ac:dyDescent="0.3">
      <c r="A475" s="2" t="s">
        <v>493</v>
      </c>
      <c r="B475" s="2" t="s">
        <v>33</v>
      </c>
      <c r="C475" s="2" t="s">
        <v>260</v>
      </c>
      <c r="D475" s="3">
        <v>393.4</v>
      </c>
      <c r="E475" s="3">
        <v>3.43</v>
      </c>
      <c r="F475" s="3">
        <v>317.7</v>
      </c>
      <c r="G475" s="3">
        <v>381.1</v>
      </c>
      <c r="H475" s="3">
        <v>946.3</v>
      </c>
      <c r="I475" s="4">
        <v>1290.4000000000001</v>
      </c>
      <c r="J475" s="4">
        <v>1223.0999999999999</v>
      </c>
      <c r="K475" s="3">
        <v>153.19999999999999</v>
      </c>
      <c r="L475" s="3">
        <v>3.71</v>
      </c>
      <c r="M475" s="4">
        <v>412203</v>
      </c>
      <c r="N475" s="4">
        <v>8569</v>
      </c>
      <c r="O475" s="3">
        <v>14.49</v>
      </c>
      <c r="P475" s="3" t="str">
        <f t="shared" si="7"/>
        <v>NORMAL</v>
      </c>
      <c r="Q475" s="3" cm="1">
        <f t="array" aca="1" ref="Q475" ca="1">AVERAGE(OFFSET(tbl_Process[[#This Row],[Temp_Firing_C]], MAX(1-ROW()+ROW(tbl_Process[#Headers]), -23), 0, MIN(ROW()-ROW(tbl_Process[#Headers]), 24), 1))</f>
        <v>1278.5583333333332</v>
      </c>
      <c r="R475" s="3" t="e" cm="1" vm="1">
        <f t="array" aca="1" ref="R475" ca="1">tbl_Process[Temp_Firing_C] - AVERAGE(tbl_Zones[[Target_Temp_Min_C]:[Target_Temp_Max_C]])</f>
        <v>#VALUE!</v>
      </c>
    </row>
    <row r="476" spans="1:18" x14ac:dyDescent="0.3">
      <c r="A476" s="2" t="s">
        <v>494</v>
      </c>
      <c r="B476" s="2" t="s">
        <v>33</v>
      </c>
      <c r="C476" s="2" t="s">
        <v>260</v>
      </c>
      <c r="D476" s="3">
        <v>402.4</v>
      </c>
      <c r="E476" s="3">
        <v>3.33</v>
      </c>
      <c r="F476" s="3">
        <v>327.2</v>
      </c>
      <c r="G476" s="3">
        <v>372.7</v>
      </c>
      <c r="H476" s="3">
        <v>949.4</v>
      </c>
      <c r="I476" s="4">
        <v>1286.7</v>
      </c>
      <c r="J476" s="4">
        <v>1225.7</v>
      </c>
      <c r="K476" s="3">
        <v>168.6</v>
      </c>
      <c r="L476" s="3">
        <v>3.94</v>
      </c>
      <c r="M476" s="4">
        <v>416216</v>
      </c>
      <c r="N476" s="4">
        <v>8267</v>
      </c>
      <c r="O476" s="3">
        <v>13.92</v>
      </c>
      <c r="P476" s="3" t="str">
        <f t="shared" si="7"/>
        <v>NORMAL</v>
      </c>
      <c r="Q476" s="3" cm="1">
        <f t="array" aca="1" ref="Q476" ca="1">AVERAGE(OFFSET(tbl_Process[[#This Row],[Temp_Firing_C]], MAX(1-ROW()+ROW(tbl_Process[#Headers]), -23), 0, MIN(ROW()-ROW(tbl_Process[#Headers]), 24), 1))</f>
        <v>1278.6499999999999</v>
      </c>
      <c r="R476" s="3" t="e" cm="1" vm="1">
        <f t="array" aca="1" ref="R476" ca="1">tbl_Process[Temp_Firing_C] - AVERAGE(tbl_Zones[[Target_Temp_Min_C]:[Target_Temp_Max_C]])</f>
        <v>#VALUE!</v>
      </c>
    </row>
    <row r="477" spans="1:18" x14ac:dyDescent="0.3">
      <c r="A477" s="2" t="s">
        <v>495</v>
      </c>
      <c r="B477" s="2" t="s">
        <v>33</v>
      </c>
      <c r="C477" s="2" t="s">
        <v>260</v>
      </c>
      <c r="D477" s="3">
        <v>398.9</v>
      </c>
      <c r="E477" s="3">
        <v>3.49</v>
      </c>
      <c r="F477" s="3">
        <v>320</v>
      </c>
      <c r="G477" s="3">
        <v>375.4</v>
      </c>
      <c r="H477" s="3">
        <v>940.9</v>
      </c>
      <c r="I477" s="4">
        <v>1277.3</v>
      </c>
      <c r="J477" s="4">
        <v>1218.4000000000001</v>
      </c>
      <c r="K477" s="3">
        <v>159.80000000000001</v>
      </c>
      <c r="L477" s="3">
        <v>3.93</v>
      </c>
      <c r="M477" s="4">
        <v>413125</v>
      </c>
      <c r="N477" s="4">
        <v>8332</v>
      </c>
      <c r="O477" s="3">
        <v>13.55</v>
      </c>
      <c r="P477" s="3" t="str">
        <f t="shared" si="7"/>
        <v>NORMAL</v>
      </c>
      <c r="Q477" s="3" cm="1">
        <f t="array" aca="1" ref="Q477" ca="1">AVERAGE(OFFSET(tbl_Process[[#This Row],[Temp_Firing_C]], MAX(1-ROW()+ROW(tbl_Process[#Headers]), -23), 0, MIN(ROW()-ROW(tbl_Process[#Headers]), 24), 1))</f>
        <v>1278.4166666666667</v>
      </c>
      <c r="R477" s="3" t="e" cm="1" vm="1">
        <f t="array" aca="1" ref="R477" ca="1">tbl_Process[Temp_Firing_C] - AVERAGE(tbl_Zones[[Target_Temp_Min_C]:[Target_Temp_Max_C]])</f>
        <v>#VALUE!</v>
      </c>
    </row>
    <row r="478" spans="1:18" x14ac:dyDescent="0.3">
      <c r="A478" s="2" t="s">
        <v>496</v>
      </c>
      <c r="B478" s="2" t="s">
        <v>33</v>
      </c>
      <c r="C478" s="2" t="s">
        <v>260</v>
      </c>
      <c r="D478" s="3">
        <v>401.5</v>
      </c>
      <c r="E478" s="3">
        <v>3.61</v>
      </c>
      <c r="F478" s="3">
        <v>307.60000000000002</v>
      </c>
      <c r="G478" s="3">
        <v>373.8</v>
      </c>
      <c r="H478" s="3">
        <v>953.2</v>
      </c>
      <c r="I478" s="4">
        <v>1272.3</v>
      </c>
      <c r="J478" s="4">
        <v>1213.5</v>
      </c>
      <c r="K478" s="3">
        <v>160.1</v>
      </c>
      <c r="L478" s="3">
        <v>3.99</v>
      </c>
      <c r="M478" s="4">
        <v>417804</v>
      </c>
      <c r="N478" s="4">
        <v>8170</v>
      </c>
      <c r="O478" s="3">
        <v>15.26</v>
      </c>
      <c r="P478" s="3" t="str">
        <f t="shared" si="7"/>
        <v>NORMAL</v>
      </c>
      <c r="Q478" s="3" cm="1">
        <f t="array" aca="1" ref="Q478" ca="1">AVERAGE(OFFSET(tbl_Process[[#This Row],[Temp_Firing_C]], MAX(1-ROW()+ROW(tbl_Process[#Headers]), -23), 0, MIN(ROW()-ROW(tbl_Process[#Headers]), 24), 1))</f>
        <v>1277.5166666666667</v>
      </c>
      <c r="R478" s="3" t="e" cm="1" vm="1">
        <f t="array" aca="1" ref="R478" ca="1">tbl_Process[Temp_Firing_C] - AVERAGE(tbl_Zones[[Target_Temp_Min_C]:[Target_Temp_Max_C]])</f>
        <v>#VALUE!</v>
      </c>
    </row>
    <row r="479" spans="1:18" x14ac:dyDescent="0.3">
      <c r="A479" s="2" t="s">
        <v>497</v>
      </c>
      <c r="B479" s="2" t="s">
        <v>33</v>
      </c>
      <c r="C479" s="2" t="s">
        <v>260</v>
      </c>
      <c r="D479" s="3">
        <v>400.6</v>
      </c>
      <c r="E479" s="3">
        <v>3.42</v>
      </c>
      <c r="F479" s="3">
        <v>306.60000000000002</v>
      </c>
      <c r="G479" s="3">
        <v>372.1</v>
      </c>
      <c r="H479" s="3">
        <v>967.6</v>
      </c>
      <c r="I479" s="4">
        <v>1266.0999999999999</v>
      </c>
      <c r="J479" s="4">
        <v>1188.2</v>
      </c>
      <c r="K479" s="3">
        <v>158.1</v>
      </c>
      <c r="L479" s="3">
        <v>4.08</v>
      </c>
      <c r="M479" s="4">
        <v>414046</v>
      </c>
      <c r="N479" s="4">
        <v>8053</v>
      </c>
      <c r="O479" s="3">
        <v>14.09</v>
      </c>
      <c r="P479" s="3" t="str">
        <f t="shared" si="7"/>
        <v>NORMAL</v>
      </c>
      <c r="Q479" s="3" cm="1">
        <f t="array" aca="1" ref="Q479" ca="1">AVERAGE(OFFSET(tbl_Process[[#This Row],[Temp_Firing_C]], MAX(1-ROW()+ROW(tbl_Process[#Headers]), -23), 0, MIN(ROW()-ROW(tbl_Process[#Headers]), 24), 1))</f>
        <v>1277.5416666666665</v>
      </c>
      <c r="R479" s="3" t="e" cm="1" vm="1">
        <f t="array" aca="1" ref="R479" ca="1">tbl_Process[Temp_Firing_C] - AVERAGE(tbl_Zones[[Target_Temp_Min_C]:[Target_Temp_Max_C]])</f>
        <v>#VALUE!</v>
      </c>
    </row>
    <row r="480" spans="1:18" x14ac:dyDescent="0.3">
      <c r="A480" s="2" t="s">
        <v>498</v>
      </c>
      <c r="B480" s="2" t="s">
        <v>16</v>
      </c>
      <c r="C480" s="2" t="s">
        <v>260</v>
      </c>
      <c r="D480" s="3">
        <v>401.8</v>
      </c>
      <c r="E480" s="3">
        <v>3.45</v>
      </c>
      <c r="F480" s="3">
        <v>306.60000000000002</v>
      </c>
      <c r="G480" s="3">
        <v>384.3</v>
      </c>
      <c r="H480" s="3">
        <v>963.7</v>
      </c>
      <c r="I480" s="4">
        <v>1286.8</v>
      </c>
      <c r="J480" s="4">
        <v>1225.3</v>
      </c>
      <c r="K480" s="3">
        <v>161.4</v>
      </c>
      <c r="L480" s="3">
        <v>4</v>
      </c>
      <c r="M480" s="4">
        <v>420664</v>
      </c>
      <c r="N480" s="4">
        <v>8123</v>
      </c>
      <c r="O480" s="3">
        <v>14.13</v>
      </c>
      <c r="P480" s="3" t="str">
        <f t="shared" si="7"/>
        <v>NORMAL</v>
      </c>
      <c r="Q480" s="3" cm="1">
        <f t="array" aca="1" ref="Q480" ca="1">AVERAGE(OFFSET(tbl_Process[[#This Row],[Temp_Firing_C]], MAX(1-ROW()+ROW(tbl_Process[#Headers]), -23), 0, MIN(ROW()-ROW(tbl_Process[#Headers]), 24), 1))</f>
        <v>1278.3</v>
      </c>
      <c r="R480" s="3" t="e" cm="1" vm="1">
        <f t="array" aca="1" ref="R480" ca="1">tbl_Process[Temp_Firing_C] - AVERAGE(tbl_Zones[[Target_Temp_Min_C]:[Target_Temp_Max_C]])</f>
        <v>#VALUE!</v>
      </c>
    </row>
    <row r="481" spans="1:18" x14ac:dyDescent="0.3">
      <c r="A481" s="2" t="s">
        <v>499</v>
      </c>
      <c r="B481" s="2" t="s">
        <v>16</v>
      </c>
      <c r="C481" s="2" t="s">
        <v>260</v>
      </c>
      <c r="D481" s="3">
        <v>397.1</v>
      </c>
      <c r="E481" s="3">
        <v>3.39</v>
      </c>
      <c r="F481" s="3">
        <v>320</v>
      </c>
      <c r="G481" s="3">
        <v>379.2</v>
      </c>
      <c r="H481" s="3">
        <v>968.8</v>
      </c>
      <c r="I481" s="4">
        <v>1288</v>
      </c>
      <c r="J481" s="4">
        <v>1217.8</v>
      </c>
      <c r="K481" s="3">
        <v>159.6</v>
      </c>
      <c r="L481" s="3">
        <v>3.76</v>
      </c>
      <c r="M481" s="4">
        <v>417181</v>
      </c>
      <c r="N481" s="4">
        <v>8395</v>
      </c>
      <c r="O481" s="3">
        <v>13.43</v>
      </c>
      <c r="P481" s="3" t="str">
        <f t="shared" si="7"/>
        <v>NORMAL</v>
      </c>
      <c r="Q481" s="3" cm="1">
        <f t="array" aca="1" ref="Q481" ca="1">AVERAGE(OFFSET(tbl_Process[[#This Row],[Temp_Firing_C]], MAX(1-ROW()+ROW(tbl_Process[#Headers]), -23), 0, MIN(ROW()-ROW(tbl_Process[#Headers]), 24), 1))</f>
        <v>1278.5625</v>
      </c>
      <c r="R481" s="3" t="e" cm="1" vm="1">
        <f t="array" aca="1" ref="R481" ca="1">tbl_Process[Temp_Firing_C] - AVERAGE(tbl_Zones[[Target_Temp_Min_C]:[Target_Temp_Max_C]])</f>
        <v>#VALUE!</v>
      </c>
    </row>
    <row r="482" spans="1:18" x14ac:dyDescent="0.3">
      <c r="A482" s="2" t="s">
        <v>500</v>
      </c>
      <c r="B482" s="2" t="s">
        <v>16</v>
      </c>
      <c r="C482" s="2" t="s">
        <v>501</v>
      </c>
      <c r="D482" s="3">
        <v>439.6</v>
      </c>
      <c r="E482" s="3">
        <v>3.15</v>
      </c>
      <c r="F482" s="3">
        <v>314.5</v>
      </c>
      <c r="G482" s="3">
        <v>391</v>
      </c>
      <c r="H482" s="3">
        <v>952.1</v>
      </c>
      <c r="I482" s="4">
        <v>1316.1</v>
      </c>
      <c r="J482" s="4">
        <v>1248.2</v>
      </c>
      <c r="K482" s="3">
        <v>167</v>
      </c>
      <c r="L482" s="3">
        <v>4.3</v>
      </c>
      <c r="M482" s="4">
        <v>423421</v>
      </c>
      <c r="N482" s="4">
        <v>8838</v>
      </c>
      <c r="O482" s="3">
        <v>14.08</v>
      </c>
      <c r="P482" s="3" t="str">
        <f t="shared" si="7"/>
        <v>NORMAL</v>
      </c>
      <c r="Q482" s="3" cm="1">
        <f t="array" aca="1" ref="Q482" ca="1">AVERAGE(OFFSET(tbl_Process[[#This Row],[Temp_Firing_C]], MAX(1-ROW()+ROW(tbl_Process[#Headers]), -23), 0, MIN(ROW()-ROW(tbl_Process[#Headers]), 24), 1))</f>
        <v>1279.9083333333331</v>
      </c>
      <c r="R482" s="3" t="e" cm="1" vm="1">
        <f t="array" aca="1" ref="R482" ca="1">tbl_Process[Temp_Firing_C] - AVERAGE(tbl_Zones[[Target_Temp_Min_C]:[Target_Temp_Max_C]])</f>
        <v>#VALUE!</v>
      </c>
    </row>
    <row r="483" spans="1:18" x14ac:dyDescent="0.3">
      <c r="A483" s="2" t="s">
        <v>502</v>
      </c>
      <c r="B483" s="2" t="s">
        <v>16</v>
      </c>
      <c r="C483" s="2" t="s">
        <v>501</v>
      </c>
      <c r="D483" s="3">
        <v>429.8</v>
      </c>
      <c r="E483" s="3">
        <v>3.19</v>
      </c>
      <c r="F483" s="3">
        <v>333.8</v>
      </c>
      <c r="G483" s="3">
        <v>380.3</v>
      </c>
      <c r="H483" s="3">
        <v>958.5</v>
      </c>
      <c r="I483" s="4">
        <v>1317.5</v>
      </c>
      <c r="J483" s="4">
        <v>1260.4000000000001</v>
      </c>
      <c r="K483" s="3">
        <v>156.1</v>
      </c>
      <c r="L483" s="3">
        <v>4.17</v>
      </c>
      <c r="M483" s="4">
        <v>417769</v>
      </c>
      <c r="N483" s="4">
        <v>8568</v>
      </c>
      <c r="O483" s="3">
        <v>14.02</v>
      </c>
      <c r="P483" s="3" t="str">
        <f t="shared" si="7"/>
        <v>NORMAL</v>
      </c>
      <c r="Q483" s="3" cm="1">
        <f t="array" aca="1" ref="Q483" ca="1">AVERAGE(OFFSET(tbl_Process[[#This Row],[Temp_Firing_C]], MAX(1-ROW()+ROW(tbl_Process[#Headers]), -23), 0, MIN(ROW()-ROW(tbl_Process[#Headers]), 24), 1))</f>
        <v>1281.7208333333331</v>
      </c>
      <c r="R483" s="3" t="e" cm="1" vm="1">
        <f t="array" aca="1" ref="R483" ca="1">tbl_Process[Temp_Firing_C] - AVERAGE(tbl_Zones[[Target_Temp_Min_C]:[Target_Temp_Max_C]])</f>
        <v>#VALUE!</v>
      </c>
    </row>
    <row r="484" spans="1:18" x14ac:dyDescent="0.3">
      <c r="A484" s="2" t="s">
        <v>503</v>
      </c>
      <c r="B484" s="2" t="s">
        <v>16</v>
      </c>
      <c r="C484" s="2" t="s">
        <v>501</v>
      </c>
      <c r="D484" s="3">
        <v>429.8</v>
      </c>
      <c r="E484" s="3">
        <v>3.24</v>
      </c>
      <c r="F484" s="3">
        <v>322.2</v>
      </c>
      <c r="G484" s="3">
        <v>372.3</v>
      </c>
      <c r="H484" s="3">
        <v>949.2</v>
      </c>
      <c r="I484" s="4">
        <v>1328.3</v>
      </c>
      <c r="J484" s="4">
        <v>1270.0999999999999</v>
      </c>
      <c r="K484" s="3">
        <v>159.5</v>
      </c>
      <c r="L484" s="3">
        <v>4.16</v>
      </c>
      <c r="M484" s="4">
        <v>429031</v>
      </c>
      <c r="N484" s="4">
        <v>8720</v>
      </c>
      <c r="O484" s="3">
        <v>14.12</v>
      </c>
      <c r="P484" s="3" t="str">
        <f t="shared" si="7"/>
        <v>NORMAL</v>
      </c>
      <c r="Q484" s="3" cm="1">
        <f t="array" aca="1" ref="Q484" ca="1">AVERAGE(OFFSET(tbl_Process[[#This Row],[Temp_Firing_C]], MAX(1-ROW()+ROW(tbl_Process[#Headers]), -23), 0, MIN(ROW()-ROW(tbl_Process[#Headers]), 24), 1))</f>
        <v>1284.4458333333332</v>
      </c>
      <c r="R484" s="3" t="e" cm="1" vm="1">
        <f t="array" aca="1" ref="R484" ca="1">tbl_Process[Temp_Firing_C] - AVERAGE(tbl_Zones[[Target_Temp_Min_C]:[Target_Temp_Max_C]])</f>
        <v>#VALUE!</v>
      </c>
    </row>
    <row r="485" spans="1:18" x14ac:dyDescent="0.3">
      <c r="A485" s="2" t="s">
        <v>504</v>
      </c>
      <c r="B485" s="2" t="s">
        <v>16</v>
      </c>
      <c r="C485" s="2" t="s">
        <v>501</v>
      </c>
      <c r="D485" s="3">
        <v>439.1</v>
      </c>
      <c r="E485" s="3">
        <v>3.12</v>
      </c>
      <c r="F485" s="3">
        <v>314.7</v>
      </c>
      <c r="G485" s="3">
        <v>382</v>
      </c>
      <c r="H485" s="3">
        <v>953.1</v>
      </c>
      <c r="I485" s="4">
        <v>1307.2</v>
      </c>
      <c r="J485" s="4">
        <v>1246.4000000000001</v>
      </c>
      <c r="K485" s="3">
        <v>165.2</v>
      </c>
      <c r="L485" s="3">
        <v>4.26</v>
      </c>
      <c r="M485" s="4">
        <v>419976</v>
      </c>
      <c r="N485" s="4">
        <v>8471</v>
      </c>
      <c r="O485" s="3">
        <v>14.19</v>
      </c>
      <c r="P485" s="3" t="str">
        <f t="shared" si="7"/>
        <v>NORMAL</v>
      </c>
      <c r="Q485" s="3" cm="1">
        <f t="array" aca="1" ref="Q485" ca="1">AVERAGE(OFFSET(tbl_Process[[#This Row],[Temp_Firing_C]], MAX(1-ROW()+ROW(tbl_Process[#Headers]), -23), 0, MIN(ROW()-ROW(tbl_Process[#Headers]), 24), 1))</f>
        <v>1285.7249999999999</v>
      </c>
      <c r="R485" s="3" t="e" cm="1" vm="1">
        <f t="array" aca="1" ref="R485" ca="1">tbl_Process[Temp_Firing_C] - AVERAGE(tbl_Zones[[Target_Temp_Min_C]:[Target_Temp_Max_C]])</f>
        <v>#VALUE!</v>
      </c>
    </row>
    <row r="486" spans="1:18" x14ac:dyDescent="0.3">
      <c r="A486" s="2" t="s">
        <v>505</v>
      </c>
      <c r="B486" s="2" t="s">
        <v>16</v>
      </c>
      <c r="C486" s="2" t="s">
        <v>501</v>
      </c>
      <c r="D486" s="3">
        <v>427.8</v>
      </c>
      <c r="E486" s="3">
        <v>3.02</v>
      </c>
      <c r="F486" s="3">
        <v>331</v>
      </c>
      <c r="G486" s="3">
        <v>382.8</v>
      </c>
      <c r="H486" s="3">
        <v>966.2</v>
      </c>
      <c r="I486" s="4">
        <v>1326.2</v>
      </c>
      <c r="J486" s="4">
        <v>1265.8</v>
      </c>
      <c r="K486" s="3">
        <v>157.69999999999999</v>
      </c>
      <c r="L486" s="3">
        <v>4.17</v>
      </c>
      <c r="M486" s="4">
        <v>423774</v>
      </c>
      <c r="N486" s="4">
        <v>8867</v>
      </c>
      <c r="O486" s="3">
        <v>13.99</v>
      </c>
      <c r="P486" s="3" t="str">
        <f t="shared" si="7"/>
        <v>NORMAL</v>
      </c>
      <c r="Q486" s="3" cm="1">
        <f t="array" aca="1" ref="Q486" ca="1">AVERAGE(OFFSET(tbl_Process[[#This Row],[Temp_Firing_C]], MAX(1-ROW()+ROW(tbl_Process[#Headers]), -23), 0, MIN(ROW()-ROW(tbl_Process[#Headers]), 24), 1))</f>
        <v>1288.0333333333331</v>
      </c>
      <c r="R486" s="3" t="e" cm="1" vm="1">
        <f t="array" aca="1" ref="R486" ca="1">tbl_Process[Temp_Firing_C] - AVERAGE(tbl_Zones[[Target_Temp_Min_C]:[Target_Temp_Max_C]])</f>
        <v>#VALUE!</v>
      </c>
    </row>
    <row r="487" spans="1:18" x14ac:dyDescent="0.3">
      <c r="A487" s="2" t="s">
        <v>506</v>
      </c>
      <c r="B487" s="2" t="s">
        <v>16</v>
      </c>
      <c r="C487" s="2" t="s">
        <v>501</v>
      </c>
      <c r="D487" s="3">
        <v>428.5</v>
      </c>
      <c r="E487" s="3">
        <v>2.99</v>
      </c>
      <c r="F487" s="3">
        <v>320.8</v>
      </c>
      <c r="G487" s="3">
        <v>378.4</v>
      </c>
      <c r="H487" s="3">
        <v>937.1</v>
      </c>
      <c r="I487" s="4">
        <v>1323.8</v>
      </c>
      <c r="J487" s="4">
        <v>1264.5999999999999</v>
      </c>
      <c r="K487" s="3">
        <v>172.6</v>
      </c>
      <c r="L487" s="3">
        <v>4.09</v>
      </c>
      <c r="M487" s="4">
        <v>422399</v>
      </c>
      <c r="N487" s="4">
        <v>8652</v>
      </c>
      <c r="O487" s="3">
        <v>14.13</v>
      </c>
      <c r="P487" s="3" t="str">
        <f t="shared" si="7"/>
        <v>NORMAL</v>
      </c>
      <c r="Q487" s="3" cm="1">
        <f t="array" aca="1" ref="Q487" ca="1">AVERAGE(OFFSET(tbl_Process[[#This Row],[Temp_Firing_C]], MAX(1-ROW()+ROW(tbl_Process[#Headers]), -23), 0, MIN(ROW()-ROW(tbl_Process[#Headers]), 24), 1))</f>
        <v>1290.4916666666663</v>
      </c>
      <c r="R487" s="3" t="e" cm="1" vm="1">
        <f t="array" aca="1" ref="R487" ca="1">tbl_Process[Temp_Firing_C] - AVERAGE(tbl_Zones[[Target_Temp_Min_C]:[Target_Temp_Max_C]])</f>
        <v>#VALUE!</v>
      </c>
    </row>
    <row r="488" spans="1:18" x14ac:dyDescent="0.3">
      <c r="A488" s="2" t="s">
        <v>507</v>
      </c>
      <c r="B488" s="2" t="s">
        <v>24</v>
      </c>
      <c r="C488" s="2" t="s">
        <v>501</v>
      </c>
      <c r="D488" s="3">
        <v>430.8</v>
      </c>
      <c r="E488" s="3">
        <v>3.04</v>
      </c>
      <c r="F488" s="3">
        <v>319</v>
      </c>
      <c r="G488" s="3">
        <v>366.2</v>
      </c>
      <c r="H488" s="3">
        <v>971.1</v>
      </c>
      <c r="I488" s="4">
        <v>1313.8</v>
      </c>
      <c r="J488" s="4">
        <v>1248.5999999999999</v>
      </c>
      <c r="K488" s="3">
        <v>152.9</v>
      </c>
      <c r="L488" s="3">
        <v>4.1100000000000003</v>
      </c>
      <c r="M488" s="4">
        <v>421505</v>
      </c>
      <c r="N488" s="4">
        <v>8664</v>
      </c>
      <c r="O488" s="3">
        <v>14.19</v>
      </c>
      <c r="P488" s="3" t="str">
        <f t="shared" si="7"/>
        <v>NORMAL</v>
      </c>
      <c r="Q488" s="3" cm="1">
        <f t="array" aca="1" ref="Q488" ca="1">AVERAGE(OFFSET(tbl_Process[[#This Row],[Temp_Firing_C]], MAX(1-ROW()+ROW(tbl_Process[#Headers]), -23), 0, MIN(ROW()-ROW(tbl_Process[#Headers]), 24), 1))</f>
        <v>1292.1249999999998</v>
      </c>
      <c r="R488" s="3" t="e" cm="1" vm="1">
        <f t="array" aca="1" ref="R488" ca="1">tbl_Process[Temp_Firing_C] - AVERAGE(tbl_Zones[[Target_Temp_Min_C]:[Target_Temp_Max_C]])</f>
        <v>#VALUE!</v>
      </c>
    </row>
    <row r="489" spans="1:18" x14ac:dyDescent="0.3">
      <c r="A489" s="2" t="s">
        <v>508</v>
      </c>
      <c r="B489" s="2" t="s">
        <v>24</v>
      </c>
      <c r="C489" s="2" t="s">
        <v>501</v>
      </c>
      <c r="D489" s="3">
        <v>435.8</v>
      </c>
      <c r="E489" s="3">
        <v>3.16</v>
      </c>
      <c r="F489" s="3">
        <v>325.8</v>
      </c>
      <c r="G489" s="3">
        <v>390.2</v>
      </c>
      <c r="H489" s="3">
        <v>966.9</v>
      </c>
      <c r="I489" s="4">
        <v>1319.8</v>
      </c>
      <c r="J489" s="4">
        <v>1260.9000000000001</v>
      </c>
      <c r="K489" s="3">
        <v>165.4</v>
      </c>
      <c r="L489" s="3">
        <v>4.3499999999999996</v>
      </c>
      <c r="M489" s="4">
        <v>418473</v>
      </c>
      <c r="N489" s="4">
        <v>8637</v>
      </c>
      <c r="O489" s="3">
        <v>14.02</v>
      </c>
      <c r="P489" s="3" t="str">
        <f t="shared" si="7"/>
        <v>NORMAL</v>
      </c>
      <c r="Q489" s="3" cm="1">
        <f t="array" aca="1" ref="Q489" ca="1">AVERAGE(OFFSET(tbl_Process[[#This Row],[Temp_Firing_C]], MAX(1-ROW()+ROW(tbl_Process[#Headers]), -23), 0, MIN(ROW()-ROW(tbl_Process[#Headers]), 24), 1))</f>
        <v>1292.8499999999997</v>
      </c>
      <c r="R489" s="3" t="e" cm="1" vm="1">
        <f t="array" aca="1" ref="R489" ca="1">tbl_Process[Temp_Firing_C] - AVERAGE(tbl_Zones[[Target_Temp_Min_C]:[Target_Temp_Max_C]])</f>
        <v>#VALUE!</v>
      </c>
    </row>
    <row r="490" spans="1:18" x14ac:dyDescent="0.3">
      <c r="A490" s="2" t="s">
        <v>509</v>
      </c>
      <c r="B490" s="2" t="s">
        <v>24</v>
      </c>
      <c r="C490" s="2" t="s">
        <v>501</v>
      </c>
      <c r="D490" s="3">
        <v>433.1</v>
      </c>
      <c r="E490" s="3">
        <v>3.1</v>
      </c>
      <c r="F490" s="3">
        <v>326.8</v>
      </c>
      <c r="G490" s="3">
        <v>389.1</v>
      </c>
      <c r="H490" s="3">
        <v>974.3</v>
      </c>
      <c r="I490" s="4">
        <v>1329.5</v>
      </c>
      <c r="J490" s="4">
        <v>1258.3</v>
      </c>
      <c r="K490" s="3">
        <v>162.4</v>
      </c>
      <c r="L490" s="3">
        <v>4.1500000000000004</v>
      </c>
      <c r="M490" s="4">
        <v>419538</v>
      </c>
      <c r="N490" s="4">
        <v>8820</v>
      </c>
      <c r="O490" s="3">
        <v>14.28</v>
      </c>
      <c r="P490" s="3" t="str">
        <f t="shared" si="7"/>
        <v>NORMAL</v>
      </c>
      <c r="Q490" s="3" cm="1">
        <f t="array" aca="1" ref="Q490" ca="1">AVERAGE(OFFSET(tbl_Process[[#This Row],[Temp_Firing_C]], MAX(1-ROW()+ROW(tbl_Process[#Headers]), -23), 0, MIN(ROW()-ROW(tbl_Process[#Headers]), 24), 1))</f>
        <v>1294.6166666666666</v>
      </c>
      <c r="R490" s="3" t="e" cm="1" vm="1">
        <f t="array" aca="1" ref="R490" ca="1">tbl_Process[Temp_Firing_C] - AVERAGE(tbl_Zones[[Target_Temp_Min_C]:[Target_Temp_Max_C]])</f>
        <v>#VALUE!</v>
      </c>
    </row>
    <row r="491" spans="1:18" x14ac:dyDescent="0.3">
      <c r="A491" s="2" t="s">
        <v>510</v>
      </c>
      <c r="B491" s="2" t="s">
        <v>24</v>
      </c>
      <c r="C491" s="2" t="s">
        <v>501</v>
      </c>
      <c r="D491" s="3">
        <v>431.8</v>
      </c>
      <c r="E491" s="3">
        <v>3.26</v>
      </c>
      <c r="F491" s="3">
        <v>320.8</v>
      </c>
      <c r="G491" s="3">
        <v>396.8</v>
      </c>
      <c r="H491" s="3">
        <v>961.7</v>
      </c>
      <c r="I491" s="4">
        <v>1319.6</v>
      </c>
      <c r="J491" s="4">
        <v>1246.9000000000001</v>
      </c>
      <c r="K491" s="3">
        <v>165.4</v>
      </c>
      <c r="L491" s="3">
        <v>4.1900000000000004</v>
      </c>
      <c r="M491" s="4">
        <v>421263</v>
      </c>
      <c r="N491" s="4">
        <v>8889</v>
      </c>
      <c r="O491" s="3">
        <v>14.18</v>
      </c>
      <c r="P491" s="3" t="str">
        <f t="shared" si="7"/>
        <v>NORMAL</v>
      </c>
      <c r="Q491" s="3" cm="1">
        <f t="array" aca="1" ref="Q491" ca="1">AVERAGE(OFFSET(tbl_Process[[#This Row],[Temp_Firing_C]], MAX(1-ROW()+ROW(tbl_Process[#Headers]), -23), 0, MIN(ROW()-ROW(tbl_Process[#Headers]), 24), 1))</f>
        <v>1296.1541666666665</v>
      </c>
      <c r="R491" s="3" t="e" cm="1" vm="1">
        <f t="array" aca="1" ref="R491" ca="1">tbl_Process[Temp_Firing_C] - AVERAGE(tbl_Zones[[Target_Temp_Min_C]:[Target_Temp_Max_C]])</f>
        <v>#VALUE!</v>
      </c>
    </row>
    <row r="492" spans="1:18" x14ac:dyDescent="0.3">
      <c r="A492" s="2" t="s">
        <v>511</v>
      </c>
      <c r="B492" s="2" t="s">
        <v>24</v>
      </c>
      <c r="C492" s="2" t="s">
        <v>501</v>
      </c>
      <c r="D492" s="3">
        <v>434.5</v>
      </c>
      <c r="E492" s="3">
        <v>3.07</v>
      </c>
      <c r="F492" s="3">
        <v>319.2</v>
      </c>
      <c r="G492" s="3">
        <v>379</v>
      </c>
      <c r="H492" s="3">
        <v>968.5</v>
      </c>
      <c r="I492" s="4">
        <v>1331.2</v>
      </c>
      <c r="J492" s="4">
        <v>1268.4000000000001</v>
      </c>
      <c r="K492" s="3">
        <v>169.6</v>
      </c>
      <c r="L492" s="3">
        <v>4.34</v>
      </c>
      <c r="M492" s="4">
        <v>424794</v>
      </c>
      <c r="N492" s="4">
        <v>8974</v>
      </c>
      <c r="O492" s="3">
        <v>14.25</v>
      </c>
      <c r="P492" s="3" t="str">
        <f t="shared" si="7"/>
        <v>WARNING</v>
      </c>
      <c r="Q492" s="3" cm="1">
        <f t="array" aca="1" ref="Q492" ca="1">AVERAGE(OFFSET(tbl_Process[[#This Row],[Temp_Firing_C]], MAX(1-ROW()+ROW(tbl_Process[#Headers]), -23), 0, MIN(ROW()-ROW(tbl_Process[#Headers]), 24), 1))</f>
        <v>1298.4999999999998</v>
      </c>
      <c r="R492" s="3" t="e" cm="1" vm="1">
        <f t="array" aca="1" ref="R492" ca="1">tbl_Process[Temp_Firing_C] - AVERAGE(tbl_Zones[[Target_Temp_Min_C]:[Target_Temp_Max_C]])</f>
        <v>#VALUE!</v>
      </c>
    </row>
    <row r="493" spans="1:18" x14ac:dyDescent="0.3">
      <c r="A493" s="2" t="s">
        <v>512</v>
      </c>
      <c r="B493" s="2" t="s">
        <v>24</v>
      </c>
      <c r="C493" s="2" t="s">
        <v>501</v>
      </c>
      <c r="D493" s="3">
        <v>438</v>
      </c>
      <c r="E493" s="3">
        <v>3.19</v>
      </c>
      <c r="F493" s="3">
        <v>319.39999999999998</v>
      </c>
      <c r="G493" s="3">
        <v>377.5</v>
      </c>
      <c r="H493" s="3">
        <v>965.4</v>
      </c>
      <c r="I493" s="4">
        <v>1331.4</v>
      </c>
      <c r="J493" s="4">
        <v>1269</v>
      </c>
      <c r="K493" s="3">
        <v>161.80000000000001</v>
      </c>
      <c r="L493" s="3">
        <v>4.3099999999999996</v>
      </c>
      <c r="M493" s="4">
        <v>424504</v>
      </c>
      <c r="N493" s="4">
        <v>8857</v>
      </c>
      <c r="O493" s="3">
        <v>13.95</v>
      </c>
      <c r="P493" s="3" t="str">
        <f t="shared" si="7"/>
        <v>WARNING</v>
      </c>
      <c r="Q493" s="3" cm="1">
        <f t="array" aca="1" ref="Q493" ca="1">AVERAGE(OFFSET(tbl_Process[[#This Row],[Temp_Firing_C]], MAX(1-ROW()+ROW(tbl_Process[#Headers]), -23), 0, MIN(ROW()-ROW(tbl_Process[#Headers]), 24), 1))</f>
        <v>1300.4958333333332</v>
      </c>
      <c r="R493" s="3" t="e" cm="1" vm="1">
        <f t="array" aca="1" ref="R493" ca="1">tbl_Process[Temp_Firing_C] - AVERAGE(tbl_Zones[[Target_Temp_Min_C]:[Target_Temp_Max_C]])</f>
        <v>#VALUE!</v>
      </c>
    </row>
    <row r="494" spans="1:18" x14ac:dyDescent="0.3">
      <c r="A494" s="2" t="s">
        <v>513</v>
      </c>
      <c r="B494" s="2" t="s">
        <v>24</v>
      </c>
      <c r="C494" s="2" t="s">
        <v>501</v>
      </c>
      <c r="D494" s="3">
        <v>436.9</v>
      </c>
      <c r="E494" s="3">
        <v>3.08</v>
      </c>
      <c r="F494" s="3">
        <v>319.3</v>
      </c>
      <c r="G494" s="3">
        <v>372.6</v>
      </c>
      <c r="H494" s="3">
        <v>966.5</v>
      </c>
      <c r="I494" s="4">
        <v>1328.2</v>
      </c>
      <c r="J494" s="4">
        <v>1272.9000000000001</v>
      </c>
      <c r="K494" s="3">
        <v>160.30000000000001</v>
      </c>
      <c r="L494" s="3">
        <v>4.33</v>
      </c>
      <c r="M494" s="4">
        <v>424539</v>
      </c>
      <c r="N494" s="4">
        <v>8902</v>
      </c>
      <c r="O494" s="3">
        <v>13.96</v>
      </c>
      <c r="P494" s="3" t="str">
        <f t="shared" si="7"/>
        <v>NORMAL</v>
      </c>
      <c r="Q494" s="3" cm="1">
        <f t="array" aca="1" ref="Q494" ca="1">AVERAGE(OFFSET(tbl_Process[[#This Row],[Temp_Firing_C]], MAX(1-ROW()+ROW(tbl_Process[#Headers]), -23), 0, MIN(ROW()-ROW(tbl_Process[#Headers]), 24), 1))</f>
        <v>1302.4916666666666</v>
      </c>
      <c r="R494" s="3" t="e" cm="1" vm="1">
        <f t="array" aca="1" ref="R494" ca="1">tbl_Process[Temp_Firing_C] - AVERAGE(tbl_Zones[[Target_Temp_Min_C]:[Target_Temp_Max_C]])</f>
        <v>#VALUE!</v>
      </c>
    </row>
    <row r="495" spans="1:18" x14ac:dyDescent="0.3">
      <c r="A495" s="2" t="s">
        <v>514</v>
      </c>
      <c r="B495" s="2" t="s">
        <v>24</v>
      </c>
      <c r="C495" s="2" t="s">
        <v>501</v>
      </c>
      <c r="D495" s="3">
        <v>430.2</v>
      </c>
      <c r="E495" s="3">
        <v>3.11</v>
      </c>
      <c r="F495" s="3">
        <v>321.39999999999998</v>
      </c>
      <c r="G495" s="3">
        <v>376.1</v>
      </c>
      <c r="H495" s="3">
        <v>954.4</v>
      </c>
      <c r="I495" s="4">
        <v>1330.1</v>
      </c>
      <c r="J495" s="4">
        <v>1281.4000000000001</v>
      </c>
      <c r="K495" s="3">
        <v>153.1</v>
      </c>
      <c r="L495" s="3">
        <v>4.04</v>
      </c>
      <c r="M495" s="4">
        <v>422068</v>
      </c>
      <c r="N495" s="4">
        <v>8849</v>
      </c>
      <c r="O495" s="3">
        <v>14.14</v>
      </c>
      <c r="P495" s="3" t="str">
        <f t="shared" si="7"/>
        <v>WARNING</v>
      </c>
      <c r="Q495" s="3" cm="1">
        <f t="array" aca="1" ref="Q495" ca="1">AVERAGE(OFFSET(tbl_Process[[#This Row],[Temp_Firing_C]], MAX(1-ROW()+ROW(tbl_Process[#Headers]), -23), 0, MIN(ROW()-ROW(tbl_Process[#Headers]), 24), 1))</f>
        <v>1304.3583333333333</v>
      </c>
      <c r="R495" s="3" t="e" cm="1" vm="1">
        <f t="array" aca="1" ref="R495" ca="1">tbl_Process[Temp_Firing_C] - AVERAGE(tbl_Zones[[Target_Temp_Min_C]:[Target_Temp_Max_C]])</f>
        <v>#VALUE!</v>
      </c>
    </row>
    <row r="496" spans="1:18" x14ac:dyDescent="0.3">
      <c r="A496" s="2" t="s">
        <v>515</v>
      </c>
      <c r="B496" s="2" t="s">
        <v>33</v>
      </c>
      <c r="C496" s="2" t="s">
        <v>501</v>
      </c>
      <c r="D496" s="3">
        <v>432.4</v>
      </c>
      <c r="E496" s="3">
        <v>3.11</v>
      </c>
      <c r="F496" s="3">
        <v>321.5</v>
      </c>
      <c r="G496" s="3">
        <v>373</v>
      </c>
      <c r="H496" s="3">
        <v>953.8</v>
      </c>
      <c r="I496" s="4">
        <v>1315.5</v>
      </c>
      <c r="J496" s="4">
        <v>1241</v>
      </c>
      <c r="K496" s="3">
        <v>153.1</v>
      </c>
      <c r="L496" s="3">
        <v>4.08</v>
      </c>
      <c r="M496" s="4">
        <v>425464</v>
      </c>
      <c r="N496" s="4">
        <v>8715</v>
      </c>
      <c r="O496" s="3">
        <v>14.18</v>
      </c>
      <c r="P496" s="3" t="str">
        <f t="shared" si="7"/>
        <v>NORMAL</v>
      </c>
      <c r="Q496" s="3" cm="1">
        <f t="array" aca="1" ref="Q496" ca="1">AVERAGE(OFFSET(tbl_Process[[#This Row],[Temp_Firing_C]], MAX(1-ROW()+ROW(tbl_Process[#Headers]), -23), 0, MIN(ROW()-ROW(tbl_Process[#Headers]), 24), 1))</f>
        <v>1306.6291666666666</v>
      </c>
      <c r="R496" s="3" t="e" cm="1" vm="1">
        <f t="array" aca="1" ref="R496" ca="1">tbl_Process[Temp_Firing_C] - AVERAGE(tbl_Zones[[Target_Temp_Min_C]:[Target_Temp_Max_C]])</f>
        <v>#VALUE!</v>
      </c>
    </row>
    <row r="497" spans="1:18" x14ac:dyDescent="0.3">
      <c r="A497" s="2" t="s">
        <v>516</v>
      </c>
      <c r="B497" s="2" t="s">
        <v>33</v>
      </c>
      <c r="C497" s="2" t="s">
        <v>501</v>
      </c>
      <c r="D497" s="3">
        <v>422.6</v>
      </c>
      <c r="E497" s="3">
        <v>2.98</v>
      </c>
      <c r="F497" s="3">
        <v>322.10000000000002</v>
      </c>
      <c r="G497" s="3">
        <v>358.1</v>
      </c>
      <c r="H497" s="3">
        <v>971</v>
      </c>
      <c r="I497" s="4">
        <v>1300.5</v>
      </c>
      <c r="J497" s="4">
        <v>1240.5999999999999</v>
      </c>
      <c r="K497" s="3">
        <v>154.30000000000001</v>
      </c>
      <c r="L497" s="3">
        <v>4.1900000000000004</v>
      </c>
      <c r="M497" s="4">
        <v>431319</v>
      </c>
      <c r="N497" s="4">
        <v>8233</v>
      </c>
      <c r="O497" s="3">
        <v>14.59</v>
      </c>
      <c r="P497" s="3" t="str">
        <f t="shared" si="7"/>
        <v>NORMAL</v>
      </c>
      <c r="Q497" s="3" cm="1">
        <f t="array" aca="1" ref="Q497" ca="1">AVERAGE(OFFSET(tbl_Process[[#This Row],[Temp_Firing_C]], MAX(1-ROW()+ROW(tbl_Process[#Headers]), -23), 0, MIN(ROW()-ROW(tbl_Process[#Headers]), 24), 1))</f>
        <v>1307.7541666666666</v>
      </c>
      <c r="R497" s="3" t="e" cm="1" vm="1">
        <f t="array" aca="1" ref="R497" ca="1">tbl_Process[Temp_Firing_C] - AVERAGE(tbl_Zones[[Target_Temp_Min_C]:[Target_Temp_Max_C]])</f>
        <v>#VALUE!</v>
      </c>
    </row>
    <row r="498" spans="1:18" x14ac:dyDescent="0.3">
      <c r="A498" s="2" t="s">
        <v>517</v>
      </c>
      <c r="B498" s="2" t="s">
        <v>33</v>
      </c>
      <c r="C498" s="2" t="s">
        <v>501</v>
      </c>
      <c r="D498" s="3">
        <v>422.8</v>
      </c>
      <c r="E498" s="3">
        <v>3.13</v>
      </c>
      <c r="F498" s="3">
        <v>316.8</v>
      </c>
      <c r="G498" s="3">
        <v>378.2</v>
      </c>
      <c r="H498" s="3">
        <v>945</v>
      </c>
      <c r="I498" s="4">
        <v>1320.9</v>
      </c>
      <c r="J498" s="4">
        <v>1247.2</v>
      </c>
      <c r="K498" s="3">
        <v>164.9</v>
      </c>
      <c r="L498" s="3">
        <v>4.0599999999999996</v>
      </c>
      <c r="M498" s="4">
        <v>418853</v>
      </c>
      <c r="N498" s="4">
        <v>8942</v>
      </c>
      <c r="O498" s="3">
        <v>13.83</v>
      </c>
      <c r="P498" s="3" t="str">
        <f t="shared" si="7"/>
        <v>NORMAL</v>
      </c>
      <c r="Q498" s="3" cm="1">
        <f t="array" aca="1" ref="Q498" ca="1">AVERAGE(OFFSET(tbl_Process[[#This Row],[Temp_Firing_C]], MAX(1-ROW()+ROW(tbl_Process[#Headers]), -23), 0, MIN(ROW()-ROW(tbl_Process[#Headers]), 24), 1))</f>
        <v>1309.4666666666669</v>
      </c>
      <c r="R498" s="3" t="e" cm="1" vm="1">
        <f t="array" aca="1" ref="R498" ca="1">tbl_Process[Temp_Firing_C] - AVERAGE(tbl_Zones[[Target_Temp_Min_C]:[Target_Temp_Max_C]])</f>
        <v>#VALUE!</v>
      </c>
    </row>
    <row r="499" spans="1:18" x14ac:dyDescent="0.3">
      <c r="A499" s="2" t="s">
        <v>518</v>
      </c>
      <c r="B499" s="2" t="s">
        <v>33</v>
      </c>
      <c r="C499" s="2" t="s">
        <v>501</v>
      </c>
      <c r="D499" s="3">
        <v>437.6</v>
      </c>
      <c r="E499" s="3">
        <v>3.2</v>
      </c>
      <c r="F499" s="3">
        <v>313.10000000000002</v>
      </c>
      <c r="G499" s="3">
        <v>376.6</v>
      </c>
      <c r="H499" s="3">
        <v>957.3</v>
      </c>
      <c r="I499" s="4">
        <v>1326.7</v>
      </c>
      <c r="J499" s="4">
        <v>1264.3</v>
      </c>
      <c r="K499" s="3">
        <v>159.5</v>
      </c>
      <c r="L499" s="3">
        <v>4.28</v>
      </c>
      <c r="M499" s="4">
        <v>424629</v>
      </c>
      <c r="N499" s="4">
        <v>8977</v>
      </c>
      <c r="O499" s="3">
        <v>13.82</v>
      </c>
      <c r="P499" s="3" t="str">
        <f t="shared" si="7"/>
        <v>NORMAL</v>
      </c>
      <c r="Q499" s="3" cm="1">
        <f t="array" aca="1" ref="Q499" ca="1">AVERAGE(OFFSET(tbl_Process[[#This Row],[Temp_Firing_C]], MAX(1-ROW()+ROW(tbl_Process[#Headers]), -23), 0, MIN(ROW()-ROW(tbl_Process[#Headers]), 24), 1))</f>
        <v>1310.9791666666667</v>
      </c>
      <c r="R499" s="3" t="e" cm="1" vm="1">
        <f t="array" aca="1" ref="R499" ca="1">tbl_Process[Temp_Firing_C] - AVERAGE(tbl_Zones[[Target_Temp_Min_C]:[Target_Temp_Max_C]])</f>
        <v>#VALUE!</v>
      </c>
    </row>
    <row r="500" spans="1:18" x14ac:dyDescent="0.3">
      <c r="A500" s="2" t="s">
        <v>519</v>
      </c>
      <c r="B500" s="2" t="s">
        <v>33</v>
      </c>
      <c r="C500" s="2" t="s">
        <v>501</v>
      </c>
      <c r="D500" s="3">
        <v>428.4</v>
      </c>
      <c r="E500" s="3">
        <v>3.05</v>
      </c>
      <c r="F500" s="3">
        <v>314.60000000000002</v>
      </c>
      <c r="G500" s="3">
        <v>367.5</v>
      </c>
      <c r="H500" s="3">
        <v>946.9</v>
      </c>
      <c r="I500" s="4">
        <v>1326.6</v>
      </c>
      <c r="J500" s="4">
        <v>1260.4000000000001</v>
      </c>
      <c r="K500" s="3">
        <v>162.19999999999999</v>
      </c>
      <c r="L500" s="3">
        <v>3.86</v>
      </c>
      <c r="M500" s="4">
        <v>426777</v>
      </c>
      <c r="N500" s="4">
        <v>8800</v>
      </c>
      <c r="O500" s="3">
        <v>13.84</v>
      </c>
      <c r="P500" s="3" t="str">
        <f t="shared" si="7"/>
        <v>NORMAL</v>
      </c>
      <c r="Q500" s="3" cm="1">
        <f t="array" aca="1" ref="Q500" ca="1">AVERAGE(OFFSET(tbl_Process[[#This Row],[Temp_Firing_C]], MAX(1-ROW()+ROW(tbl_Process[#Headers]), -23), 0, MIN(ROW()-ROW(tbl_Process[#Headers]), 24), 1))</f>
        <v>1312.6416666666667</v>
      </c>
      <c r="R500" s="3" t="e" cm="1" vm="1">
        <f t="array" aca="1" ref="R500" ca="1">tbl_Process[Temp_Firing_C] - AVERAGE(tbl_Zones[[Target_Temp_Min_C]:[Target_Temp_Max_C]])</f>
        <v>#VALUE!</v>
      </c>
    </row>
    <row r="501" spans="1:18" x14ac:dyDescent="0.3">
      <c r="A501" s="2" t="s">
        <v>520</v>
      </c>
      <c r="B501" s="2" t="s">
        <v>33</v>
      </c>
      <c r="C501" s="2" t="s">
        <v>501</v>
      </c>
      <c r="D501" s="3">
        <v>430.7</v>
      </c>
      <c r="E501" s="3">
        <v>3.06</v>
      </c>
      <c r="F501" s="3">
        <v>305.39999999999998</v>
      </c>
      <c r="G501" s="3">
        <v>383.9</v>
      </c>
      <c r="H501" s="3">
        <v>959.1</v>
      </c>
      <c r="I501" s="4">
        <v>1312.4</v>
      </c>
      <c r="J501" s="4">
        <v>1241.5999999999999</v>
      </c>
      <c r="K501" s="3">
        <v>151.4</v>
      </c>
      <c r="L501" s="3">
        <v>4.21</v>
      </c>
      <c r="M501" s="4">
        <v>427879</v>
      </c>
      <c r="N501" s="4">
        <v>8673</v>
      </c>
      <c r="O501" s="3">
        <v>13.72</v>
      </c>
      <c r="P501" s="3" t="str">
        <f t="shared" si="7"/>
        <v>NORMAL</v>
      </c>
      <c r="Q501" s="3" cm="1">
        <f t="array" aca="1" ref="Q501" ca="1">AVERAGE(OFFSET(tbl_Process[[#This Row],[Temp_Firing_C]], MAX(1-ROW()+ROW(tbl_Process[#Headers]), -23), 0, MIN(ROW()-ROW(tbl_Process[#Headers]), 24), 1))</f>
        <v>1314.1041666666667</v>
      </c>
      <c r="R501" s="3" t="e" cm="1" vm="1">
        <f t="array" aca="1" ref="R501" ca="1">tbl_Process[Temp_Firing_C] - AVERAGE(tbl_Zones[[Target_Temp_Min_C]:[Target_Temp_Max_C]])</f>
        <v>#VALUE!</v>
      </c>
    </row>
    <row r="502" spans="1:18" x14ac:dyDescent="0.3">
      <c r="A502" s="2" t="s">
        <v>521</v>
      </c>
      <c r="B502" s="2" t="s">
        <v>33</v>
      </c>
      <c r="C502" s="2" t="s">
        <v>501</v>
      </c>
      <c r="D502" s="3">
        <v>430.9</v>
      </c>
      <c r="E502" s="3">
        <v>3.1</v>
      </c>
      <c r="F502" s="3">
        <v>323.5</v>
      </c>
      <c r="G502" s="3">
        <v>382</v>
      </c>
      <c r="H502" s="3">
        <v>920.9</v>
      </c>
      <c r="I502" s="4">
        <v>1319.9</v>
      </c>
      <c r="J502" s="4">
        <v>1248.9000000000001</v>
      </c>
      <c r="K502" s="3">
        <v>151.80000000000001</v>
      </c>
      <c r="L502" s="3">
        <v>4.17</v>
      </c>
      <c r="M502" s="4">
        <v>425020</v>
      </c>
      <c r="N502" s="4">
        <v>8542</v>
      </c>
      <c r="O502" s="3">
        <v>14.34</v>
      </c>
      <c r="P502" s="3" t="str">
        <f t="shared" si="7"/>
        <v>NORMAL</v>
      </c>
      <c r="Q502" s="3" cm="1">
        <f t="array" aca="1" ref="Q502" ca="1">AVERAGE(OFFSET(tbl_Process[[#This Row],[Temp_Firing_C]], MAX(1-ROW()+ROW(tbl_Process[#Headers]), -23), 0, MIN(ROW()-ROW(tbl_Process[#Headers]), 24), 1))</f>
        <v>1316.0875000000001</v>
      </c>
      <c r="R502" s="3" t="e" cm="1" vm="1">
        <f t="array" aca="1" ref="R502" ca="1">tbl_Process[Temp_Firing_C] - AVERAGE(tbl_Zones[[Target_Temp_Min_C]:[Target_Temp_Max_C]])</f>
        <v>#VALUE!</v>
      </c>
    </row>
    <row r="503" spans="1:18" x14ac:dyDescent="0.3">
      <c r="A503" s="2" t="s">
        <v>522</v>
      </c>
      <c r="B503" s="2" t="s">
        <v>33</v>
      </c>
      <c r="C503" s="2" t="s">
        <v>501</v>
      </c>
      <c r="D503" s="3">
        <v>433.1</v>
      </c>
      <c r="E503" s="3">
        <v>3.1</v>
      </c>
      <c r="F503" s="3">
        <v>313.5</v>
      </c>
      <c r="G503" s="3">
        <v>371.4</v>
      </c>
      <c r="H503" s="3">
        <v>969.7</v>
      </c>
      <c r="I503" s="4">
        <v>1304.4000000000001</v>
      </c>
      <c r="J503" s="4">
        <v>1245.8</v>
      </c>
      <c r="K503" s="3">
        <v>158.30000000000001</v>
      </c>
      <c r="L503" s="3">
        <v>4.21</v>
      </c>
      <c r="M503" s="4">
        <v>414814</v>
      </c>
      <c r="N503" s="4">
        <v>8535</v>
      </c>
      <c r="O503" s="3">
        <v>14.33</v>
      </c>
      <c r="P503" s="3" t="str">
        <f t="shared" si="7"/>
        <v>NORMAL</v>
      </c>
      <c r="Q503" s="3" cm="1">
        <f t="array" aca="1" ref="Q503" ca="1">AVERAGE(OFFSET(tbl_Process[[#This Row],[Temp_Firing_C]], MAX(1-ROW()+ROW(tbl_Process[#Headers]), -23), 0, MIN(ROW()-ROW(tbl_Process[#Headers]), 24), 1))</f>
        <v>1317.6833333333336</v>
      </c>
      <c r="R503" s="3" t="e" cm="1" vm="1">
        <f t="array" aca="1" ref="R503" ca="1">tbl_Process[Temp_Firing_C] - AVERAGE(tbl_Zones[[Target_Temp_Min_C]:[Target_Temp_Max_C]])</f>
        <v>#VALUE!</v>
      </c>
    </row>
    <row r="504" spans="1:18" x14ac:dyDescent="0.3">
      <c r="A504" s="2" t="s">
        <v>523</v>
      </c>
      <c r="B504" s="2" t="s">
        <v>16</v>
      </c>
      <c r="C504" s="2" t="s">
        <v>501</v>
      </c>
      <c r="D504" s="3">
        <v>424.7</v>
      </c>
      <c r="E504" s="3">
        <v>3.14</v>
      </c>
      <c r="F504" s="3">
        <v>319.60000000000002</v>
      </c>
      <c r="G504" s="3">
        <v>374.3</v>
      </c>
      <c r="H504" s="3">
        <v>968.4</v>
      </c>
      <c r="I504" s="4">
        <v>1299.9000000000001</v>
      </c>
      <c r="J504" s="4">
        <v>1237</v>
      </c>
      <c r="K504" s="3">
        <v>167.5</v>
      </c>
      <c r="L504" s="3">
        <v>4.3</v>
      </c>
      <c r="M504" s="4">
        <v>421346</v>
      </c>
      <c r="N504" s="4">
        <v>8463</v>
      </c>
      <c r="O504" s="3">
        <v>14.07</v>
      </c>
      <c r="P504" s="3" t="str">
        <f t="shared" si="7"/>
        <v>NORMAL</v>
      </c>
      <c r="Q504" s="3" cm="1">
        <f t="array" aca="1" ref="Q504" ca="1">AVERAGE(OFFSET(tbl_Process[[#This Row],[Temp_Firing_C]], MAX(1-ROW()+ROW(tbl_Process[#Headers]), -23), 0, MIN(ROW()-ROW(tbl_Process[#Headers]), 24), 1))</f>
        <v>1318.2291666666667</v>
      </c>
      <c r="R504" s="3" t="e" cm="1" vm="1">
        <f t="array" aca="1" ref="R504" ca="1">tbl_Process[Temp_Firing_C] - AVERAGE(tbl_Zones[[Target_Temp_Min_C]:[Target_Temp_Max_C]])</f>
        <v>#VALUE!</v>
      </c>
    </row>
    <row r="505" spans="1:18" x14ac:dyDescent="0.3">
      <c r="A505" s="2" t="s">
        <v>524</v>
      </c>
      <c r="B505" s="2" t="s">
        <v>16</v>
      </c>
      <c r="C505" s="2" t="s">
        <v>501</v>
      </c>
      <c r="D505" s="3">
        <v>428.8</v>
      </c>
      <c r="E505" s="3">
        <v>3.14</v>
      </c>
      <c r="F505" s="3">
        <v>314.7</v>
      </c>
      <c r="G505" s="3">
        <v>384.7</v>
      </c>
      <c r="H505" s="3">
        <v>984.6</v>
      </c>
      <c r="I505" s="4">
        <v>1318.2</v>
      </c>
      <c r="J505" s="4">
        <v>1245.0999999999999</v>
      </c>
      <c r="K505" s="3">
        <v>153</v>
      </c>
      <c r="L505" s="3">
        <v>4.2699999999999996</v>
      </c>
      <c r="M505" s="4">
        <v>423067</v>
      </c>
      <c r="N505" s="4">
        <v>8824</v>
      </c>
      <c r="O505" s="3">
        <v>13.81</v>
      </c>
      <c r="P505" s="3" t="str">
        <f t="shared" si="7"/>
        <v>NORMAL</v>
      </c>
      <c r="Q505" s="3" cm="1">
        <f t="array" aca="1" ref="Q505" ca="1">AVERAGE(OFFSET(tbl_Process[[#This Row],[Temp_Firing_C]], MAX(1-ROW()+ROW(tbl_Process[#Headers]), -23), 0, MIN(ROW()-ROW(tbl_Process[#Headers]), 24), 1))</f>
        <v>1319.4875000000002</v>
      </c>
      <c r="R505" s="3" t="e" cm="1" vm="1">
        <f t="array" aca="1" ref="R505" ca="1">tbl_Process[Temp_Firing_C] - AVERAGE(tbl_Zones[[Target_Temp_Min_C]:[Target_Temp_Max_C]])</f>
        <v>#VALUE!</v>
      </c>
    </row>
    <row r="506" spans="1:18" x14ac:dyDescent="0.3">
      <c r="A506" s="2" t="s">
        <v>525</v>
      </c>
      <c r="B506" s="2" t="s">
        <v>16</v>
      </c>
      <c r="C506" s="2" t="s">
        <v>501</v>
      </c>
      <c r="D506" s="3">
        <v>433.3</v>
      </c>
      <c r="E506" s="3">
        <v>3.09</v>
      </c>
      <c r="F506" s="3">
        <v>315.60000000000002</v>
      </c>
      <c r="G506" s="3">
        <v>377.2</v>
      </c>
      <c r="H506" s="3">
        <v>945.6</v>
      </c>
      <c r="I506" s="4">
        <v>1335.9</v>
      </c>
      <c r="J506" s="4">
        <v>1270.3</v>
      </c>
      <c r="K506" s="3">
        <v>163.19999999999999</v>
      </c>
      <c r="L506" s="3">
        <v>4.16</v>
      </c>
      <c r="M506" s="4">
        <v>422780</v>
      </c>
      <c r="N506" s="4">
        <v>8903</v>
      </c>
      <c r="O506" s="3">
        <v>14.15</v>
      </c>
      <c r="P506" s="3" t="str">
        <f t="shared" si="7"/>
        <v>WARNING</v>
      </c>
      <c r="Q506" s="3" cm="1">
        <f t="array" aca="1" ref="Q506" ca="1">AVERAGE(OFFSET(tbl_Process[[#This Row],[Temp_Firing_C]], MAX(1-ROW()+ROW(tbl_Process[#Headers]), -23), 0, MIN(ROW()-ROW(tbl_Process[#Headers]), 24), 1))</f>
        <v>1320.3125000000005</v>
      </c>
      <c r="R506" s="3" t="e" cm="1" vm="1">
        <f t="array" aca="1" ref="R506" ca="1">tbl_Process[Temp_Firing_C] - AVERAGE(tbl_Zones[[Target_Temp_Min_C]:[Target_Temp_Max_C]])</f>
        <v>#VALUE!</v>
      </c>
    </row>
    <row r="507" spans="1:18" x14ac:dyDescent="0.3">
      <c r="A507" s="2" t="s">
        <v>526</v>
      </c>
      <c r="B507" s="2" t="s">
        <v>16</v>
      </c>
      <c r="C507" s="2" t="s">
        <v>501</v>
      </c>
      <c r="D507" s="3">
        <v>427.9</v>
      </c>
      <c r="E507" s="3">
        <v>3.03</v>
      </c>
      <c r="F507" s="3">
        <v>321.39999999999998</v>
      </c>
      <c r="G507" s="3">
        <v>384.1</v>
      </c>
      <c r="H507" s="3">
        <v>980.7</v>
      </c>
      <c r="I507" s="4">
        <v>1324.1</v>
      </c>
      <c r="J507" s="4">
        <v>1263</v>
      </c>
      <c r="K507" s="3">
        <v>163.9</v>
      </c>
      <c r="L507" s="3">
        <v>4</v>
      </c>
      <c r="M507" s="4">
        <v>420966</v>
      </c>
      <c r="N507" s="4">
        <v>8659</v>
      </c>
      <c r="O507" s="3">
        <v>13.74</v>
      </c>
      <c r="P507" s="3" t="str">
        <f t="shared" si="7"/>
        <v>NORMAL</v>
      </c>
      <c r="Q507" s="3" cm="1">
        <f t="array" aca="1" ref="Q507" ca="1">AVERAGE(OFFSET(tbl_Process[[#This Row],[Temp_Firing_C]], MAX(1-ROW()+ROW(tbl_Process[#Headers]), -23), 0, MIN(ROW()-ROW(tbl_Process[#Headers]), 24), 1))</f>
        <v>1320.5875000000003</v>
      </c>
      <c r="R507" s="3" t="e" cm="1" vm="1">
        <f t="array" aca="1" ref="R507" ca="1">tbl_Process[Temp_Firing_C] - AVERAGE(tbl_Zones[[Target_Temp_Min_C]:[Target_Temp_Max_C]])</f>
        <v>#VALUE!</v>
      </c>
    </row>
    <row r="508" spans="1:18" x14ac:dyDescent="0.3">
      <c r="A508" s="2" t="s">
        <v>527</v>
      </c>
      <c r="B508" s="2" t="s">
        <v>16</v>
      </c>
      <c r="C508" s="2" t="s">
        <v>501</v>
      </c>
      <c r="D508" s="3">
        <v>433.2</v>
      </c>
      <c r="E508" s="3">
        <v>3.12</v>
      </c>
      <c r="F508" s="3">
        <v>321.39999999999998</v>
      </c>
      <c r="G508" s="3">
        <v>363.1</v>
      </c>
      <c r="H508" s="3">
        <v>986.5</v>
      </c>
      <c r="I508" s="4">
        <v>1315.3</v>
      </c>
      <c r="J508" s="4">
        <v>1262.5999999999999</v>
      </c>
      <c r="K508" s="3">
        <v>153.4</v>
      </c>
      <c r="L508" s="3">
        <v>4.13</v>
      </c>
      <c r="M508" s="4">
        <v>415044</v>
      </c>
      <c r="N508" s="4">
        <v>8727</v>
      </c>
      <c r="O508" s="3">
        <v>13.74</v>
      </c>
      <c r="P508" s="3" t="str">
        <f t="shared" si="7"/>
        <v>NORMAL</v>
      </c>
      <c r="Q508" s="3" cm="1">
        <f t="array" aca="1" ref="Q508" ca="1">AVERAGE(OFFSET(tbl_Process[[#This Row],[Temp_Firing_C]], MAX(1-ROW()+ROW(tbl_Process[#Headers]), -23), 0, MIN(ROW()-ROW(tbl_Process[#Headers]), 24), 1))</f>
        <v>1320.0458333333338</v>
      </c>
      <c r="R508" s="3" t="e" cm="1" vm="1">
        <f t="array" aca="1" ref="R508" ca="1">tbl_Process[Temp_Firing_C] - AVERAGE(tbl_Zones[[Target_Temp_Min_C]:[Target_Temp_Max_C]])</f>
        <v>#VALUE!</v>
      </c>
    </row>
    <row r="509" spans="1:18" x14ac:dyDescent="0.3">
      <c r="A509" s="2" t="s">
        <v>528</v>
      </c>
      <c r="B509" s="2" t="s">
        <v>16</v>
      </c>
      <c r="C509" s="2" t="s">
        <v>501</v>
      </c>
      <c r="D509" s="3">
        <v>425.7</v>
      </c>
      <c r="E509" s="3">
        <v>2.99</v>
      </c>
      <c r="F509" s="3">
        <v>326</v>
      </c>
      <c r="G509" s="3">
        <v>386.8</v>
      </c>
      <c r="H509" s="3">
        <v>984.4</v>
      </c>
      <c r="I509" s="4">
        <v>1318.1</v>
      </c>
      <c r="J509" s="4">
        <v>1254.4000000000001</v>
      </c>
      <c r="K509" s="3">
        <v>154.4</v>
      </c>
      <c r="L509" s="3">
        <v>4.07</v>
      </c>
      <c r="M509" s="4">
        <v>421442</v>
      </c>
      <c r="N509" s="4">
        <v>8773</v>
      </c>
      <c r="O509" s="3">
        <v>14.24</v>
      </c>
      <c r="P509" s="3" t="str">
        <f t="shared" si="7"/>
        <v>NORMAL</v>
      </c>
      <c r="Q509" s="3" cm="1">
        <f t="array" aca="1" ref="Q509" ca="1">AVERAGE(OFFSET(tbl_Process[[#This Row],[Temp_Firing_C]], MAX(1-ROW()+ROW(tbl_Process[#Headers]), -23), 0, MIN(ROW()-ROW(tbl_Process[#Headers]), 24), 1))</f>
        <v>1320.5000000000002</v>
      </c>
      <c r="R509" s="3" t="e" cm="1" vm="1">
        <f t="array" aca="1" ref="R509" ca="1">tbl_Process[Temp_Firing_C] - AVERAGE(tbl_Zones[[Target_Temp_Min_C]:[Target_Temp_Max_C]])</f>
        <v>#VALUE!</v>
      </c>
    </row>
    <row r="510" spans="1:18" x14ac:dyDescent="0.3">
      <c r="A510" s="2" t="s">
        <v>529</v>
      </c>
      <c r="B510" s="2" t="s">
        <v>16</v>
      </c>
      <c r="C510" s="2" t="s">
        <v>501</v>
      </c>
      <c r="D510" s="3">
        <v>434</v>
      </c>
      <c r="E510" s="3">
        <v>3.03</v>
      </c>
      <c r="F510" s="3">
        <v>327.60000000000002</v>
      </c>
      <c r="G510" s="3">
        <v>381.9</v>
      </c>
      <c r="H510" s="3">
        <v>959.4</v>
      </c>
      <c r="I510" s="4">
        <v>1318.7</v>
      </c>
      <c r="J510" s="4">
        <v>1250.3</v>
      </c>
      <c r="K510" s="3">
        <v>169.8</v>
      </c>
      <c r="L510" s="3">
        <v>4.25</v>
      </c>
      <c r="M510" s="4">
        <v>423977</v>
      </c>
      <c r="N510" s="4">
        <v>8693</v>
      </c>
      <c r="O510" s="3">
        <v>14.66</v>
      </c>
      <c r="P510" s="3" t="str">
        <f t="shared" si="7"/>
        <v>NORMAL</v>
      </c>
      <c r="Q510" s="3" cm="1">
        <f t="array" aca="1" ref="Q510" ca="1">AVERAGE(OFFSET(tbl_Process[[#This Row],[Temp_Firing_C]], MAX(1-ROW()+ROW(tbl_Process[#Headers]), -23), 0, MIN(ROW()-ROW(tbl_Process[#Headers]), 24), 1))</f>
        <v>1320.1875000000002</v>
      </c>
      <c r="R510" s="3" t="e" cm="1" vm="1">
        <f t="array" aca="1" ref="R510" ca="1">tbl_Process[Temp_Firing_C] - AVERAGE(tbl_Zones[[Target_Temp_Min_C]:[Target_Temp_Max_C]])</f>
        <v>#VALUE!</v>
      </c>
    </row>
    <row r="511" spans="1:18" x14ac:dyDescent="0.3">
      <c r="A511" s="2" t="s">
        <v>530</v>
      </c>
      <c r="B511" s="2" t="s">
        <v>16</v>
      </c>
      <c r="C511" s="2" t="s">
        <v>501</v>
      </c>
      <c r="D511" s="3">
        <v>435.2</v>
      </c>
      <c r="E511" s="3">
        <v>3.04</v>
      </c>
      <c r="F511" s="3">
        <v>320.3</v>
      </c>
      <c r="G511" s="3">
        <v>381</v>
      </c>
      <c r="H511" s="3">
        <v>965.5</v>
      </c>
      <c r="I511" s="4">
        <v>1319.4</v>
      </c>
      <c r="J511" s="4">
        <v>1257</v>
      </c>
      <c r="K511" s="3">
        <v>168.5</v>
      </c>
      <c r="L511" s="3">
        <v>4.07</v>
      </c>
      <c r="M511" s="4">
        <v>419543</v>
      </c>
      <c r="N511" s="4">
        <v>8675</v>
      </c>
      <c r="O511" s="3">
        <v>13.95</v>
      </c>
      <c r="P511" s="3" t="str">
        <f t="shared" si="7"/>
        <v>NORMAL</v>
      </c>
      <c r="Q511" s="3" cm="1">
        <f t="array" aca="1" ref="Q511" ca="1">AVERAGE(OFFSET(tbl_Process[[#This Row],[Temp_Firing_C]], MAX(1-ROW()+ROW(tbl_Process[#Headers]), -23), 0, MIN(ROW()-ROW(tbl_Process[#Headers]), 24), 1))</f>
        <v>1320.0041666666668</v>
      </c>
      <c r="R511" s="3" t="e" cm="1" vm="1">
        <f t="array" aca="1" ref="R511" ca="1">tbl_Process[Temp_Firing_C] - AVERAGE(tbl_Zones[[Target_Temp_Min_C]:[Target_Temp_Max_C]])</f>
        <v>#VALUE!</v>
      </c>
    </row>
    <row r="512" spans="1:18" x14ac:dyDescent="0.3">
      <c r="A512" s="2" t="s">
        <v>531</v>
      </c>
      <c r="B512" s="2" t="s">
        <v>24</v>
      </c>
      <c r="C512" s="2" t="s">
        <v>501</v>
      </c>
      <c r="D512" s="3">
        <v>438</v>
      </c>
      <c r="E512" s="3">
        <v>3.18</v>
      </c>
      <c r="F512" s="3">
        <v>327.7</v>
      </c>
      <c r="G512" s="3">
        <v>380.9</v>
      </c>
      <c r="H512" s="3">
        <v>960.6</v>
      </c>
      <c r="I512" s="4">
        <v>1313.8</v>
      </c>
      <c r="J512" s="4">
        <v>1253.5</v>
      </c>
      <c r="K512" s="3">
        <v>163.80000000000001</v>
      </c>
      <c r="L512" s="3">
        <v>4.46</v>
      </c>
      <c r="M512" s="4">
        <v>421746</v>
      </c>
      <c r="N512" s="4">
        <v>8649</v>
      </c>
      <c r="O512" s="3">
        <v>14.12</v>
      </c>
      <c r="P512" s="3" t="str">
        <f t="shared" si="7"/>
        <v>NORMAL</v>
      </c>
      <c r="Q512" s="3" cm="1">
        <f t="array" aca="1" ref="Q512" ca="1">AVERAGE(OFFSET(tbl_Process[[#This Row],[Temp_Firing_C]], MAX(1-ROW()+ROW(tbl_Process[#Headers]), -23), 0, MIN(ROW()-ROW(tbl_Process[#Headers]), 24), 1))</f>
        <v>1320.0041666666668</v>
      </c>
      <c r="R512" s="3" t="e" cm="1" vm="1">
        <f t="array" aca="1" ref="R512" ca="1">tbl_Process[Temp_Firing_C] - AVERAGE(tbl_Zones[[Target_Temp_Min_C]:[Target_Temp_Max_C]])</f>
        <v>#VALUE!</v>
      </c>
    </row>
    <row r="513" spans="1:18" x14ac:dyDescent="0.3">
      <c r="A513" s="2" t="s">
        <v>532</v>
      </c>
      <c r="B513" s="2" t="s">
        <v>24</v>
      </c>
      <c r="C513" s="2" t="s">
        <v>501</v>
      </c>
      <c r="D513" s="3">
        <v>433.6</v>
      </c>
      <c r="E513" s="3">
        <v>2.98</v>
      </c>
      <c r="F513" s="3">
        <v>326.5</v>
      </c>
      <c r="G513" s="3">
        <v>382.6</v>
      </c>
      <c r="H513" s="3">
        <v>951.4</v>
      </c>
      <c r="I513" s="4">
        <v>1308.8</v>
      </c>
      <c r="J513" s="4">
        <v>1243</v>
      </c>
      <c r="K513" s="3">
        <v>168.6</v>
      </c>
      <c r="L513" s="3">
        <v>4.4000000000000004</v>
      </c>
      <c r="M513" s="4">
        <v>422828</v>
      </c>
      <c r="N513" s="4">
        <v>8841</v>
      </c>
      <c r="O513" s="3">
        <v>13.92</v>
      </c>
      <c r="P513" s="3" t="str">
        <f t="shared" si="7"/>
        <v>NORMAL</v>
      </c>
      <c r="Q513" s="3" cm="1">
        <f t="array" aca="1" ref="Q513" ca="1">AVERAGE(OFFSET(tbl_Process[[#This Row],[Temp_Firing_C]], MAX(1-ROW()+ROW(tbl_Process[#Headers]), -23), 0, MIN(ROW()-ROW(tbl_Process[#Headers]), 24), 1))</f>
        <v>1319.5458333333333</v>
      </c>
      <c r="R513" s="3" t="e" cm="1" vm="1">
        <f t="array" aca="1" ref="R513" ca="1">tbl_Process[Temp_Firing_C] - AVERAGE(tbl_Zones[[Target_Temp_Min_C]:[Target_Temp_Max_C]])</f>
        <v>#VALUE!</v>
      </c>
    </row>
    <row r="514" spans="1:18" x14ac:dyDescent="0.3">
      <c r="A514" s="2" t="s">
        <v>533</v>
      </c>
      <c r="B514" s="2" t="s">
        <v>24</v>
      </c>
      <c r="C514" s="2" t="s">
        <v>501</v>
      </c>
      <c r="D514" s="3">
        <v>433.8</v>
      </c>
      <c r="E514" s="3">
        <v>3.06</v>
      </c>
      <c r="F514" s="3">
        <v>318.89999999999998</v>
      </c>
      <c r="G514" s="3">
        <v>377.9</v>
      </c>
      <c r="H514" s="3">
        <v>939.3</v>
      </c>
      <c r="I514" s="4">
        <v>1335.6</v>
      </c>
      <c r="J514" s="4">
        <v>1266.8</v>
      </c>
      <c r="K514" s="3">
        <v>157.30000000000001</v>
      </c>
      <c r="L514" s="3">
        <v>4.08</v>
      </c>
      <c r="M514" s="4">
        <v>425693</v>
      </c>
      <c r="N514" s="4">
        <v>9139</v>
      </c>
      <c r="O514" s="3">
        <v>14.21</v>
      </c>
      <c r="P514" s="3" t="str">
        <f t="shared" ref="P514:P577" si="8">IF(L514&gt;4.5,"CRITICAL",IF(OR(I514&lt;1250,I514&gt;1330),"WARNING","NORMAL"))</f>
        <v>WARNING</v>
      </c>
      <c r="Q514" s="3" cm="1">
        <f t="array" aca="1" ref="Q514" ca="1">AVERAGE(OFFSET(tbl_Process[[#This Row],[Temp_Firing_C]], MAX(1-ROW()+ROW(tbl_Process[#Headers]), -23), 0, MIN(ROW()-ROW(tbl_Process[#Headers]), 24), 1))</f>
        <v>1319.8</v>
      </c>
      <c r="R514" s="3" t="e" cm="1" vm="1">
        <f t="array" aca="1" ref="R514" ca="1">tbl_Process[Temp_Firing_C] - AVERAGE(tbl_Zones[[Target_Temp_Min_C]:[Target_Temp_Max_C]])</f>
        <v>#VALUE!</v>
      </c>
    </row>
    <row r="515" spans="1:18" x14ac:dyDescent="0.3">
      <c r="A515" s="2" t="s">
        <v>534</v>
      </c>
      <c r="B515" s="2" t="s">
        <v>24</v>
      </c>
      <c r="C515" s="2" t="s">
        <v>501</v>
      </c>
      <c r="D515" s="3">
        <v>423.4</v>
      </c>
      <c r="E515" s="3">
        <v>3.07</v>
      </c>
      <c r="F515" s="3">
        <v>315.60000000000002</v>
      </c>
      <c r="G515" s="3">
        <v>389.4</v>
      </c>
      <c r="H515" s="3">
        <v>967.1</v>
      </c>
      <c r="I515" s="4">
        <v>1319.8</v>
      </c>
      <c r="J515" s="4">
        <v>1255.2</v>
      </c>
      <c r="K515" s="3">
        <v>158.80000000000001</v>
      </c>
      <c r="L515" s="3">
        <v>4.29</v>
      </c>
      <c r="M515" s="4">
        <v>425478</v>
      </c>
      <c r="N515" s="4">
        <v>8818</v>
      </c>
      <c r="O515" s="3">
        <v>13.28</v>
      </c>
      <c r="P515" s="3" t="str">
        <f t="shared" si="8"/>
        <v>NORMAL</v>
      </c>
      <c r="Q515" s="3" cm="1">
        <f t="array" aca="1" ref="Q515" ca="1">AVERAGE(OFFSET(tbl_Process[[#This Row],[Temp_Firing_C]], MAX(1-ROW()+ROW(tbl_Process[#Headers]), -23), 0, MIN(ROW()-ROW(tbl_Process[#Headers]), 24), 1))</f>
        <v>1319.8083333333332</v>
      </c>
      <c r="R515" s="3" t="e" cm="1" vm="1">
        <f t="array" aca="1" ref="R515" ca="1">tbl_Process[Temp_Firing_C] - AVERAGE(tbl_Zones[[Target_Temp_Min_C]:[Target_Temp_Max_C]])</f>
        <v>#VALUE!</v>
      </c>
    </row>
    <row r="516" spans="1:18" x14ac:dyDescent="0.3">
      <c r="A516" s="2" t="s">
        <v>535</v>
      </c>
      <c r="B516" s="2" t="s">
        <v>24</v>
      </c>
      <c r="C516" s="2" t="s">
        <v>501</v>
      </c>
      <c r="D516" s="3">
        <v>429.7</v>
      </c>
      <c r="E516" s="3">
        <v>3.27</v>
      </c>
      <c r="F516" s="3">
        <v>329.6</v>
      </c>
      <c r="G516" s="3">
        <v>369.2</v>
      </c>
      <c r="H516" s="3">
        <v>959.5</v>
      </c>
      <c r="I516" s="4">
        <v>1314.7</v>
      </c>
      <c r="J516" s="4">
        <v>1260</v>
      </c>
      <c r="K516" s="3">
        <v>162.30000000000001</v>
      </c>
      <c r="L516" s="3">
        <v>4.13</v>
      </c>
      <c r="M516" s="4">
        <v>422766</v>
      </c>
      <c r="N516" s="4">
        <v>8364</v>
      </c>
      <c r="O516" s="3">
        <v>14.04</v>
      </c>
      <c r="P516" s="3" t="str">
        <f t="shared" si="8"/>
        <v>NORMAL</v>
      </c>
      <c r="Q516" s="3" cm="1">
        <f t="array" aca="1" ref="Q516" ca="1">AVERAGE(OFFSET(tbl_Process[[#This Row],[Temp_Firing_C]], MAX(1-ROW()+ROW(tbl_Process[#Headers]), -23), 0, MIN(ROW()-ROW(tbl_Process[#Headers]), 24), 1))</f>
        <v>1319.1208333333332</v>
      </c>
      <c r="R516" s="3" t="e" cm="1" vm="1">
        <f t="array" aca="1" ref="R516" ca="1">tbl_Process[Temp_Firing_C] - AVERAGE(tbl_Zones[[Target_Temp_Min_C]:[Target_Temp_Max_C]])</f>
        <v>#VALUE!</v>
      </c>
    </row>
    <row r="517" spans="1:18" x14ac:dyDescent="0.3">
      <c r="A517" s="2" t="s">
        <v>536</v>
      </c>
      <c r="B517" s="2" t="s">
        <v>24</v>
      </c>
      <c r="C517" s="2" t="s">
        <v>501</v>
      </c>
      <c r="D517" s="3">
        <v>430.1</v>
      </c>
      <c r="E517" s="3">
        <v>3.17</v>
      </c>
      <c r="F517" s="3">
        <v>309.7</v>
      </c>
      <c r="G517" s="3">
        <v>379.1</v>
      </c>
      <c r="H517" s="3">
        <v>974.8</v>
      </c>
      <c r="I517" s="4">
        <v>1312</v>
      </c>
      <c r="J517" s="4">
        <v>1248.4000000000001</v>
      </c>
      <c r="K517" s="3">
        <v>161.19999999999999</v>
      </c>
      <c r="L517" s="3">
        <v>4.41</v>
      </c>
      <c r="M517" s="4">
        <v>421355</v>
      </c>
      <c r="N517" s="4">
        <v>8623</v>
      </c>
      <c r="O517" s="3">
        <v>14.32</v>
      </c>
      <c r="P517" s="3" t="str">
        <f t="shared" si="8"/>
        <v>NORMAL</v>
      </c>
      <c r="Q517" s="3" cm="1">
        <f t="array" aca="1" ref="Q517" ca="1">AVERAGE(OFFSET(tbl_Process[[#This Row],[Temp_Firing_C]], MAX(1-ROW()+ROW(tbl_Process[#Headers]), -23), 0, MIN(ROW()-ROW(tbl_Process[#Headers]), 24), 1))</f>
        <v>1318.3124999999998</v>
      </c>
      <c r="R517" s="3" t="e" cm="1" vm="1">
        <f t="array" aca="1" ref="R517" ca="1">tbl_Process[Temp_Firing_C] - AVERAGE(tbl_Zones[[Target_Temp_Min_C]:[Target_Temp_Max_C]])</f>
        <v>#VALUE!</v>
      </c>
    </row>
    <row r="518" spans="1:18" x14ac:dyDescent="0.3">
      <c r="A518" s="2" t="s">
        <v>537</v>
      </c>
      <c r="B518" s="2" t="s">
        <v>24</v>
      </c>
      <c r="C518" s="2" t="s">
        <v>501</v>
      </c>
      <c r="D518" s="3">
        <v>424.7</v>
      </c>
      <c r="E518" s="3">
        <v>3.08</v>
      </c>
      <c r="F518" s="3">
        <v>318.3</v>
      </c>
      <c r="G518" s="3">
        <v>380.4</v>
      </c>
      <c r="H518" s="3">
        <v>972.3</v>
      </c>
      <c r="I518" s="4">
        <v>1327.2</v>
      </c>
      <c r="J518" s="4">
        <v>1257.7</v>
      </c>
      <c r="K518" s="3">
        <v>161.4</v>
      </c>
      <c r="L518" s="3">
        <v>4.3</v>
      </c>
      <c r="M518" s="4">
        <v>421986</v>
      </c>
      <c r="N518" s="4">
        <v>8844</v>
      </c>
      <c r="O518" s="3">
        <v>13.88</v>
      </c>
      <c r="P518" s="3" t="str">
        <f t="shared" si="8"/>
        <v>NORMAL</v>
      </c>
      <c r="Q518" s="3" cm="1">
        <f t="array" aca="1" ref="Q518" ca="1">AVERAGE(OFFSET(tbl_Process[[#This Row],[Temp_Firing_C]], MAX(1-ROW()+ROW(tbl_Process[#Headers]), -23), 0, MIN(ROW()-ROW(tbl_Process[#Headers]), 24), 1))</f>
        <v>1318.2708333333333</v>
      </c>
      <c r="R518" s="3" t="e" cm="1" vm="1">
        <f t="array" aca="1" ref="R518" ca="1">tbl_Process[Temp_Firing_C] - AVERAGE(tbl_Zones[[Target_Temp_Min_C]:[Target_Temp_Max_C]])</f>
        <v>#VALUE!</v>
      </c>
    </row>
    <row r="519" spans="1:18" x14ac:dyDescent="0.3">
      <c r="A519" s="2" t="s">
        <v>538</v>
      </c>
      <c r="B519" s="2" t="s">
        <v>24</v>
      </c>
      <c r="C519" s="2" t="s">
        <v>501</v>
      </c>
      <c r="D519" s="3">
        <v>429.7</v>
      </c>
      <c r="E519" s="3">
        <v>2.97</v>
      </c>
      <c r="F519" s="3">
        <v>329.2</v>
      </c>
      <c r="G519" s="3">
        <v>375.6</v>
      </c>
      <c r="H519" s="3">
        <v>973.8</v>
      </c>
      <c r="I519" s="4">
        <v>1317</v>
      </c>
      <c r="J519" s="4">
        <v>1248.2</v>
      </c>
      <c r="K519" s="3">
        <v>166.6</v>
      </c>
      <c r="L519" s="3">
        <v>4.2699999999999996</v>
      </c>
      <c r="M519" s="4">
        <v>423790</v>
      </c>
      <c r="N519" s="4">
        <v>8795</v>
      </c>
      <c r="O519" s="3">
        <v>13.89</v>
      </c>
      <c r="P519" s="3" t="str">
        <f t="shared" si="8"/>
        <v>NORMAL</v>
      </c>
      <c r="Q519" s="3" cm="1">
        <f t="array" aca="1" ref="Q519" ca="1">AVERAGE(OFFSET(tbl_Process[[#This Row],[Temp_Firing_C]], MAX(1-ROW()+ROW(tbl_Process[#Headers]), -23), 0, MIN(ROW()-ROW(tbl_Process[#Headers]), 24), 1))</f>
        <v>1317.7249999999999</v>
      </c>
      <c r="R519" s="3" t="e" cm="1" vm="1">
        <f t="array" aca="1" ref="R519" ca="1">tbl_Process[Temp_Firing_C] - AVERAGE(tbl_Zones[[Target_Temp_Min_C]:[Target_Temp_Max_C]])</f>
        <v>#VALUE!</v>
      </c>
    </row>
    <row r="520" spans="1:18" x14ac:dyDescent="0.3">
      <c r="A520" s="2" t="s">
        <v>539</v>
      </c>
      <c r="B520" s="2" t="s">
        <v>33</v>
      </c>
      <c r="C520" s="2" t="s">
        <v>501</v>
      </c>
      <c r="D520" s="3">
        <v>430</v>
      </c>
      <c r="E520" s="3">
        <v>3.05</v>
      </c>
      <c r="F520" s="3">
        <v>325.89999999999998</v>
      </c>
      <c r="G520" s="3">
        <v>375.7</v>
      </c>
      <c r="H520" s="3">
        <v>978.7</v>
      </c>
      <c r="I520" s="4">
        <v>1318.7</v>
      </c>
      <c r="J520" s="4">
        <v>1253.8</v>
      </c>
      <c r="K520" s="3">
        <v>164.1</v>
      </c>
      <c r="L520" s="3">
        <v>4.18</v>
      </c>
      <c r="M520" s="4">
        <v>422323</v>
      </c>
      <c r="N520" s="4">
        <v>8721</v>
      </c>
      <c r="O520" s="3">
        <v>14.25</v>
      </c>
      <c r="P520" s="3" t="str">
        <f t="shared" si="8"/>
        <v>NORMAL</v>
      </c>
      <c r="Q520" s="3" cm="1">
        <f t="array" aca="1" ref="Q520" ca="1">AVERAGE(OFFSET(tbl_Process[[#This Row],[Temp_Firing_C]], MAX(1-ROW()+ROW(tbl_Process[#Headers]), -23), 0, MIN(ROW()-ROW(tbl_Process[#Headers]), 24), 1))</f>
        <v>1317.8583333333333</v>
      </c>
      <c r="R520" s="3" t="e" cm="1" vm="1">
        <f t="array" aca="1" ref="R520" ca="1">tbl_Process[Temp_Firing_C] - AVERAGE(tbl_Zones[[Target_Temp_Min_C]:[Target_Temp_Max_C]])</f>
        <v>#VALUE!</v>
      </c>
    </row>
    <row r="521" spans="1:18" x14ac:dyDescent="0.3">
      <c r="A521" s="2" t="s">
        <v>540</v>
      </c>
      <c r="B521" s="2" t="s">
        <v>33</v>
      </c>
      <c r="C521" s="2" t="s">
        <v>501</v>
      </c>
      <c r="D521" s="3">
        <v>427.3</v>
      </c>
      <c r="E521" s="3">
        <v>3.09</v>
      </c>
      <c r="F521" s="3">
        <v>320.3</v>
      </c>
      <c r="G521" s="3">
        <v>386.3</v>
      </c>
      <c r="H521" s="3">
        <v>959.2</v>
      </c>
      <c r="I521" s="4">
        <v>1335</v>
      </c>
      <c r="J521" s="4">
        <v>1269.0999999999999</v>
      </c>
      <c r="K521" s="3">
        <v>159</v>
      </c>
      <c r="L521" s="3">
        <v>4.13</v>
      </c>
      <c r="M521" s="4">
        <v>421692</v>
      </c>
      <c r="N521" s="4">
        <v>8796</v>
      </c>
      <c r="O521" s="3">
        <v>13.83</v>
      </c>
      <c r="P521" s="3" t="str">
        <f t="shared" si="8"/>
        <v>WARNING</v>
      </c>
      <c r="Q521" s="3" cm="1">
        <f t="array" aca="1" ref="Q521" ca="1">AVERAGE(OFFSET(tbl_Process[[#This Row],[Temp_Firing_C]], MAX(1-ROW()+ROW(tbl_Process[#Headers]), -23), 0, MIN(ROW()-ROW(tbl_Process[#Headers]), 24), 1))</f>
        <v>1319.2958333333333</v>
      </c>
      <c r="R521" s="3" t="e" cm="1" vm="1">
        <f t="array" aca="1" ref="R521" ca="1">tbl_Process[Temp_Firing_C] - AVERAGE(tbl_Zones[[Target_Temp_Min_C]:[Target_Temp_Max_C]])</f>
        <v>#VALUE!</v>
      </c>
    </row>
    <row r="522" spans="1:18" x14ac:dyDescent="0.3">
      <c r="A522" s="2" t="s">
        <v>541</v>
      </c>
      <c r="B522" s="2" t="s">
        <v>33</v>
      </c>
      <c r="C522" s="2" t="s">
        <v>501</v>
      </c>
      <c r="D522" s="3">
        <v>434.5</v>
      </c>
      <c r="E522" s="3">
        <v>3.1</v>
      </c>
      <c r="F522" s="3">
        <v>317.10000000000002</v>
      </c>
      <c r="G522" s="3">
        <v>388.7</v>
      </c>
      <c r="H522" s="3">
        <v>978.7</v>
      </c>
      <c r="I522" s="4">
        <v>1330.2</v>
      </c>
      <c r="J522" s="4">
        <v>1260.0999999999999</v>
      </c>
      <c r="K522" s="3">
        <v>157.6</v>
      </c>
      <c r="L522" s="3">
        <v>4.46</v>
      </c>
      <c r="M522" s="4">
        <v>426280</v>
      </c>
      <c r="N522" s="4">
        <v>8830</v>
      </c>
      <c r="O522" s="3">
        <v>14.12</v>
      </c>
      <c r="P522" s="3" t="str">
        <f t="shared" si="8"/>
        <v>WARNING</v>
      </c>
      <c r="Q522" s="3" cm="1">
        <f t="array" aca="1" ref="Q522" ca="1">AVERAGE(OFFSET(tbl_Process[[#This Row],[Temp_Firing_C]], MAX(1-ROW()+ROW(tbl_Process[#Headers]), -23), 0, MIN(ROW()-ROW(tbl_Process[#Headers]), 24), 1))</f>
        <v>1319.6833333333334</v>
      </c>
      <c r="R522" s="3" t="e" cm="1" vm="1">
        <f t="array" aca="1" ref="R522" ca="1">tbl_Process[Temp_Firing_C] - AVERAGE(tbl_Zones[[Target_Temp_Min_C]:[Target_Temp_Max_C]])</f>
        <v>#VALUE!</v>
      </c>
    </row>
    <row r="523" spans="1:18" x14ac:dyDescent="0.3">
      <c r="A523" s="2" t="s">
        <v>542</v>
      </c>
      <c r="B523" s="2" t="s">
        <v>33</v>
      </c>
      <c r="C523" s="2" t="s">
        <v>501</v>
      </c>
      <c r="D523" s="3">
        <v>434</v>
      </c>
      <c r="E523" s="3">
        <v>3.05</v>
      </c>
      <c r="F523" s="3">
        <v>321.3</v>
      </c>
      <c r="G523" s="3">
        <v>386.5</v>
      </c>
      <c r="H523" s="3">
        <v>946</v>
      </c>
      <c r="I523" s="4">
        <v>1320</v>
      </c>
      <c r="J523" s="4">
        <v>1248.3</v>
      </c>
      <c r="K523" s="3">
        <v>155.1</v>
      </c>
      <c r="L523" s="3">
        <v>4.1500000000000004</v>
      </c>
      <c r="M523" s="4">
        <v>425270</v>
      </c>
      <c r="N523" s="4">
        <v>8701</v>
      </c>
      <c r="O523" s="3">
        <v>13.88</v>
      </c>
      <c r="P523" s="3" t="str">
        <f t="shared" si="8"/>
        <v>NORMAL</v>
      </c>
      <c r="Q523" s="3" cm="1">
        <f t="array" aca="1" ref="Q523" ca="1">AVERAGE(OFFSET(tbl_Process[[#This Row],[Temp_Firing_C]], MAX(1-ROW()+ROW(tbl_Process[#Headers]), -23), 0, MIN(ROW()-ROW(tbl_Process[#Headers]), 24), 1))</f>
        <v>1319.4041666666667</v>
      </c>
      <c r="R523" s="3" t="e" cm="1" vm="1">
        <f t="array" aca="1" ref="R523" ca="1">tbl_Process[Temp_Firing_C] - AVERAGE(tbl_Zones[[Target_Temp_Min_C]:[Target_Temp_Max_C]])</f>
        <v>#VALUE!</v>
      </c>
    </row>
    <row r="524" spans="1:18" x14ac:dyDescent="0.3">
      <c r="A524" s="2" t="s">
        <v>543</v>
      </c>
      <c r="B524" s="2" t="s">
        <v>33</v>
      </c>
      <c r="C524" s="2" t="s">
        <v>501</v>
      </c>
      <c r="D524" s="3">
        <v>430.2</v>
      </c>
      <c r="E524" s="3">
        <v>3.01</v>
      </c>
      <c r="F524" s="3">
        <v>322.60000000000002</v>
      </c>
      <c r="G524" s="3">
        <v>387.9</v>
      </c>
      <c r="H524" s="3">
        <v>959</v>
      </c>
      <c r="I524" s="4">
        <v>1318.4</v>
      </c>
      <c r="J524" s="4">
        <v>1255.5999999999999</v>
      </c>
      <c r="K524" s="3">
        <v>149.9</v>
      </c>
      <c r="L524" s="3">
        <v>4.2300000000000004</v>
      </c>
      <c r="M524" s="4">
        <v>434169</v>
      </c>
      <c r="N524" s="4">
        <v>8706</v>
      </c>
      <c r="O524" s="3">
        <v>14.01</v>
      </c>
      <c r="P524" s="3" t="str">
        <f t="shared" si="8"/>
        <v>NORMAL</v>
      </c>
      <c r="Q524" s="3" cm="1">
        <f t="array" aca="1" ref="Q524" ca="1">AVERAGE(OFFSET(tbl_Process[[#This Row],[Temp_Firing_C]], MAX(1-ROW()+ROW(tbl_Process[#Headers]), -23), 0, MIN(ROW()-ROW(tbl_Process[#Headers]), 24), 1))</f>
        <v>1319.0625000000002</v>
      </c>
      <c r="R524" s="3" t="e" cm="1" vm="1">
        <f t="array" aca="1" ref="R524" ca="1">tbl_Process[Temp_Firing_C] - AVERAGE(tbl_Zones[[Target_Temp_Min_C]:[Target_Temp_Max_C]])</f>
        <v>#VALUE!</v>
      </c>
    </row>
    <row r="525" spans="1:18" x14ac:dyDescent="0.3">
      <c r="A525" s="2" t="s">
        <v>544</v>
      </c>
      <c r="B525" s="2" t="s">
        <v>33</v>
      </c>
      <c r="C525" s="2" t="s">
        <v>501</v>
      </c>
      <c r="D525" s="3">
        <v>433</v>
      </c>
      <c r="E525" s="3">
        <v>3.23</v>
      </c>
      <c r="F525" s="3">
        <v>326</v>
      </c>
      <c r="G525" s="3">
        <v>365.1</v>
      </c>
      <c r="H525" s="3">
        <v>967</v>
      </c>
      <c r="I525" s="4">
        <v>1340.9</v>
      </c>
      <c r="J525" s="4">
        <v>1279.5999999999999</v>
      </c>
      <c r="K525" s="3">
        <v>154.30000000000001</v>
      </c>
      <c r="L525" s="3">
        <v>4.29</v>
      </c>
      <c r="M525" s="4">
        <v>422880</v>
      </c>
      <c r="N525" s="4">
        <v>9139</v>
      </c>
      <c r="O525" s="3">
        <v>13.45</v>
      </c>
      <c r="P525" s="3" t="str">
        <f t="shared" si="8"/>
        <v>WARNING</v>
      </c>
      <c r="Q525" s="3" cm="1">
        <f t="array" aca="1" ref="Q525" ca="1">AVERAGE(OFFSET(tbl_Process[[#This Row],[Temp_Firing_C]], MAX(1-ROW()+ROW(tbl_Process[#Headers]), -23), 0, MIN(ROW()-ROW(tbl_Process[#Headers]), 24), 1))</f>
        <v>1320.2500000000002</v>
      </c>
      <c r="R525" s="3" t="e" cm="1" vm="1">
        <f t="array" aca="1" ref="R525" ca="1">tbl_Process[Temp_Firing_C] - AVERAGE(tbl_Zones[[Target_Temp_Min_C]:[Target_Temp_Max_C]])</f>
        <v>#VALUE!</v>
      </c>
    </row>
    <row r="526" spans="1:18" x14ac:dyDescent="0.3">
      <c r="A526" s="2" t="s">
        <v>545</v>
      </c>
      <c r="B526" s="2" t="s">
        <v>33</v>
      </c>
      <c r="C526" s="2" t="s">
        <v>501</v>
      </c>
      <c r="D526" s="3">
        <v>430.3</v>
      </c>
      <c r="E526" s="3">
        <v>3.03</v>
      </c>
      <c r="F526" s="3">
        <v>317.10000000000002</v>
      </c>
      <c r="G526" s="3">
        <v>390.8</v>
      </c>
      <c r="H526" s="3">
        <v>961.9</v>
      </c>
      <c r="I526" s="4">
        <v>1316.4</v>
      </c>
      <c r="J526" s="4">
        <v>1244.5</v>
      </c>
      <c r="K526" s="3">
        <v>150.9</v>
      </c>
      <c r="L526" s="3">
        <v>4.0199999999999996</v>
      </c>
      <c r="M526" s="4">
        <v>423344</v>
      </c>
      <c r="N526" s="4">
        <v>8814</v>
      </c>
      <c r="O526" s="3">
        <v>13.81</v>
      </c>
      <c r="P526" s="3" t="str">
        <f t="shared" si="8"/>
        <v>NORMAL</v>
      </c>
      <c r="Q526" s="3" cm="1">
        <f t="array" aca="1" ref="Q526" ca="1">AVERAGE(OFFSET(tbl_Process[[#This Row],[Temp_Firing_C]], MAX(1-ROW()+ROW(tbl_Process[#Headers]), -23), 0, MIN(ROW()-ROW(tbl_Process[#Headers]), 24), 1))</f>
        <v>1320.104166666667</v>
      </c>
      <c r="R526" s="3" t="e" cm="1" vm="1">
        <f t="array" aca="1" ref="R526" ca="1">tbl_Process[Temp_Firing_C] - AVERAGE(tbl_Zones[[Target_Temp_Min_C]:[Target_Temp_Max_C]])</f>
        <v>#VALUE!</v>
      </c>
    </row>
    <row r="527" spans="1:18" x14ac:dyDescent="0.3">
      <c r="A527" s="2" t="s">
        <v>546</v>
      </c>
      <c r="B527" s="2" t="s">
        <v>33</v>
      </c>
      <c r="C527" s="2" t="s">
        <v>501</v>
      </c>
      <c r="D527" s="3">
        <v>436.3</v>
      </c>
      <c r="E527" s="3">
        <v>3.04</v>
      </c>
      <c r="F527" s="3">
        <v>319.2</v>
      </c>
      <c r="G527" s="3">
        <v>373.3</v>
      </c>
      <c r="H527" s="3">
        <v>973.2</v>
      </c>
      <c r="I527" s="4">
        <v>1338.5</v>
      </c>
      <c r="J527" s="4">
        <v>1262.9000000000001</v>
      </c>
      <c r="K527" s="3">
        <v>158.69999999999999</v>
      </c>
      <c r="L527" s="3">
        <v>4.4000000000000004</v>
      </c>
      <c r="M527" s="4">
        <v>421866</v>
      </c>
      <c r="N527" s="4">
        <v>9030</v>
      </c>
      <c r="O527" s="3">
        <v>14.08</v>
      </c>
      <c r="P527" s="3" t="str">
        <f t="shared" si="8"/>
        <v>WARNING</v>
      </c>
      <c r="Q527" s="3" cm="1">
        <f t="array" aca="1" ref="Q527" ca="1">AVERAGE(OFFSET(tbl_Process[[#This Row],[Temp_Firing_C]], MAX(1-ROW()+ROW(tbl_Process[#Headers]), -23), 0, MIN(ROW()-ROW(tbl_Process[#Headers]), 24), 1))</f>
        <v>1321.5250000000003</v>
      </c>
      <c r="R527" s="3" t="e" cm="1" vm="1">
        <f t="array" aca="1" ref="R527" ca="1">tbl_Process[Temp_Firing_C] - AVERAGE(tbl_Zones[[Target_Temp_Min_C]:[Target_Temp_Max_C]])</f>
        <v>#VALUE!</v>
      </c>
    </row>
    <row r="528" spans="1:18" x14ac:dyDescent="0.3">
      <c r="A528" s="2" t="s">
        <v>547</v>
      </c>
      <c r="B528" s="2" t="s">
        <v>16</v>
      </c>
      <c r="C528" s="2" t="s">
        <v>501</v>
      </c>
      <c r="D528" s="3">
        <v>430.3</v>
      </c>
      <c r="E528" s="3">
        <v>3.14</v>
      </c>
      <c r="F528" s="3">
        <v>331.6</v>
      </c>
      <c r="G528" s="3">
        <v>395</v>
      </c>
      <c r="H528" s="3">
        <v>961.3</v>
      </c>
      <c r="I528" s="4">
        <v>1318.4</v>
      </c>
      <c r="J528" s="4">
        <v>1247.9000000000001</v>
      </c>
      <c r="K528" s="3">
        <v>165.6</v>
      </c>
      <c r="L528" s="3">
        <v>4.03</v>
      </c>
      <c r="M528" s="4">
        <v>422428</v>
      </c>
      <c r="N528" s="4">
        <v>8733</v>
      </c>
      <c r="O528" s="3">
        <v>13.89</v>
      </c>
      <c r="P528" s="3" t="str">
        <f t="shared" si="8"/>
        <v>NORMAL</v>
      </c>
      <c r="Q528" s="3" cm="1">
        <f t="array" aca="1" ref="Q528" ca="1">AVERAGE(OFFSET(tbl_Process[[#This Row],[Temp_Firing_C]], MAX(1-ROW()+ROW(tbl_Process[#Headers]), -23), 0, MIN(ROW()-ROW(tbl_Process[#Headers]), 24), 1))</f>
        <v>1322.2958333333338</v>
      </c>
      <c r="R528" s="3" t="e" cm="1" vm="1">
        <f t="array" aca="1" ref="R528" ca="1">tbl_Process[Temp_Firing_C] - AVERAGE(tbl_Zones[[Target_Temp_Min_C]:[Target_Temp_Max_C]])</f>
        <v>#VALUE!</v>
      </c>
    </row>
    <row r="529" spans="1:18" x14ac:dyDescent="0.3">
      <c r="A529" s="2" t="s">
        <v>548</v>
      </c>
      <c r="B529" s="2" t="s">
        <v>16</v>
      </c>
      <c r="C529" s="2" t="s">
        <v>501</v>
      </c>
      <c r="D529" s="3">
        <v>431.1</v>
      </c>
      <c r="E529" s="3">
        <v>3.31</v>
      </c>
      <c r="F529" s="3">
        <v>320.7</v>
      </c>
      <c r="G529" s="3">
        <v>378.9</v>
      </c>
      <c r="H529" s="3">
        <v>975</v>
      </c>
      <c r="I529" s="4">
        <v>1325.7</v>
      </c>
      <c r="J529" s="4">
        <v>1269.3</v>
      </c>
      <c r="K529" s="3">
        <v>161.80000000000001</v>
      </c>
      <c r="L529" s="3">
        <v>4.22</v>
      </c>
      <c r="M529" s="4">
        <v>418383</v>
      </c>
      <c r="N529" s="4">
        <v>8614</v>
      </c>
      <c r="O529" s="3">
        <v>13.65</v>
      </c>
      <c r="P529" s="3" t="str">
        <f t="shared" si="8"/>
        <v>NORMAL</v>
      </c>
      <c r="Q529" s="3" cm="1">
        <f t="array" aca="1" ref="Q529" ca="1">AVERAGE(OFFSET(tbl_Process[[#This Row],[Temp_Firing_C]], MAX(1-ROW()+ROW(tbl_Process[#Headers]), -23), 0, MIN(ROW()-ROW(tbl_Process[#Headers]), 24), 1))</f>
        <v>1322.6083333333336</v>
      </c>
      <c r="R529" s="3" t="e" cm="1" vm="1">
        <f t="array" aca="1" ref="R529" ca="1">tbl_Process[Temp_Firing_C] - AVERAGE(tbl_Zones[[Target_Temp_Min_C]:[Target_Temp_Max_C]])</f>
        <v>#VALUE!</v>
      </c>
    </row>
    <row r="530" spans="1:18" x14ac:dyDescent="0.3">
      <c r="A530" s="2" t="s">
        <v>549</v>
      </c>
      <c r="B530" s="2" t="s">
        <v>16</v>
      </c>
      <c r="C530" s="2" t="s">
        <v>501</v>
      </c>
      <c r="D530" s="3">
        <v>431.5</v>
      </c>
      <c r="E530" s="3">
        <v>2.99</v>
      </c>
      <c r="F530" s="3">
        <v>329.4</v>
      </c>
      <c r="G530" s="3">
        <v>382.7</v>
      </c>
      <c r="H530" s="3">
        <v>960.8</v>
      </c>
      <c r="I530" s="4">
        <v>1318.3</v>
      </c>
      <c r="J530" s="4">
        <v>1257</v>
      </c>
      <c r="K530" s="3">
        <v>157.19999999999999</v>
      </c>
      <c r="L530" s="3">
        <v>4.0599999999999996</v>
      </c>
      <c r="M530" s="4">
        <v>427453</v>
      </c>
      <c r="N530" s="4">
        <v>8762</v>
      </c>
      <c r="O530" s="3">
        <v>13.93</v>
      </c>
      <c r="P530" s="3" t="str">
        <f t="shared" si="8"/>
        <v>NORMAL</v>
      </c>
      <c r="Q530" s="3" cm="1">
        <f t="array" aca="1" ref="Q530" ca="1">AVERAGE(OFFSET(tbl_Process[[#This Row],[Temp_Firing_C]], MAX(1-ROW()+ROW(tbl_Process[#Headers]), -23), 0, MIN(ROW()-ROW(tbl_Process[#Headers]), 24), 1))</f>
        <v>1321.8750000000002</v>
      </c>
      <c r="R530" s="3" t="e" cm="1" vm="1">
        <f t="array" aca="1" ref="R530" ca="1">tbl_Process[Temp_Firing_C] - AVERAGE(tbl_Zones[[Target_Temp_Min_C]:[Target_Temp_Max_C]])</f>
        <v>#VALUE!</v>
      </c>
    </row>
    <row r="531" spans="1:18" x14ac:dyDescent="0.3">
      <c r="A531" s="2" t="s">
        <v>550</v>
      </c>
      <c r="B531" s="2" t="s">
        <v>16</v>
      </c>
      <c r="C531" s="2" t="s">
        <v>501</v>
      </c>
      <c r="D531" s="3">
        <v>432.6</v>
      </c>
      <c r="E531" s="3">
        <v>3.1</v>
      </c>
      <c r="F531" s="3">
        <v>324.60000000000002</v>
      </c>
      <c r="G531" s="3">
        <v>377.4</v>
      </c>
      <c r="H531" s="3">
        <v>989.5</v>
      </c>
      <c r="I531" s="4">
        <v>1321.5</v>
      </c>
      <c r="J531" s="4">
        <v>1265.8</v>
      </c>
      <c r="K531" s="3">
        <v>160.6</v>
      </c>
      <c r="L531" s="3">
        <v>4.3099999999999996</v>
      </c>
      <c r="M531" s="4">
        <v>426440</v>
      </c>
      <c r="N531" s="4">
        <v>8896</v>
      </c>
      <c r="O531" s="3">
        <v>13.67</v>
      </c>
      <c r="P531" s="3" t="str">
        <f t="shared" si="8"/>
        <v>NORMAL</v>
      </c>
      <c r="Q531" s="3" cm="1">
        <f t="array" aca="1" ref="Q531" ca="1">AVERAGE(OFFSET(tbl_Process[[#This Row],[Temp_Firing_C]], MAX(1-ROW()+ROW(tbl_Process[#Headers]), -23), 0, MIN(ROW()-ROW(tbl_Process[#Headers]), 24), 1))</f>
        <v>1321.7666666666671</v>
      </c>
      <c r="R531" s="3" t="e" cm="1" vm="1">
        <f t="array" aca="1" ref="R531" ca="1">tbl_Process[Temp_Firing_C] - AVERAGE(tbl_Zones[[Target_Temp_Min_C]:[Target_Temp_Max_C]])</f>
        <v>#VALUE!</v>
      </c>
    </row>
    <row r="532" spans="1:18" x14ac:dyDescent="0.3">
      <c r="A532" s="2" t="s">
        <v>551</v>
      </c>
      <c r="B532" s="2" t="s">
        <v>16</v>
      </c>
      <c r="C532" s="2" t="s">
        <v>501</v>
      </c>
      <c r="D532" s="3">
        <v>434.3</v>
      </c>
      <c r="E532" s="3">
        <v>3.25</v>
      </c>
      <c r="F532" s="3">
        <v>321.2</v>
      </c>
      <c r="G532" s="3">
        <v>383.9</v>
      </c>
      <c r="H532" s="3">
        <v>959.2</v>
      </c>
      <c r="I532" s="4">
        <v>1324.5</v>
      </c>
      <c r="J532" s="4">
        <v>1269.8</v>
      </c>
      <c r="K532" s="3">
        <v>156.80000000000001</v>
      </c>
      <c r="L532" s="3">
        <v>4.16</v>
      </c>
      <c r="M532" s="4">
        <v>430048</v>
      </c>
      <c r="N532" s="4">
        <v>8869</v>
      </c>
      <c r="O532" s="3">
        <v>14.43</v>
      </c>
      <c r="P532" s="3" t="str">
        <f t="shared" si="8"/>
        <v>NORMAL</v>
      </c>
      <c r="Q532" s="3" cm="1">
        <f t="array" aca="1" ref="Q532" ca="1">AVERAGE(OFFSET(tbl_Process[[#This Row],[Temp_Firing_C]], MAX(1-ROW()+ROW(tbl_Process[#Headers]), -23), 0, MIN(ROW()-ROW(tbl_Process[#Headers]), 24), 1))</f>
        <v>1322.1500000000003</v>
      </c>
      <c r="R532" s="3" t="e" cm="1" vm="1">
        <f t="array" aca="1" ref="R532" ca="1">tbl_Process[Temp_Firing_C] - AVERAGE(tbl_Zones[[Target_Temp_Min_C]:[Target_Temp_Max_C]])</f>
        <v>#VALUE!</v>
      </c>
    </row>
    <row r="533" spans="1:18" x14ac:dyDescent="0.3">
      <c r="A533" s="2" t="s">
        <v>552</v>
      </c>
      <c r="B533" s="2" t="s">
        <v>16</v>
      </c>
      <c r="C533" s="2" t="s">
        <v>501</v>
      </c>
      <c r="D533" s="3">
        <v>428.2</v>
      </c>
      <c r="E533" s="3">
        <v>3.11</v>
      </c>
      <c r="F533" s="3">
        <v>319.10000000000002</v>
      </c>
      <c r="G533" s="3">
        <v>385.1</v>
      </c>
      <c r="H533" s="3">
        <v>944.9</v>
      </c>
      <c r="I533" s="4">
        <v>1333.7</v>
      </c>
      <c r="J533" s="4">
        <v>1270.5999999999999</v>
      </c>
      <c r="K533" s="3">
        <v>161.80000000000001</v>
      </c>
      <c r="L533" s="3">
        <v>4.12</v>
      </c>
      <c r="M533" s="4">
        <v>422934</v>
      </c>
      <c r="N533" s="4">
        <v>8992</v>
      </c>
      <c r="O533" s="3">
        <v>13.51</v>
      </c>
      <c r="P533" s="3" t="str">
        <f t="shared" si="8"/>
        <v>WARNING</v>
      </c>
      <c r="Q533" s="3" cm="1">
        <f t="array" aca="1" ref="Q533" ca="1">AVERAGE(OFFSET(tbl_Process[[#This Row],[Temp_Firing_C]], MAX(1-ROW()+ROW(tbl_Process[#Headers]), -23), 0, MIN(ROW()-ROW(tbl_Process[#Headers]), 24), 1))</f>
        <v>1322.8000000000004</v>
      </c>
      <c r="R533" s="3" t="e" cm="1" vm="1">
        <f t="array" aca="1" ref="R533" ca="1">tbl_Process[Temp_Firing_C] - AVERAGE(tbl_Zones[[Target_Temp_Min_C]:[Target_Temp_Max_C]])</f>
        <v>#VALUE!</v>
      </c>
    </row>
    <row r="534" spans="1:18" x14ac:dyDescent="0.3">
      <c r="A534" s="2" t="s">
        <v>553</v>
      </c>
      <c r="B534" s="2" t="s">
        <v>16</v>
      </c>
      <c r="C534" s="2" t="s">
        <v>501</v>
      </c>
      <c r="D534" s="3">
        <v>432</v>
      </c>
      <c r="E534" s="3">
        <v>3.27</v>
      </c>
      <c r="F534" s="3">
        <v>332.3</v>
      </c>
      <c r="G534" s="3">
        <v>374</v>
      </c>
      <c r="H534" s="3">
        <v>960.3</v>
      </c>
      <c r="I534" s="4">
        <v>1332.4</v>
      </c>
      <c r="J534" s="4">
        <v>1267</v>
      </c>
      <c r="K534" s="3">
        <v>155.30000000000001</v>
      </c>
      <c r="L534" s="3">
        <v>4.3</v>
      </c>
      <c r="M534" s="4">
        <v>425797</v>
      </c>
      <c r="N534" s="4">
        <v>9119</v>
      </c>
      <c r="O534" s="3">
        <v>13.64</v>
      </c>
      <c r="P534" s="3" t="str">
        <f t="shared" si="8"/>
        <v>WARNING</v>
      </c>
      <c r="Q534" s="3" cm="1">
        <f t="array" aca="1" ref="Q534" ca="1">AVERAGE(OFFSET(tbl_Process[[#This Row],[Temp_Firing_C]], MAX(1-ROW()+ROW(tbl_Process[#Headers]), -23), 0, MIN(ROW()-ROW(tbl_Process[#Headers]), 24), 1))</f>
        <v>1323.3708333333338</v>
      </c>
      <c r="R534" s="3" t="e" cm="1" vm="1">
        <f t="array" aca="1" ref="R534" ca="1">tbl_Process[Temp_Firing_C] - AVERAGE(tbl_Zones[[Target_Temp_Min_C]:[Target_Temp_Max_C]])</f>
        <v>#VALUE!</v>
      </c>
    </row>
    <row r="535" spans="1:18" x14ac:dyDescent="0.3">
      <c r="A535" s="2" t="s">
        <v>554</v>
      </c>
      <c r="B535" s="2" t="s">
        <v>16</v>
      </c>
      <c r="C535" s="2" t="s">
        <v>501</v>
      </c>
      <c r="D535" s="3">
        <v>434.7</v>
      </c>
      <c r="E535" s="3">
        <v>3</v>
      </c>
      <c r="F535" s="3">
        <v>317.39999999999998</v>
      </c>
      <c r="G535" s="3">
        <v>389.8</v>
      </c>
      <c r="H535" s="3">
        <v>980.1</v>
      </c>
      <c r="I535" s="4">
        <v>1321.9</v>
      </c>
      <c r="J535" s="4">
        <v>1257</v>
      </c>
      <c r="K535" s="3">
        <v>155.5</v>
      </c>
      <c r="L535" s="3">
        <v>4.1900000000000004</v>
      </c>
      <c r="M535" s="4">
        <v>426871</v>
      </c>
      <c r="N535" s="4">
        <v>8711</v>
      </c>
      <c r="O535" s="3">
        <v>13.97</v>
      </c>
      <c r="P535" s="3" t="str">
        <f t="shared" si="8"/>
        <v>NORMAL</v>
      </c>
      <c r="Q535" s="3" cm="1">
        <f t="array" aca="1" ref="Q535" ca="1">AVERAGE(OFFSET(tbl_Process[[#This Row],[Temp_Firing_C]], MAX(1-ROW()+ROW(tbl_Process[#Headers]), -23), 0, MIN(ROW()-ROW(tbl_Process[#Headers]), 24), 1))</f>
        <v>1323.4750000000004</v>
      </c>
      <c r="R535" s="3" t="e" cm="1" vm="1">
        <f t="array" aca="1" ref="R535" ca="1">tbl_Process[Temp_Firing_C] - AVERAGE(tbl_Zones[[Target_Temp_Min_C]:[Target_Temp_Max_C]])</f>
        <v>#VALUE!</v>
      </c>
    </row>
    <row r="536" spans="1:18" x14ac:dyDescent="0.3">
      <c r="A536" s="2" t="s">
        <v>555</v>
      </c>
      <c r="B536" s="2" t="s">
        <v>24</v>
      </c>
      <c r="C536" s="2" t="s">
        <v>501</v>
      </c>
      <c r="D536" s="3">
        <v>425.5</v>
      </c>
      <c r="E536" s="3">
        <v>3.05</v>
      </c>
      <c r="F536" s="3">
        <v>334.2</v>
      </c>
      <c r="G536" s="3">
        <v>385.4</v>
      </c>
      <c r="H536" s="3">
        <v>955.3</v>
      </c>
      <c r="I536" s="4">
        <v>1327.2</v>
      </c>
      <c r="J536" s="4">
        <v>1252.5999999999999</v>
      </c>
      <c r="K536" s="3">
        <v>157.4</v>
      </c>
      <c r="L536" s="3">
        <v>4.28</v>
      </c>
      <c r="M536" s="4">
        <v>424397</v>
      </c>
      <c r="N536" s="4">
        <v>9053</v>
      </c>
      <c r="O536" s="3">
        <v>13.73</v>
      </c>
      <c r="P536" s="3" t="str">
        <f t="shared" si="8"/>
        <v>NORMAL</v>
      </c>
      <c r="Q536" s="3" cm="1">
        <f t="array" aca="1" ref="Q536" ca="1">AVERAGE(OFFSET(tbl_Process[[#This Row],[Temp_Firing_C]], MAX(1-ROW()+ROW(tbl_Process[#Headers]), -23), 0, MIN(ROW()-ROW(tbl_Process[#Headers]), 24), 1))</f>
        <v>1324.0333333333335</v>
      </c>
      <c r="R536" s="3" t="e" cm="1" vm="1">
        <f t="array" aca="1" ref="R536" ca="1">tbl_Process[Temp_Firing_C] - AVERAGE(tbl_Zones[[Target_Temp_Min_C]:[Target_Temp_Max_C]])</f>
        <v>#VALUE!</v>
      </c>
    </row>
    <row r="537" spans="1:18" x14ac:dyDescent="0.3">
      <c r="A537" s="2" t="s">
        <v>556</v>
      </c>
      <c r="B537" s="2" t="s">
        <v>24</v>
      </c>
      <c r="C537" s="2" t="s">
        <v>501</v>
      </c>
      <c r="D537" s="3">
        <v>429.9</v>
      </c>
      <c r="E537" s="3">
        <v>3.15</v>
      </c>
      <c r="F537" s="3">
        <v>307.60000000000002</v>
      </c>
      <c r="G537" s="3">
        <v>386.3</v>
      </c>
      <c r="H537" s="3">
        <v>966.7</v>
      </c>
      <c r="I537" s="4">
        <v>1341.6</v>
      </c>
      <c r="J537" s="4">
        <v>1282.4000000000001</v>
      </c>
      <c r="K537" s="3">
        <v>156.80000000000001</v>
      </c>
      <c r="L537" s="3">
        <v>4.3499999999999996</v>
      </c>
      <c r="M537" s="4">
        <v>426570</v>
      </c>
      <c r="N537" s="4">
        <v>8891</v>
      </c>
      <c r="O537" s="3">
        <v>13.94</v>
      </c>
      <c r="P537" s="3" t="str">
        <f t="shared" si="8"/>
        <v>WARNING</v>
      </c>
      <c r="Q537" s="3" cm="1">
        <f t="array" aca="1" ref="Q537" ca="1">AVERAGE(OFFSET(tbl_Process[[#This Row],[Temp_Firing_C]], MAX(1-ROW()+ROW(tbl_Process[#Headers]), -23), 0, MIN(ROW()-ROW(tbl_Process[#Headers]), 24), 1))</f>
        <v>1325.4000000000003</v>
      </c>
      <c r="R537" s="3" t="e" cm="1" vm="1">
        <f t="array" aca="1" ref="R537" ca="1">tbl_Process[Temp_Firing_C] - AVERAGE(tbl_Zones[[Target_Temp_Min_C]:[Target_Temp_Max_C]])</f>
        <v>#VALUE!</v>
      </c>
    </row>
    <row r="538" spans="1:18" x14ac:dyDescent="0.3">
      <c r="A538" s="2" t="s">
        <v>557</v>
      </c>
      <c r="B538" s="2" t="s">
        <v>24</v>
      </c>
      <c r="C538" s="2" t="s">
        <v>501</v>
      </c>
      <c r="D538" s="3">
        <v>429.2</v>
      </c>
      <c r="E538" s="3">
        <v>3.22</v>
      </c>
      <c r="F538" s="3">
        <v>325.60000000000002</v>
      </c>
      <c r="G538" s="3">
        <v>386.2</v>
      </c>
      <c r="H538" s="3">
        <v>977.9</v>
      </c>
      <c r="I538" s="4">
        <v>1338.2</v>
      </c>
      <c r="J538" s="4">
        <v>1277.9000000000001</v>
      </c>
      <c r="K538" s="3">
        <v>169.5</v>
      </c>
      <c r="L538" s="3">
        <v>4.28</v>
      </c>
      <c r="M538" s="4">
        <v>427463</v>
      </c>
      <c r="N538" s="4">
        <v>9107</v>
      </c>
      <c r="O538" s="3">
        <v>13.69</v>
      </c>
      <c r="P538" s="3" t="str">
        <f t="shared" si="8"/>
        <v>WARNING</v>
      </c>
      <c r="Q538" s="3" cm="1">
        <f t="array" aca="1" ref="Q538" ca="1">AVERAGE(OFFSET(tbl_Process[[#This Row],[Temp_Firing_C]], MAX(1-ROW()+ROW(tbl_Process[#Headers]), -23), 0, MIN(ROW()-ROW(tbl_Process[#Headers]), 24), 1))</f>
        <v>1325.5083333333334</v>
      </c>
      <c r="R538" s="3" t="e" cm="1" vm="1">
        <f t="array" aca="1" ref="R538" ca="1">tbl_Process[Temp_Firing_C] - AVERAGE(tbl_Zones[[Target_Temp_Min_C]:[Target_Temp_Max_C]])</f>
        <v>#VALUE!</v>
      </c>
    </row>
    <row r="539" spans="1:18" x14ac:dyDescent="0.3">
      <c r="A539" s="2" t="s">
        <v>558</v>
      </c>
      <c r="B539" s="2" t="s">
        <v>24</v>
      </c>
      <c r="C539" s="2" t="s">
        <v>501</v>
      </c>
      <c r="D539" s="3">
        <v>430.1</v>
      </c>
      <c r="E539" s="3">
        <v>3.24</v>
      </c>
      <c r="F539" s="3">
        <v>333.1</v>
      </c>
      <c r="G539" s="3">
        <v>384.4</v>
      </c>
      <c r="H539" s="3">
        <v>961.2</v>
      </c>
      <c r="I539" s="4">
        <v>1340.6</v>
      </c>
      <c r="J539" s="4">
        <v>1280.4000000000001</v>
      </c>
      <c r="K539" s="3">
        <v>163.80000000000001</v>
      </c>
      <c r="L539" s="3">
        <v>4.18</v>
      </c>
      <c r="M539" s="4">
        <v>428469</v>
      </c>
      <c r="N539" s="4">
        <v>8985</v>
      </c>
      <c r="O539" s="3">
        <v>13.65</v>
      </c>
      <c r="P539" s="3" t="str">
        <f t="shared" si="8"/>
        <v>WARNING</v>
      </c>
      <c r="Q539" s="3" cm="1">
        <f t="array" aca="1" ref="Q539" ca="1">AVERAGE(OFFSET(tbl_Process[[#This Row],[Temp_Firing_C]], MAX(1-ROW()+ROW(tbl_Process[#Headers]), -23), 0, MIN(ROW()-ROW(tbl_Process[#Headers]), 24), 1))</f>
        <v>1326.375</v>
      </c>
      <c r="R539" s="3" t="e" cm="1" vm="1">
        <f t="array" aca="1" ref="R539" ca="1">tbl_Process[Temp_Firing_C] - AVERAGE(tbl_Zones[[Target_Temp_Min_C]:[Target_Temp_Max_C]])</f>
        <v>#VALUE!</v>
      </c>
    </row>
    <row r="540" spans="1:18" x14ac:dyDescent="0.3">
      <c r="A540" s="2" t="s">
        <v>559</v>
      </c>
      <c r="B540" s="2" t="s">
        <v>24</v>
      </c>
      <c r="C540" s="2" t="s">
        <v>501</v>
      </c>
      <c r="D540" s="3">
        <v>430.5</v>
      </c>
      <c r="E540" s="3">
        <v>3.12</v>
      </c>
      <c r="F540" s="3">
        <v>320.8</v>
      </c>
      <c r="G540" s="3">
        <v>390.4</v>
      </c>
      <c r="H540" s="3">
        <v>981.6</v>
      </c>
      <c r="I540" s="4">
        <v>1335.9</v>
      </c>
      <c r="J540" s="4">
        <v>1269.2</v>
      </c>
      <c r="K540" s="3">
        <v>165.8</v>
      </c>
      <c r="L540" s="3">
        <v>4.21</v>
      </c>
      <c r="M540" s="4">
        <v>422137</v>
      </c>
      <c r="N540" s="4">
        <v>9012</v>
      </c>
      <c r="O540" s="3">
        <v>13.83</v>
      </c>
      <c r="P540" s="3" t="str">
        <f t="shared" si="8"/>
        <v>WARNING</v>
      </c>
      <c r="Q540" s="3" cm="1">
        <f t="array" aca="1" ref="Q540" ca="1">AVERAGE(OFFSET(tbl_Process[[#This Row],[Temp_Firing_C]], MAX(1-ROW()+ROW(tbl_Process[#Headers]), -23), 0, MIN(ROW()-ROW(tbl_Process[#Headers]), 24), 1))</f>
        <v>1327.2583333333334</v>
      </c>
      <c r="R540" s="3" t="e" cm="1" vm="1">
        <f t="array" aca="1" ref="R540" ca="1">tbl_Process[Temp_Firing_C] - AVERAGE(tbl_Zones[[Target_Temp_Min_C]:[Target_Temp_Max_C]])</f>
        <v>#VALUE!</v>
      </c>
    </row>
    <row r="541" spans="1:18" x14ac:dyDescent="0.3">
      <c r="A541" s="2" t="s">
        <v>560</v>
      </c>
      <c r="B541" s="2" t="s">
        <v>24</v>
      </c>
      <c r="C541" s="2" t="s">
        <v>501</v>
      </c>
      <c r="D541" s="3">
        <v>440.4</v>
      </c>
      <c r="E541" s="3">
        <v>3.22</v>
      </c>
      <c r="F541" s="3">
        <v>327</v>
      </c>
      <c r="G541" s="3">
        <v>385.4</v>
      </c>
      <c r="H541" s="3">
        <v>967.4</v>
      </c>
      <c r="I541" s="4">
        <v>1319.2</v>
      </c>
      <c r="J541" s="4">
        <v>1243.8</v>
      </c>
      <c r="K541" s="3">
        <v>157.4</v>
      </c>
      <c r="L541" s="3">
        <v>4.33</v>
      </c>
      <c r="M541" s="4">
        <v>416087</v>
      </c>
      <c r="N541" s="4">
        <v>8665</v>
      </c>
      <c r="O541" s="3">
        <v>14.01</v>
      </c>
      <c r="P541" s="3" t="str">
        <f t="shared" si="8"/>
        <v>NORMAL</v>
      </c>
      <c r="Q541" s="3" cm="1">
        <f t="array" aca="1" ref="Q541" ca="1">AVERAGE(OFFSET(tbl_Process[[#This Row],[Temp_Firing_C]], MAX(1-ROW()+ROW(tbl_Process[#Headers]), -23), 0, MIN(ROW()-ROW(tbl_Process[#Headers]), 24), 1))</f>
        <v>1327.5583333333336</v>
      </c>
      <c r="R541" s="3" t="e" cm="1" vm="1">
        <f t="array" aca="1" ref="R541" ca="1">tbl_Process[Temp_Firing_C] - AVERAGE(tbl_Zones[[Target_Temp_Min_C]:[Target_Temp_Max_C]])</f>
        <v>#VALUE!</v>
      </c>
    </row>
    <row r="542" spans="1:18" x14ac:dyDescent="0.3">
      <c r="A542" s="2" t="s">
        <v>561</v>
      </c>
      <c r="B542" s="2" t="s">
        <v>24</v>
      </c>
      <c r="C542" s="2" t="s">
        <v>501</v>
      </c>
      <c r="D542" s="3">
        <v>429.1</v>
      </c>
      <c r="E542" s="3">
        <v>3.05</v>
      </c>
      <c r="F542" s="3">
        <v>320.3</v>
      </c>
      <c r="G542" s="3">
        <v>395.2</v>
      </c>
      <c r="H542" s="3">
        <v>972.6</v>
      </c>
      <c r="I542" s="4">
        <v>1321.8</v>
      </c>
      <c r="J542" s="4">
        <v>1256.4000000000001</v>
      </c>
      <c r="K542" s="3">
        <v>161.4</v>
      </c>
      <c r="L542" s="3">
        <v>4.07</v>
      </c>
      <c r="M542" s="4">
        <v>421232</v>
      </c>
      <c r="N542" s="4">
        <v>8883</v>
      </c>
      <c r="O542" s="3">
        <v>13.79</v>
      </c>
      <c r="P542" s="3" t="str">
        <f t="shared" si="8"/>
        <v>NORMAL</v>
      </c>
      <c r="Q542" s="3" cm="1">
        <f t="array" aca="1" ref="Q542" ca="1">AVERAGE(OFFSET(tbl_Process[[#This Row],[Temp_Firing_C]], MAX(1-ROW()+ROW(tbl_Process[#Headers]), -23), 0, MIN(ROW()-ROW(tbl_Process[#Headers]), 24), 1))</f>
        <v>1327.3333333333335</v>
      </c>
      <c r="R542" s="3" t="e" cm="1" vm="1">
        <f t="array" aca="1" ref="R542" ca="1">tbl_Process[Temp_Firing_C] - AVERAGE(tbl_Zones[[Target_Temp_Min_C]:[Target_Temp_Max_C]])</f>
        <v>#VALUE!</v>
      </c>
    </row>
    <row r="543" spans="1:18" x14ac:dyDescent="0.3">
      <c r="A543" s="2" t="s">
        <v>562</v>
      </c>
      <c r="B543" s="2" t="s">
        <v>24</v>
      </c>
      <c r="C543" s="2" t="s">
        <v>501</v>
      </c>
      <c r="D543" s="3">
        <v>425.6</v>
      </c>
      <c r="E543" s="3">
        <v>3.1</v>
      </c>
      <c r="F543" s="3">
        <v>322.7</v>
      </c>
      <c r="G543" s="3">
        <v>368.8</v>
      </c>
      <c r="H543" s="3">
        <v>963.5</v>
      </c>
      <c r="I543" s="4">
        <v>1332.2</v>
      </c>
      <c r="J543" s="4">
        <v>1269.9000000000001</v>
      </c>
      <c r="K543" s="3">
        <v>172.5</v>
      </c>
      <c r="L543" s="3">
        <v>4.28</v>
      </c>
      <c r="M543" s="4">
        <v>430867</v>
      </c>
      <c r="N543" s="4">
        <v>9222</v>
      </c>
      <c r="O543" s="3">
        <v>13.81</v>
      </c>
      <c r="P543" s="3" t="str">
        <f t="shared" si="8"/>
        <v>WARNING</v>
      </c>
      <c r="Q543" s="3" cm="1">
        <f t="array" aca="1" ref="Q543" ca="1">AVERAGE(OFFSET(tbl_Process[[#This Row],[Temp_Firing_C]], MAX(1-ROW()+ROW(tbl_Process[#Headers]), -23), 0, MIN(ROW()-ROW(tbl_Process[#Headers]), 24), 1))</f>
        <v>1327.9666666666669</v>
      </c>
      <c r="R543" s="3" t="e" cm="1" vm="1">
        <f t="array" aca="1" ref="R543" ca="1">tbl_Process[Temp_Firing_C] - AVERAGE(tbl_Zones[[Target_Temp_Min_C]:[Target_Temp_Max_C]])</f>
        <v>#VALUE!</v>
      </c>
    </row>
    <row r="544" spans="1:18" x14ac:dyDescent="0.3">
      <c r="A544" s="2" t="s">
        <v>563</v>
      </c>
      <c r="B544" s="2" t="s">
        <v>33</v>
      </c>
      <c r="C544" s="2" t="s">
        <v>501</v>
      </c>
      <c r="D544" s="3">
        <v>430.7</v>
      </c>
      <c r="E544" s="3">
        <v>3.18</v>
      </c>
      <c r="F544" s="3">
        <v>318.3</v>
      </c>
      <c r="G544" s="3">
        <v>382.9</v>
      </c>
      <c r="H544" s="3">
        <v>955.5</v>
      </c>
      <c r="I544" s="4">
        <v>1327.5</v>
      </c>
      <c r="J544" s="4">
        <v>1258.5999999999999</v>
      </c>
      <c r="K544" s="3">
        <v>157.6</v>
      </c>
      <c r="L544" s="3">
        <v>4.26</v>
      </c>
      <c r="M544" s="4">
        <v>424468</v>
      </c>
      <c r="N544" s="4">
        <v>8599</v>
      </c>
      <c r="O544" s="3">
        <v>13.76</v>
      </c>
      <c r="P544" s="3" t="str">
        <f t="shared" si="8"/>
        <v>NORMAL</v>
      </c>
      <c r="Q544" s="3" cm="1">
        <f t="array" aca="1" ref="Q544" ca="1">AVERAGE(OFFSET(tbl_Process[[#This Row],[Temp_Firing_C]], MAX(1-ROW()+ROW(tbl_Process[#Headers]), -23), 0, MIN(ROW()-ROW(tbl_Process[#Headers]), 24), 1))</f>
        <v>1328.3333333333335</v>
      </c>
      <c r="R544" s="3" t="e" cm="1" vm="1">
        <f t="array" aca="1" ref="R544" ca="1">tbl_Process[Temp_Firing_C] - AVERAGE(tbl_Zones[[Target_Temp_Min_C]:[Target_Temp_Max_C]])</f>
        <v>#VALUE!</v>
      </c>
    </row>
    <row r="545" spans="1:18" x14ac:dyDescent="0.3">
      <c r="A545" s="2" t="s">
        <v>564</v>
      </c>
      <c r="B545" s="2" t="s">
        <v>33</v>
      </c>
      <c r="C545" s="2" t="s">
        <v>501</v>
      </c>
      <c r="D545" s="3">
        <v>425.4</v>
      </c>
      <c r="E545" s="3">
        <v>3.03</v>
      </c>
      <c r="F545" s="3">
        <v>323.8</v>
      </c>
      <c r="G545" s="3">
        <v>383.3</v>
      </c>
      <c r="H545" s="3">
        <v>975.4</v>
      </c>
      <c r="I545" s="4">
        <v>1329.6</v>
      </c>
      <c r="J545" s="4">
        <v>1271</v>
      </c>
      <c r="K545" s="3">
        <v>163.9</v>
      </c>
      <c r="L545" s="3">
        <v>4.1399999999999997</v>
      </c>
      <c r="M545" s="4">
        <v>429176</v>
      </c>
      <c r="N545" s="4">
        <v>8966</v>
      </c>
      <c r="O545" s="3">
        <v>13.92</v>
      </c>
      <c r="P545" s="3" t="str">
        <f t="shared" si="8"/>
        <v>NORMAL</v>
      </c>
      <c r="Q545" s="3" cm="1">
        <f t="array" aca="1" ref="Q545" ca="1">AVERAGE(OFFSET(tbl_Process[[#This Row],[Temp_Firing_C]], MAX(1-ROW()+ROW(tbl_Process[#Headers]), -23), 0, MIN(ROW()-ROW(tbl_Process[#Headers]), 24), 1))</f>
        <v>1328.1083333333333</v>
      </c>
      <c r="R545" s="3" t="e" cm="1" vm="1">
        <f t="array" aca="1" ref="R545" ca="1">tbl_Process[Temp_Firing_C] - AVERAGE(tbl_Zones[[Target_Temp_Min_C]:[Target_Temp_Max_C]])</f>
        <v>#VALUE!</v>
      </c>
    </row>
    <row r="546" spans="1:18" x14ac:dyDescent="0.3">
      <c r="A546" s="2" t="s">
        <v>565</v>
      </c>
      <c r="B546" s="2" t="s">
        <v>33</v>
      </c>
      <c r="C546" s="2" t="s">
        <v>501</v>
      </c>
      <c r="D546" s="3">
        <v>435.1</v>
      </c>
      <c r="E546" s="3">
        <v>2.91</v>
      </c>
      <c r="F546" s="3">
        <v>319.39999999999998</v>
      </c>
      <c r="G546" s="3">
        <v>379.3</v>
      </c>
      <c r="H546" s="3">
        <v>976</v>
      </c>
      <c r="I546" s="4">
        <v>1335.5</v>
      </c>
      <c r="J546" s="4">
        <v>1261.8</v>
      </c>
      <c r="K546" s="3">
        <v>167.8</v>
      </c>
      <c r="L546" s="3">
        <v>4.0599999999999996</v>
      </c>
      <c r="M546" s="4">
        <v>422396</v>
      </c>
      <c r="N546" s="4">
        <v>8898</v>
      </c>
      <c r="O546" s="3">
        <v>13.8</v>
      </c>
      <c r="P546" s="3" t="str">
        <f t="shared" si="8"/>
        <v>WARNING</v>
      </c>
      <c r="Q546" s="3" cm="1">
        <f t="array" aca="1" ref="Q546" ca="1">AVERAGE(OFFSET(tbl_Process[[#This Row],[Temp_Firing_C]], MAX(1-ROW()+ROW(tbl_Process[#Headers]), -23), 0, MIN(ROW()-ROW(tbl_Process[#Headers]), 24), 1))</f>
        <v>1328.3291666666667</v>
      </c>
      <c r="R546" s="3" t="e" cm="1" vm="1">
        <f t="array" aca="1" ref="R546" ca="1">tbl_Process[Temp_Firing_C] - AVERAGE(tbl_Zones[[Target_Temp_Min_C]:[Target_Temp_Max_C]])</f>
        <v>#VALUE!</v>
      </c>
    </row>
    <row r="547" spans="1:18" x14ac:dyDescent="0.3">
      <c r="A547" s="2" t="s">
        <v>566</v>
      </c>
      <c r="B547" s="2" t="s">
        <v>33</v>
      </c>
      <c r="C547" s="2" t="s">
        <v>501</v>
      </c>
      <c r="D547" s="3">
        <v>423.8</v>
      </c>
      <c r="E547" s="3">
        <v>3.15</v>
      </c>
      <c r="F547" s="3">
        <v>325</v>
      </c>
      <c r="G547" s="3">
        <v>388.6</v>
      </c>
      <c r="H547" s="3">
        <v>956.7</v>
      </c>
      <c r="I547" s="4">
        <v>1322.2</v>
      </c>
      <c r="J547" s="4">
        <v>1257</v>
      </c>
      <c r="K547" s="3">
        <v>169.1</v>
      </c>
      <c r="L547" s="3">
        <v>3.78</v>
      </c>
      <c r="M547" s="4">
        <v>420647</v>
      </c>
      <c r="N547" s="4">
        <v>8767</v>
      </c>
      <c r="O547" s="3">
        <v>13.72</v>
      </c>
      <c r="P547" s="3" t="str">
        <f t="shared" si="8"/>
        <v>NORMAL</v>
      </c>
      <c r="Q547" s="3" cm="1">
        <f t="array" aca="1" ref="Q547" ca="1">AVERAGE(OFFSET(tbl_Process[[#This Row],[Temp_Firing_C]], MAX(1-ROW()+ROW(tbl_Process[#Headers]), -23), 0, MIN(ROW()-ROW(tbl_Process[#Headers]), 24), 1))</f>
        <v>1328.4208333333333</v>
      </c>
      <c r="R547" s="3" t="e" cm="1" vm="1">
        <f t="array" aca="1" ref="R547" ca="1">tbl_Process[Temp_Firing_C] - AVERAGE(tbl_Zones[[Target_Temp_Min_C]:[Target_Temp_Max_C]])</f>
        <v>#VALUE!</v>
      </c>
    </row>
    <row r="548" spans="1:18" x14ac:dyDescent="0.3">
      <c r="A548" s="2" t="s">
        <v>567</v>
      </c>
      <c r="B548" s="2" t="s">
        <v>33</v>
      </c>
      <c r="C548" s="2" t="s">
        <v>501</v>
      </c>
      <c r="D548" s="3">
        <v>429</v>
      </c>
      <c r="E548" s="3">
        <v>3.09</v>
      </c>
      <c r="F548" s="3">
        <v>317</v>
      </c>
      <c r="G548" s="3">
        <v>381.7</v>
      </c>
      <c r="H548" s="3">
        <v>969.3</v>
      </c>
      <c r="I548" s="4">
        <v>1320.5</v>
      </c>
      <c r="J548" s="4">
        <v>1252.8</v>
      </c>
      <c r="K548" s="3">
        <v>159.80000000000001</v>
      </c>
      <c r="L548" s="3">
        <v>4.17</v>
      </c>
      <c r="M548" s="4">
        <v>417599</v>
      </c>
      <c r="N548" s="4">
        <v>8801</v>
      </c>
      <c r="O548" s="3">
        <v>13.85</v>
      </c>
      <c r="P548" s="3" t="str">
        <f t="shared" si="8"/>
        <v>NORMAL</v>
      </c>
      <c r="Q548" s="3" cm="1">
        <f t="array" aca="1" ref="Q548" ca="1">AVERAGE(OFFSET(tbl_Process[[#This Row],[Temp_Firing_C]], MAX(1-ROW()+ROW(tbl_Process[#Headers]), -23), 0, MIN(ROW()-ROW(tbl_Process[#Headers]), 24), 1))</f>
        <v>1328.5083333333334</v>
      </c>
      <c r="R548" s="3" t="e" cm="1" vm="1">
        <f t="array" aca="1" ref="R548" ca="1">tbl_Process[Temp_Firing_C] - AVERAGE(tbl_Zones[[Target_Temp_Min_C]:[Target_Temp_Max_C]])</f>
        <v>#VALUE!</v>
      </c>
    </row>
    <row r="549" spans="1:18" x14ac:dyDescent="0.3">
      <c r="A549" s="2" t="s">
        <v>568</v>
      </c>
      <c r="B549" s="2" t="s">
        <v>33</v>
      </c>
      <c r="C549" s="2" t="s">
        <v>501</v>
      </c>
      <c r="D549" s="3">
        <v>435</v>
      </c>
      <c r="E549" s="3">
        <v>3.15</v>
      </c>
      <c r="F549" s="3">
        <v>328</v>
      </c>
      <c r="G549" s="3">
        <v>374.2</v>
      </c>
      <c r="H549" s="3">
        <v>957.4</v>
      </c>
      <c r="I549" s="4">
        <v>1312.6</v>
      </c>
      <c r="J549" s="4">
        <v>1243.4000000000001</v>
      </c>
      <c r="K549" s="3">
        <v>166.9</v>
      </c>
      <c r="L549" s="3">
        <v>4.4400000000000004</v>
      </c>
      <c r="M549" s="4">
        <v>418250</v>
      </c>
      <c r="N549" s="4">
        <v>8596</v>
      </c>
      <c r="O549" s="3">
        <v>14.1</v>
      </c>
      <c r="P549" s="3" t="str">
        <f t="shared" si="8"/>
        <v>NORMAL</v>
      </c>
      <c r="Q549" s="3" cm="1">
        <f t="array" aca="1" ref="Q549" ca="1">AVERAGE(OFFSET(tbl_Process[[#This Row],[Temp_Firing_C]], MAX(1-ROW()+ROW(tbl_Process[#Headers]), -23), 0, MIN(ROW()-ROW(tbl_Process[#Headers]), 24), 1))</f>
        <v>1327.3291666666667</v>
      </c>
      <c r="R549" s="3" t="e" cm="1" vm="1">
        <f t="array" aca="1" ref="R549" ca="1">tbl_Process[Temp_Firing_C] - AVERAGE(tbl_Zones[[Target_Temp_Min_C]:[Target_Temp_Max_C]])</f>
        <v>#VALUE!</v>
      </c>
    </row>
    <row r="550" spans="1:18" x14ac:dyDescent="0.3">
      <c r="A550" s="2" t="s">
        <v>569</v>
      </c>
      <c r="B550" s="2" t="s">
        <v>33</v>
      </c>
      <c r="C550" s="2" t="s">
        <v>501</v>
      </c>
      <c r="D550" s="3">
        <v>432.3</v>
      </c>
      <c r="E550" s="3">
        <v>2.96</v>
      </c>
      <c r="F550" s="3">
        <v>311.5</v>
      </c>
      <c r="G550" s="3">
        <v>384.9</v>
      </c>
      <c r="H550" s="3">
        <v>938.8</v>
      </c>
      <c r="I550" s="4">
        <v>1319.3</v>
      </c>
      <c r="J550" s="4">
        <v>1255.3</v>
      </c>
      <c r="K550" s="3">
        <v>162.80000000000001</v>
      </c>
      <c r="L550" s="3">
        <v>4.16</v>
      </c>
      <c r="M550" s="4">
        <v>422194</v>
      </c>
      <c r="N550" s="4">
        <v>8833</v>
      </c>
      <c r="O550" s="3">
        <v>14</v>
      </c>
      <c r="P550" s="3" t="str">
        <f t="shared" si="8"/>
        <v>NORMAL</v>
      </c>
      <c r="Q550" s="3" cm="1">
        <f t="array" aca="1" ref="Q550" ca="1">AVERAGE(OFFSET(tbl_Process[[#This Row],[Temp_Firing_C]], MAX(1-ROW()+ROW(tbl_Process[#Headers]), -23), 0, MIN(ROW()-ROW(tbl_Process[#Headers]), 24), 1))</f>
        <v>1327.45</v>
      </c>
      <c r="R550" s="3" t="e" cm="1" vm="1">
        <f t="array" aca="1" ref="R550" ca="1">tbl_Process[Temp_Firing_C] - AVERAGE(tbl_Zones[[Target_Temp_Min_C]:[Target_Temp_Max_C]])</f>
        <v>#VALUE!</v>
      </c>
    </row>
    <row r="551" spans="1:18" x14ac:dyDescent="0.3">
      <c r="A551" s="2" t="s">
        <v>570</v>
      </c>
      <c r="B551" s="2" t="s">
        <v>33</v>
      </c>
      <c r="C551" s="2" t="s">
        <v>501</v>
      </c>
      <c r="D551" s="3">
        <v>427.4</v>
      </c>
      <c r="E551" s="3">
        <v>3.1</v>
      </c>
      <c r="F551" s="3">
        <v>323.60000000000002</v>
      </c>
      <c r="G551" s="3">
        <v>393.8</v>
      </c>
      <c r="H551" s="3">
        <v>972.1</v>
      </c>
      <c r="I551" s="4">
        <v>1333.2</v>
      </c>
      <c r="J551" s="4">
        <v>1264.5</v>
      </c>
      <c r="K551" s="3">
        <v>158.30000000000001</v>
      </c>
      <c r="L551" s="3">
        <v>4.13</v>
      </c>
      <c r="M551" s="4">
        <v>425473</v>
      </c>
      <c r="N551" s="4">
        <v>8777</v>
      </c>
      <c r="O551" s="3">
        <v>14.29</v>
      </c>
      <c r="P551" s="3" t="str">
        <f t="shared" si="8"/>
        <v>WARNING</v>
      </c>
      <c r="Q551" s="3" cm="1">
        <f t="array" aca="1" ref="Q551" ca="1">AVERAGE(OFFSET(tbl_Process[[#This Row],[Temp_Firing_C]], MAX(1-ROW()+ROW(tbl_Process[#Headers]), -23), 0, MIN(ROW()-ROW(tbl_Process[#Headers]), 24), 1))</f>
        <v>1327.2291666666667</v>
      </c>
      <c r="R551" s="3" t="e" cm="1" vm="1">
        <f t="array" aca="1" ref="R551" ca="1">tbl_Process[Temp_Firing_C] - AVERAGE(tbl_Zones[[Target_Temp_Min_C]:[Target_Temp_Max_C]])</f>
        <v>#VALUE!</v>
      </c>
    </row>
    <row r="552" spans="1:18" x14ac:dyDescent="0.3">
      <c r="A552" s="2" t="s">
        <v>571</v>
      </c>
      <c r="B552" s="2" t="s">
        <v>16</v>
      </c>
      <c r="C552" s="2" t="s">
        <v>501</v>
      </c>
      <c r="D552" s="3">
        <v>433.5</v>
      </c>
      <c r="E552" s="3">
        <v>3.08</v>
      </c>
      <c r="F552" s="3">
        <v>325.5</v>
      </c>
      <c r="G552" s="3">
        <v>383.7</v>
      </c>
      <c r="H552" s="3">
        <v>971.9</v>
      </c>
      <c r="I552" s="4">
        <v>1313.6</v>
      </c>
      <c r="J552" s="4">
        <v>1247.7</v>
      </c>
      <c r="K552" s="3">
        <v>160.80000000000001</v>
      </c>
      <c r="L552" s="3">
        <v>4.3</v>
      </c>
      <c r="M552" s="4">
        <v>420248</v>
      </c>
      <c r="N552" s="4">
        <v>8363</v>
      </c>
      <c r="O552" s="3">
        <v>14.04</v>
      </c>
      <c r="P552" s="3" t="str">
        <f t="shared" si="8"/>
        <v>NORMAL</v>
      </c>
      <c r="Q552" s="3" cm="1">
        <f t="array" aca="1" ref="Q552" ca="1">AVERAGE(OFFSET(tbl_Process[[#This Row],[Temp_Firing_C]], MAX(1-ROW()+ROW(tbl_Process[#Headers]), -23), 0, MIN(ROW()-ROW(tbl_Process[#Headers]), 24), 1))</f>
        <v>1327.0291666666665</v>
      </c>
      <c r="R552" s="3" t="e" cm="1" vm="1">
        <f t="array" aca="1" ref="R552" ca="1">tbl_Process[Temp_Firing_C] - AVERAGE(tbl_Zones[[Target_Temp_Min_C]:[Target_Temp_Max_C]])</f>
        <v>#VALUE!</v>
      </c>
    </row>
    <row r="553" spans="1:18" x14ac:dyDescent="0.3">
      <c r="A553" s="2" t="s">
        <v>572</v>
      </c>
      <c r="B553" s="2" t="s">
        <v>16</v>
      </c>
      <c r="C553" s="2" t="s">
        <v>501</v>
      </c>
      <c r="D553" s="3">
        <v>429.8</v>
      </c>
      <c r="E553" s="3">
        <v>3.11</v>
      </c>
      <c r="F553" s="3">
        <v>332.1</v>
      </c>
      <c r="G553" s="3">
        <v>386.7</v>
      </c>
      <c r="H553" s="3">
        <v>964.9</v>
      </c>
      <c r="I553" s="4">
        <v>1325</v>
      </c>
      <c r="J553" s="4">
        <v>1266.5999999999999</v>
      </c>
      <c r="K553" s="3">
        <v>158.4</v>
      </c>
      <c r="L553" s="3">
        <v>4.17</v>
      </c>
      <c r="M553" s="4">
        <v>420688</v>
      </c>
      <c r="N553" s="4">
        <v>8970</v>
      </c>
      <c r="O553" s="3">
        <v>13.92</v>
      </c>
      <c r="P553" s="3" t="str">
        <f t="shared" si="8"/>
        <v>NORMAL</v>
      </c>
      <c r="Q553" s="3" cm="1">
        <f t="array" aca="1" ref="Q553" ca="1">AVERAGE(OFFSET(tbl_Process[[#This Row],[Temp_Firing_C]], MAX(1-ROW()+ROW(tbl_Process[#Headers]), -23), 0, MIN(ROW()-ROW(tbl_Process[#Headers]), 24), 1))</f>
        <v>1327</v>
      </c>
      <c r="R553" s="3" t="e" cm="1" vm="1">
        <f t="array" aca="1" ref="R553" ca="1">tbl_Process[Temp_Firing_C] - AVERAGE(tbl_Zones[[Target_Temp_Min_C]:[Target_Temp_Max_C]])</f>
        <v>#VALUE!</v>
      </c>
    </row>
    <row r="554" spans="1:18" x14ac:dyDescent="0.3">
      <c r="A554" s="2" t="s">
        <v>573</v>
      </c>
      <c r="B554" s="2" t="s">
        <v>16</v>
      </c>
      <c r="C554" s="2" t="s">
        <v>501</v>
      </c>
      <c r="D554" s="3">
        <v>427.2</v>
      </c>
      <c r="E554" s="3">
        <v>3.09</v>
      </c>
      <c r="F554" s="3">
        <v>325.39999999999998</v>
      </c>
      <c r="G554" s="3">
        <v>381.4</v>
      </c>
      <c r="H554" s="3">
        <v>958.3</v>
      </c>
      <c r="I554" s="4">
        <v>1321</v>
      </c>
      <c r="J554" s="4">
        <v>1258</v>
      </c>
      <c r="K554" s="3">
        <v>159.80000000000001</v>
      </c>
      <c r="L554" s="3">
        <v>4.09</v>
      </c>
      <c r="M554" s="4">
        <v>419104</v>
      </c>
      <c r="N554" s="4">
        <v>8761</v>
      </c>
      <c r="O554" s="3">
        <v>13.95</v>
      </c>
      <c r="P554" s="3" t="str">
        <f t="shared" si="8"/>
        <v>NORMAL</v>
      </c>
      <c r="Q554" s="3" cm="1">
        <f t="array" aca="1" ref="Q554" ca="1">AVERAGE(OFFSET(tbl_Process[[#This Row],[Temp_Firing_C]], MAX(1-ROW()+ROW(tbl_Process[#Headers]), -23), 0, MIN(ROW()-ROW(tbl_Process[#Headers]), 24), 1))</f>
        <v>1327.1125</v>
      </c>
      <c r="R554" s="3" t="e" cm="1" vm="1">
        <f t="array" aca="1" ref="R554" ca="1">tbl_Process[Temp_Firing_C] - AVERAGE(tbl_Zones[[Target_Temp_Min_C]:[Target_Temp_Max_C]])</f>
        <v>#VALUE!</v>
      </c>
    </row>
    <row r="555" spans="1:18" x14ac:dyDescent="0.3">
      <c r="A555" s="2" t="s">
        <v>574</v>
      </c>
      <c r="B555" s="2" t="s">
        <v>16</v>
      </c>
      <c r="C555" s="2" t="s">
        <v>501</v>
      </c>
      <c r="D555" s="3">
        <v>428.7</v>
      </c>
      <c r="E555" s="3">
        <v>3.12</v>
      </c>
      <c r="F555" s="3">
        <v>327.2</v>
      </c>
      <c r="G555" s="3">
        <v>388.5</v>
      </c>
      <c r="H555" s="3">
        <v>972</v>
      </c>
      <c r="I555" s="4">
        <v>1325.3</v>
      </c>
      <c r="J555" s="4">
        <v>1256.9000000000001</v>
      </c>
      <c r="K555" s="3">
        <v>156.6</v>
      </c>
      <c r="L555" s="3">
        <v>4.0999999999999996</v>
      </c>
      <c r="M555" s="4">
        <v>424623</v>
      </c>
      <c r="N555" s="4">
        <v>8709</v>
      </c>
      <c r="O555" s="3">
        <v>14.06</v>
      </c>
      <c r="P555" s="3" t="str">
        <f t="shared" si="8"/>
        <v>NORMAL</v>
      </c>
      <c r="Q555" s="3" cm="1">
        <f t="array" aca="1" ref="Q555" ca="1">AVERAGE(OFFSET(tbl_Process[[#This Row],[Temp_Firing_C]], MAX(1-ROW()+ROW(tbl_Process[#Headers]), -23), 0, MIN(ROW()-ROW(tbl_Process[#Headers]), 24), 1))</f>
        <v>1327.2708333333333</v>
      </c>
      <c r="R555" s="3" t="e" cm="1" vm="1">
        <f t="array" aca="1" ref="R555" ca="1">tbl_Process[Temp_Firing_C] - AVERAGE(tbl_Zones[[Target_Temp_Min_C]:[Target_Temp_Max_C]])</f>
        <v>#VALUE!</v>
      </c>
    </row>
    <row r="556" spans="1:18" x14ac:dyDescent="0.3">
      <c r="A556" s="2" t="s">
        <v>575</v>
      </c>
      <c r="B556" s="2" t="s">
        <v>16</v>
      </c>
      <c r="C556" s="2" t="s">
        <v>501</v>
      </c>
      <c r="D556" s="3">
        <v>426.1</v>
      </c>
      <c r="E556" s="3">
        <v>2.97</v>
      </c>
      <c r="F556" s="3">
        <v>328</v>
      </c>
      <c r="G556" s="3">
        <v>380.7</v>
      </c>
      <c r="H556" s="3">
        <v>956</v>
      </c>
      <c r="I556" s="4">
        <v>1319.4</v>
      </c>
      <c r="J556" s="4">
        <v>1256.9000000000001</v>
      </c>
      <c r="K556" s="3">
        <v>168.9</v>
      </c>
      <c r="L556" s="3">
        <v>4.0599999999999996</v>
      </c>
      <c r="M556" s="4">
        <v>422738</v>
      </c>
      <c r="N556" s="4">
        <v>8861</v>
      </c>
      <c r="O556" s="3">
        <v>13.46</v>
      </c>
      <c r="P556" s="3" t="str">
        <f t="shared" si="8"/>
        <v>NORMAL</v>
      </c>
      <c r="Q556" s="3" cm="1">
        <f t="array" aca="1" ref="Q556" ca="1">AVERAGE(OFFSET(tbl_Process[[#This Row],[Temp_Firing_C]], MAX(1-ROW()+ROW(tbl_Process[#Headers]), -23), 0, MIN(ROW()-ROW(tbl_Process[#Headers]), 24), 1))</f>
        <v>1327.0583333333332</v>
      </c>
      <c r="R556" s="3" t="e" cm="1" vm="1">
        <f t="array" aca="1" ref="R556" ca="1">tbl_Process[Temp_Firing_C] - AVERAGE(tbl_Zones[[Target_Temp_Min_C]:[Target_Temp_Max_C]])</f>
        <v>#VALUE!</v>
      </c>
    </row>
    <row r="557" spans="1:18" x14ac:dyDescent="0.3">
      <c r="A557" s="2" t="s">
        <v>576</v>
      </c>
      <c r="B557" s="2" t="s">
        <v>16</v>
      </c>
      <c r="C557" s="2" t="s">
        <v>501</v>
      </c>
      <c r="D557" s="3">
        <v>437.9</v>
      </c>
      <c r="E557" s="3">
        <v>3.3</v>
      </c>
      <c r="F557" s="3">
        <v>307.10000000000002</v>
      </c>
      <c r="G557" s="3">
        <v>383.8</v>
      </c>
      <c r="H557" s="3">
        <v>958</v>
      </c>
      <c r="I557" s="4">
        <v>1326.8</v>
      </c>
      <c r="J557" s="4">
        <v>1259.3</v>
      </c>
      <c r="K557" s="3">
        <v>166.3</v>
      </c>
      <c r="L557" s="3">
        <v>4.32</v>
      </c>
      <c r="M557" s="4">
        <v>421636</v>
      </c>
      <c r="N557" s="4">
        <v>8801</v>
      </c>
      <c r="O557" s="3">
        <v>14.09</v>
      </c>
      <c r="P557" s="3" t="str">
        <f t="shared" si="8"/>
        <v>NORMAL</v>
      </c>
      <c r="Q557" s="3" cm="1">
        <f t="array" aca="1" ref="Q557" ca="1">AVERAGE(OFFSET(tbl_Process[[#This Row],[Temp_Firing_C]], MAX(1-ROW()+ROW(tbl_Process[#Headers]), -23), 0, MIN(ROW()-ROW(tbl_Process[#Headers]), 24), 1))</f>
        <v>1326.7708333333333</v>
      </c>
      <c r="R557" s="3" t="e" cm="1" vm="1">
        <f t="array" aca="1" ref="R557" ca="1">tbl_Process[Temp_Firing_C] - AVERAGE(tbl_Zones[[Target_Temp_Min_C]:[Target_Temp_Max_C]])</f>
        <v>#VALUE!</v>
      </c>
    </row>
    <row r="558" spans="1:18" x14ac:dyDescent="0.3">
      <c r="A558" s="2" t="s">
        <v>577</v>
      </c>
      <c r="B558" s="2" t="s">
        <v>16</v>
      </c>
      <c r="C558" s="2" t="s">
        <v>501</v>
      </c>
      <c r="D558" s="3">
        <v>425.3</v>
      </c>
      <c r="E558" s="3">
        <v>2.97</v>
      </c>
      <c r="F558" s="3">
        <v>335.5</v>
      </c>
      <c r="G558" s="3">
        <v>380.2</v>
      </c>
      <c r="H558" s="3">
        <v>965.4</v>
      </c>
      <c r="I558" s="4">
        <v>1326.2</v>
      </c>
      <c r="J558" s="4">
        <v>1264.5</v>
      </c>
      <c r="K558" s="3">
        <v>171.2</v>
      </c>
      <c r="L558" s="3">
        <v>4.17</v>
      </c>
      <c r="M558" s="4">
        <v>419402</v>
      </c>
      <c r="N558" s="4">
        <v>8648</v>
      </c>
      <c r="O558" s="3">
        <v>13.98</v>
      </c>
      <c r="P558" s="3" t="str">
        <f t="shared" si="8"/>
        <v>NORMAL</v>
      </c>
      <c r="Q558" s="3" cm="1">
        <f t="array" aca="1" ref="Q558" ca="1">AVERAGE(OFFSET(tbl_Process[[#This Row],[Temp_Firing_C]], MAX(1-ROW()+ROW(tbl_Process[#Headers]), -23), 0, MIN(ROW()-ROW(tbl_Process[#Headers]), 24), 1))</f>
        <v>1326.5125</v>
      </c>
      <c r="R558" s="3" t="e" cm="1" vm="1">
        <f t="array" aca="1" ref="R558" ca="1">tbl_Process[Temp_Firing_C] - AVERAGE(tbl_Zones[[Target_Temp_Min_C]:[Target_Temp_Max_C]])</f>
        <v>#VALUE!</v>
      </c>
    </row>
    <row r="559" spans="1:18" x14ac:dyDescent="0.3">
      <c r="A559" s="2" t="s">
        <v>578</v>
      </c>
      <c r="B559" s="2" t="s">
        <v>16</v>
      </c>
      <c r="C559" s="2" t="s">
        <v>501</v>
      </c>
      <c r="D559" s="3">
        <v>428.9</v>
      </c>
      <c r="E559" s="3">
        <v>2.96</v>
      </c>
      <c r="F559" s="3">
        <v>328.6</v>
      </c>
      <c r="G559" s="3">
        <v>377.3</v>
      </c>
      <c r="H559" s="3">
        <v>985.2</v>
      </c>
      <c r="I559" s="4">
        <v>1344.3</v>
      </c>
      <c r="J559" s="4">
        <v>1277.8</v>
      </c>
      <c r="K559" s="3">
        <v>164.6</v>
      </c>
      <c r="L559" s="3">
        <v>3.99</v>
      </c>
      <c r="M559" s="4">
        <v>430157</v>
      </c>
      <c r="N559" s="4">
        <v>8972</v>
      </c>
      <c r="O559" s="3">
        <v>13.55</v>
      </c>
      <c r="P559" s="3" t="str">
        <f t="shared" si="8"/>
        <v>WARNING</v>
      </c>
      <c r="Q559" s="3" cm="1">
        <f t="array" aca="1" ref="Q559" ca="1">AVERAGE(OFFSET(tbl_Process[[#This Row],[Temp_Firing_C]], MAX(1-ROW()+ROW(tbl_Process[#Headers]), -23), 0, MIN(ROW()-ROW(tbl_Process[#Headers]), 24), 1))</f>
        <v>1327.4458333333332</v>
      </c>
      <c r="R559" s="3" t="e" cm="1" vm="1">
        <f t="array" aca="1" ref="R559" ca="1">tbl_Process[Temp_Firing_C] - AVERAGE(tbl_Zones[[Target_Temp_Min_C]:[Target_Temp_Max_C]])</f>
        <v>#VALUE!</v>
      </c>
    </row>
    <row r="560" spans="1:18" x14ac:dyDescent="0.3">
      <c r="A560" s="2" t="s">
        <v>579</v>
      </c>
      <c r="B560" s="2" t="s">
        <v>24</v>
      </c>
      <c r="C560" s="2" t="s">
        <v>501</v>
      </c>
      <c r="D560" s="3">
        <v>428.8</v>
      </c>
      <c r="E560" s="3">
        <v>3.06</v>
      </c>
      <c r="F560" s="3">
        <v>321.7</v>
      </c>
      <c r="G560" s="3">
        <v>391.5</v>
      </c>
      <c r="H560" s="3">
        <v>957.9</v>
      </c>
      <c r="I560" s="4">
        <v>1343.6</v>
      </c>
      <c r="J560" s="4">
        <v>1270.5999999999999</v>
      </c>
      <c r="K560" s="3">
        <v>170.5</v>
      </c>
      <c r="L560" s="3">
        <v>4.04</v>
      </c>
      <c r="M560" s="4">
        <v>427844</v>
      </c>
      <c r="N560" s="4">
        <v>8964</v>
      </c>
      <c r="O560" s="3">
        <v>13.74</v>
      </c>
      <c r="P560" s="3" t="str">
        <f t="shared" si="8"/>
        <v>WARNING</v>
      </c>
      <c r="Q560" s="3" cm="1">
        <f t="array" aca="1" ref="Q560" ca="1">AVERAGE(OFFSET(tbl_Process[[#This Row],[Temp_Firing_C]], MAX(1-ROW()+ROW(tbl_Process[#Headers]), -23), 0, MIN(ROW()-ROW(tbl_Process[#Headers]), 24), 1))</f>
        <v>1328.1291666666666</v>
      </c>
      <c r="R560" s="3" t="e" cm="1" vm="1">
        <f t="array" aca="1" ref="R560" ca="1">tbl_Process[Temp_Firing_C] - AVERAGE(tbl_Zones[[Target_Temp_Min_C]:[Target_Temp_Max_C]])</f>
        <v>#VALUE!</v>
      </c>
    </row>
    <row r="561" spans="1:18" x14ac:dyDescent="0.3">
      <c r="A561" s="2" t="s">
        <v>580</v>
      </c>
      <c r="B561" s="2" t="s">
        <v>24</v>
      </c>
      <c r="C561" s="2" t="s">
        <v>501</v>
      </c>
      <c r="D561" s="3">
        <v>433.2</v>
      </c>
      <c r="E561" s="3">
        <v>3.22</v>
      </c>
      <c r="F561" s="3">
        <v>330.7</v>
      </c>
      <c r="G561" s="3">
        <v>381.9</v>
      </c>
      <c r="H561" s="3">
        <v>969.4</v>
      </c>
      <c r="I561" s="4">
        <v>1323.3</v>
      </c>
      <c r="J561" s="4">
        <v>1252.4000000000001</v>
      </c>
      <c r="K561" s="3">
        <v>156.6</v>
      </c>
      <c r="L561" s="3">
        <v>4.2</v>
      </c>
      <c r="M561" s="4">
        <v>425068</v>
      </c>
      <c r="N561" s="4">
        <v>8550</v>
      </c>
      <c r="O561" s="3">
        <v>14.15</v>
      </c>
      <c r="P561" s="3" t="str">
        <f t="shared" si="8"/>
        <v>NORMAL</v>
      </c>
      <c r="Q561" s="3" cm="1">
        <f t="array" aca="1" ref="Q561" ca="1">AVERAGE(OFFSET(tbl_Process[[#This Row],[Temp_Firing_C]], MAX(1-ROW()+ROW(tbl_Process[#Headers]), -23), 0, MIN(ROW()-ROW(tbl_Process[#Headers]), 24), 1))</f>
        <v>1327.3666666666666</v>
      </c>
      <c r="R561" s="3" t="e" cm="1" vm="1">
        <f t="array" aca="1" ref="R561" ca="1">tbl_Process[Temp_Firing_C] - AVERAGE(tbl_Zones[[Target_Temp_Min_C]:[Target_Temp_Max_C]])</f>
        <v>#VALUE!</v>
      </c>
    </row>
    <row r="562" spans="1:18" x14ac:dyDescent="0.3">
      <c r="A562" s="2" t="s">
        <v>581</v>
      </c>
      <c r="B562" s="2" t="s">
        <v>24</v>
      </c>
      <c r="C562" s="2" t="s">
        <v>501</v>
      </c>
      <c r="D562" s="3">
        <v>436.1</v>
      </c>
      <c r="E562" s="3">
        <v>3.19</v>
      </c>
      <c r="F562" s="3">
        <v>319.89999999999998</v>
      </c>
      <c r="G562" s="3">
        <v>374.7</v>
      </c>
      <c r="H562" s="3">
        <v>972.3</v>
      </c>
      <c r="I562" s="4">
        <v>1310.5</v>
      </c>
      <c r="J562" s="4">
        <v>1252.2</v>
      </c>
      <c r="K562" s="3">
        <v>161.19999999999999</v>
      </c>
      <c r="L562" s="3">
        <v>4.5</v>
      </c>
      <c r="M562" s="4">
        <v>415846</v>
      </c>
      <c r="N562" s="4">
        <v>8736</v>
      </c>
      <c r="O562" s="3">
        <v>13.99</v>
      </c>
      <c r="P562" s="3" t="str">
        <f t="shared" si="8"/>
        <v>NORMAL</v>
      </c>
      <c r="Q562" s="3" cm="1">
        <f t="array" aca="1" ref="Q562" ca="1">AVERAGE(OFFSET(tbl_Process[[#This Row],[Temp_Firing_C]], MAX(1-ROW()+ROW(tbl_Process[#Headers]), -23), 0, MIN(ROW()-ROW(tbl_Process[#Headers]), 24), 1))</f>
        <v>1326.2124999999999</v>
      </c>
      <c r="R562" s="3" t="e" cm="1" vm="1">
        <f t="array" aca="1" ref="R562" ca="1">tbl_Process[Temp_Firing_C] - AVERAGE(tbl_Zones[[Target_Temp_Min_C]:[Target_Temp_Max_C]])</f>
        <v>#VALUE!</v>
      </c>
    </row>
    <row r="563" spans="1:18" x14ac:dyDescent="0.3">
      <c r="A563" s="2" t="s">
        <v>582</v>
      </c>
      <c r="B563" s="2" t="s">
        <v>24</v>
      </c>
      <c r="C563" s="2" t="s">
        <v>501</v>
      </c>
      <c r="D563" s="3">
        <v>428.7</v>
      </c>
      <c r="E563" s="3">
        <v>2.99</v>
      </c>
      <c r="F563" s="3">
        <v>326.7</v>
      </c>
      <c r="G563" s="3">
        <v>388.9</v>
      </c>
      <c r="H563" s="3">
        <v>987.6</v>
      </c>
      <c r="I563" s="4">
        <v>1336.3</v>
      </c>
      <c r="J563" s="4">
        <v>1267.7</v>
      </c>
      <c r="K563" s="3">
        <v>157</v>
      </c>
      <c r="L563" s="3">
        <v>3.98</v>
      </c>
      <c r="M563" s="4">
        <v>431690</v>
      </c>
      <c r="N563" s="4">
        <v>8842</v>
      </c>
      <c r="O563" s="3">
        <v>14.3</v>
      </c>
      <c r="P563" s="3" t="str">
        <f t="shared" si="8"/>
        <v>WARNING</v>
      </c>
      <c r="Q563" s="3" cm="1">
        <f t="array" aca="1" ref="Q563" ca="1">AVERAGE(OFFSET(tbl_Process[[#This Row],[Temp_Firing_C]], MAX(1-ROW()+ROW(tbl_Process[#Headers]), -23), 0, MIN(ROW()-ROW(tbl_Process[#Headers]), 24), 1))</f>
        <v>1326.0333333333333</v>
      </c>
      <c r="R563" s="3" t="e" cm="1" vm="1">
        <f t="array" aca="1" ref="R563" ca="1">tbl_Process[Temp_Firing_C] - AVERAGE(tbl_Zones[[Target_Temp_Min_C]:[Target_Temp_Max_C]])</f>
        <v>#VALUE!</v>
      </c>
    </row>
    <row r="564" spans="1:18" x14ac:dyDescent="0.3">
      <c r="A564" s="2" t="s">
        <v>583</v>
      </c>
      <c r="B564" s="2" t="s">
        <v>24</v>
      </c>
      <c r="C564" s="2" t="s">
        <v>501</v>
      </c>
      <c r="D564" s="3">
        <v>432.1</v>
      </c>
      <c r="E564" s="3">
        <v>3.13</v>
      </c>
      <c r="F564" s="3">
        <v>320.89999999999998</v>
      </c>
      <c r="G564" s="3">
        <v>388.3</v>
      </c>
      <c r="H564" s="3">
        <v>965.3</v>
      </c>
      <c r="I564" s="4">
        <v>1324.3</v>
      </c>
      <c r="J564" s="4">
        <v>1263.5</v>
      </c>
      <c r="K564" s="3">
        <v>161.1</v>
      </c>
      <c r="L564" s="3">
        <v>4.12</v>
      </c>
      <c r="M564" s="4">
        <v>426473</v>
      </c>
      <c r="N564" s="4">
        <v>8784</v>
      </c>
      <c r="O564" s="3">
        <v>14.1</v>
      </c>
      <c r="P564" s="3" t="str">
        <f t="shared" si="8"/>
        <v>NORMAL</v>
      </c>
      <c r="Q564" s="3" cm="1">
        <f t="array" aca="1" ref="Q564" ca="1">AVERAGE(OFFSET(tbl_Process[[#This Row],[Temp_Firing_C]], MAX(1-ROW()+ROW(tbl_Process[#Headers]), -23), 0, MIN(ROW()-ROW(tbl_Process[#Headers]), 24), 1))</f>
        <v>1325.55</v>
      </c>
      <c r="R564" s="3" t="e" cm="1" vm="1">
        <f t="array" aca="1" ref="R564" ca="1">tbl_Process[Temp_Firing_C] - AVERAGE(tbl_Zones[[Target_Temp_Min_C]:[Target_Temp_Max_C]])</f>
        <v>#VALUE!</v>
      </c>
    </row>
    <row r="565" spans="1:18" x14ac:dyDescent="0.3">
      <c r="A565" s="2" t="s">
        <v>584</v>
      </c>
      <c r="B565" s="2" t="s">
        <v>24</v>
      </c>
      <c r="C565" s="2" t="s">
        <v>501</v>
      </c>
      <c r="D565" s="3">
        <v>428.2</v>
      </c>
      <c r="E565" s="3">
        <v>3</v>
      </c>
      <c r="F565" s="3">
        <v>332.7</v>
      </c>
      <c r="G565" s="3">
        <v>393.9</v>
      </c>
      <c r="H565" s="3">
        <v>975.2</v>
      </c>
      <c r="I565" s="4">
        <v>1323.1</v>
      </c>
      <c r="J565" s="4">
        <v>1256.3</v>
      </c>
      <c r="K565" s="3">
        <v>168.5</v>
      </c>
      <c r="L565" s="3">
        <v>4.0999999999999996</v>
      </c>
      <c r="M565" s="4">
        <v>421944</v>
      </c>
      <c r="N565" s="4">
        <v>9002</v>
      </c>
      <c r="O565" s="3">
        <v>13.79</v>
      </c>
      <c r="P565" s="3" t="str">
        <f t="shared" si="8"/>
        <v>NORMAL</v>
      </c>
      <c r="Q565" s="3" cm="1">
        <f t="array" aca="1" ref="Q565" ca="1">AVERAGE(OFFSET(tbl_Process[[#This Row],[Temp_Firing_C]], MAX(1-ROW()+ROW(tbl_Process[#Headers]), -23), 0, MIN(ROW()-ROW(tbl_Process[#Headers]), 24), 1))</f>
        <v>1325.7124999999999</v>
      </c>
      <c r="R565" s="3" t="e" cm="1" vm="1">
        <f t="array" aca="1" ref="R565" ca="1">tbl_Process[Temp_Firing_C] - AVERAGE(tbl_Zones[[Target_Temp_Min_C]:[Target_Temp_Max_C]])</f>
        <v>#VALUE!</v>
      </c>
    </row>
    <row r="566" spans="1:18" x14ac:dyDescent="0.3">
      <c r="A566" s="2" t="s">
        <v>585</v>
      </c>
      <c r="B566" s="2" t="s">
        <v>24</v>
      </c>
      <c r="C566" s="2" t="s">
        <v>501</v>
      </c>
      <c r="D566" s="3">
        <v>437.1</v>
      </c>
      <c r="E566" s="3">
        <v>2.99</v>
      </c>
      <c r="F566" s="3">
        <v>325</v>
      </c>
      <c r="G566" s="3">
        <v>397</v>
      </c>
      <c r="H566" s="3">
        <v>964.1</v>
      </c>
      <c r="I566" s="4">
        <v>1322.9</v>
      </c>
      <c r="J566" s="4">
        <v>1250.9000000000001</v>
      </c>
      <c r="K566" s="3">
        <v>166.7</v>
      </c>
      <c r="L566" s="3">
        <v>4.1500000000000004</v>
      </c>
      <c r="M566" s="4">
        <v>423790</v>
      </c>
      <c r="N566" s="4">
        <v>8627</v>
      </c>
      <c r="O566" s="3">
        <v>14.49</v>
      </c>
      <c r="P566" s="3" t="str">
        <f t="shared" si="8"/>
        <v>NORMAL</v>
      </c>
      <c r="Q566" s="3" cm="1">
        <f t="array" aca="1" ref="Q566" ca="1">AVERAGE(OFFSET(tbl_Process[[#This Row],[Temp_Firing_C]], MAX(1-ROW()+ROW(tbl_Process[#Headers]), -23), 0, MIN(ROW()-ROW(tbl_Process[#Headers]), 24), 1))</f>
        <v>1325.7583333333332</v>
      </c>
      <c r="R566" s="3" t="e" cm="1" vm="1">
        <f t="array" aca="1" ref="R566" ca="1">tbl_Process[Temp_Firing_C] - AVERAGE(tbl_Zones[[Target_Temp_Min_C]:[Target_Temp_Max_C]])</f>
        <v>#VALUE!</v>
      </c>
    </row>
    <row r="567" spans="1:18" x14ac:dyDescent="0.3">
      <c r="A567" s="2" t="s">
        <v>586</v>
      </c>
      <c r="B567" s="2" t="s">
        <v>24</v>
      </c>
      <c r="C567" s="2" t="s">
        <v>501</v>
      </c>
      <c r="D567" s="3">
        <v>434.6</v>
      </c>
      <c r="E567" s="3">
        <v>3.1</v>
      </c>
      <c r="F567" s="3">
        <v>314.5</v>
      </c>
      <c r="G567" s="3">
        <v>392.7</v>
      </c>
      <c r="H567" s="3">
        <v>958.5</v>
      </c>
      <c r="I567" s="4">
        <v>1315</v>
      </c>
      <c r="J567" s="4">
        <v>1239.4000000000001</v>
      </c>
      <c r="K567" s="3">
        <v>157.69999999999999</v>
      </c>
      <c r="L567" s="3">
        <v>4.07</v>
      </c>
      <c r="M567" s="4">
        <v>420520</v>
      </c>
      <c r="N567" s="4">
        <v>8769</v>
      </c>
      <c r="O567" s="3">
        <v>13.89</v>
      </c>
      <c r="P567" s="3" t="str">
        <f t="shared" si="8"/>
        <v>NORMAL</v>
      </c>
      <c r="Q567" s="3" cm="1">
        <f t="array" aca="1" ref="Q567" ca="1">AVERAGE(OFFSET(tbl_Process[[#This Row],[Temp_Firing_C]], MAX(1-ROW()+ROW(tbl_Process[#Headers]), -23), 0, MIN(ROW()-ROW(tbl_Process[#Headers]), 24), 1))</f>
        <v>1325.0416666666665</v>
      </c>
      <c r="R567" s="3" t="e" cm="1" vm="1">
        <f t="array" aca="1" ref="R567" ca="1">tbl_Process[Temp_Firing_C] - AVERAGE(tbl_Zones[[Target_Temp_Min_C]:[Target_Temp_Max_C]])</f>
        <v>#VALUE!</v>
      </c>
    </row>
    <row r="568" spans="1:18" x14ac:dyDescent="0.3">
      <c r="A568" s="2" t="s">
        <v>587</v>
      </c>
      <c r="B568" s="2" t="s">
        <v>33</v>
      </c>
      <c r="C568" s="2" t="s">
        <v>501</v>
      </c>
      <c r="D568" s="3">
        <v>431.4</v>
      </c>
      <c r="E568" s="3">
        <v>3.04</v>
      </c>
      <c r="F568" s="3">
        <v>321.39999999999998</v>
      </c>
      <c r="G568" s="3">
        <v>394.8</v>
      </c>
      <c r="H568" s="3">
        <v>957.8</v>
      </c>
      <c r="I568" s="4">
        <v>1325.8</v>
      </c>
      <c r="J568" s="4">
        <v>1251.4000000000001</v>
      </c>
      <c r="K568" s="3">
        <v>168.3</v>
      </c>
      <c r="L568" s="3">
        <v>4.13</v>
      </c>
      <c r="M568" s="4">
        <v>428321</v>
      </c>
      <c r="N568" s="4">
        <v>8795</v>
      </c>
      <c r="O568" s="3">
        <v>14.12</v>
      </c>
      <c r="P568" s="3" t="str">
        <f t="shared" si="8"/>
        <v>NORMAL</v>
      </c>
      <c r="Q568" s="3" cm="1">
        <f t="array" aca="1" ref="Q568" ca="1">AVERAGE(OFFSET(tbl_Process[[#This Row],[Temp_Firing_C]], MAX(1-ROW()+ROW(tbl_Process[#Headers]), -23), 0, MIN(ROW()-ROW(tbl_Process[#Headers]), 24), 1))</f>
        <v>1324.9708333333331</v>
      </c>
      <c r="R568" s="3" t="e" cm="1" vm="1">
        <f t="array" aca="1" ref="R568" ca="1">tbl_Process[Temp_Firing_C] - AVERAGE(tbl_Zones[[Target_Temp_Min_C]:[Target_Temp_Max_C]])</f>
        <v>#VALUE!</v>
      </c>
    </row>
    <row r="569" spans="1:18" x14ac:dyDescent="0.3">
      <c r="A569" s="2" t="s">
        <v>588</v>
      </c>
      <c r="B569" s="2" t="s">
        <v>33</v>
      </c>
      <c r="C569" s="2" t="s">
        <v>501</v>
      </c>
      <c r="D569" s="3">
        <v>432.7</v>
      </c>
      <c r="E569" s="3">
        <v>3.06</v>
      </c>
      <c r="F569" s="3">
        <v>327.2</v>
      </c>
      <c r="G569" s="3">
        <v>375.5</v>
      </c>
      <c r="H569" s="3">
        <v>970.6</v>
      </c>
      <c r="I569" s="4">
        <v>1318.6</v>
      </c>
      <c r="J569" s="4">
        <v>1255.7</v>
      </c>
      <c r="K569" s="3">
        <v>158.1</v>
      </c>
      <c r="L569" s="3">
        <v>4.21</v>
      </c>
      <c r="M569" s="4">
        <v>419587</v>
      </c>
      <c r="N569" s="4">
        <v>8753</v>
      </c>
      <c r="O569" s="3">
        <v>14.01</v>
      </c>
      <c r="P569" s="3" t="str">
        <f t="shared" si="8"/>
        <v>NORMAL</v>
      </c>
      <c r="Q569" s="3" cm="1">
        <f t="array" aca="1" ref="Q569" ca="1">AVERAGE(OFFSET(tbl_Process[[#This Row],[Temp_Firing_C]], MAX(1-ROW()+ROW(tbl_Process[#Headers]), -23), 0, MIN(ROW()-ROW(tbl_Process[#Headers]), 24), 1))</f>
        <v>1324.5124999999996</v>
      </c>
      <c r="R569" s="3" t="e" cm="1" vm="1">
        <f t="array" aca="1" ref="R569" ca="1">tbl_Process[Temp_Firing_C] - AVERAGE(tbl_Zones[[Target_Temp_Min_C]:[Target_Temp_Max_C]])</f>
        <v>#VALUE!</v>
      </c>
    </row>
    <row r="570" spans="1:18" x14ac:dyDescent="0.3">
      <c r="A570" s="2" t="s">
        <v>589</v>
      </c>
      <c r="B570" s="2" t="s">
        <v>33</v>
      </c>
      <c r="C570" s="2" t="s">
        <v>501</v>
      </c>
      <c r="D570" s="3">
        <v>427.8</v>
      </c>
      <c r="E570" s="3">
        <v>3.1</v>
      </c>
      <c r="F570" s="3">
        <v>321.10000000000002</v>
      </c>
      <c r="G570" s="3">
        <v>376.1</v>
      </c>
      <c r="H570" s="3">
        <v>959.1</v>
      </c>
      <c r="I570" s="4">
        <v>1312.8</v>
      </c>
      <c r="J570" s="4">
        <v>1261.9000000000001</v>
      </c>
      <c r="K570" s="3">
        <v>165.5</v>
      </c>
      <c r="L570" s="3">
        <v>4.1900000000000004</v>
      </c>
      <c r="M570" s="4">
        <v>426406</v>
      </c>
      <c r="N570" s="4">
        <v>8416</v>
      </c>
      <c r="O570" s="3">
        <v>13.63</v>
      </c>
      <c r="P570" s="3" t="str">
        <f t="shared" si="8"/>
        <v>NORMAL</v>
      </c>
      <c r="Q570" s="3" cm="1">
        <f t="array" aca="1" ref="Q570" ca="1">AVERAGE(OFFSET(tbl_Process[[#This Row],[Temp_Firing_C]], MAX(1-ROW()+ROW(tbl_Process[#Headers]), -23), 0, MIN(ROW()-ROW(tbl_Process[#Headers]), 24), 1))</f>
        <v>1323.5666666666664</v>
      </c>
      <c r="R570" s="3" t="e" cm="1" vm="1">
        <f t="array" aca="1" ref="R570" ca="1">tbl_Process[Temp_Firing_C] - AVERAGE(tbl_Zones[[Target_Temp_Min_C]:[Target_Temp_Max_C]])</f>
        <v>#VALUE!</v>
      </c>
    </row>
    <row r="571" spans="1:18" x14ac:dyDescent="0.3">
      <c r="A571" s="2" t="s">
        <v>590</v>
      </c>
      <c r="B571" s="2" t="s">
        <v>33</v>
      </c>
      <c r="C571" s="2" t="s">
        <v>501</v>
      </c>
      <c r="D571" s="3">
        <v>428.4</v>
      </c>
      <c r="E571" s="3">
        <v>2.99</v>
      </c>
      <c r="F571" s="3">
        <v>318.7</v>
      </c>
      <c r="G571" s="3">
        <v>381.6</v>
      </c>
      <c r="H571" s="3">
        <v>971.3</v>
      </c>
      <c r="I571" s="4">
        <v>1311.2</v>
      </c>
      <c r="J571" s="4">
        <v>1248.5999999999999</v>
      </c>
      <c r="K571" s="3">
        <v>160.1</v>
      </c>
      <c r="L571" s="3">
        <v>4.18</v>
      </c>
      <c r="M571" s="4">
        <v>420197</v>
      </c>
      <c r="N571" s="4">
        <v>8800</v>
      </c>
      <c r="O571" s="3">
        <v>13.93</v>
      </c>
      <c r="P571" s="3" t="str">
        <f t="shared" si="8"/>
        <v>NORMAL</v>
      </c>
      <c r="Q571" s="3" cm="1">
        <f t="array" aca="1" ref="Q571" ca="1">AVERAGE(OFFSET(tbl_Process[[#This Row],[Temp_Firing_C]], MAX(1-ROW()+ROW(tbl_Process[#Headers]), -23), 0, MIN(ROW()-ROW(tbl_Process[#Headers]), 24), 1))</f>
        <v>1323.1083333333329</v>
      </c>
      <c r="R571" s="3" t="e" cm="1" vm="1">
        <f t="array" aca="1" ref="R571" ca="1">tbl_Process[Temp_Firing_C] - AVERAGE(tbl_Zones[[Target_Temp_Min_C]:[Target_Temp_Max_C]])</f>
        <v>#VALUE!</v>
      </c>
    </row>
    <row r="572" spans="1:18" x14ac:dyDescent="0.3">
      <c r="A572" s="2" t="s">
        <v>591</v>
      </c>
      <c r="B572" s="2" t="s">
        <v>33</v>
      </c>
      <c r="C572" s="2" t="s">
        <v>501</v>
      </c>
      <c r="D572" s="3">
        <v>437.1</v>
      </c>
      <c r="E572" s="3">
        <v>3.04</v>
      </c>
      <c r="F572" s="3">
        <v>324.5</v>
      </c>
      <c r="G572" s="3">
        <v>379.6</v>
      </c>
      <c r="H572" s="3">
        <v>956.1</v>
      </c>
      <c r="I572" s="4">
        <v>1325</v>
      </c>
      <c r="J572" s="4">
        <v>1258.2</v>
      </c>
      <c r="K572" s="3">
        <v>146.69999999999999</v>
      </c>
      <c r="L572" s="3">
        <v>3.89</v>
      </c>
      <c r="M572" s="4">
        <v>428953</v>
      </c>
      <c r="N572" s="4">
        <v>8948</v>
      </c>
      <c r="O572" s="3">
        <v>14.31</v>
      </c>
      <c r="P572" s="3" t="str">
        <f t="shared" si="8"/>
        <v>NORMAL</v>
      </c>
      <c r="Q572" s="3" cm="1">
        <f t="array" aca="1" ref="Q572" ca="1">AVERAGE(OFFSET(tbl_Process[[#This Row],[Temp_Firing_C]], MAX(1-ROW()+ROW(tbl_Process[#Headers]), -23), 0, MIN(ROW()-ROW(tbl_Process[#Headers]), 24), 1))</f>
        <v>1323.2958333333331</v>
      </c>
      <c r="R572" s="3" t="e" cm="1" vm="1">
        <f t="array" aca="1" ref="R572" ca="1">tbl_Process[Temp_Firing_C] - AVERAGE(tbl_Zones[[Target_Temp_Min_C]:[Target_Temp_Max_C]])</f>
        <v>#VALUE!</v>
      </c>
    </row>
    <row r="573" spans="1:18" x14ac:dyDescent="0.3">
      <c r="A573" s="2" t="s">
        <v>592</v>
      </c>
      <c r="B573" s="2" t="s">
        <v>33</v>
      </c>
      <c r="C573" s="2" t="s">
        <v>501</v>
      </c>
      <c r="D573" s="3">
        <v>429.9</v>
      </c>
      <c r="E573" s="3">
        <v>3</v>
      </c>
      <c r="F573" s="3">
        <v>317.5</v>
      </c>
      <c r="G573" s="3">
        <v>380</v>
      </c>
      <c r="H573" s="3">
        <v>947.9</v>
      </c>
      <c r="I573" s="4">
        <v>1333.1</v>
      </c>
      <c r="J573" s="4">
        <v>1281.5</v>
      </c>
      <c r="K573" s="3">
        <v>162.4</v>
      </c>
      <c r="L573" s="3">
        <v>4.16</v>
      </c>
      <c r="M573" s="4">
        <v>421426</v>
      </c>
      <c r="N573" s="4">
        <v>9083</v>
      </c>
      <c r="O573" s="3">
        <v>13.75</v>
      </c>
      <c r="P573" s="3" t="str">
        <f t="shared" si="8"/>
        <v>WARNING</v>
      </c>
      <c r="Q573" s="3" cm="1">
        <f t="array" aca="1" ref="Q573" ca="1">AVERAGE(OFFSET(tbl_Process[[#This Row],[Temp_Firing_C]], MAX(1-ROW()+ROW(tbl_Process[#Headers]), -23), 0, MIN(ROW()-ROW(tbl_Process[#Headers]), 24), 1))</f>
        <v>1324.1499999999999</v>
      </c>
      <c r="R573" s="3" t="e" cm="1" vm="1">
        <f t="array" aca="1" ref="R573" ca="1">tbl_Process[Temp_Firing_C] - AVERAGE(tbl_Zones[[Target_Temp_Min_C]:[Target_Temp_Max_C]])</f>
        <v>#VALUE!</v>
      </c>
    </row>
    <row r="574" spans="1:18" x14ac:dyDescent="0.3">
      <c r="A574" s="2" t="s">
        <v>593</v>
      </c>
      <c r="B574" s="2" t="s">
        <v>33</v>
      </c>
      <c r="C574" s="2" t="s">
        <v>501</v>
      </c>
      <c r="D574" s="3">
        <v>428.8</v>
      </c>
      <c r="E574" s="3">
        <v>3.14</v>
      </c>
      <c r="F574" s="3">
        <v>316.5</v>
      </c>
      <c r="G574" s="3">
        <v>381.1</v>
      </c>
      <c r="H574" s="3">
        <v>942.8</v>
      </c>
      <c r="I574" s="4">
        <v>1328.8</v>
      </c>
      <c r="J574" s="4">
        <v>1263.2</v>
      </c>
      <c r="K574" s="3">
        <v>165.8</v>
      </c>
      <c r="L574" s="3">
        <v>4.16</v>
      </c>
      <c r="M574" s="4">
        <v>424707</v>
      </c>
      <c r="N574" s="4">
        <v>8700</v>
      </c>
      <c r="O574" s="3">
        <v>14.23</v>
      </c>
      <c r="P574" s="3" t="str">
        <f t="shared" si="8"/>
        <v>NORMAL</v>
      </c>
      <c r="Q574" s="3" cm="1">
        <f t="array" aca="1" ref="Q574" ca="1">AVERAGE(OFFSET(tbl_Process[[#This Row],[Temp_Firing_C]], MAX(1-ROW()+ROW(tbl_Process[#Headers]), -23), 0, MIN(ROW()-ROW(tbl_Process[#Headers]), 24), 1))</f>
        <v>1324.5458333333331</v>
      </c>
      <c r="R574" s="3" t="e" cm="1" vm="1">
        <f t="array" aca="1" ref="R574" ca="1">tbl_Process[Temp_Firing_C] - AVERAGE(tbl_Zones[[Target_Temp_Min_C]:[Target_Temp_Max_C]])</f>
        <v>#VALUE!</v>
      </c>
    </row>
    <row r="575" spans="1:18" x14ac:dyDescent="0.3">
      <c r="A575" s="2" t="s">
        <v>594</v>
      </c>
      <c r="B575" s="2" t="s">
        <v>33</v>
      </c>
      <c r="C575" s="2" t="s">
        <v>501</v>
      </c>
      <c r="D575" s="3">
        <v>426.5</v>
      </c>
      <c r="E575" s="3">
        <v>3.06</v>
      </c>
      <c r="F575" s="3">
        <v>320.2</v>
      </c>
      <c r="G575" s="3">
        <v>381.1</v>
      </c>
      <c r="H575" s="3">
        <v>940</v>
      </c>
      <c r="I575" s="4">
        <v>1318.7</v>
      </c>
      <c r="J575" s="4">
        <v>1258.5</v>
      </c>
      <c r="K575" s="3">
        <v>158.30000000000001</v>
      </c>
      <c r="L575" s="3">
        <v>4.1100000000000003</v>
      </c>
      <c r="M575" s="4">
        <v>423934</v>
      </c>
      <c r="N575" s="4">
        <v>8709</v>
      </c>
      <c r="O575" s="3">
        <v>13.78</v>
      </c>
      <c r="P575" s="3" t="str">
        <f t="shared" si="8"/>
        <v>NORMAL</v>
      </c>
      <c r="Q575" s="3" cm="1">
        <f t="array" aca="1" ref="Q575" ca="1">AVERAGE(OFFSET(tbl_Process[[#This Row],[Temp_Firing_C]], MAX(1-ROW()+ROW(tbl_Process[#Headers]), -23), 0, MIN(ROW()-ROW(tbl_Process[#Headers]), 24), 1))</f>
        <v>1323.9416666666664</v>
      </c>
      <c r="R575" s="3" t="e" cm="1" vm="1">
        <f t="array" aca="1" ref="R575" ca="1">tbl_Process[Temp_Firing_C] - AVERAGE(tbl_Zones[[Target_Temp_Min_C]:[Target_Temp_Max_C]])</f>
        <v>#VALUE!</v>
      </c>
    </row>
    <row r="576" spans="1:18" x14ac:dyDescent="0.3">
      <c r="A576" s="2" t="s">
        <v>595</v>
      </c>
      <c r="B576" s="2" t="s">
        <v>16</v>
      </c>
      <c r="C576" s="2" t="s">
        <v>501</v>
      </c>
      <c r="D576" s="3">
        <v>429.9</v>
      </c>
      <c r="E576" s="3">
        <v>3.18</v>
      </c>
      <c r="F576" s="3">
        <v>314.10000000000002</v>
      </c>
      <c r="G576" s="3">
        <v>378</v>
      </c>
      <c r="H576" s="3">
        <v>944.3</v>
      </c>
      <c r="I576" s="4">
        <v>1328.7</v>
      </c>
      <c r="J576" s="4">
        <v>1263.0999999999999</v>
      </c>
      <c r="K576" s="3">
        <v>156</v>
      </c>
      <c r="L576" s="3">
        <v>4.21</v>
      </c>
      <c r="M576" s="4">
        <v>420953</v>
      </c>
      <c r="N576" s="4">
        <v>8720</v>
      </c>
      <c r="O576" s="3">
        <v>13.66</v>
      </c>
      <c r="P576" s="3" t="str">
        <f t="shared" si="8"/>
        <v>NORMAL</v>
      </c>
      <c r="Q576" s="3" cm="1">
        <f t="array" aca="1" ref="Q576" ca="1">AVERAGE(OFFSET(tbl_Process[[#This Row],[Temp_Firing_C]], MAX(1-ROW()+ROW(tbl_Process[#Headers]), -23), 0, MIN(ROW()-ROW(tbl_Process[#Headers]), 24), 1))</f>
        <v>1324.5708333333332</v>
      </c>
      <c r="R576" s="3" t="e" cm="1" vm="1">
        <f t="array" aca="1" ref="R576" ca="1">tbl_Process[Temp_Firing_C] - AVERAGE(tbl_Zones[[Target_Temp_Min_C]:[Target_Temp_Max_C]])</f>
        <v>#VALUE!</v>
      </c>
    </row>
    <row r="577" spans="1:18" x14ac:dyDescent="0.3">
      <c r="A577" s="2" t="s">
        <v>596</v>
      </c>
      <c r="B577" s="2" t="s">
        <v>16</v>
      </c>
      <c r="C577" s="2" t="s">
        <v>501</v>
      </c>
      <c r="D577" s="3">
        <v>425.7</v>
      </c>
      <c r="E577" s="3">
        <v>3.21</v>
      </c>
      <c r="F577" s="3">
        <v>316.3</v>
      </c>
      <c r="G577" s="3">
        <v>384.2</v>
      </c>
      <c r="H577" s="3">
        <v>951.4</v>
      </c>
      <c r="I577" s="4">
        <v>1328</v>
      </c>
      <c r="J577" s="4">
        <v>1256.8</v>
      </c>
      <c r="K577" s="3">
        <v>160.69999999999999</v>
      </c>
      <c r="L577" s="3">
        <v>4.17</v>
      </c>
      <c r="M577" s="4">
        <v>433187</v>
      </c>
      <c r="N577" s="4">
        <v>8912</v>
      </c>
      <c r="O577" s="3">
        <v>13.72</v>
      </c>
      <c r="P577" s="3" t="str">
        <f t="shared" si="8"/>
        <v>NORMAL</v>
      </c>
      <c r="Q577" s="3" cm="1">
        <f t="array" aca="1" ref="Q577" ca="1">AVERAGE(OFFSET(tbl_Process[[#This Row],[Temp_Firing_C]], MAX(1-ROW()+ROW(tbl_Process[#Headers]), -23), 0, MIN(ROW()-ROW(tbl_Process[#Headers]), 24), 1))</f>
        <v>1324.6958333333332</v>
      </c>
      <c r="R577" s="3" t="e" cm="1" vm="1">
        <f t="array" aca="1" ref="R577" ca="1">tbl_Process[Temp_Firing_C] - AVERAGE(tbl_Zones[[Target_Temp_Min_C]:[Target_Temp_Max_C]])</f>
        <v>#VALUE!</v>
      </c>
    </row>
    <row r="578" spans="1:18" x14ac:dyDescent="0.3">
      <c r="A578" s="2" t="s">
        <v>597</v>
      </c>
      <c r="B578" s="2" t="s">
        <v>16</v>
      </c>
      <c r="C578" s="2" t="s">
        <v>501</v>
      </c>
      <c r="D578" s="3">
        <v>432.7</v>
      </c>
      <c r="E578" s="3">
        <v>3.27</v>
      </c>
      <c r="F578" s="3">
        <v>311.3</v>
      </c>
      <c r="G578" s="3">
        <v>375.5</v>
      </c>
      <c r="H578" s="3">
        <v>959.2</v>
      </c>
      <c r="I578" s="4">
        <v>1319.4</v>
      </c>
      <c r="J578" s="4">
        <v>1252.4000000000001</v>
      </c>
      <c r="K578" s="3">
        <v>154.19999999999999</v>
      </c>
      <c r="L578" s="3">
        <v>4.43</v>
      </c>
      <c r="M578" s="4">
        <v>418513</v>
      </c>
      <c r="N578" s="4">
        <v>8709</v>
      </c>
      <c r="O578" s="3">
        <v>14.29</v>
      </c>
      <c r="P578" s="3" t="str">
        <f t="shared" ref="P578:P641" si="9">IF(L578&gt;4.5,"CRITICAL",IF(OR(I578&lt;1250,I578&gt;1330),"WARNING","NORMAL"))</f>
        <v>NORMAL</v>
      </c>
      <c r="Q578" s="3" cm="1">
        <f t="array" aca="1" ref="Q578" ca="1">AVERAGE(OFFSET(tbl_Process[[#This Row],[Temp_Firing_C]], MAX(1-ROW()+ROW(tbl_Process[#Headers]), -23), 0, MIN(ROW()-ROW(tbl_Process[#Headers]), 24), 1))</f>
        <v>1324.6291666666666</v>
      </c>
      <c r="R578" s="3" t="e" cm="1" vm="1">
        <f t="array" aca="1" ref="R578" ca="1">tbl_Process[Temp_Firing_C] - AVERAGE(tbl_Zones[[Target_Temp_Min_C]:[Target_Temp_Max_C]])</f>
        <v>#VALUE!</v>
      </c>
    </row>
    <row r="579" spans="1:18" x14ac:dyDescent="0.3">
      <c r="A579" s="2" t="s">
        <v>598</v>
      </c>
      <c r="B579" s="2" t="s">
        <v>16</v>
      </c>
      <c r="C579" s="2" t="s">
        <v>501</v>
      </c>
      <c r="D579" s="3">
        <v>429.9</v>
      </c>
      <c r="E579" s="3">
        <v>3.02</v>
      </c>
      <c r="F579" s="3">
        <v>313.3</v>
      </c>
      <c r="G579" s="3">
        <v>380.2</v>
      </c>
      <c r="H579" s="3">
        <v>953.6</v>
      </c>
      <c r="I579" s="4">
        <v>1325.2</v>
      </c>
      <c r="J579" s="4">
        <v>1251.8</v>
      </c>
      <c r="K579" s="3">
        <v>165</v>
      </c>
      <c r="L579" s="3">
        <v>4.18</v>
      </c>
      <c r="M579" s="4">
        <v>425200</v>
      </c>
      <c r="N579" s="4">
        <v>8975</v>
      </c>
      <c r="O579" s="3">
        <v>13.71</v>
      </c>
      <c r="P579" s="3" t="str">
        <f t="shared" si="9"/>
        <v>NORMAL</v>
      </c>
      <c r="Q579" s="3" cm="1">
        <f t="array" aca="1" ref="Q579" ca="1">AVERAGE(OFFSET(tbl_Process[[#This Row],[Temp_Firing_C]], MAX(1-ROW()+ROW(tbl_Process[#Headers]), -23), 0, MIN(ROW()-ROW(tbl_Process[#Headers]), 24), 1))</f>
        <v>1324.6249999999998</v>
      </c>
      <c r="R579" s="3" t="e" cm="1" vm="1">
        <f t="array" aca="1" ref="R579" ca="1">tbl_Process[Temp_Firing_C] - AVERAGE(tbl_Zones[[Target_Temp_Min_C]:[Target_Temp_Max_C]])</f>
        <v>#VALUE!</v>
      </c>
    </row>
    <row r="580" spans="1:18" x14ac:dyDescent="0.3">
      <c r="A580" s="2" t="s">
        <v>599</v>
      </c>
      <c r="B580" s="2" t="s">
        <v>16</v>
      </c>
      <c r="C580" s="2" t="s">
        <v>501</v>
      </c>
      <c r="D580" s="3">
        <v>427.1</v>
      </c>
      <c r="E580" s="3">
        <v>3.06</v>
      </c>
      <c r="F580" s="3">
        <v>320.5</v>
      </c>
      <c r="G580" s="3">
        <v>381.5</v>
      </c>
      <c r="H580" s="3">
        <v>953.3</v>
      </c>
      <c r="I580" s="4">
        <v>1308.2</v>
      </c>
      <c r="J580" s="4">
        <v>1239.8</v>
      </c>
      <c r="K580" s="3">
        <v>162.9</v>
      </c>
      <c r="L580" s="3">
        <v>4.16</v>
      </c>
      <c r="M580" s="4">
        <v>425674</v>
      </c>
      <c r="N580" s="4">
        <v>8833</v>
      </c>
      <c r="O580" s="3">
        <v>14.12</v>
      </c>
      <c r="P580" s="3" t="str">
        <f t="shared" si="9"/>
        <v>NORMAL</v>
      </c>
      <c r="Q580" s="3" cm="1">
        <f t="array" aca="1" ref="Q580" ca="1">AVERAGE(OFFSET(tbl_Process[[#This Row],[Temp_Firing_C]], MAX(1-ROW()+ROW(tbl_Process[#Headers]), -23), 0, MIN(ROW()-ROW(tbl_Process[#Headers]), 24), 1))</f>
        <v>1324.1583333333333</v>
      </c>
      <c r="R580" s="3" t="e" cm="1" vm="1">
        <f t="array" aca="1" ref="R580" ca="1">tbl_Process[Temp_Firing_C] - AVERAGE(tbl_Zones[[Target_Temp_Min_C]:[Target_Temp_Max_C]])</f>
        <v>#VALUE!</v>
      </c>
    </row>
    <row r="581" spans="1:18" x14ac:dyDescent="0.3">
      <c r="A581" s="2" t="s">
        <v>600</v>
      </c>
      <c r="B581" s="2" t="s">
        <v>16</v>
      </c>
      <c r="C581" s="2" t="s">
        <v>501</v>
      </c>
      <c r="D581" s="3">
        <v>435.5</v>
      </c>
      <c r="E581" s="3">
        <v>3.16</v>
      </c>
      <c r="F581" s="3">
        <v>332.1</v>
      </c>
      <c r="G581" s="3">
        <v>395.4</v>
      </c>
      <c r="H581" s="3">
        <v>975.1</v>
      </c>
      <c r="I581" s="4">
        <v>1330.6</v>
      </c>
      <c r="J581" s="4">
        <v>1264.4000000000001</v>
      </c>
      <c r="K581" s="3">
        <v>161</v>
      </c>
      <c r="L581" s="3">
        <v>4.2300000000000004</v>
      </c>
      <c r="M581" s="4">
        <v>427682</v>
      </c>
      <c r="N581" s="4">
        <v>8781</v>
      </c>
      <c r="O581" s="3">
        <v>13.93</v>
      </c>
      <c r="P581" s="3" t="str">
        <f t="shared" si="9"/>
        <v>WARNING</v>
      </c>
      <c r="Q581" s="3" cm="1">
        <f t="array" aca="1" ref="Q581" ca="1">AVERAGE(OFFSET(tbl_Process[[#This Row],[Temp_Firing_C]], MAX(1-ROW()+ROW(tbl_Process[#Headers]), -23), 0, MIN(ROW()-ROW(tbl_Process[#Headers]), 24), 1))</f>
        <v>1324.3166666666668</v>
      </c>
      <c r="R581" s="3" t="e" cm="1" vm="1">
        <f t="array" aca="1" ref="R581" ca="1">tbl_Process[Temp_Firing_C] - AVERAGE(tbl_Zones[[Target_Temp_Min_C]:[Target_Temp_Max_C]])</f>
        <v>#VALUE!</v>
      </c>
    </row>
    <row r="582" spans="1:18" x14ac:dyDescent="0.3">
      <c r="A582" s="2" t="s">
        <v>601</v>
      </c>
      <c r="B582" s="2" t="s">
        <v>16</v>
      </c>
      <c r="C582" s="2" t="s">
        <v>501</v>
      </c>
      <c r="D582" s="3">
        <v>420.6</v>
      </c>
      <c r="E582" s="3">
        <v>3.24</v>
      </c>
      <c r="F582" s="3">
        <v>320.7</v>
      </c>
      <c r="G582" s="3">
        <v>385.9</v>
      </c>
      <c r="H582" s="3">
        <v>981.5</v>
      </c>
      <c r="I582" s="4">
        <v>1327.8</v>
      </c>
      <c r="J582" s="4">
        <v>1271.5</v>
      </c>
      <c r="K582" s="3">
        <v>155.1</v>
      </c>
      <c r="L582" s="3">
        <v>4.3899999999999997</v>
      </c>
      <c r="M582" s="4">
        <v>428809</v>
      </c>
      <c r="N582" s="4">
        <v>8859</v>
      </c>
      <c r="O582" s="3">
        <v>14.27</v>
      </c>
      <c r="P582" s="3" t="str">
        <f t="shared" si="9"/>
        <v>NORMAL</v>
      </c>
      <c r="Q582" s="3" cm="1">
        <f t="array" aca="1" ref="Q582" ca="1">AVERAGE(OFFSET(tbl_Process[[#This Row],[Temp_Firing_C]], MAX(1-ROW()+ROW(tbl_Process[#Headers]), -23), 0, MIN(ROW()-ROW(tbl_Process[#Headers]), 24), 1))</f>
        <v>1324.3833333333332</v>
      </c>
      <c r="R582" s="3" t="e" cm="1" vm="1">
        <f t="array" aca="1" ref="R582" ca="1">tbl_Process[Temp_Firing_C] - AVERAGE(tbl_Zones[[Target_Temp_Min_C]:[Target_Temp_Max_C]])</f>
        <v>#VALUE!</v>
      </c>
    </row>
    <row r="583" spans="1:18" x14ac:dyDescent="0.3">
      <c r="A583" s="2" t="s">
        <v>602</v>
      </c>
      <c r="B583" s="2" t="s">
        <v>16</v>
      </c>
      <c r="C583" s="2" t="s">
        <v>501</v>
      </c>
      <c r="D583" s="3">
        <v>425.3</v>
      </c>
      <c r="E583" s="3">
        <v>3.08</v>
      </c>
      <c r="F583" s="3">
        <v>330.7</v>
      </c>
      <c r="G583" s="3">
        <v>369.7</v>
      </c>
      <c r="H583" s="3">
        <v>970.9</v>
      </c>
      <c r="I583" s="4">
        <v>1329.8</v>
      </c>
      <c r="J583" s="4">
        <v>1276.5999999999999</v>
      </c>
      <c r="K583" s="3">
        <v>153.5</v>
      </c>
      <c r="L583" s="3">
        <v>4.32</v>
      </c>
      <c r="M583" s="4">
        <v>423406</v>
      </c>
      <c r="N583" s="4">
        <v>8804</v>
      </c>
      <c r="O583" s="3">
        <v>13.65</v>
      </c>
      <c r="P583" s="3" t="str">
        <f t="shared" si="9"/>
        <v>NORMAL</v>
      </c>
      <c r="Q583" s="3" cm="1">
        <f t="array" aca="1" ref="Q583" ca="1">AVERAGE(OFFSET(tbl_Process[[#This Row],[Temp_Firing_C]], MAX(1-ROW()+ROW(tbl_Process[#Headers]), -23), 0, MIN(ROW()-ROW(tbl_Process[#Headers]), 24), 1))</f>
        <v>1323.7791666666667</v>
      </c>
      <c r="R583" s="3" t="e" cm="1" vm="1">
        <f t="array" aca="1" ref="R583" ca="1">tbl_Process[Temp_Firing_C] - AVERAGE(tbl_Zones[[Target_Temp_Min_C]:[Target_Temp_Max_C]])</f>
        <v>#VALUE!</v>
      </c>
    </row>
    <row r="584" spans="1:18" x14ac:dyDescent="0.3">
      <c r="A584" s="2" t="s">
        <v>603</v>
      </c>
      <c r="B584" s="2" t="s">
        <v>24</v>
      </c>
      <c r="C584" s="2" t="s">
        <v>501</v>
      </c>
      <c r="D584" s="3">
        <v>425.6</v>
      </c>
      <c r="E584" s="3">
        <v>3.13</v>
      </c>
      <c r="F584" s="3">
        <v>315.39999999999998</v>
      </c>
      <c r="G584" s="3">
        <v>387.9</v>
      </c>
      <c r="H584" s="3">
        <v>956.1</v>
      </c>
      <c r="I584" s="4">
        <v>1315.7</v>
      </c>
      <c r="J584" s="4">
        <v>1247.5</v>
      </c>
      <c r="K584" s="3">
        <v>163</v>
      </c>
      <c r="L584" s="3">
        <v>4.1100000000000003</v>
      </c>
      <c r="M584" s="4">
        <v>422946</v>
      </c>
      <c r="N584" s="4">
        <v>8772</v>
      </c>
      <c r="O584" s="3">
        <v>14.25</v>
      </c>
      <c r="P584" s="3" t="str">
        <f t="shared" si="9"/>
        <v>NORMAL</v>
      </c>
      <c r="Q584" s="3" cm="1">
        <f t="array" aca="1" ref="Q584" ca="1">AVERAGE(OFFSET(tbl_Process[[#This Row],[Temp_Firing_C]], MAX(1-ROW()+ROW(tbl_Process[#Headers]), -23), 0, MIN(ROW()-ROW(tbl_Process[#Headers]), 24), 1))</f>
        <v>1322.6166666666666</v>
      </c>
      <c r="R584" s="3" t="e" cm="1" vm="1">
        <f t="array" aca="1" ref="R584" ca="1">tbl_Process[Temp_Firing_C] - AVERAGE(tbl_Zones[[Target_Temp_Min_C]:[Target_Temp_Max_C]])</f>
        <v>#VALUE!</v>
      </c>
    </row>
    <row r="585" spans="1:18" x14ac:dyDescent="0.3">
      <c r="A585" s="2" t="s">
        <v>604</v>
      </c>
      <c r="B585" s="2" t="s">
        <v>24</v>
      </c>
      <c r="C585" s="2" t="s">
        <v>501</v>
      </c>
      <c r="D585" s="3">
        <v>428.8</v>
      </c>
      <c r="E585" s="3">
        <v>3.02</v>
      </c>
      <c r="F585" s="3">
        <v>322.39999999999998</v>
      </c>
      <c r="G585" s="3">
        <v>385.8</v>
      </c>
      <c r="H585" s="3">
        <v>946.3</v>
      </c>
      <c r="I585" s="4">
        <v>1317.9</v>
      </c>
      <c r="J585" s="4">
        <v>1248.5999999999999</v>
      </c>
      <c r="K585" s="3">
        <v>160.19999999999999</v>
      </c>
      <c r="L585" s="3">
        <v>4.0599999999999996</v>
      </c>
      <c r="M585" s="4">
        <v>425697</v>
      </c>
      <c r="N585" s="4">
        <v>8522</v>
      </c>
      <c r="O585" s="3">
        <v>13.79</v>
      </c>
      <c r="P585" s="3" t="str">
        <f t="shared" si="9"/>
        <v>NORMAL</v>
      </c>
      <c r="Q585" s="3" cm="1">
        <f t="array" aca="1" ref="Q585" ca="1">AVERAGE(OFFSET(tbl_Process[[#This Row],[Temp_Firing_C]], MAX(1-ROW()+ROW(tbl_Process[#Headers]), -23), 0, MIN(ROW()-ROW(tbl_Process[#Headers]), 24), 1))</f>
        <v>1322.3916666666669</v>
      </c>
      <c r="R585" s="3" t="e" cm="1" vm="1">
        <f t="array" aca="1" ref="R585" ca="1">tbl_Process[Temp_Firing_C] - AVERAGE(tbl_Zones[[Target_Temp_Min_C]:[Target_Temp_Max_C]])</f>
        <v>#VALUE!</v>
      </c>
    </row>
    <row r="586" spans="1:18" x14ac:dyDescent="0.3">
      <c r="A586" s="2" t="s">
        <v>605</v>
      </c>
      <c r="B586" s="2" t="s">
        <v>24</v>
      </c>
      <c r="C586" s="2" t="s">
        <v>501</v>
      </c>
      <c r="D586" s="3">
        <v>428.7</v>
      </c>
      <c r="E586" s="3">
        <v>3.09</v>
      </c>
      <c r="F586" s="3">
        <v>312.89999999999998</v>
      </c>
      <c r="G586" s="3">
        <v>378</v>
      </c>
      <c r="H586" s="3">
        <v>958.5</v>
      </c>
      <c r="I586" s="4">
        <v>1321.3</v>
      </c>
      <c r="J586" s="4">
        <v>1257.2</v>
      </c>
      <c r="K586" s="3">
        <v>157.80000000000001</v>
      </c>
      <c r="L586" s="3">
        <v>4.34</v>
      </c>
      <c r="M586" s="4">
        <v>425543</v>
      </c>
      <c r="N586" s="4">
        <v>8659</v>
      </c>
      <c r="O586" s="3">
        <v>14.1</v>
      </c>
      <c r="P586" s="3" t="str">
        <f t="shared" si="9"/>
        <v>NORMAL</v>
      </c>
      <c r="Q586" s="3" cm="1">
        <f t="array" aca="1" ref="Q586" ca="1">AVERAGE(OFFSET(tbl_Process[[#This Row],[Temp_Firing_C]], MAX(1-ROW()+ROW(tbl_Process[#Headers]), -23), 0, MIN(ROW()-ROW(tbl_Process[#Headers]), 24), 1))</f>
        <v>1322.8416666666667</v>
      </c>
      <c r="R586" s="3" t="e" cm="1" vm="1">
        <f t="array" aca="1" ref="R586" ca="1">tbl_Process[Temp_Firing_C] - AVERAGE(tbl_Zones[[Target_Temp_Min_C]:[Target_Temp_Max_C]])</f>
        <v>#VALUE!</v>
      </c>
    </row>
    <row r="587" spans="1:18" x14ac:dyDescent="0.3">
      <c r="A587" s="2" t="s">
        <v>606</v>
      </c>
      <c r="B587" s="2" t="s">
        <v>24</v>
      </c>
      <c r="C587" s="2" t="s">
        <v>501</v>
      </c>
      <c r="D587" s="3">
        <v>430.5</v>
      </c>
      <c r="E587" s="3">
        <v>3.2</v>
      </c>
      <c r="F587" s="3">
        <v>317.7</v>
      </c>
      <c r="G587" s="3">
        <v>387.1</v>
      </c>
      <c r="H587" s="3">
        <v>963.2</v>
      </c>
      <c r="I587" s="4">
        <v>1335.5</v>
      </c>
      <c r="J587" s="4">
        <v>1278.2</v>
      </c>
      <c r="K587" s="3">
        <v>161.9</v>
      </c>
      <c r="L587" s="3">
        <v>4.18</v>
      </c>
      <c r="M587" s="4">
        <v>428163</v>
      </c>
      <c r="N587" s="4">
        <v>8904</v>
      </c>
      <c r="O587" s="3">
        <v>14.3</v>
      </c>
      <c r="P587" s="3" t="str">
        <f t="shared" si="9"/>
        <v>WARNING</v>
      </c>
      <c r="Q587" s="3" cm="1">
        <f t="array" aca="1" ref="Q587" ca="1">AVERAGE(OFFSET(tbl_Process[[#This Row],[Temp_Firing_C]], MAX(1-ROW()+ROW(tbl_Process[#Headers]), -23), 0, MIN(ROW()-ROW(tbl_Process[#Headers]), 24), 1))</f>
        <v>1322.8083333333334</v>
      </c>
      <c r="R587" s="3" t="e" cm="1" vm="1">
        <f t="array" aca="1" ref="R587" ca="1">tbl_Process[Temp_Firing_C] - AVERAGE(tbl_Zones[[Target_Temp_Min_C]:[Target_Temp_Max_C]])</f>
        <v>#VALUE!</v>
      </c>
    </row>
    <row r="588" spans="1:18" x14ac:dyDescent="0.3">
      <c r="A588" s="2" t="s">
        <v>607</v>
      </c>
      <c r="B588" s="2" t="s">
        <v>24</v>
      </c>
      <c r="C588" s="2" t="s">
        <v>501</v>
      </c>
      <c r="D588" s="3">
        <v>430.3</v>
      </c>
      <c r="E588" s="3">
        <v>3.07</v>
      </c>
      <c r="F588" s="3">
        <v>318.2</v>
      </c>
      <c r="G588" s="3">
        <v>372.7</v>
      </c>
      <c r="H588" s="3">
        <v>968.5</v>
      </c>
      <c r="I588" s="4">
        <v>1315.9</v>
      </c>
      <c r="J588" s="4">
        <v>1257.5</v>
      </c>
      <c r="K588" s="3">
        <v>154.19999999999999</v>
      </c>
      <c r="L588" s="3">
        <v>4.2</v>
      </c>
      <c r="M588" s="4">
        <v>426888</v>
      </c>
      <c r="N588" s="4">
        <v>8433</v>
      </c>
      <c r="O588" s="3">
        <v>14.76</v>
      </c>
      <c r="P588" s="3" t="str">
        <f t="shared" si="9"/>
        <v>NORMAL</v>
      </c>
      <c r="Q588" s="3" cm="1">
        <f t="array" aca="1" ref="Q588" ca="1">AVERAGE(OFFSET(tbl_Process[[#This Row],[Temp_Firing_C]], MAX(1-ROW()+ROW(tbl_Process[#Headers]), -23), 0, MIN(ROW()-ROW(tbl_Process[#Headers]), 24), 1))</f>
        <v>1322.4583333333335</v>
      </c>
      <c r="R588" s="3" t="e" cm="1" vm="1">
        <f t="array" aca="1" ref="R588" ca="1">tbl_Process[Temp_Firing_C] - AVERAGE(tbl_Zones[[Target_Temp_Min_C]:[Target_Temp_Max_C]])</f>
        <v>#VALUE!</v>
      </c>
    </row>
    <row r="589" spans="1:18" x14ac:dyDescent="0.3">
      <c r="A589" s="2" t="s">
        <v>608</v>
      </c>
      <c r="B589" s="2" t="s">
        <v>24</v>
      </c>
      <c r="C589" s="2" t="s">
        <v>501</v>
      </c>
      <c r="D589" s="3">
        <v>428.3</v>
      </c>
      <c r="E589" s="3">
        <v>3.11</v>
      </c>
      <c r="F589" s="3">
        <v>323.89999999999998</v>
      </c>
      <c r="G589" s="3">
        <v>385.7</v>
      </c>
      <c r="H589" s="3">
        <v>964.2</v>
      </c>
      <c r="I589" s="4">
        <v>1329.3</v>
      </c>
      <c r="J589" s="4">
        <v>1267.4000000000001</v>
      </c>
      <c r="K589" s="3">
        <v>169.1</v>
      </c>
      <c r="L589" s="3">
        <v>4.2300000000000004</v>
      </c>
      <c r="M589" s="4">
        <v>432150</v>
      </c>
      <c r="N589" s="4">
        <v>8960</v>
      </c>
      <c r="O589" s="3">
        <v>13.38</v>
      </c>
      <c r="P589" s="3" t="str">
        <f t="shared" si="9"/>
        <v>NORMAL</v>
      </c>
      <c r="Q589" s="3" cm="1">
        <f t="array" aca="1" ref="Q589" ca="1">AVERAGE(OFFSET(tbl_Process[[#This Row],[Temp_Firing_C]], MAX(1-ROW()+ROW(tbl_Process[#Headers]), -23), 0, MIN(ROW()-ROW(tbl_Process[#Headers]), 24), 1))</f>
        <v>1322.7166666666667</v>
      </c>
      <c r="R589" s="3" t="e" cm="1" vm="1">
        <f t="array" aca="1" ref="R589" ca="1">tbl_Process[Temp_Firing_C] - AVERAGE(tbl_Zones[[Target_Temp_Min_C]:[Target_Temp_Max_C]])</f>
        <v>#VALUE!</v>
      </c>
    </row>
    <row r="590" spans="1:18" x14ac:dyDescent="0.3">
      <c r="A590" s="2" t="s">
        <v>609</v>
      </c>
      <c r="B590" s="2" t="s">
        <v>24</v>
      </c>
      <c r="C590" s="2" t="s">
        <v>501</v>
      </c>
      <c r="D590" s="3">
        <v>440.4</v>
      </c>
      <c r="E590" s="3">
        <v>3.05</v>
      </c>
      <c r="F590" s="3">
        <v>329</v>
      </c>
      <c r="G590" s="3">
        <v>380.2</v>
      </c>
      <c r="H590" s="3">
        <v>972.7</v>
      </c>
      <c r="I590" s="4">
        <v>1314.5</v>
      </c>
      <c r="J590" s="4">
        <v>1253.3</v>
      </c>
      <c r="K590" s="3">
        <v>158.69999999999999</v>
      </c>
      <c r="L590" s="3">
        <v>4.49</v>
      </c>
      <c r="M590" s="4">
        <v>424145</v>
      </c>
      <c r="N590" s="4">
        <v>8786</v>
      </c>
      <c r="O590" s="3">
        <v>13.43</v>
      </c>
      <c r="P590" s="3" t="str">
        <f t="shared" si="9"/>
        <v>NORMAL</v>
      </c>
      <c r="Q590" s="3" cm="1">
        <f t="array" aca="1" ref="Q590" ca="1">AVERAGE(OFFSET(tbl_Process[[#This Row],[Temp_Firing_C]], MAX(1-ROW()+ROW(tbl_Process[#Headers]), -23), 0, MIN(ROW()-ROW(tbl_Process[#Headers]), 24), 1))</f>
        <v>1322.3666666666666</v>
      </c>
      <c r="R590" s="3" t="e" cm="1" vm="1">
        <f t="array" aca="1" ref="R590" ca="1">tbl_Process[Temp_Firing_C] - AVERAGE(tbl_Zones[[Target_Temp_Min_C]:[Target_Temp_Max_C]])</f>
        <v>#VALUE!</v>
      </c>
    </row>
    <row r="591" spans="1:18" x14ac:dyDescent="0.3">
      <c r="A591" s="2" t="s">
        <v>610</v>
      </c>
      <c r="B591" s="2" t="s">
        <v>24</v>
      </c>
      <c r="C591" s="2" t="s">
        <v>501</v>
      </c>
      <c r="D591" s="3">
        <v>429.7</v>
      </c>
      <c r="E591" s="3">
        <v>3.13</v>
      </c>
      <c r="F591" s="3">
        <v>320.89999999999998</v>
      </c>
      <c r="G591" s="3">
        <v>386.1</v>
      </c>
      <c r="H591" s="3">
        <v>954.7</v>
      </c>
      <c r="I591" s="4">
        <v>1319.1</v>
      </c>
      <c r="J591" s="4">
        <v>1261.2</v>
      </c>
      <c r="K591" s="3">
        <v>148.30000000000001</v>
      </c>
      <c r="L591" s="3">
        <v>4.26</v>
      </c>
      <c r="M591" s="4">
        <v>422269</v>
      </c>
      <c r="N591" s="4">
        <v>8620</v>
      </c>
      <c r="O591" s="3">
        <v>14.19</v>
      </c>
      <c r="P591" s="3" t="str">
        <f t="shared" si="9"/>
        <v>NORMAL</v>
      </c>
      <c r="Q591" s="3" cm="1">
        <f t="array" aca="1" ref="Q591" ca="1">AVERAGE(OFFSET(tbl_Process[[#This Row],[Temp_Firing_C]], MAX(1-ROW()+ROW(tbl_Process[#Headers]), -23), 0, MIN(ROW()-ROW(tbl_Process[#Headers]), 24), 1))</f>
        <v>1322.5374999999999</v>
      </c>
      <c r="R591" s="3" t="e" cm="1" vm="1">
        <f t="array" aca="1" ref="R591" ca="1">tbl_Process[Temp_Firing_C] - AVERAGE(tbl_Zones[[Target_Temp_Min_C]:[Target_Temp_Max_C]])</f>
        <v>#VALUE!</v>
      </c>
    </row>
    <row r="592" spans="1:18" x14ac:dyDescent="0.3">
      <c r="A592" s="2" t="s">
        <v>611</v>
      </c>
      <c r="B592" s="2" t="s">
        <v>33</v>
      </c>
      <c r="C592" s="2" t="s">
        <v>501</v>
      </c>
      <c r="D592" s="3">
        <v>434.9</v>
      </c>
      <c r="E592" s="3">
        <v>3.18</v>
      </c>
      <c r="F592" s="3">
        <v>318.3</v>
      </c>
      <c r="G592" s="3">
        <v>384.9</v>
      </c>
      <c r="H592" s="3">
        <v>968.6</v>
      </c>
      <c r="I592" s="4">
        <v>1316.8</v>
      </c>
      <c r="J592" s="4">
        <v>1247.5999999999999</v>
      </c>
      <c r="K592" s="3">
        <v>156.19999999999999</v>
      </c>
      <c r="L592" s="3">
        <v>4.3600000000000003</v>
      </c>
      <c r="M592" s="4">
        <v>422876</v>
      </c>
      <c r="N592" s="4">
        <v>8576</v>
      </c>
      <c r="O592" s="3">
        <v>13.72</v>
      </c>
      <c r="P592" s="3" t="str">
        <f t="shared" si="9"/>
        <v>NORMAL</v>
      </c>
      <c r="Q592" s="3" cm="1">
        <f t="array" aca="1" ref="Q592" ca="1">AVERAGE(OFFSET(tbl_Process[[#This Row],[Temp_Firing_C]], MAX(1-ROW()+ROW(tbl_Process[#Headers]), -23), 0, MIN(ROW()-ROW(tbl_Process[#Headers]), 24), 1))</f>
        <v>1322.1624999999999</v>
      </c>
      <c r="R592" s="3" t="e" cm="1" vm="1">
        <f t="array" aca="1" ref="R592" ca="1">tbl_Process[Temp_Firing_C] - AVERAGE(tbl_Zones[[Target_Temp_Min_C]:[Target_Temp_Max_C]])</f>
        <v>#VALUE!</v>
      </c>
    </row>
    <row r="593" spans="1:18" x14ac:dyDescent="0.3">
      <c r="A593" s="2" t="s">
        <v>612</v>
      </c>
      <c r="B593" s="2" t="s">
        <v>33</v>
      </c>
      <c r="C593" s="2" t="s">
        <v>501</v>
      </c>
      <c r="D593" s="3">
        <v>433.3</v>
      </c>
      <c r="E593" s="3">
        <v>3.06</v>
      </c>
      <c r="F593" s="3">
        <v>320.7</v>
      </c>
      <c r="G593" s="3">
        <v>386.9</v>
      </c>
      <c r="H593" s="3">
        <v>941.6</v>
      </c>
      <c r="I593" s="4">
        <v>1316.1</v>
      </c>
      <c r="J593" s="4">
        <v>1250.0999999999999</v>
      </c>
      <c r="K593" s="3">
        <v>161</v>
      </c>
      <c r="L593" s="3">
        <v>4.3600000000000003</v>
      </c>
      <c r="M593" s="4">
        <v>418245</v>
      </c>
      <c r="N593" s="4">
        <v>8762</v>
      </c>
      <c r="O593" s="3">
        <v>14.25</v>
      </c>
      <c r="P593" s="3" t="str">
        <f t="shared" si="9"/>
        <v>NORMAL</v>
      </c>
      <c r="Q593" s="3" cm="1">
        <f t="array" aca="1" ref="Q593" ca="1">AVERAGE(OFFSET(tbl_Process[[#This Row],[Temp_Firing_C]], MAX(1-ROW()+ROW(tbl_Process[#Headers]), -23), 0, MIN(ROW()-ROW(tbl_Process[#Headers]), 24), 1))</f>
        <v>1322.0583333333334</v>
      </c>
      <c r="R593" s="3" t="e" cm="1" vm="1">
        <f t="array" aca="1" ref="R593" ca="1">tbl_Process[Temp_Firing_C] - AVERAGE(tbl_Zones[[Target_Temp_Min_C]:[Target_Temp_Max_C]])</f>
        <v>#VALUE!</v>
      </c>
    </row>
    <row r="594" spans="1:18" x14ac:dyDescent="0.3">
      <c r="A594" s="2" t="s">
        <v>613</v>
      </c>
      <c r="B594" s="2" t="s">
        <v>33</v>
      </c>
      <c r="C594" s="2" t="s">
        <v>501</v>
      </c>
      <c r="D594" s="3">
        <v>429.3</v>
      </c>
      <c r="E594" s="3">
        <v>3.09</v>
      </c>
      <c r="F594" s="3">
        <v>320.89999999999998</v>
      </c>
      <c r="G594" s="3">
        <v>380.2</v>
      </c>
      <c r="H594" s="3">
        <v>963.7</v>
      </c>
      <c r="I594" s="4">
        <v>1320.1</v>
      </c>
      <c r="J594" s="4">
        <v>1249.2</v>
      </c>
      <c r="K594" s="3">
        <v>163.80000000000001</v>
      </c>
      <c r="L594" s="3">
        <v>4.3099999999999996</v>
      </c>
      <c r="M594" s="4">
        <v>424269</v>
      </c>
      <c r="N594" s="4">
        <v>8562</v>
      </c>
      <c r="O594" s="3">
        <v>14.12</v>
      </c>
      <c r="P594" s="3" t="str">
        <f t="shared" si="9"/>
        <v>NORMAL</v>
      </c>
      <c r="Q594" s="3" cm="1">
        <f t="array" aca="1" ref="Q594" ca="1">AVERAGE(OFFSET(tbl_Process[[#This Row],[Temp_Firing_C]], MAX(1-ROW()+ROW(tbl_Process[#Headers]), -23), 0, MIN(ROW()-ROW(tbl_Process[#Headers]), 24), 1))</f>
        <v>1322.3625</v>
      </c>
      <c r="R594" s="3" t="e" cm="1" vm="1">
        <f t="array" aca="1" ref="R594" ca="1">tbl_Process[Temp_Firing_C] - AVERAGE(tbl_Zones[[Target_Temp_Min_C]:[Target_Temp_Max_C]])</f>
        <v>#VALUE!</v>
      </c>
    </row>
    <row r="595" spans="1:18" x14ac:dyDescent="0.3">
      <c r="A595" s="2" t="s">
        <v>614</v>
      </c>
      <c r="B595" s="2" t="s">
        <v>33</v>
      </c>
      <c r="C595" s="2" t="s">
        <v>501</v>
      </c>
      <c r="D595" s="3">
        <v>430.8</v>
      </c>
      <c r="E595" s="3">
        <v>3.01</v>
      </c>
      <c r="F595" s="3">
        <v>315.89999999999998</v>
      </c>
      <c r="G595" s="3">
        <v>367.6</v>
      </c>
      <c r="H595" s="3">
        <v>963.5</v>
      </c>
      <c r="I595" s="4">
        <v>1316.3</v>
      </c>
      <c r="J595" s="4">
        <v>1241.4000000000001</v>
      </c>
      <c r="K595" s="3">
        <v>160.5</v>
      </c>
      <c r="L595" s="3">
        <v>4.17</v>
      </c>
      <c r="M595" s="4">
        <v>424741</v>
      </c>
      <c r="N595" s="4">
        <v>8649</v>
      </c>
      <c r="O595" s="3">
        <v>13.88</v>
      </c>
      <c r="P595" s="3" t="str">
        <f t="shared" si="9"/>
        <v>NORMAL</v>
      </c>
      <c r="Q595" s="3" cm="1">
        <f t="array" aca="1" ref="Q595" ca="1">AVERAGE(OFFSET(tbl_Process[[#This Row],[Temp_Firing_C]], MAX(1-ROW()+ROW(tbl_Process[#Headers]), -23), 0, MIN(ROW()-ROW(tbl_Process[#Headers]), 24), 1))</f>
        <v>1322.5749999999998</v>
      </c>
      <c r="R595" s="3" t="e" cm="1" vm="1">
        <f t="array" aca="1" ref="R595" ca="1">tbl_Process[Temp_Firing_C] - AVERAGE(tbl_Zones[[Target_Temp_Min_C]:[Target_Temp_Max_C]])</f>
        <v>#VALUE!</v>
      </c>
    </row>
    <row r="596" spans="1:18" x14ac:dyDescent="0.3">
      <c r="A596" s="2" t="s">
        <v>615</v>
      </c>
      <c r="B596" s="2" t="s">
        <v>33</v>
      </c>
      <c r="C596" s="2" t="s">
        <v>501</v>
      </c>
      <c r="D596" s="3">
        <v>426.9</v>
      </c>
      <c r="E596" s="3">
        <v>3.06</v>
      </c>
      <c r="F596" s="3">
        <v>318.10000000000002</v>
      </c>
      <c r="G596" s="3">
        <v>378.3</v>
      </c>
      <c r="H596" s="3">
        <v>953.6</v>
      </c>
      <c r="I596" s="4">
        <v>1311.2</v>
      </c>
      <c r="J596" s="4">
        <v>1244.0999999999999</v>
      </c>
      <c r="K596" s="3">
        <v>171.2</v>
      </c>
      <c r="L596" s="3">
        <v>4.05</v>
      </c>
      <c r="M596" s="4">
        <v>420063</v>
      </c>
      <c r="N596" s="4">
        <v>9030</v>
      </c>
      <c r="O596" s="3">
        <v>13.88</v>
      </c>
      <c r="P596" s="3" t="str">
        <f t="shared" si="9"/>
        <v>NORMAL</v>
      </c>
      <c r="Q596" s="3" cm="1">
        <f t="array" aca="1" ref="Q596" ca="1">AVERAGE(OFFSET(tbl_Process[[#This Row],[Temp_Firing_C]], MAX(1-ROW()+ROW(tbl_Process[#Headers]), -23), 0, MIN(ROW()-ROW(tbl_Process[#Headers]), 24), 1))</f>
        <v>1321.9999999999998</v>
      </c>
      <c r="R596" s="3" t="e" cm="1" vm="1">
        <f t="array" aca="1" ref="R596" ca="1">tbl_Process[Temp_Firing_C] - AVERAGE(tbl_Zones[[Target_Temp_Min_C]:[Target_Temp_Max_C]])</f>
        <v>#VALUE!</v>
      </c>
    </row>
    <row r="597" spans="1:18" x14ac:dyDescent="0.3">
      <c r="A597" s="2" t="s">
        <v>616</v>
      </c>
      <c r="B597" s="2" t="s">
        <v>33</v>
      </c>
      <c r="C597" s="2" t="s">
        <v>501</v>
      </c>
      <c r="D597" s="3">
        <v>424.5</v>
      </c>
      <c r="E597" s="3">
        <v>3.17</v>
      </c>
      <c r="F597" s="3">
        <v>312.5</v>
      </c>
      <c r="G597" s="3">
        <v>383.6</v>
      </c>
      <c r="H597" s="3">
        <v>953.3</v>
      </c>
      <c r="I597" s="4">
        <v>1311</v>
      </c>
      <c r="J597" s="4">
        <v>1255.7</v>
      </c>
      <c r="K597" s="3">
        <v>161.5</v>
      </c>
      <c r="L597" s="3">
        <v>4.25</v>
      </c>
      <c r="M597" s="4">
        <v>423502</v>
      </c>
      <c r="N597" s="4">
        <v>8579</v>
      </c>
      <c r="O597" s="3">
        <v>14.29</v>
      </c>
      <c r="P597" s="3" t="str">
        <f t="shared" si="9"/>
        <v>NORMAL</v>
      </c>
      <c r="Q597" s="3" cm="1">
        <f t="array" aca="1" ref="Q597" ca="1">AVERAGE(OFFSET(tbl_Process[[#This Row],[Temp_Firing_C]], MAX(1-ROW()+ROW(tbl_Process[#Headers]), -23), 0, MIN(ROW()-ROW(tbl_Process[#Headers]), 24), 1))</f>
        <v>1321.0791666666664</v>
      </c>
      <c r="R597" s="3" t="e" cm="1" vm="1">
        <f t="array" aca="1" ref="R597" ca="1">tbl_Process[Temp_Firing_C] - AVERAGE(tbl_Zones[[Target_Temp_Min_C]:[Target_Temp_Max_C]])</f>
        <v>#VALUE!</v>
      </c>
    </row>
    <row r="598" spans="1:18" x14ac:dyDescent="0.3">
      <c r="A598" s="2" t="s">
        <v>617</v>
      </c>
      <c r="B598" s="2" t="s">
        <v>33</v>
      </c>
      <c r="C598" s="2" t="s">
        <v>501</v>
      </c>
      <c r="D598" s="3">
        <v>434.8</v>
      </c>
      <c r="E598" s="3">
        <v>3.11</v>
      </c>
      <c r="F598" s="3">
        <v>328.8</v>
      </c>
      <c r="G598" s="3">
        <v>383.3</v>
      </c>
      <c r="H598" s="3">
        <v>958.5</v>
      </c>
      <c r="I598" s="4">
        <v>1316.7</v>
      </c>
      <c r="J598" s="4">
        <v>1252.5</v>
      </c>
      <c r="K598" s="3">
        <v>152.4</v>
      </c>
      <c r="L598" s="3">
        <v>4.2300000000000004</v>
      </c>
      <c r="M598" s="4">
        <v>423780</v>
      </c>
      <c r="N598" s="4">
        <v>8650</v>
      </c>
      <c r="O598" s="3">
        <v>14.16</v>
      </c>
      <c r="P598" s="3" t="str">
        <f t="shared" si="9"/>
        <v>NORMAL</v>
      </c>
      <c r="Q598" s="3" cm="1">
        <f t="array" aca="1" ref="Q598" ca="1">AVERAGE(OFFSET(tbl_Process[[#This Row],[Temp_Firing_C]], MAX(1-ROW()+ROW(tbl_Process[#Headers]), -23), 0, MIN(ROW()-ROW(tbl_Process[#Headers]), 24), 1))</f>
        <v>1320.5749999999996</v>
      </c>
      <c r="R598" s="3" t="e" cm="1" vm="1">
        <f t="array" aca="1" ref="R598" ca="1">tbl_Process[Temp_Firing_C] - AVERAGE(tbl_Zones[[Target_Temp_Min_C]:[Target_Temp_Max_C]])</f>
        <v>#VALUE!</v>
      </c>
    </row>
    <row r="599" spans="1:18" x14ac:dyDescent="0.3">
      <c r="A599" s="2" t="s">
        <v>618</v>
      </c>
      <c r="B599" s="2" t="s">
        <v>33</v>
      </c>
      <c r="C599" s="2" t="s">
        <v>501</v>
      </c>
      <c r="D599" s="3">
        <v>430.1</v>
      </c>
      <c r="E599" s="3">
        <v>3.16</v>
      </c>
      <c r="F599" s="3">
        <v>322.10000000000002</v>
      </c>
      <c r="G599" s="3">
        <v>378.7</v>
      </c>
      <c r="H599" s="3">
        <v>939.9</v>
      </c>
      <c r="I599" s="4">
        <v>1329.4</v>
      </c>
      <c r="J599" s="4">
        <v>1263.5</v>
      </c>
      <c r="K599" s="3">
        <v>158.4</v>
      </c>
      <c r="L599" s="3">
        <v>4.16</v>
      </c>
      <c r="M599" s="4">
        <v>423583</v>
      </c>
      <c r="N599" s="4">
        <v>9038</v>
      </c>
      <c r="O599" s="3">
        <v>14.12</v>
      </c>
      <c r="P599" s="3" t="str">
        <f t="shared" si="9"/>
        <v>NORMAL</v>
      </c>
      <c r="Q599" s="3" cm="1">
        <f t="array" aca="1" ref="Q599" ca="1">AVERAGE(OFFSET(tbl_Process[[#This Row],[Temp_Firing_C]], MAX(1-ROW()+ROW(tbl_Process[#Headers]), -23), 0, MIN(ROW()-ROW(tbl_Process[#Headers]), 24), 1))</f>
        <v>1321.0208333333333</v>
      </c>
      <c r="R599" s="3" t="e" cm="1" vm="1">
        <f t="array" aca="1" ref="R599" ca="1">tbl_Process[Temp_Firing_C] - AVERAGE(tbl_Zones[[Target_Temp_Min_C]:[Target_Temp_Max_C]])</f>
        <v>#VALUE!</v>
      </c>
    </row>
    <row r="600" spans="1:18" x14ac:dyDescent="0.3">
      <c r="A600" s="2" t="s">
        <v>619</v>
      </c>
      <c r="B600" s="2" t="s">
        <v>16</v>
      </c>
      <c r="C600" s="2" t="s">
        <v>501</v>
      </c>
      <c r="D600" s="3">
        <v>431.8</v>
      </c>
      <c r="E600" s="3">
        <v>3.09</v>
      </c>
      <c r="F600" s="3">
        <v>322.10000000000002</v>
      </c>
      <c r="G600" s="3">
        <v>378.3</v>
      </c>
      <c r="H600" s="3">
        <v>954.5</v>
      </c>
      <c r="I600" s="4">
        <v>1318.4</v>
      </c>
      <c r="J600" s="4">
        <v>1250.8</v>
      </c>
      <c r="K600" s="3">
        <v>160.19999999999999</v>
      </c>
      <c r="L600" s="3">
        <v>4.2300000000000004</v>
      </c>
      <c r="M600" s="4">
        <v>425422</v>
      </c>
      <c r="N600" s="4">
        <v>8647</v>
      </c>
      <c r="O600" s="3">
        <v>14.26</v>
      </c>
      <c r="P600" s="3" t="str">
        <f t="shared" si="9"/>
        <v>NORMAL</v>
      </c>
      <c r="Q600" s="3" cm="1">
        <f t="array" aca="1" ref="Q600" ca="1">AVERAGE(OFFSET(tbl_Process[[#This Row],[Temp_Firing_C]], MAX(1-ROW()+ROW(tbl_Process[#Headers]), -23), 0, MIN(ROW()-ROW(tbl_Process[#Headers]), 24), 1))</f>
        <v>1320.5916666666665</v>
      </c>
      <c r="R600" s="3" t="e" cm="1" vm="1">
        <f t="array" aca="1" ref="R600" ca="1">tbl_Process[Temp_Firing_C] - AVERAGE(tbl_Zones[[Target_Temp_Min_C]:[Target_Temp_Max_C]])</f>
        <v>#VALUE!</v>
      </c>
    </row>
    <row r="601" spans="1:18" x14ac:dyDescent="0.3">
      <c r="A601" s="2" t="s">
        <v>620</v>
      </c>
      <c r="B601" s="2" t="s">
        <v>16</v>
      </c>
      <c r="C601" s="2" t="s">
        <v>501</v>
      </c>
      <c r="D601" s="3">
        <v>426.4</v>
      </c>
      <c r="E601" s="3">
        <v>3.05</v>
      </c>
      <c r="F601" s="3">
        <v>315.5</v>
      </c>
      <c r="G601" s="3">
        <v>370.7</v>
      </c>
      <c r="H601" s="3">
        <v>969.5</v>
      </c>
      <c r="I601" s="4">
        <v>1308.7</v>
      </c>
      <c r="J601" s="4">
        <v>1239.5</v>
      </c>
      <c r="K601" s="3">
        <v>165.4</v>
      </c>
      <c r="L601" s="3">
        <v>4.0599999999999996</v>
      </c>
      <c r="M601" s="4">
        <v>420908</v>
      </c>
      <c r="N601" s="4">
        <v>8483</v>
      </c>
      <c r="O601" s="3">
        <v>14.42</v>
      </c>
      <c r="P601" s="3" t="str">
        <f t="shared" si="9"/>
        <v>NORMAL</v>
      </c>
      <c r="Q601" s="3" cm="1">
        <f t="array" aca="1" ref="Q601" ca="1">AVERAGE(OFFSET(tbl_Process[[#This Row],[Temp_Firing_C]], MAX(1-ROW()+ROW(tbl_Process[#Headers]), -23), 0, MIN(ROW()-ROW(tbl_Process[#Headers]), 24), 1))</f>
        <v>1319.7874999999999</v>
      </c>
      <c r="R601" s="3" t="e" cm="1" vm="1">
        <f t="array" aca="1" ref="R601" ca="1">tbl_Process[Temp_Firing_C] - AVERAGE(tbl_Zones[[Target_Temp_Min_C]:[Target_Temp_Max_C]])</f>
        <v>#VALUE!</v>
      </c>
    </row>
    <row r="602" spans="1:18" x14ac:dyDescent="0.3">
      <c r="A602" s="2" t="s">
        <v>621</v>
      </c>
      <c r="B602" s="2" t="s">
        <v>16</v>
      </c>
      <c r="C602" s="2" t="s">
        <v>501</v>
      </c>
      <c r="D602" s="3">
        <v>433.4</v>
      </c>
      <c r="E602" s="3">
        <v>3.16</v>
      </c>
      <c r="F602" s="3">
        <v>322.2</v>
      </c>
      <c r="G602" s="3">
        <v>379.1</v>
      </c>
      <c r="H602" s="3">
        <v>951.6</v>
      </c>
      <c r="I602" s="4">
        <v>1310.7</v>
      </c>
      <c r="J602" s="4">
        <v>1253.4000000000001</v>
      </c>
      <c r="K602" s="3">
        <v>163.1</v>
      </c>
      <c r="L602" s="3">
        <v>4.16</v>
      </c>
      <c r="M602" s="4">
        <v>422065</v>
      </c>
      <c r="N602" s="4">
        <v>8592</v>
      </c>
      <c r="O602" s="3">
        <v>13.84</v>
      </c>
      <c r="P602" s="3" t="str">
        <f t="shared" si="9"/>
        <v>NORMAL</v>
      </c>
      <c r="Q602" s="3" cm="1">
        <f t="array" aca="1" ref="Q602" ca="1">AVERAGE(OFFSET(tbl_Process[[#This Row],[Temp_Firing_C]], MAX(1-ROW()+ROW(tbl_Process[#Headers]), -23), 0, MIN(ROW()-ROW(tbl_Process[#Headers]), 24), 1))</f>
        <v>1319.425</v>
      </c>
      <c r="R602" s="3" t="e" cm="1" vm="1">
        <f t="array" aca="1" ref="R602" ca="1">tbl_Process[Temp_Firing_C] - AVERAGE(tbl_Zones[[Target_Temp_Min_C]:[Target_Temp_Max_C]])</f>
        <v>#VALUE!</v>
      </c>
    </row>
    <row r="603" spans="1:18" x14ac:dyDescent="0.3">
      <c r="A603" s="2" t="s">
        <v>622</v>
      </c>
      <c r="B603" s="2" t="s">
        <v>16</v>
      </c>
      <c r="C603" s="2" t="s">
        <v>501</v>
      </c>
      <c r="D603" s="3">
        <v>430.7</v>
      </c>
      <c r="E603" s="3">
        <v>3.07</v>
      </c>
      <c r="F603" s="3">
        <v>313.60000000000002</v>
      </c>
      <c r="G603" s="3">
        <v>368.7</v>
      </c>
      <c r="H603" s="3">
        <v>939.8</v>
      </c>
      <c r="I603" s="4">
        <v>1315.1</v>
      </c>
      <c r="J603" s="4">
        <v>1249.5999999999999</v>
      </c>
      <c r="K603" s="3">
        <v>155.1</v>
      </c>
      <c r="L603" s="3">
        <v>4.26</v>
      </c>
      <c r="M603" s="4">
        <v>422489</v>
      </c>
      <c r="N603" s="4">
        <v>8750</v>
      </c>
      <c r="O603" s="3">
        <v>13.95</v>
      </c>
      <c r="P603" s="3" t="str">
        <f t="shared" si="9"/>
        <v>NORMAL</v>
      </c>
      <c r="Q603" s="3" cm="1">
        <f t="array" aca="1" ref="Q603" ca="1">AVERAGE(OFFSET(tbl_Process[[#This Row],[Temp_Firing_C]], MAX(1-ROW()+ROW(tbl_Process[#Headers]), -23), 0, MIN(ROW()-ROW(tbl_Process[#Headers]), 24), 1))</f>
        <v>1319.0041666666666</v>
      </c>
      <c r="R603" s="3" t="e" cm="1" vm="1">
        <f t="array" aca="1" ref="R603" ca="1">tbl_Process[Temp_Firing_C] - AVERAGE(tbl_Zones[[Target_Temp_Min_C]:[Target_Temp_Max_C]])</f>
        <v>#VALUE!</v>
      </c>
    </row>
    <row r="604" spans="1:18" x14ac:dyDescent="0.3">
      <c r="A604" s="2" t="s">
        <v>623</v>
      </c>
      <c r="B604" s="2" t="s">
        <v>16</v>
      </c>
      <c r="C604" s="2" t="s">
        <v>501</v>
      </c>
      <c r="D604" s="3">
        <v>426.9</v>
      </c>
      <c r="E604" s="3">
        <v>3.11</v>
      </c>
      <c r="F604" s="3">
        <v>312</v>
      </c>
      <c r="G604" s="3">
        <v>383.2</v>
      </c>
      <c r="H604" s="3">
        <v>947.9</v>
      </c>
      <c r="I604" s="4">
        <v>1326.1</v>
      </c>
      <c r="J604" s="4">
        <v>1259.0999999999999</v>
      </c>
      <c r="K604" s="3">
        <v>165</v>
      </c>
      <c r="L604" s="3">
        <v>4.0199999999999996</v>
      </c>
      <c r="M604" s="4">
        <v>422326</v>
      </c>
      <c r="N604" s="4">
        <v>8859</v>
      </c>
      <c r="O604" s="3">
        <v>14.21</v>
      </c>
      <c r="P604" s="3" t="str">
        <f t="shared" si="9"/>
        <v>NORMAL</v>
      </c>
      <c r="Q604" s="3" cm="1">
        <f t="array" aca="1" ref="Q604" ca="1">AVERAGE(OFFSET(tbl_Process[[#This Row],[Temp_Firing_C]], MAX(1-ROW()+ROW(tbl_Process[#Headers]), -23), 0, MIN(ROW()-ROW(tbl_Process[#Headers]), 24), 1))</f>
        <v>1319.7499999999998</v>
      </c>
      <c r="R604" s="3" t="e" cm="1" vm="1">
        <f t="array" aca="1" ref="R604" ca="1">tbl_Process[Temp_Firing_C] - AVERAGE(tbl_Zones[[Target_Temp_Min_C]:[Target_Temp_Max_C]])</f>
        <v>#VALUE!</v>
      </c>
    </row>
    <row r="605" spans="1:18" x14ac:dyDescent="0.3">
      <c r="A605" s="2" t="s">
        <v>624</v>
      </c>
      <c r="B605" s="2" t="s">
        <v>16</v>
      </c>
      <c r="C605" s="2" t="s">
        <v>501</v>
      </c>
      <c r="D605" s="3">
        <v>436.7</v>
      </c>
      <c r="E605" s="3">
        <v>3.1</v>
      </c>
      <c r="F605" s="3">
        <v>330.8</v>
      </c>
      <c r="G605" s="3">
        <v>377.7</v>
      </c>
      <c r="H605" s="3">
        <v>972.8</v>
      </c>
      <c r="I605" s="4">
        <v>1311.9</v>
      </c>
      <c r="J605" s="4">
        <v>1249.4000000000001</v>
      </c>
      <c r="K605" s="3">
        <v>148.1</v>
      </c>
      <c r="L605" s="3">
        <v>4.13</v>
      </c>
      <c r="M605" s="4">
        <v>423775</v>
      </c>
      <c r="N605" s="4">
        <v>8485</v>
      </c>
      <c r="O605" s="3">
        <v>14.32</v>
      </c>
      <c r="P605" s="3" t="str">
        <f t="shared" si="9"/>
        <v>NORMAL</v>
      </c>
      <c r="Q605" s="3" cm="1">
        <f t="array" aca="1" ref="Q605" ca="1">AVERAGE(OFFSET(tbl_Process[[#This Row],[Temp_Firing_C]], MAX(1-ROW()+ROW(tbl_Process[#Headers]), -23), 0, MIN(ROW()-ROW(tbl_Process[#Headers]), 24), 1))</f>
        <v>1318.9708333333335</v>
      </c>
      <c r="R605" s="3" t="e" cm="1" vm="1">
        <f t="array" aca="1" ref="R605" ca="1">tbl_Process[Temp_Firing_C] - AVERAGE(tbl_Zones[[Target_Temp_Min_C]:[Target_Temp_Max_C]])</f>
        <v>#VALUE!</v>
      </c>
    </row>
    <row r="606" spans="1:18" x14ac:dyDescent="0.3">
      <c r="A606" s="2" t="s">
        <v>625</v>
      </c>
      <c r="B606" s="2" t="s">
        <v>16</v>
      </c>
      <c r="C606" s="2" t="s">
        <v>501</v>
      </c>
      <c r="D606" s="3">
        <v>433.6</v>
      </c>
      <c r="E606" s="3">
        <v>3.06</v>
      </c>
      <c r="F606" s="3">
        <v>314.10000000000002</v>
      </c>
      <c r="G606" s="3">
        <v>376.6</v>
      </c>
      <c r="H606" s="3">
        <v>948.3</v>
      </c>
      <c r="I606" s="4">
        <v>1319</v>
      </c>
      <c r="J606" s="4">
        <v>1254.5999999999999</v>
      </c>
      <c r="K606" s="3">
        <v>158.4</v>
      </c>
      <c r="L606" s="3">
        <v>4.42</v>
      </c>
      <c r="M606" s="4">
        <v>420902</v>
      </c>
      <c r="N606" s="4">
        <v>8895</v>
      </c>
      <c r="O606" s="3">
        <v>13.62</v>
      </c>
      <c r="P606" s="3" t="str">
        <f t="shared" si="9"/>
        <v>NORMAL</v>
      </c>
      <c r="Q606" s="3" cm="1">
        <f t="array" aca="1" ref="Q606" ca="1">AVERAGE(OFFSET(tbl_Process[[#This Row],[Temp_Firing_C]], MAX(1-ROW()+ROW(tbl_Process[#Headers]), -23), 0, MIN(ROW()-ROW(tbl_Process[#Headers]), 24), 1))</f>
        <v>1318.6041666666667</v>
      </c>
      <c r="R606" s="3" t="e" cm="1" vm="1">
        <f t="array" aca="1" ref="R606" ca="1">tbl_Process[Temp_Firing_C] - AVERAGE(tbl_Zones[[Target_Temp_Min_C]:[Target_Temp_Max_C]])</f>
        <v>#VALUE!</v>
      </c>
    </row>
    <row r="607" spans="1:18" x14ac:dyDescent="0.3">
      <c r="A607" s="2" t="s">
        <v>626</v>
      </c>
      <c r="B607" s="2" t="s">
        <v>16</v>
      </c>
      <c r="C607" s="2" t="s">
        <v>501</v>
      </c>
      <c r="D607" s="3">
        <v>430.3</v>
      </c>
      <c r="E607" s="3">
        <v>3.19</v>
      </c>
      <c r="F607" s="3">
        <v>326.8</v>
      </c>
      <c r="G607" s="3">
        <v>377.1</v>
      </c>
      <c r="H607" s="3">
        <v>966.7</v>
      </c>
      <c r="I607" s="4">
        <v>1323.4</v>
      </c>
      <c r="J607" s="4">
        <v>1255.2</v>
      </c>
      <c r="K607" s="3">
        <v>163.1</v>
      </c>
      <c r="L607" s="3">
        <v>4.43</v>
      </c>
      <c r="M607" s="4">
        <v>425863</v>
      </c>
      <c r="N607" s="4">
        <v>8849</v>
      </c>
      <c r="O607" s="3">
        <v>14.09</v>
      </c>
      <c r="P607" s="3" t="str">
        <f t="shared" si="9"/>
        <v>NORMAL</v>
      </c>
      <c r="Q607" s="3" cm="1">
        <f t="array" aca="1" ref="Q607" ca="1">AVERAGE(OFFSET(tbl_Process[[#This Row],[Temp_Firing_C]], MAX(1-ROW()+ROW(tbl_Process[#Headers]), -23), 0, MIN(ROW()-ROW(tbl_Process[#Headers]), 24), 1))</f>
        <v>1318.3375000000003</v>
      </c>
      <c r="R607" s="3" t="e" cm="1" vm="1">
        <f t="array" aca="1" ref="R607" ca="1">tbl_Process[Temp_Firing_C] - AVERAGE(tbl_Zones[[Target_Temp_Min_C]:[Target_Temp_Max_C]])</f>
        <v>#VALUE!</v>
      </c>
    </row>
    <row r="608" spans="1:18" x14ac:dyDescent="0.3">
      <c r="A608" s="2" t="s">
        <v>627</v>
      </c>
      <c r="B608" s="2" t="s">
        <v>24</v>
      </c>
      <c r="C608" s="2" t="s">
        <v>501</v>
      </c>
      <c r="D608" s="3">
        <v>424.2</v>
      </c>
      <c r="E608" s="3">
        <v>3.14</v>
      </c>
      <c r="F608" s="3">
        <v>313.89999999999998</v>
      </c>
      <c r="G608" s="3">
        <v>375.9</v>
      </c>
      <c r="H608" s="3">
        <v>986</v>
      </c>
      <c r="I608" s="4">
        <v>1318</v>
      </c>
      <c r="J608" s="4">
        <v>1248.5999999999999</v>
      </c>
      <c r="K608" s="3">
        <v>165.8</v>
      </c>
      <c r="L608" s="3">
        <v>4.01</v>
      </c>
      <c r="M608" s="4">
        <v>421674</v>
      </c>
      <c r="N608" s="4">
        <v>8866</v>
      </c>
      <c r="O608" s="3">
        <v>13.92</v>
      </c>
      <c r="P608" s="3" t="str">
        <f t="shared" si="9"/>
        <v>NORMAL</v>
      </c>
      <c r="Q608" s="3" cm="1">
        <f t="array" aca="1" ref="Q608" ca="1">AVERAGE(OFFSET(tbl_Process[[#This Row],[Temp_Firing_C]], MAX(1-ROW()+ROW(tbl_Process[#Headers]), -23), 0, MIN(ROW()-ROW(tbl_Process[#Headers]), 24), 1))</f>
        <v>1318.4333333333336</v>
      </c>
      <c r="R608" s="3" t="e" cm="1" vm="1">
        <f t="array" aca="1" ref="R608" ca="1">tbl_Process[Temp_Firing_C] - AVERAGE(tbl_Zones[[Target_Temp_Min_C]:[Target_Temp_Max_C]])</f>
        <v>#VALUE!</v>
      </c>
    </row>
    <row r="609" spans="1:18" x14ac:dyDescent="0.3">
      <c r="A609" s="2" t="s">
        <v>628</v>
      </c>
      <c r="B609" s="2" t="s">
        <v>24</v>
      </c>
      <c r="C609" s="2" t="s">
        <v>501</v>
      </c>
      <c r="D609" s="3">
        <v>423.8</v>
      </c>
      <c r="E609" s="3">
        <v>3.14</v>
      </c>
      <c r="F609" s="3">
        <v>317.5</v>
      </c>
      <c r="G609" s="3">
        <v>390.6</v>
      </c>
      <c r="H609" s="3">
        <v>952.5</v>
      </c>
      <c r="I609" s="4">
        <v>1328.1</v>
      </c>
      <c r="J609" s="4">
        <v>1273.8</v>
      </c>
      <c r="K609" s="3">
        <v>155.69999999999999</v>
      </c>
      <c r="L609" s="3">
        <v>4.0999999999999996</v>
      </c>
      <c r="M609" s="4">
        <v>426418</v>
      </c>
      <c r="N609" s="4">
        <v>8734</v>
      </c>
      <c r="O609" s="3">
        <v>14.08</v>
      </c>
      <c r="P609" s="3" t="str">
        <f t="shared" si="9"/>
        <v>NORMAL</v>
      </c>
      <c r="Q609" s="3" cm="1">
        <f t="array" aca="1" ref="Q609" ca="1">AVERAGE(OFFSET(tbl_Process[[#This Row],[Temp_Firing_C]], MAX(1-ROW()+ROW(tbl_Process[#Headers]), -23), 0, MIN(ROW()-ROW(tbl_Process[#Headers]), 24), 1))</f>
        <v>1318.8583333333333</v>
      </c>
      <c r="R609" s="3" t="e" cm="1" vm="1">
        <f t="array" aca="1" ref="R609" ca="1">tbl_Process[Temp_Firing_C] - AVERAGE(tbl_Zones[[Target_Temp_Min_C]:[Target_Temp_Max_C]])</f>
        <v>#VALUE!</v>
      </c>
    </row>
    <row r="610" spans="1:18" x14ac:dyDescent="0.3">
      <c r="A610" s="2" t="s">
        <v>629</v>
      </c>
      <c r="B610" s="2" t="s">
        <v>24</v>
      </c>
      <c r="C610" s="2" t="s">
        <v>501</v>
      </c>
      <c r="D610" s="3">
        <v>429.1</v>
      </c>
      <c r="E610" s="3">
        <v>3.08</v>
      </c>
      <c r="F610" s="3">
        <v>320</v>
      </c>
      <c r="G610" s="3">
        <v>380.1</v>
      </c>
      <c r="H610" s="3">
        <v>961.3</v>
      </c>
      <c r="I610" s="4">
        <v>1314.3</v>
      </c>
      <c r="J610" s="4">
        <v>1246</v>
      </c>
      <c r="K610" s="3">
        <v>159.19999999999999</v>
      </c>
      <c r="L610" s="3">
        <v>4.16</v>
      </c>
      <c r="M610" s="4">
        <v>421038</v>
      </c>
      <c r="N610" s="4">
        <v>8710</v>
      </c>
      <c r="O610" s="3">
        <v>13.58</v>
      </c>
      <c r="P610" s="3" t="str">
        <f t="shared" si="9"/>
        <v>NORMAL</v>
      </c>
      <c r="Q610" s="3" cm="1">
        <f t="array" aca="1" ref="Q610" ca="1">AVERAGE(OFFSET(tbl_Process[[#This Row],[Temp_Firing_C]], MAX(1-ROW()+ROW(tbl_Process[#Headers]), -23), 0, MIN(ROW()-ROW(tbl_Process[#Headers]), 24), 1))</f>
        <v>1318.5666666666668</v>
      </c>
      <c r="R610" s="3" t="e" cm="1" vm="1">
        <f t="array" aca="1" ref="R610" ca="1">tbl_Process[Temp_Firing_C] - AVERAGE(tbl_Zones[[Target_Temp_Min_C]:[Target_Temp_Max_C]])</f>
        <v>#VALUE!</v>
      </c>
    </row>
    <row r="611" spans="1:18" x14ac:dyDescent="0.3">
      <c r="A611" s="2" t="s">
        <v>630</v>
      </c>
      <c r="B611" s="2" t="s">
        <v>24</v>
      </c>
      <c r="C611" s="2" t="s">
        <v>501</v>
      </c>
      <c r="D611" s="3">
        <v>427.1</v>
      </c>
      <c r="E611" s="3">
        <v>3.08</v>
      </c>
      <c r="F611" s="3">
        <v>314.2</v>
      </c>
      <c r="G611" s="3">
        <v>390.6</v>
      </c>
      <c r="H611" s="3">
        <v>959</v>
      </c>
      <c r="I611" s="4">
        <v>1319.7</v>
      </c>
      <c r="J611" s="4">
        <v>1251.8</v>
      </c>
      <c r="K611" s="3">
        <v>159.5</v>
      </c>
      <c r="L611" s="3">
        <v>4</v>
      </c>
      <c r="M611" s="4">
        <v>422952</v>
      </c>
      <c r="N611" s="4">
        <v>8624</v>
      </c>
      <c r="O611" s="3">
        <v>14.03</v>
      </c>
      <c r="P611" s="3" t="str">
        <f t="shared" si="9"/>
        <v>NORMAL</v>
      </c>
      <c r="Q611" s="3" cm="1">
        <f t="array" aca="1" ref="Q611" ca="1">AVERAGE(OFFSET(tbl_Process[[#This Row],[Temp_Firing_C]], MAX(1-ROW()+ROW(tbl_Process[#Headers]), -23), 0, MIN(ROW()-ROW(tbl_Process[#Headers]), 24), 1))</f>
        <v>1317.9083333333333</v>
      </c>
      <c r="R611" s="3" t="e" cm="1" vm="1">
        <f t="array" aca="1" ref="R611" ca="1">tbl_Process[Temp_Firing_C] - AVERAGE(tbl_Zones[[Target_Temp_Min_C]:[Target_Temp_Max_C]])</f>
        <v>#VALUE!</v>
      </c>
    </row>
    <row r="612" spans="1:18" x14ac:dyDescent="0.3">
      <c r="A612" s="2" t="s">
        <v>631</v>
      </c>
      <c r="B612" s="2" t="s">
        <v>24</v>
      </c>
      <c r="C612" s="2" t="s">
        <v>501</v>
      </c>
      <c r="D612" s="3">
        <v>419.8</v>
      </c>
      <c r="E612" s="3">
        <v>3.01</v>
      </c>
      <c r="F612" s="3">
        <v>327.8</v>
      </c>
      <c r="G612" s="3">
        <v>384.5</v>
      </c>
      <c r="H612" s="3">
        <v>973.8</v>
      </c>
      <c r="I612" s="4">
        <v>1328.4</v>
      </c>
      <c r="J612" s="4">
        <v>1267.4000000000001</v>
      </c>
      <c r="K612" s="3">
        <v>157.1</v>
      </c>
      <c r="L612" s="3">
        <v>3.92</v>
      </c>
      <c r="M612" s="4">
        <v>429126</v>
      </c>
      <c r="N612" s="4">
        <v>8849</v>
      </c>
      <c r="O612" s="3">
        <v>14.54</v>
      </c>
      <c r="P612" s="3" t="str">
        <f t="shared" si="9"/>
        <v>NORMAL</v>
      </c>
      <c r="Q612" s="3" cm="1">
        <f t="array" aca="1" ref="Q612" ca="1">AVERAGE(OFFSET(tbl_Process[[#This Row],[Temp_Firing_C]], MAX(1-ROW()+ROW(tbl_Process[#Headers]), -23), 0, MIN(ROW()-ROW(tbl_Process[#Headers]), 24), 1))</f>
        <v>1318.4291666666666</v>
      </c>
      <c r="R612" s="3" t="e" cm="1" vm="1">
        <f t="array" aca="1" ref="R612" ca="1">tbl_Process[Temp_Firing_C] - AVERAGE(tbl_Zones[[Target_Temp_Min_C]:[Target_Temp_Max_C]])</f>
        <v>#VALUE!</v>
      </c>
    </row>
    <row r="613" spans="1:18" x14ac:dyDescent="0.3">
      <c r="A613" s="2" t="s">
        <v>632</v>
      </c>
      <c r="B613" s="2" t="s">
        <v>24</v>
      </c>
      <c r="C613" s="2" t="s">
        <v>501</v>
      </c>
      <c r="D613" s="3">
        <v>428.5</v>
      </c>
      <c r="E613" s="3">
        <v>3.26</v>
      </c>
      <c r="F613" s="3">
        <v>317.60000000000002</v>
      </c>
      <c r="G613" s="3">
        <v>387.4</v>
      </c>
      <c r="H613" s="3">
        <v>977.5</v>
      </c>
      <c r="I613" s="4">
        <v>1308</v>
      </c>
      <c r="J613" s="4">
        <v>1240.0999999999999</v>
      </c>
      <c r="K613" s="3">
        <v>153.9</v>
      </c>
      <c r="L613" s="3">
        <v>4.0599999999999996</v>
      </c>
      <c r="M613" s="4">
        <v>423775</v>
      </c>
      <c r="N613" s="4">
        <v>8572</v>
      </c>
      <c r="O613" s="3">
        <v>14.16</v>
      </c>
      <c r="P613" s="3" t="str">
        <f t="shared" si="9"/>
        <v>NORMAL</v>
      </c>
      <c r="Q613" s="3" cm="1">
        <f t="array" aca="1" ref="Q613" ca="1">AVERAGE(OFFSET(tbl_Process[[#This Row],[Temp_Firing_C]], MAX(1-ROW()+ROW(tbl_Process[#Headers]), -23), 0, MIN(ROW()-ROW(tbl_Process[#Headers]), 24), 1))</f>
        <v>1317.5416666666667</v>
      </c>
      <c r="R613" s="3" t="e" cm="1" vm="1">
        <f t="array" aca="1" ref="R613" ca="1">tbl_Process[Temp_Firing_C] - AVERAGE(tbl_Zones[[Target_Temp_Min_C]:[Target_Temp_Max_C]])</f>
        <v>#VALUE!</v>
      </c>
    </row>
    <row r="614" spans="1:18" x14ac:dyDescent="0.3">
      <c r="A614" s="2" t="s">
        <v>633</v>
      </c>
      <c r="B614" s="2" t="s">
        <v>24</v>
      </c>
      <c r="C614" s="2" t="s">
        <v>501</v>
      </c>
      <c r="D614" s="3">
        <v>432.2</v>
      </c>
      <c r="E614" s="3">
        <v>2.95</v>
      </c>
      <c r="F614" s="3">
        <v>325.8</v>
      </c>
      <c r="G614" s="3">
        <v>375.1</v>
      </c>
      <c r="H614" s="3">
        <v>962.6</v>
      </c>
      <c r="I614" s="4">
        <v>1320</v>
      </c>
      <c r="J614" s="4">
        <v>1263.2</v>
      </c>
      <c r="K614" s="3">
        <v>158.19999999999999</v>
      </c>
      <c r="L614" s="3">
        <v>3.92</v>
      </c>
      <c r="M614" s="4">
        <v>423800</v>
      </c>
      <c r="N614" s="4">
        <v>8764</v>
      </c>
      <c r="O614" s="3">
        <v>13.73</v>
      </c>
      <c r="P614" s="3" t="str">
        <f t="shared" si="9"/>
        <v>NORMAL</v>
      </c>
      <c r="Q614" s="3" cm="1">
        <f t="array" aca="1" ref="Q614" ca="1">AVERAGE(OFFSET(tbl_Process[[#This Row],[Temp_Firing_C]], MAX(1-ROW()+ROW(tbl_Process[#Headers]), -23), 0, MIN(ROW()-ROW(tbl_Process[#Headers]), 24), 1))</f>
        <v>1317.7708333333333</v>
      </c>
      <c r="R614" s="3" t="e" cm="1" vm="1">
        <f t="array" aca="1" ref="R614" ca="1">tbl_Process[Temp_Firing_C] - AVERAGE(tbl_Zones[[Target_Temp_Min_C]:[Target_Temp_Max_C]])</f>
        <v>#VALUE!</v>
      </c>
    </row>
    <row r="615" spans="1:18" x14ac:dyDescent="0.3">
      <c r="A615" s="2" t="s">
        <v>634</v>
      </c>
      <c r="B615" s="2" t="s">
        <v>24</v>
      </c>
      <c r="C615" s="2" t="s">
        <v>501</v>
      </c>
      <c r="D615" s="3">
        <v>430.6</v>
      </c>
      <c r="E615" s="3">
        <v>3.07</v>
      </c>
      <c r="F615" s="3">
        <v>309.60000000000002</v>
      </c>
      <c r="G615" s="3">
        <v>381.6</v>
      </c>
      <c r="H615" s="3">
        <v>948.6</v>
      </c>
      <c r="I615" s="4">
        <v>1310.5999999999999</v>
      </c>
      <c r="J615" s="4">
        <v>1242.8</v>
      </c>
      <c r="K615" s="3">
        <v>164.6</v>
      </c>
      <c r="L615" s="3">
        <v>4.18</v>
      </c>
      <c r="M615" s="4">
        <v>422185</v>
      </c>
      <c r="N615" s="4">
        <v>8574</v>
      </c>
      <c r="O615" s="3">
        <v>14.26</v>
      </c>
      <c r="P615" s="3" t="str">
        <f t="shared" si="9"/>
        <v>NORMAL</v>
      </c>
      <c r="Q615" s="3" cm="1">
        <f t="array" aca="1" ref="Q615" ca="1">AVERAGE(OFFSET(tbl_Process[[#This Row],[Temp_Firing_C]], MAX(1-ROW()+ROW(tbl_Process[#Headers]), -23), 0, MIN(ROW()-ROW(tbl_Process[#Headers]), 24), 1))</f>
        <v>1317.4166666666667</v>
      </c>
      <c r="R615" s="3" t="e" cm="1" vm="1">
        <f t="array" aca="1" ref="R615" ca="1">tbl_Process[Temp_Firing_C] - AVERAGE(tbl_Zones[[Target_Temp_Min_C]:[Target_Temp_Max_C]])</f>
        <v>#VALUE!</v>
      </c>
    </row>
    <row r="616" spans="1:18" x14ac:dyDescent="0.3">
      <c r="A616" s="2" t="s">
        <v>635</v>
      </c>
      <c r="B616" s="2" t="s">
        <v>33</v>
      </c>
      <c r="C616" s="2" t="s">
        <v>501</v>
      </c>
      <c r="D616" s="3">
        <v>435.4</v>
      </c>
      <c r="E616" s="3">
        <v>3.15</v>
      </c>
      <c r="F616" s="3">
        <v>321.39999999999998</v>
      </c>
      <c r="G616" s="3">
        <v>380.6</v>
      </c>
      <c r="H616" s="3">
        <v>938</v>
      </c>
      <c r="I616" s="4">
        <v>1305.7</v>
      </c>
      <c r="J616" s="4">
        <v>1239.5</v>
      </c>
      <c r="K616" s="3">
        <v>154.5</v>
      </c>
      <c r="L616" s="3">
        <v>4.13</v>
      </c>
      <c r="M616" s="4">
        <v>414473</v>
      </c>
      <c r="N616" s="4">
        <v>8407</v>
      </c>
      <c r="O616" s="3">
        <v>14.21</v>
      </c>
      <c r="P616" s="3" t="str">
        <f t="shared" si="9"/>
        <v>NORMAL</v>
      </c>
      <c r="Q616" s="3" cm="1">
        <f t="array" aca="1" ref="Q616" ca="1">AVERAGE(OFFSET(tbl_Process[[#This Row],[Temp_Firing_C]], MAX(1-ROW()+ROW(tbl_Process[#Headers]), -23), 0, MIN(ROW()-ROW(tbl_Process[#Headers]), 24), 1))</f>
        <v>1316.9541666666667</v>
      </c>
      <c r="R616" s="3" t="e" cm="1" vm="1">
        <f t="array" aca="1" ref="R616" ca="1">tbl_Process[Temp_Firing_C] - AVERAGE(tbl_Zones[[Target_Temp_Min_C]:[Target_Temp_Max_C]])</f>
        <v>#VALUE!</v>
      </c>
    </row>
    <row r="617" spans="1:18" x14ac:dyDescent="0.3">
      <c r="A617" s="2" t="s">
        <v>636</v>
      </c>
      <c r="B617" s="2" t="s">
        <v>33</v>
      </c>
      <c r="C617" s="2" t="s">
        <v>501</v>
      </c>
      <c r="D617" s="3">
        <v>429.7</v>
      </c>
      <c r="E617" s="3">
        <v>3.04</v>
      </c>
      <c r="F617" s="3">
        <v>317.39999999999998</v>
      </c>
      <c r="G617" s="3">
        <v>372.8</v>
      </c>
      <c r="H617" s="3">
        <v>966.9</v>
      </c>
      <c r="I617" s="4">
        <v>1310.5</v>
      </c>
      <c r="J617" s="4">
        <v>1249.7</v>
      </c>
      <c r="K617" s="3">
        <v>159</v>
      </c>
      <c r="L617" s="3">
        <v>4</v>
      </c>
      <c r="M617" s="4">
        <v>421573</v>
      </c>
      <c r="N617" s="4">
        <v>8478</v>
      </c>
      <c r="O617" s="3">
        <v>14.19</v>
      </c>
      <c r="P617" s="3" t="str">
        <f t="shared" si="9"/>
        <v>NORMAL</v>
      </c>
      <c r="Q617" s="3" cm="1">
        <f t="array" aca="1" ref="Q617" ca="1">AVERAGE(OFFSET(tbl_Process[[#This Row],[Temp_Firing_C]], MAX(1-ROW()+ROW(tbl_Process[#Headers]), -23), 0, MIN(ROW()-ROW(tbl_Process[#Headers]), 24), 1))</f>
        <v>1316.7208333333333</v>
      </c>
      <c r="R617" s="3" t="e" cm="1" vm="1">
        <f t="array" aca="1" ref="R617" ca="1">tbl_Process[Temp_Firing_C] - AVERAGE(tbl_Zones[[Target_Temp_Min_C]:[Target_Temp_Max_C]])</f>
        <v>#VALUE!</v>
      </c>
    </row>
    <row r="618" spans="1:18" x14ac:dyDescent="0.3">
      <c r="A618" s="2" t="s">
        <v>637</v>
      </c>
      <c r="B618" s="2" t="s">
        <v>33</v>
      </c>
      <c r="C618" s="2" t="s">
        <v>501</v>
      </c>
      <c r="D618" s="3">
        <v>427</v>
      </c>
      <c r="E618" s="3">
        <v>3.13</v>
      </c>
      <c r="F618" s="3">
        <v>308.60000000000002</v>
      </c>
      <c r="G618" s="3">
        <v>375.6</v>
      </c>
      <c r="H618" s="3">
        <v>960.1</v>
      </c>
      <c r="I618" s="4">
        <v>1318.3</v>
      </c>
      <c r="J618" s="4">
        <v>1248.7</v>
      </c>
      <c r="K618" s="3">
        <v>157.80000000000001</v>
      </c>
      <c r="L618" s="3">
        <v>4.18</v>
      </c>
      <c r="M618" s="4">
        <v>428709</v>
      </c>
      <c r="N618" s="4">
        <v>8542</v>
      </c>
      <c r="O618" s="3">
        <v>13.94</v>
      </c>
      <c r="P618" s="3" t="str">
        <f t="shared" si="9"/>
        <v>NORMAL</v>
      </c>
      <c r="Q618" s="3" cm="1">
        <f t="array" aca="1" ref="Q618" ca="1">AVERAGE(OFFSET(tbl_Process[[#This Row],[Temp_Firing_C]], MAX(1-ROW()+ROW(tbl_Process[#Headers]), -23), 0, MIN(ROW()-ROW(tbl_Process[#Headers]), 24), 1))</f>
        <v>1316.6458333333333</v>
      </c>
      <c r="R618" s="3" t="e" cm="1" vm="1">
        <f t="array" aca="1" ref="R618" ca="1">tbl_Process[Temp_Firing_C] - AVERAGE(tbl_Zones[[Target_Temp_Min_C]:[Target_Temp_Max_C]])</f>
        <v>#VALUE!</v>
      </c>
    </row>
    <row r="619" spans="1:18" x14ac:dyDescent="0.3">
      <c r="A619" s="2" t="s">
        <v>638</v>
      </c>
      <c r="B619" s="2" t="s">
        <v>33</v>
      </c>
      <c r="C619" s="2" t="s">
        <v>501</v>
      </c>
      <c r="D619" s="3">
        <v>441.2</v>
      </c>
      <c r="E619" s="3">
        <v>3.08</v>
      </c>
      <c r="F619" s="3">
        <v>305.10000000000002</v>
      </c>
      <c r="G619" s="3">
        <v>371.2</v>
      </c>
      <c r="H619" s="3">
        <v>919.6</v>
      </c>
      <c r="I619" s="4">
        <v>1312.4</v>
      </c>
      <c r="J619" s="4">
        <v>1252.3</v>
      </c>
      <c r="K619" s="3">
        <v>153.1</v>
      </c>
      <c r="L619" s="3">
        <v>4.26</v>
      </c>
      <c r="M619" s="4">
        <v>425465</v>
      </c>
      <c r="N619" s="4">
        <v>8439</v>
      </c>
      <c r="O619" s="3">
        <v>13.92</v>
      </c>
      <c r="P619" s="3" t="str">
        <f t="shared" si="9"/>
        <v>NORMAL</v>
      </c>
      <c r="Q619" s="3" cm="1">
        <f t="array" aca="1" ref="Q619" ca="1">AVERAGE(OFFSET(tbl_Process[[#This Row],[Temp_Firing_C]], MAX(1-ROW()+ROW(tbl_Process[#Headers]), -23), 0, MIN(ROW()-ROW(tbl_Process[#Headers]), 24), 1))</f>
        <v>1316.4833333333333</v>
      </c>
      <c r="R619" s="3" t="e" cm="1" vm="1">
        <f t="array" aca="1" ref="R619" ca="1">tbl_Process[Temp_Firing_C] - AVERAGE(tbl_Zones[[Target_Temp_Min_C]:[Target_Temp_Max_C]])</f>
        <v>#VALUE!</v>
      </c>
    </row>
    <row r="620" spans="1:18" x14ac:dyDescent="0.3">
      <c r="A620" s="2" t="s">
        <v>639</v>
      </c>
      <c r="B620" s="2" t="s">
        <v>33</v>
      </c>
      <c r="C620" s="2" t="s">
        <v>501</v>
      </c>
      <c r="D620" s="3">
        <v>429.1</v>
      </c>
      <c r="E620" s="3">
        <v>3.04</v>
      </c>
      <c r="F620" s="3">
        <v>314.60000000000002</v>
      </c>
      <c r="G620" s="3">
        <v>366.3</v>
      </c>
      <c r="H620" s="3">
        <v>955.2</v>
      </c>
      <c r="I620" s="4">
        <v>1309</v>
      </c>
      <c r="J620" s="4">
        <v>1247.3</v>
      </c>
      <c r="K620" s="3">
        <v>158.6</v>
      </c>
      <c r="L620" s="3">
        <v>4.18</v>
      </c>
      <c r="M620" s="4">
        <v>416558</v>
      </c>
      <c r="N620" s="4">
        <v>8667</v>
      </c>
      <c r="O620" s="3">
        <v>13.98</v>
      </c>
      <c r="P620" s="3" t="str">
        <f t="shared" si="9"/>
        <v>NORMAL</v>
      </c>
      <c r="Q620" s="3" cm="1">
        <f t="array" aca="1" ref="Q620" ca="1">AVERAGE(OFFSET(tbl_Process[[#This Row],[Temp_Firing_C]], MAX(1-ROW()+ROW(tbl_Process[#Headers]), -23), 0, MIN(ROW()-ROW(tbl_Process[#Headers]), 24), 1))</f>
        <v>1316.3916666666667</v>
      </c>
      <c r="R620" s="3" t="e" cm="1" vm="1">
        <f t="array" aca="1" ref="R620" ca="1">tbl_Process[Temp_Firing_C] - AVERAGE(tbl_Zones[[Target_Temp_Min_C]:[Target_Temp_Max_C]])</f>
        <v>#VALUE!</v>
      </c>
    </row>
    <row r="621" spans="1:18" x14ac:dyDescent="0.3">
      <c r="A621" s="2" t="s">
        <v>640</v>
      </c>
      <c r="B621" s="2" t="s">
        <v>33</v>
      </c>
      <c r="C621" s="2" t="s">
        <v>501</v>
      </c>
      <c r="D621" s="3">
        <v>429.3</v>
      </c>
      <c r="E621" s="3">
        <v>3.18</v>
      </c>
      <c r="F621" s="3">
        <v>312</v>
      </c>
      <c r="G621" s="3">
        <v>384.6</v>
      </c>
      <c r="H621" s="3">
        <v>970</v>
      </c>
      <c r="I621" s="4">
        <v>1316.3</v>
      </c>
      <c r="J621" s="4">
        <v>1245.4000000000001</v>
      </c>
      <c r="K621" s="3">
        <v>146.6</v>
      </c>
      <c r="L621" s="3">
        <v>4.33</v>
      </c>
      <c r="M621" s="4">
        <v>423324</v>
      </c>
      <c r="N621" s="4">
        <v>8606</v>
      </c>
      <c r="O621" s="3">
        <v>14.41</v>
      </c>
      <c r="P621" s="3" t="str">
        <f t="shared" si="9"/>
        <v>NORMAL</v>
      </c>
      <c r="Q621" s="3" cm="1">
        <f t="array" aca="1" ref="Q621" ca="1">AVERAGE(OFFSET(tbl_Process[[#This Row],[Temp_Firing_C]], MAX(1-ROW()+ROW(tbl_Process[#Headers]), -23), 0, MIN(ROW()-ROW(tbl_Process[#Headers]), 24), 1))</f>
        <v>1316.6125</v>
      </c>
      <c r="R621" s="3" t="e" cm="1" vm="1">
        <f t="array" aca="1" ref="R621" ca="1">tbl_Process[Temp_Firing_C] - AVERAGE(tbl_Zones[[Target_Temp_Min_C]:[Target_Temp_Max_C]])</f>
        <v>#VALUE!</v>
      </c>
    </row>
    <row r="622" spans="1:18" x14ac:dyDescent="0.3">
      <c r="A622" s="2" t="s">
        <v>641</v>
      </c>
      <c r="B622" s="2" t="s">
        <v>33</v>
      </c>
      <c r="C622" s="2" t="s">
        <v>501</v>
      </c>
      <c r="D622" s="3">
        <v>426.6</v>
      </c>
      <c r="E622" s="3">
        <v>3.07</v>
      </c>
      <c r="F622" s="3">
        <v>319.60000000000002</v>
      </c>
      <c r="G622" s="3">
        <v>367.5</v>
      </c>
      <c r="H622" s="3">
        <v>951.6</v>
      </c>
      <c r="I622" s="4">
        <v>1319.3</v>
      </c>
      <c r="J622" s="4">
        <v>1255.5999999999999</v>
      </c>
      <c r="K622" s="3">
        <v>163.9</v>
      </c>
      <c r="L622" s="3">
        <v>4.2699999999999996</v>
      </c>
      <c r="M622" s="4">
        <v>423501</v>
      </c>
      <c r="N622" s="4">
        <v>8451</v>
      </c>
      <c r="O622" s="3">
        <v>13.96</v>
      </c>
      <c r="P622" s="3" t="str">
        <f t="shared" si="9"/>
        <v>NORMAL</v>
      </c>
      <c r="Q622" s="3" cm="1">
        <f t="array" aca="1" ref="Q622" ca="1">AVERAGE(OFFSET(tbl_Process[[#This Row],[Temp_Firing_C]], MAX(1-ROW()+ROW(tbl_Process[#Headers]), -23), 0, MIN(ROW()-ROW(tbl_Process[#Headers]), 24), 1))</f>
        <v>1316.7208333333333</v>
      </c>
      <c r="R622" s="3" t="e" cm="1" vm="1">
        <f t="array" aca="1" ref="R622" ca="1">tbl_Process[Temp_Firing_C] - AVERAGE(tbl_Zones[[Target_Temp_Min_C]:[Target_Temp_Max_C]])</f>
        <v>#VALUE!</v>
      </c>
    </row>
    <row r="623" spans="1:18" x14ac:dyDescent="0.3">
      <c r="A623" s="2" t="s">
        <v>642</v>
      </c>
      <c r="B623" s="2" t="s">
        <v>33</v>
      </c>
      <c r="C623" s="2" t="s">
        <v>501</v>
      </c>
      <c r="D623" s="3">
        <v>433.1</v>
      </c>
      <c r="E623" s="3">
        <v>2.98</v>
      </c>
      <c r="F623" s="3">
        <v>314.7</v>
      </c>
      <c r="G623" s="3">
        <v>377.9</v>
      </c>
      <c r="H623" s="3">
        <v>971</v>
      </c>
      <c r="I623" s="4">
        <v>1306.5</v>
      </c>
      <c r="J623" s="4">
        <v>1237.5999999999999</v>
      </c>
      <c r="K623" s="3">
        <v>157.5</v>
      </c>
      <c r="L623" s="3">
        <v>4.2300000000000004</v>
      </c>
      <c r="M623" s="4">
        <v>420630</v>
      </c>
      <c r="N623" s="4">
        <v>8704</v>
      </c>
      <c r="O623" s="3">
        <v>13.84</v>
      </c>
      <c r="P623" s="3" t="str">
        <f t="shared" si="9"/>
        <v>NORMAL</v>
      </c>
      <c r="Q623" s="3" cm="1">
        <f t="array" aca="1" ref="Q623" ca="1">AVERAGE(OFFSET(tbl_Process[[#This Row],[Temp_Firing_C]], MAX(1-ROW()+ROW(tbl_Process[#Headers]), -23), 0, MIN(ROW()-ROW(tbl_Process[#Headers]), 24), 1))</f>
        <v>1315.7666666666667</v>
      </c>
      <c r="R623" s="3" t="e" cm="1" vm="1">
        <f t="array" aca="1" ref="R623" ca="1">tbl_Process[Temp_Firing_C] - AVERAGE(tbl_Zones[[Target_Temp_Min_C]:[Target_Temp_Max_C]])</f>
        <v>#VALUE!</v>
      </c>
    </row>
    <row r="624" spans="1:18" x14ac:dyDescent="0.3">
      <c r="A624" s="2" t="s">
        <v>643</v>
      </c>
      <c r="B624" s="2" t="s">
        <v>16</v>
      </c>
      <c r="C624" s="2" t="s">
        <v>501</v>
      </c>
      <c r="D624" s="3">
        <v>430.5</v>
      </c>
      <c r="E624" s="3">
        <v>3.14</v>
      </c>
      <c r="F624" s="3">
        <v>314.60000000000002</v>
      </c>
      <c r="G624" s="3">
        <v>381.8</v>
      </c>
      <c r="H624" s="3">
        <v>955.7</v>
      </c>
      <c r="I624" s="4">
        <v>1318.2</v>
      </c>
      <c r="J624" s="4">
        <v>1254.4000000000001</v>
      </c>
      <c r="K624" s="3">
        <v>159.9</v>
      </c>
      <c r="L624" s="3">
        <v>4.13</v>
      </c>
      <c r="M624" s="4">
        <v>421068</v>
      </c>
      <c r="N624" s="4">
        <v>8865</v>
      </c>
      <c r="O624" s="3">
        <v>14.07</v>
      </c>
      <c r="P624" s="3" t="str">
        <f t="shared" si="9"/>
        <v>NORMAL</v>
      </c>
      <c r="Q624" s="3" cm="1">
        <f t="array" aca="1" ref="Q624" ca="1">AVERAGE(OFFSET(tbl_Process[[#This Row],[Temp_Firing_C]], MAX(1-ROW()+ROW(tbl_Process[#Headers]), -23), 0, MIN(ROW()-ROW(tbl_Process[#Headers]), 24), 1))</f>
        <v>1315.7583333333334</v>
      </c>
      <c r="R624" s="3" t="e" cm="1" vm="1">
        <f t="array" aca="1" ref="R624" ca="1">tbl_Process[Temp_Firing_C] - AVERAGE(tbl_Zones[[Target_Temp_Min_C]:[Target_Temp_Max_C]])</f>
        <v>#VALUE!</v>
      </c>
    </row>
    <row r="625" spans="1:18" x14ac:dyDescent="0.3">
      <c r="A625" s="2" t="s">
        <v>644</v>
      </c>
      <c r="B625" s="2" t="s">
        <v>16</v>
      </c>
      <c r="C625" s="2" t="s">
        <v>501</v>
      </c>
      <c r="D625" s="3">
        <v>425.9</v>
      </c>
      <c r="E625" s="3">
        <v>3.11</v>
      </c>
      <c r="F625" s="3">
        <v>303.10000000000002</v>
      </c>
      <c r="G625" s="3">
        <v>372.4</v>
      </c>
      <c r="H625" s="3">
        <v>966.1</v>
      </c>
      <c r="I625" s="4">
        <v>1311.8</v>
      </c>
      <c r="J625" s="4">
        <v>1247.5</v>
      </c>
      <c r="K625" s="3">
        <v>143.1</v>
      </c>
      <c r="L625" s="3">
        <v>4.09</v>
      </c>
      <c r="M625" s="4">
        <v>423308</v>
      </c>
      <c r="N625" s="4">
        <v>8697</v>
      </c>
      <c r="O625" s="3">
        <v>14.28</v>
      </c>
      <c r="P625" s="3" t="str">
        <f t="shared" si="9"/>
        <v>NORMAL</v>
      </c>
      <c r="Q625" s="3" cm="1">
        <f t="array" aca="1" ref="Q625" ca="1">AVERAGE(OFFSET(tbl_Process[[#This Row],[Temp_Firing_C]], MAX(1-ROW()+ROW(tbl_Process[#Headers]), -23), 0, MIN(ROW()-ROW(tbl_Process[#Headers]), 24), 1))</f>
        <v>1315.8875</v>
      </c>
      <c r="R625" s="3" t="e" cm="1" vm="1">
        <f t="array" aca="1" ref="R625" ca="1">tbl_Process[Temp_Firing_C] - AVERAGE(tbl_Zones[[Target_Temp_Min_C]:[Target_Temp_Max_C]])</f>
        <v>#VALUE!</v>
      </c>
    </row>
    <row r="626" spans="1:18" x14ac:dyDescent="0.3">
      <c r="A626" s="2" t="s">
        <v>645</v>
      </c>
      <c r="B626" s="2" t="s">
        <v>16</v>
      </c>
      <c r="C626" s="2" t="s">
        <v>501</v>
      </c>
      <c r="D626" s="3">
        <v>429.2</v>
      </c>
      <c r="E626" s="3">
        <v>3.09</v>
      </c>
      <c r="F626" s="3">
        <v>309.7</v>
      </c>
      <c r="G626" s="3">
        <v>375.4</v>
      </c>
      <c r="H626" s="3">
        <v>940.2</v>
      </c>
      <c r="I626" s="4">
        <v>1299</v>
      </c>
      <c r="J626" s="4">
        <v>1227.5</v>
      </c>
      <c r="K626" s="3">
        <v>166</v>
      </c>
      <c r="L626" s="3">
        <v>4.1399999999999997</v>
      </c>
      <c r="M626" s="4">
        <v>420590</v>
      </c>
      <c r="N626" s="4">
        <v>8426</v>
      </c>
      <c r="O626" s="3">
        <v>13.81</v>
      </c>
      <c r="P626" s="3" t="str">
        <f t="shared" si="9"/>
        <v>NORMAL</v>
      </c>
      <c r="Q626" s="3" cm="1">
        <f t="array" aca="1" ref="Q626" ca="1">AVERAGE(OFFSET(tbl_Process[[#This Row],[Temp_Firing_C]], MAX(1-ROW()+ROW(tbl_Process[#Headers]), -23), 0, MIN(ROW()-ROW(tbl_Process[#Headers]), 24), 1))</f>
        <v>1315.3999999999999</v>
      </c>
      <c r="R626" s="3" t="e" cm="1" vm="1">
        <f t="array" aca="1" ref="R626" ca="1">tbl_Process[Temp_Firing_C] - AVERAGE(tbl_Zones[[Target_Temp_Min_C]:[Target_Temp_Max_C]])</f>
        <v>#VALUE!</v>
      </c>
    </row>
    <row r="627" spans="1:18" x14ac:dyDescent="0.3">
      <c r="A627" s="2" t="s">
        <v>646</v>
      </c>
      <c r="B627" s="2" t="s">
        <v>16</v>
      </c>
      <c r="C627" s="2" t="s">
        <v>501</v>
      </c>
      <c r="D627" s="3">
        <v>433.7</v>
      </c>
      <c r="E627" s="3">
        <v>2.93</v>
      </c>
      <c r="F627" s="3">
        <v>314.7</v>
      </c>
      <c r="G627" s="3">
        <v>377</v>
      </c>
      <c r="H627" s="3">
        <v>958.8</v>
      </c>
      <c r="I627" s="4">
        <v>1308.9000000000001</v>
      </c>
      <c r="J627" s="4">
        <v>1232.9000000000001</v>
      </c>
      <c r="K627" s="3">
        <v>154.69999999999999</v>
      </c>
      <c r="L627" s="3">
        <v>4.0999999999999996</v>
      </c>
      <c r="M627" s="4">
        <v>418896</v>
      </c>
      <c r="N627" s="4">
        <v>8723</v>
      </c>
      <c r="O627" s="3">
        <v>13.72</v>
      </c>
      <c r="P627" s="3" t="str">
        <f t="shared" si="9"/>
        <v>NORMAL</v>
      </c>
      <c r="Q627" s="3" cm="1">
        <f t="array" aca="1" ref="Q627" ca="1">AVERAGE(OFFSET(tbl_Process[[#This Row],[Temp_Firing_C]], MAX(1-ROW()+ROW(tbl_Process[#Headers]), -23), 0, MIN(ROW()-ROW(tbl_Process[#Headers]), 24), 1))</f>
        <v>1315.1416666666667</v>
      </c>
      <c r="R627" s="3" t="e" cm="1" vm="1">
        <f t="array" aca="1" ref="R627" ca="1">tbl_Process[Temp_Firing_C] - AVERAGE(tbl_Zones[[Target_Temp_Min_C]:[Target_Temp_Max_C]])</f>
        <v>#VALUE!</v>
      </c>
    </row>
    <row r="628" spans="1:18" x14ac:dyDescent="0.3">
      <c r="A628" s="2" t="s">
        <v>647</v>
      </c>
      <c r="B628" s="2" t="s">
        <v>16</v>
      </c>
      <c r="C628" s="2" t="s">
        <v>501</v>
      </c>
      <c r="D628" s="3">
        <v>431.2</v>
      </c>
      <c r="E628" s="3">
        <v>3.11</v>
      </c>
      <c r="F628" s="3">
        <v>324.10000000000002</v>
      </c>
      <c r="G628" s="3">
        <v>376.9</v>
      </c>
      <c r="H628" s="3">
        <v>966.2</v>
      </c>
      <c r="I628" s="4">
        <v>1314.3</v>
      </c>
      <c r="J628" s="4">
        <v>1251.9000000000001</v>
      </c>
      <c r="K628" s="3">
        <v>151.4</v>
      </c>
      <c r="L628" s="3">
        <v>3.89</v>
      </c>
      <c r="M628" s="4">
        <v>423895</v>
      </c>
      <c r="N628" s="4">
        <v>8723</v>
      </c>
      <c r="O628" s="3">
        <v>14.14</v>
      </c>
      <c r="P628" s="3" t="str">
        <f t="shared" si="9"/>
        <v>NORMAL</v>
      </c>
      <c r="Q628" s="3" cm="1">
        <f t="array" aca="1" ref="Q628" ca="1">AVERAGE(OFFSET(tbl_Process[[#This Row],[Temp_Firing_C]], MAX(1-ROW()+ROW(tbl_Process[#Headers]), -23), 0, MIN(ROW()-ROW(tbl_Process[#Headers]), 24), 1))</f>
        <v>1314.6499999999999</v>
      </c>
      <c r="R628" s="3" t="e" cm="1" vm="1">
        <f t="array" aca="1" ref="R628" ca="1">tbl_Process[Temp_Firing_C] - AVERAGE(tbl_Zones[[Target_Temp_Min_C]:[Target_Temp_Max_C]])</f>
        <v>#VALUE!</v>
      </c>
    </row>
    <row r="629" spans="1:18" x14ac:dyDescent="0.3">
      <c r="A629" s="2" t="s">
        <v>648</v>
      </c>
      <c r="B629" s="2" t="s">
        <v>16</v>
      </c>
      <c r="C629" s="2" t="s">
        <v>501</v>
      </c>
      <c r="D629" s="3">
        <v>427.9</v>
      </c>
      <c r="E629" s="3">
        <v>3.22</v>
      </c>
      <c r="F629" s="3">
        <v>315.89999999999998</v>
      </c>
      <c r="G629" s="3">
        <v>381.2</v>
      </c>
      <c r="H629" s="3">
        <v>964.5</v>
      </c>
      <c r="I629" s="4">
        <v>1330.2</v>
      </c>
      <c r="J629" s="4">
        <v>1263.3</v>
      </c>
      <c r="K629" s="3">
        <v>155.9</v>
      </c>
      <c r="L629" s="3">
        <v>4.01</v>
      </c>
      <c r="M629" s="4">
        <v>430869</v>
      </c>
      <c r="N629" s="4">
        <v>8913</v>
      </c>
      <c r="O629" s="3">
        <v>13.98</v>
      </c>
      <c r="P629" s="3" t="str">
        <f t="shared" si="9"/>
        <v>WARNING</v>
      </c>
      <c r="Q629" s="3" cm="1">
        <f t="array" aca="1" ref="Q629" ca="1">AVERAGE(OFFSET(tbl_Process[[#This Row],[Temp_Firing_C]], MAX(1-ROW()+ROW(tbl_Process[#Headers]), -23), 0, MIN(ROW()-ROW(tbl_Process[#Headers]), 24), 1))</f>
        <v>1315.4125000000001</v>
      </c>
      <c r="R629" s="3" t="e" cm="1" vm="1">
        <f t="array" aca="1" ref="R629" ca="1">tbl_Process[Temp_Firing_C] - AVERAGE(tbl_Zones[[Target_Temp_Min_C]:[Target_Temp_Max_C]])</f>
        <v>#VALUE!</v>
      </c>
    </row>
    <row r="630" spans="1:18" x14ac:dyDescent="0.3">
      <c r="A630" s="2" t="s">
        <v>649</v>
      </c>
      <c r="B630" s="2" t="s">
        <v>16</v>
      </c>
      <c r="C630" s="2" t="s">
        <v>501</v>
      </c>
      <c r="D630" s="3">
        <v>442.5</v>
      </c>
      <c r="E630" s="3">
        <v>3.13</v>
      </c>
      <c r="F630" s="3">
        <v>311.10000000000002</v>
      </c>
      <c r="G630" s="3">
        <v>377.2</v>
      </c>
      <c r="H630" s="3">
        <v>946.1</v>
      </c>
      <c r="I630" s="4">
        <v>1313.9</v>
      </c>
      <c r="J630" s="4">
        <v>1246.5</v>
      </c>
      <c r="K630" s="3">
        <v>156.30000000000001</v>
      </c>
      <c r="L630" s="3">
        <v>4.18</v>
      </c>
      <c r="M630" s="4">
        <v>428076</v>
      </c>
      <c r="N630" s="4">
        <v>8703</v>
      </c>
      <c r="O630" s="3">
        <v>13.98</v>
      </c>
      <c r="P630" s="3" t="str">
        <f t="shared" si="9"/>
        <v>NORMAL</v>
      </c>
      <c r="Q630" s="3" cm="1">
        <f t="array" aca="1" ref="Q630" ca="1">AVERAGE(OFFSET(tbl_Process[[#This Row],[Temp_Firing_C]], MAX(1-ROW()+ROW(tbl_Process[#Headers]), -23), 0, MIN(ROW()-ROW(tbl_Process[#Headers]), 24), 1))</f>
        <v>1315.2</v>
      </c>
      <c r="R630" s="3" t="e" cm="1" vm="1">
        <f t="array" aca="1" ref="R630" ca="1">tbl_Process[Temp_Firing_C] - AVERAGE(tbl_Zones[[Target_Temp_Min_C]:[Target_Temp_Max_C]])</f>
        <v>#VALUE!</v>
      </c>
    </row>
    <row r="631" spans="1:18" x14ac:dyDescent="0.3">
      <c r="A631" s="2" t="s">
        <v>650</v>
      </c>
      <c r="B631" s="2" t="s">
        <v>16</v>
      </c>
      <c r="C631" s="2" t="s">
        <v>501</v>
      </c>
      <c r="D631" s="3">
        <v>433</v>
      </c>
      <c r="E631" s="3">
        <v>3.14</v>
      </c>
      <c r="F631" s="3">
        <v>320.7</v>
      </c>
      <c r="G631" s="3">
        <v>383.5</v>
      </c>
      <c r="H631" s="3">
        <v>959.7</v>
      </c>
      <c r="I631" s="4">
        <v>1322.8</v>
      </c>
      <c r="J631" s="4">
        <v>1262.3</v>
      </c>
      <c r="K631" s="3">
        <v>160.19999999999999</v>
      </c>
      <c r="L631" s="3">
        <v>4.2</v>
      </c>
      <c r="M631" s="4">
        <v>429460</v>
      </c>
      <c r="N631" s="4">
        <v>8716</v>
      </c>
      <c r="O631" s="3">
        <v>14.13</v>
      </c>
      <c r="P631" s="3" t="str">
        <f t="shared" si="9"/>
        <v>NORMAL</v>
      </c>
      <c r="Q631" s="3" cm="1">
        <f t="array" aca="1" ref="Q631" ca="1">AVERAGE(OFFSET(tbl_Process[[#This Row],[Temp_Firing_C]], MAX(1-ROW()+ROW(tbl_Process[#Headers]), -23), 0, MIN(ROW()-ROW(tbl_Process[#Headers]), 24), 1))</f>
        <v>1315.175</v>
      </c>
      <c r="R631" s="3" t="e" cm="1" vm="1">
        <f t="array" aca="1" ref="R631" ca="1">tbl_Process[Temp_Firing_C] - AVERAGE(tbl_Zones[[Target_Temp_Min_C]:[Target_Temp_Max_C]])</f>
        <v>#VALUE!</v>
      </c>
    </row>
    <row r="632" spans="1:18" x14ac:dyDescent="0.3">
      <c r="A632" s="2" t="s">
        <v>651</v>
      </c>
      <c r="B632" s="2" t="s">
        <v>24</v>
      </c>
      <c r="C632" s="2" t="s">
        <v>501</v>
      </c>
      <c r="D632" s="3">
        <v>431.7</v>
      </c>
      <c r="E632" s="3">
        <v>3.05</v>
      </c>
      <c r="F632" s="3">
        <v>314.3</v>
      </c>
      <c r="G632" s="3">
        <v>376.3</v>
      </c>
      <c r="H632" s="3">
        <v>952.3</v>
      </c>
      <c r="I632" s="4">
        <v>1305.9000000000001</v>
      </c>
      <c r="J632" s="4">
        <v>1237</v>
      </c>
      <c r="K632" s="3">
        <v>160.69999999999999</v>
      </c>
      <c r="L632" s="3">
        <v>4.34</v>
      </c>
      <c r="M632" s="4">
        <v>423002</v>
      </c>
      <c r="N632" s="4">
        <v>8259</v>
      </c>
      <c r="O632" s="3">
        <v>14.55</v>
      </c>
      <c r="P632" s="3" t="str">
        <f t="shared" si="9"/>
        <v>NORMAL</v>
      </c>
      <c r="Q632" s="3" cm="1">
        <f t="array" aca="1" ref="Q632" ca="1">AVERAGE(OFFSET(tbl_Process[[#This Row],[Temp_Firing_C]], MAX(1-ROW()+ROW(tbl_Process[#Headers]), -23), 0, MIN(ROW()-ROW(tbl_Process[#Headers]), 24), 1))</f>
        <v>1314.6708333333333</v>
      </c>
      <c r="R632" s="3" t="e" cm="1" vm="1">
        <f t="array" aca="1" ref="R632" ca="1">tbl_Process[Temp_Firing_C] - AVERAGE(tbl_Zones[[Target_Temp_Min_C]:[Target_Temp_Max_C]])</f>
        <v>#VALUE!</v>
      </c>
    </row>
    <row r="633" spans="1:18" x14ac:dyDescent="0.3">
      <c r="A633" s="2" t="s">
        <v>652</v>
      </c>
      <c r="B633" s="2" t="s">
        <v>24</v>
      </c>
      <c r="C633" s="2" t="s">
        <v>501</v>
      </c>
      <c r="D633" s="3">
        <v>427.8</v>
      </c>
      <c r="E633" s="3">
        <v>3.14</v>
      </c>
      <c r="F633" s="3">
        <v>319</v>
      </c>
      <c r="G633" s="3">
        <v>377.4</v>
      </c>
      <c r="H633" s="3">
        <v>956.9</v>
      </c>
      <c r="I633" s="4">
        <v>1317.3</v>
      </c>
      <c r="J633" s="4">
        <v>1260.4000000000001</v>
      </c>
      <c r="K633" s="3">
        <v>159.30000000000001</v>
      </c>
      <c r="L633" s="3">
        <v>4.3</v>
      </c>
      <c r="M633" s="4">
        <v>426404</v>
      </c>
      <c r="N633" s="4">
        <v>8788</v>
      </c>
      <c r="O633" s="3">
        <v>13.52</v>
      </c>
      <c r="P633" s="3" t="str">
        <f t="shared" si="9"/>
        <v>NORMAL</v>
      </c>
      <c r="Q633" s="3" cm="1">
        <f t="array" aca="1" ref="Q633" ca="1">AVERAGE(OFFSET(tbl_Process[[#This Row],[Temp_Firing_C]], MAX(1-ROW()+ROW(tbl_Process[#Headers]), -23), 0, MIN(ROW()-ROW(tbl_Process[#Headers]), 24), 1))</f>
        <v>1314.2208333333335</v>
      </c>
      <c r="R633" s="3" t="e" cm="1" vm="1">
        <f t="array" aca="1" ref="R633" ca="1">tbl_Process[Temp_Firing_C] - AVERAGE(tbl_Zones[[Target_Temp_Min_C]:[Target_Temp_Max_C]])</f>
        <v>#VALUE!</v>
      </c>
    </row>
    <row r="634" spans="1:18" x14ac:dyDescent="0.3">
      <c r="A634" s="2" t="s">
        <v>653</v>
      </c>
      <c r="B634" s="2" t="s">
        <v>24</v>
      </c>
      <c r="C634" s="2" t="s">
        <v>501</v>
      </c>
      <c r="D634" s="3">
        <v>434.5</v>
      </c>
      <c r="E634" s="3">
        <v>3.06</v>
      </c>
      <c r="F634" s="3">
        <v>323.2</v>
      </c>
      <c r="G634" s="3">
        <v>371.7</v>
      </c>
      <c r="H634" s="3">
        <v>943.6</v>
      </c>
      <c r="I634" s="4">
        <v>1332.9</v>
      </c>
      <c r="J634" s="4">
        <v>1262.2</v>
      </c>
      <c r="K634" s="3">
        <v>165</v>
      </c>
      <c r="L634" s="3">
        <v>4.24</v>
      </c>
      <c r="M634" s="4">
        <v>424452</v>
      </c>
      <c r="N634" s="4">
        <v>8889</v>
      </c>
      <c r="O634" s="3">
        <v>13.56</v>
      </c>
      <c r="P634" s="3" t="str">
        <f t="shared" si="9"/>
        <v>WARNING</v>
      </c>
      <c r="Q634" s="3" cm="1">
        <f t="array" aca="1" ref="Q634" ca="1">AVERAGE(OFFSET(tbl_Process[[#This Row],[Temp_Firing_C]], MAX(1-ROW()+ROW(tbl_Process[#Headers]), -23), 0, MIN(ROW()-ROW(tbl_Process[#Headers]), 24), 1))</f>
        <v>1314.9958333333334</v>
      </c>
      <c r="R634" s="3" t="e" cm="1" vm="1">
        <f t="array" aca="1" ref="R634" ca="1">tbl_Process[Temp_Firing_C] - AVERAGE(tbl_Zones[[Target_Temp_Min_C]:[Target_Temp_Max_C]])</f>
        <v>#VALUE!</v>
      </c>
    </row>
    <row r="635" spans="1:18" x14ac:dyDescent="0.3">
      <c r="A635" s="2" t="s">
        <v>654</v>
      </c>
      <c r="B635" s="2" t="s">
        <v>24</v>
      </c>
      <c r="C635" s="2" t="s">
        <v>501</v>
      </c>
      <c r="D635" s="3">
        <v>429.9</v>
      </c>
      <c r="E635" s="3">
        <v>3.01</v>
      </c>
      <c r="F635" s="3">
        <v>316.3</v>
      </c>
      <c r="G635" s="3">
        <v>384.7</v>
      </c>
      <c r="H635" s="3">
        <v>960.4</v>
      </c>
      <c r="I635" s="4">
        <v>1304.5999999999999</v>
      </c>
      <c r="J635" s="4">
        <v>1244.7</v>
      </c>
      <c r="K635" s="3">
        <v>159.1</v>
      </c>
      <c r="L635" s="3">
        <v>4.0999999999999996</v>
      </c>
      <c r="M635" s="4">
        <v>423441</v>
      </c>
      <c r="N635" s="4">
        <v>8535</v>
      </c>
      <c r="O635" s="3">
        <v>13.88</v>
      </c>
      <c r="P635" s="3" t="str">
        <f t="shared" si="9"/>
        <v>NORMAL</v>
      </c>
      <c r="Q635" s="3" cm="1">
        <f t="array" aca="1" ref="Q635" ca="1">AVERAGE(OFFSET(tbl_Process[[#This Row],[Temp_Firing_C]], MAX(1-ROW()+ROW(tbl_Process[#Headers]), -23), 0, MIN(ROW()-ROW(tbl_Process[#Headers]), 24), 1))</f>
        <v>1314.3666666666666</v>
      </c>
      <c r="R635" s="3" t="e" cm="1" vm="1">
        <f t="array" aca="1" ref="R635" ca="1">tbl_Process[Temp_Firing_C] - AVERAGE(tbl_Zones[[Target_Temp_Min_C]:[Target_Temp_Max_C]])</f>
        <v>#VALUE!</v>
      </c>
    </row>
    <row r="636" spans="1:18" x14ac:dyDescent="0.3">
      <c r="A636" s="2" t="s">
        <v>655</v>
      </c>
      <c r="B636" s="2" t="s">
        <v>24</v>
      </c>
      <c r="C636" s="2" t="s">
        <v>501</v>
      </c>
      <c r="D636" s="3">
        <v>437.4</v>
      </c>
      <c r="E636" s="3">
        <v>3.1</v>
      </c>
      <c r="F636" s="3">
        <v>317.89999999999998</v>
      </c>
      <c r="G636" s="3">
        <v>375</v>
      </c>
      <c r="H636" s="3">
        <v>970.9</v>
      </c>
      <c r="I636" s="4">
        <v>1311.5</v>
      </c>
      <c r="J636" s="4">
        <v>1237.2</v>
      </c>
      <c r="K636" s="3">
        <v>155.5</v>
      </c>
      <c r="L636" s="3">
        <v>4.43</v>
      </c>
      <c r="M636" s="4">
        <v>424982</v>
      </c>
      <c r="N636" s="4">
        <v>8607</v>
      </c>
      <c r="O636" s="3">
        <v>14.46</v>
      </c>
      <c r="P636" s="3" t="str">
        <f t="shared" si="9"/>
        <v>NORMAL</v>
      </c>
      <c r="Q636" s="3" cm="1">
        <f t="array" aca="1" ref="Q636" ca="1">AVERAGE(OFFSET(tbl_Process[[#This Row],[Temp_Firing_C]], MAX(1-ROW()+ROW(tbl_Process[#Headers]), -23), 0, MIN(ROW()-ROW(tbl_Process[#Headers]), 24), 1))</f>
        <v>1313.6625000000001</v>
      </c>
      <c r="R636" s="3" t="e" cm="1" vm="1">
        <f t="array" aca="1" ref="R636" ca="1">tbl_Process[Temp_Firing_C] - AVERAGE(tbl_Zones[[Target_Temp_Min_C]:[Target_Temp_Max_C]])</f>
        <v>#VALUE!</v>
      </c>
    </row>
    <row r="637" spans="1:18" x14ac:dyDescent="0.3">
      <c r="A637" s="2" t="s">
        <v>656</v>
      </c>
      <c r="B637" s="2" t="s">
        <v>24</v>
      </c>
      <c r="C637" s="2" t="s">
        <v>501</v>
      </c>
      <c r="D637" s="3">
        <v>433</v>
      </c>
      <c r="E637" s="3">
        <v>3.08</v>
      </c>
      <c r="F637" s="3">
        <v>317</v>
      </c>
      <c r="G637" s="3">
        <v>379.7</v>
      </c>
      <c r="H637" s="3">
        <v>946.1</v>
      </c>
      <c r="I637" s="4">
        <v>1314.8</v>
      </c>
      <c r="J637" s="4">
        <v>1251.7</v>
      </c>
      <c r="K637" s="3">
        <v>150.30000000000001</v>
      </c>
      <c r="L637" s="3">
        <v>4.1900000000000004</v>
      </c>
      <c r="M637" s="4">
        <v>421603</v>
      </c>
      <c r="N637" s="4">
        <v>8801</v>
      </c>
      <c r="O637" s="3">
        <v>13.5</v>
      </c>
      <c r="P637" s="3" t="str">
        <f t="shared" si="9"/>
        <v>NORMAL</v>
      </c>
      <c r="Q637" s="3" cm="1">
        <f t="array" aca="1" ref="Q637" ca="1">AVERAGE(OFFSET(tbl_Process[[#This Row],[Temp_Firing_C]], MAX(1-ROW()+ROW(tbl_Process[#Headers]), -23), 0, MIN(ROW()-ROW(tbl_Process[#Headers]), 24), 1))</f>
        <v>1313.9458333333334</v>
      </c>
      <c r="R637" s="3" t="e" cm="1" vm="1">
        <f t="array" aca="1" ref="R637" ca="1">tbl_Process[Temp_Firing_C] - AVERAGE(tbl_Zones[[Target_Temp_Min_C]:[Target_Temp_Max_C]])</f>
        <v>#VALUE!</v>
      </c>
    </row>
    <row r="638" spans="1:18" x14ac:dyDescent="0.3">
      <c r="A638" s="2" t="s">
        <v>657</v>
      </c>
      <c r="B638" s="2" t="s">
        <v>24</v>
      </c>
      <c r="C638" s="2" t="s">
        <v>501</v>
      </c>
      <c r="D638" s="3">
        <v>428.5</v>
      </c>
      <c r="E638" s="3">
        <v>3.06</v>
      </c>
      <c r="F638" s="3">
        <v>323.39999999999998</v>
      </c>
      <c r="G638" s="3">
        <v>376.6</v>
      </c>
      <c r="H638" s="3">
        <v>976.9</v>
      </c>
      <c r="I638" s="4">
        <v>1319.1</v>
      </c>
      <c r="J638" s="4">
        <v>1251.5999999999999</v>
      </c>
      <c r="K638" s="3">
        <v>159.6</v>
      </c>
      <c r="L638" s="3">
        <v>4.1100000000000003</v>
      </c>
      <c r="M638" s="4">
        <v>426446</v>
      </c>
      <c r="N638" s="4">
        <v>8569</v>
      </c>
      <c r="O638" s="3">
        <v>13.94</v>
      </c>
      <c r="P638" s="3" t="str">
        <f t="shared" si="9"/>
        <v>NORMAL</v>
      </c>
      <c r="Q638" s="3" cm="1">
        <f t="array" aca="1" ref="Q638" ca="1">AVERAGE(OFFSET(tbl_Process[[#This Row],[Temp_Firing_C]], MAX(1-ROW()+ROW(tbl_Process[#Headers]), -23), 0, MIN(ROW()-ROW(tbl_Process[#Headers]), 24), 1))</f>
        <v>1313.9083333333333</v>
      </c>
      <c r="R638" s="3" t="e" cm="1" vm="1">
        <f t="array" aca="1" ref="R638" ca="1">tbl_Process[Temp_Firing_C] - AVERAGE(tbl_Zones[[Target_Temp_Min_C]:[Target_Temp_Max_C]])</f>
        <v>#VALUE!</v>
      </c>
    </row>
    <row r="639" spans="1:18" x14ac:dyDescent="0.3">
      <c r="A639" s="2" t="s">
        <v>658</v>
      </c>
      <c r="B639" s="2" t="s">
        <v>24</v>
      </c>
      <c r="C639" s="2" t="s">
        <v>501</v>
      </c>
      <c r="D639" s="3">
        <v>431.8</v>
      </c>
      <c r="E639" s="3">
        <v>3.2</v>
      </c>
      <c r="F639" s="3">
        <v>304.10000000000002</v>
      </c>
      <c r="G639" s="3">
        <v>386</v>
      </c>
      <c r="H639" s="3">
        <v>952.9</v>
      </c>
      <c r="I639" s="4">
        <v>1297.7</v>
      </c>
      <c r="J639" s="4">
        <v>1214.7</v>
      </c>
      <c r="K639" s="3">
        <v>150.5</v>
      </c>
      <c r="L639" s="3">
        <v>4.2300000000000004</v>
      </c>
      <c r="M639" s="4">
        <v>419355</v>
      </c>
      <c r="N639" s="4">
        <v>8548</v>
      </c>
      <c r="O639" s="3">
        <v>14.02</v>
      </c>
      <c r="P639" s="3" t="str">
        <f t="shared" si="9"/>
        <v>NORMAL</v>
      </c>
      <c r="Q639" s="3" cm="1">
        <f t="array" aca="1" ref="Q639" ca="1">AVERAGE(OFFSET(tbl_Process[[#This Row],[Temp_Firing_C]], MAX(1-ROW()+ROW(tbl_Process[#Headers]), -23), 0, MIN(ROW()-ROW(tbl_Process[#Headers]), 24), 1))</f>
        <v>1313.3708333333334</v>
      </c>
      <c r="R639" s="3" t="e" cm="1" vm="1">
        <f t="array" aca="1" ref="R639" ca="1">tbl_Process[Temp_Firing_C] - AVERAGE(tbl_Zones[[Target_Temp_Min_C]:[Target_Temp_Max_C]])</f>
        <v>#VALUE!</v>
      </c>
    </row>
    <row r="640" spans="1:18" x14ac:dyDescent="0.3">
      <c r="A640" s="2" t="s">
        <v>659</v>
      </c>
      <c r="B640" s="2" t="s">
        <v>33</v>
      </c>
      <c r="C640" s="2" t="s">
        <v>501</v>
      </c>
      <c r="D640" s="3">
        <v>425.6</v>
      </c>
      <c r="E640" s="3">
        <v>3.07</v>
      </c>
      <c r="F640" s="3">
        <v>317.2</v>
      </c>
      <c r="G640" s="3">
        <v>377.6</v>
      </c>
      <c r="H640" s="3">
        <v>944.4</v>
      </c>
      <c r="I640" s="4">
        <v>1319.1</v>
      </c>
      <c r="J640" s="4">
        <v>1250.4000000000001</v>
      </c>
      <c r="K640" s="3">
        <v>153.6</v>
      </c>
      <c r="L640" s="3">
        <v>4.0599999999999996</v>
      </c>
      <c r="M640" s="4">
        <v>427200</v>
      </c>
      <c r="N640" s="4">
        <v>8713</v>
      </c>
      <c r="O640" s="3">
        <v>13.86</v>
      </c>
      <c r="P640" s="3" t="str">
        <f t="shared" si="9"/>
        <v>NORMAL</v>
      </c>
      <c r="Q640" s="3" cm="1">
        <f t="array" aca="1" ref="Q640" ca="1">AVERAGE(OFFSET(tbl_Process[[#This Row],[Temp_Firing_C]], MAX(1-ROW()+ROW(tbl_Process[#Headers]), -23), 0, MIN(ROW()-ROW(tbl_Process[#Headers]), 24), 1))</f>
        <v>1313.9291666666666</v>
      </c>
      <c r="R640" s="3" t="e" cm="1" vm="1">
        <f t="array" aca="1" ref="R640" ca="1">tbl_Process[Temp_Firing_C] - AVERAGE(tbl_Zones[[Target_Temp_Min_C]:[Target_Temp_Max_C]])</f>
        <v>#VALUE!</v>
      </c>
    </row>
    <row r="641" spans="1:18" x14ac:dyDescent="0.3">
      <c r="A641" s="2" t="s">
        <v>660</v>
      </c>
      <c r="B641" s="2" t="s">
        <v>33</v>
      </c>
      <c r="C641" s="2" t="s">
        <v>501</v>
      </c>
      <c r="D641" s="3">
        <v>433.7</v>
      </c>
      <c r="E641" s="3">
        <v>3.27</v>
      </c>
      <c r="F641" s="3">
        <v>317.89999999999998</v>
      </c>
      <c r="G641" s="3">
        <v>384.2</v>
      </c>
      <c r="H641" s="3">
        <v>965.8</v>
      </c>
      <c r="I641" s="4">
        <v>1306.3</v>
      </c>
      <c r="J641" s="4">
        <v>1241.5</v>
      </c>
      <c r="K641" s="3">
        <v>151.4</v>
      </c>
      <c r="L641" s="3">
        <v>4.25</v>
      </c>
      <c r="M641" s="4">
        <v>418942</v>
      </c>
      <c r="N641" s="4">
        <v>8527</v>
      </c>
      <c r="O641" s="3">
        <v>13.99</v>
      </c>
      <c r="P641" s="3" t="str">
        <f t="shared" si="9"/>
        <v>NORMAL</v>
      </c>
      <c r="Q641" s="3" cm="1">
        <f t="array" aca="1" ref="Q641" ca="1">AVERAGE(OFFSET(tbl_Process[[#This Row],[Temp_Firing_C]], MAX(1-ROW()+ROW(tbl_Process[#Headers]), -23), 0, MIN(ROW()-ROW(tbl_Process[#Headers]), 24), 1))</f>
        <v>1313.7541666666664</v>
      </c>
      <c r="R641" s="3" t="e" cm="1" vm="1">
        <f t="array" aca="1" ref="R641" ca="1">tbl_Process[Temp_Firing_C] - AVERAGE(tbl_Zones[[Target_Temp_Min_C]:[Target_Temp_Max_C]])</f>
        <v>#VALUE!</v>
      </c>
    </row>
    <row r="642" spans="1:18" x14ac:dyDescent="0.3">
      <c r="A642" s="2" t="s">
        <v>661</v>
      </c>
      <c r="B642" s="2" t="s">
        <v>33</v>
      </c>
      <c r="C642" s="2" t="s">
        <v>501</v>
      </c>
      <c r="D642" s="3">
        <v>428.9</v>
      </c>
      <c r="E642" s="3">
        <v>3.14</v>
      </c>
      <c r="F642" s="3">
        <v>315.7</v>
      </c>
      <c r="G642" s="3">
        <v>362.2</v>
      </c>
      <c r="H642" s="3">
        <v>944</v>
      </c>
      <c r="I642" s="4">
        <v>1298.4000000000001</v>
      </c>
      <c r="J642" s="4">
        <v>1234.9000000000001</v>
      </c>
      <c r="K642" s="3">
        <v>160.19999999999999</v>
      </c>
      <c r="L642" s="3">
        <v>4.21</v>
      </c>
      <c r="M642" s="4">
        <v>416956</v>
      </c>
      <c r="N642" s="4">
        <v>8510</v>
      </c>
      <c r="O642" s="3">
        <v>14.07</v>
      </c>
      <c r="P642" s="3" t="str">
        <f t="shared" ref="P642:P705" si="10">IF(L642&gt;4.5,"CRITICAL",IF(OR(I642&lt;1250,I642&gt;1330),"WARNING","NORMAL"))</f>
        <v>NORMAL</v>
      </c>
      <c r="Q642" s="3" cm="1">
        <f t="array" aca="1" ref="Q642" ca="1">AVERAGE(OFFSET(tbl_Process[[#This Row],[Temp_Firing_C]], MAX(1-ROW()+ROW(tbl_Process[#Headers]), -23), 0, MIN(ROW()-ROW(tbl_Process[#Headers]), 24), 1))</f>
        <v>1312.925</v>
      </c>
      <c r="R642" s="3" t="e" cm="1" vm="1">
        <f t="array" aca="1" ref="R642" ca="1">tbl_Process[Temp_Firing_C] - AVERAGE(tbl_Zones[[Target_Temp_Min_C]:[Target_Temp_Max_C]])</f>
        <v>#VALUE!</v>
      </c>
    </row>
    <row r="643" spans="1:18" x14ac:dyDescent="0.3">
      <c r="A643" s="2" t="s">
        <v>662</v>
      </c>
      <c r="B643" s="2" t="s">
        <v>33</v>
      </c>
      <c r="C643" s="2" t="s">
        <v>501</v>
      </c>
      <c r="D643" s="3">
        <v>425.4</v>
      </c>
      <c r="E643" s="3">
        <v>3.16</v>
      </c>
      <c r="F643" s="3">
        <v>321.3</v>
      </c>
      <c r="G643" s="3">
        <v>381.8</v>
      </c>
      <c r="H643" s="3">
        <v>945.4</v>
      </c>
      <c r="I643" s="4">
        <v>1319.7</v>
      </c>
      <c r="J643" s="4">
        <v>1251.7</v>
      </c>
      <c r="K643" s="3">
        <v>160.80000000000001</v>
      </c>
      <c r="L643" s="3">
        <v>4.08</v>
      </c>
      <c r="M643" s="4">
        <v>422762</v>
      </c>
      <c r="N643" s="4">
        <v>8446</v>
      </c>
      <c r="O643" s="3">
        <v>14.17</v>
      </c>
      <c r="P643" s="3" t="str">
        <f t="shared" si="10"/>
        <v>NORMAL</v>
      </c>
      <c r="Q643" s="3" cm="1">
        <f t="array" aca="1" ref="Q643" ca="1">AVERAGE(OFFSET(tbl_Process[[#This Row],[Temp_Firing_C]], MAX(1-ROW()+ROW(tbl_Process[#Headers]), -23), 0, MIN(ROW()-ROW(tbl_Process[#Headers]), 24), 1))</f>
        <v>1313.2291666666665</v>
      </c>
      <c r="R643" s="3" t="e" cm="1" vm="1">
        <f t="array" aca="1" ref="R643" ca="1">tbl_Process[Temp_Firing_C] - AVERAGE(tbl_Zones[[Target_Temp_Min_C]:[Target_Temp_Max_C]])</f>
        <v>#VALUE!</v>
      </c>
    </row>
    <row r="644" spans="1:18" x14ac:dyDescent="0.3">
      <c r="A644" s="2" t="s">
        <v>663</v>
      </c>
      <c r="B644" s="2" t="s">
        <v>33</v>
      </c>
      <c r="C644" s="2" t="s">
        <v>501</v>
      </c>
      <c r="D644" s="3">
        <v>430.4</v>
      </c>
      <c r="E644" s="3">
        <v>3.07</v>
      </c>
      <c r="F644" s="3">
        <v>326.89999999999998</v>
      </c>
      <c r="G644" s="3">
        <v>367</v>
      </c>
      <c r="H644" s="3">
        <v>945.9</v>
      </c>
      <c r="I644" s="4">
        <v>1303</v>
      </c>
      <c r="J644" s="4">
        <v>1234.5999999999999</v>
      </c>
      <c r="K644" s="3">
        <v>162.69999999999999</v>
      </c>
      <c r="L644" s="3">
        <v>4.3600000000000003</v>
      </c>
      <c r="M644" s="4">
        <v>418087</v>
      </c>
      <c r="N644" s="4">
        <v>8449</v>
      </c>
      <c r="O644" s="3">
        <v>13.95</v>
      </c>
      <c r="P644" s="3" t="str">
        <f t="shared" si="10"/>
        <v>NORMAL</v>
      </c>
      <c r="Q644" s="3" cm="1">
        <f t="array" aca="1" ref="Q644" ca="1">AVERAGE(OFFSET(tbl_Process[[#This Row],[Temp_Firing_C]], MAX(1-ROW()+ROW(tbl_Process[#Headers]), -23), 0, MIN(ROW()-ROW(tbl_Process[#Headers]), 24), 1))</f>
        <v>1312.9791666666665</v>
      </c>
      <c r="R644" s="3" t="e" cm="1" vm="1">
        <f t="array" aca="1" ref="R644" ca="1">tbl_Process[Temp_Firing_C] - AVERAGE(tbl_Zones[[Target_Temp_Min_C]:[Target_Temp_Max_C]])</f>
        <v>#VALUE!</v>
      </c>
    </row>
    <row r="645" spans="1:18" x14ac:dyDescent="0.3">
      <c r="A645" s="2" t="s">
        <v>664</v>
      </c>
      <c r="B645" s="2" t="s">
        <v>33</v>
      </c>
      <c r="C645" s="2" t="s">
        <v>501</v>
      </c>
      <c r="D645" s="3">
        <v>435.2</v>
      </c>
      <c r="E645" s="3">
        <v>3.19</v>
      </c>
      <c r="F645" s="3">
        <v>315.8</v>
      </c>
      <c r="G645" s="3">
        <v>365.5</v>
      </c>
      <c r="H645" s="3">
        <v>937.2</v>
      </c>
      <c r="I645" s="4">
        <v>1311.8</v>
      </c>
      <c r="J645" s="4">
        <v>1250.0999999999999</v>
      </c>
      <c r="K645" s="3">
        <v>147.30000000000001</v>
      </c>
      <c r="L645" s="3">
        <v>4.2300000000000004</v>
      </c>
      <c r="M645" s="4">
        <v>427788</v>
      </c>
      <c r="N645" s="4">
        <v>8615</v>
      </c>
      <c r="O645" s="3">
        <v>14.48</v>
      </c>
      <c r="P645" s="3" t="str">
        <f t="shared" si="10"/>
        <v>NORMAL</v>
      </c>
      <c r="Q645" s="3" cm="1">
        <f t="array" aca="1" ref="Q645" ca="1">AVERAGE(OFFSET(tbl_Process[[#This Row],[Temp_Firing_C]], MAX(1-ROW()+ROW(tbl_Process[#Headers]), -23), 0, MIN(ROW()-ROW(tbl_Process[#Headers]), 24), 1))</f>
        <v>1312.7916666666665</v>
      </c>
      <c r="R645" s="3" t="e" cm="1" vm="1">
        <f t="array" aca="1" ref="R645" ca="1">tbl_Process[Temp_Firing_C] - AVERAGE(tbl_Zones[[Target_Temp_Min_C]:[Target_Temp_Max_C]])</f>
        <v>#VALUE!</v>
      </c>
    </row>
    <row r="646" spans="1:18" x14ac:dyDescent="0.3">
      <c r="A646" s="2" t="s">
        <v>665</v>
      </c>
      <c r="B646" s="2" t="s">
        <v>33</v>
      </c>
      <c r="C646" s="2" t="s">
        <v>501</v>
      </c>
      <c r="D646" s="3">
        <v>432.6</v>
      </c>
      <c r="E646" s="3">
        <v>3.01</v>
      </c>
      <c r="F646" s="3">
        <v>314.89999999999998</v>
      </c>
      <c r="G646" s="3">
        <v>374.6</v>
      </c>
      <c r="H646" s="3">
        <v>941.8</v>
      </c>
      <c r="I646" s="4">
        <v>1303.2</v>
      </c>
      <c r="J646" s="4">
        <v>1247.2</v>
      </c>
      <c r="K646" s="3">
        <v>152.9</v>
      </c>
      <c r="L646" s="3">
        <v>4.32</v>
      </c>
      <c r="M646" s="4">
        <v>419048</v>
      </c>
      <c r="N646" s="4">
        <v>8535</v>
      </c>
      <c r="O646" s="3">
        <v>14.31</v>
      </c>
      <c r="P646" s="3" t="str">
        <f t="shared" si="10"/>
        <v>NORMAL</v>
      </c>
      <c r="Q646" s="3" cm="1">
        <f t="array" aca="1" ref="Q646" ca="1">AVERAGE(OFFSET(tbl_Process[[#This Row],[Temp_Firing_C]], MAX(1-ROW()+ROW(tbl_Process[#Headers]), -23), 0, MIN(ROW()-ROW(tbl_Process[#Headers]), 24), 1))</f>
        <v>1312.1208333333332</v>
      </c>
      <c r="R646" s="3" t="e" cm="1" vm="1">
        <f t="array" aca="1" ref="R646" ca="1">tbl_Process[Temp_Firing_C] - AVERAGE(tbl_Zones[[Target_Temp_Min_C]:[Target_Temp_Max_C]])</f>
        <v>#VALUE!</v>
      </c>
    </row>
    <row r="647" spans="1:18" x14ac:dyDescent="0.3">
      <c r="A647" s="2" t="s">
        <v>666</v>
      </c>
      <c r="B647" s="2" t="s">
        <v>33</v>
      </c>
      <c r="C647" s="2" t="s">
        <v>501</v>
      </c>
      <c r="D647" s="3">
        <v>427.6</v>
      </c>
      <c r="E647" s="3">
        <v>3.15</v>
      </c>
      <c r="F647" s="3">
        <v>304.60000000000002</v>
      </c>
      <c r="G647" s="3">
        <v>379</v>
      </c>
      <c r="H647" s="3">
        <v>924.2</v>
      </c>
      <c r="I647" s="4">
        <v>1309.9000000000001</v>
      </c>
      <c r="J647" s="4">
        <v>1250</v>
      </c>
      <c r="K647" s="3">
        <v>161</v>
      </c>
      <c r="L647" s="3">
        <v>4.01</v>
      </c>
      <c r="M647" s="4">
        <v>417688</v>
      </c>
      <c r="N647" s="4">
        <v>8536</v>
      </c>
      <c r="O647" s="3">
        <v>14.22</v>
      </c>
      <c r="P647" s="3" t="str">
        <f t="shared" si="10"/>
        <v>NORMAL</v>
      </c>
      <c r="Q647" s="3" cm="1">
        <f t="array" aca="1" ref="Q647" ca="1">AVERAGE(OFFSET(tbl_Process[[#This Row],[Temp_Firing_C]], MAX(1-ROW()+ROW(tbl_Process[#Headers]), -23), 0, MIN(ROW()-ROW(tbl_Process[#Headers]), 24), 1))</f>
        <v>1312.2624999999998</v>
      </c>
      <c r="R647" s="3" t="e" cm="1" vm="1">
        <f t="array" aca="1" ref="R647" ca="1">tbl_Process[Temp_Firing_C] - AVERAGE(tbl_Zones[[Target_Temp_Min_C]:[Target_Temp_Max_C]])</f>
        <v>#VALUE!</v>
      </c>
    </row>
    <row r="648" spans="1:18" x14ac:dyDescent="0.3">
      <c r="A648" s="2" t="s">
        <v>667</v>
      </c>
      <c r="B648" s="2" t="s">
        <v>16</v>
      </c>
      <c r="C648" s="2" t="s">
        <v>501</v>
      </c>
      <c r="D648" s="3">
        <v>421.9</v>
      </c>
      <c r="E648" s="3">
        <v>3.1</v>
      </c>
      <c r="F648" s="3">
        <v>319.10000000000002</v>
      </c>
      <c r="G648" s="3">
        <v>374.4</v>
      </c>
      <c r="H648" s="3">
        <v>960.8</v>
      </c>
      <c r="I648" s="4">
        <v>1314.5</v>
      </c>
      <c r="J648" s="4">
        <v>1246.3</v>
      </c>
      <c r="K648" s="3">
        <v>148.5</v>
      </c>
      <c r="L648" s="3">
        <v>4.0999999999999996</v>
      </c>
      <c r="M648" s="4">
        <v>419274</v>
      </c>
      <c r="N648" s="4">
        <v>8605</v>
      </c>
      <c r="O648" s="3">
        <v>14.24</v>
      </c>
      <c r="P648" s="3" t="str">
        <f t="shared" si="10"/>
        <v>NORMAL</v>
      </c>
      <c r="Q648" s="3" cm="1">
        <f t="array" aca="1" ref="Q648" ca="1">AVERAGE(OFFSET(tbl_Process[[#This Row],[Temp_Firing_C]], MAX(1-ROW()+ROW(tbl_Process[#Headers]), -23), 0, MIN(ROW()-ROW(tbl_Process[#Headers]), 24), 1))</f>
        <v>1312.1083333333333</v>
      </c>
      <c r="R648" s="3" t="e" cm="1" vm="1">
        <f t="array" aca="1" ref="R648" ca="1">tbl_Process[Temp_Firing_C] - AVERAGE(tbl_Zones[[Target_Temp_Min_C]:[Target_Temp_Max_C]])</f>
        <v>#VALUE!</v>
      </c>
    </row>
    <row r="649" spans="1:18" x14ac:dyDescent="0.3">
      <c r="A649" s="2" t="s">
        <v>668</v>
      </c>
      <c r="B649" s="2" t="s">
        <v>16</v>
      </c>
      <c r="C649" s="2" t="s">
        <v>501</v>
      </c>
      <c r="D649" s="3">
        <v>435.7</v>
      </c>
      <c r="E649" s="3">
        <v>3.1</v>
      </c>
      <c r="F649" s="3">
        <v>321</v>
      </c>
      <c r="G649" s="3">
        <v>366.8</v>
      </c>
      <c r="H649" s="3">
        <v>958.3</v>
      </c>
      <c r="I649" s="4">
        <v>1313.3</v>
      </c>
      <c r="J649" s="4">
        <v>1255.7</v>
      </c>
      <c r="K649" s="3">
        <v>155.80000000000001</v>
      </c>
      <c r="L649" s="3">
        <v>4.22</v>
      </c>
      <c r="M649" s="4">
        <v>426100</v>
      </c>
      <c r="N649" s="4">
        <v>8649</v>
      </c>
      <c r="O649" s="3">
        <v>13.8</v>
      </c>
      <c r="P649" s="3" t="str">
        <f t="shared" si="10"/>
        <v>NORMAL</v>
      </c>
      <c r="Q649" s="3" cm="1">
        <f t="array" aca="1" ref="Q649" ca="1">AVERAGE(OFFSET(tbl_Process[[#This Row],[Temp_Firing_C]], MAX(1-ROW()+ROW(tbl_Process[#Headers]), -23), 0, MIN(ROW()-ROW(tbl_Process[#Headers]), 24), 1))</f>
        <v>1312.1708333333333</v>
      </c>
      <c r="R649" s="3" t="e" cm="1" vm="1">
        <f t="array" aca="1" ref="R649" ca="1">tbl_Process[Temp_Firing_C] - AVERAGE(tbl_Zones[[Target_Temp_Min_C]:[Target_Temp_Max_C]])</f>
        <v>#VALUE!</v>
      </c>
    </row>
    <row r="650" spans="1:18" x14ac:dyDescent="0.3">
      <c r="A650" s="2" t="s">
        <v>669</v>
      </c>
      <c r="B650" s="2" t="s">
        <v>16</v>
      </c>
      <c r="C650" s="2" t="s">
        <v>501</v>
      </c>
      <c r="D650" s="3">
        <v>440.2</v>
      </c>
      <c r="E650" s="3">
        <v>3.01</v>
      </c>
      <c r="F650" s="3">
        <v>317.7</v>
      </c>
      <c r="G650" s="3">
        <v>379.9</v>
      </c>
      <c r="H650" s="3">
        <v>959.5</v>
      </c>
      <c r="I650" s="4">
        <v>1313.5</v>
      </c>
      <c r="J650" s="4">
        <v>1247.4000000000001</v>
      </c>
      <c r="K650" s="3">
        <v>157.6</v>
      </c>
      <c r="L650" s="3">
        <v>4.1500000000000004</v>
      </c>
      <c r="M650" s="4">
        <v>429956</v>
      </c>
      <c r="N650" s="4">
        <v>8636</v>
      </c>
      <c r="O650" s="3">
        <v>14.24</v>
      </c>
      <c r="P650" s="3" t="str">
        <f t="shared" si="10"/>
        <v>NORMAL</v>
      </c>
      <c r="Q650" s="3" cm="1">
        <f t="array" aca="1" ref="Q650" ca="1">AVERAGE(OFFSET(tbl_Process[[#This Row],[Temp_Firing_C]], MAX(1-ROW()+ROW(tbl_Process[#Headers]), -23), 0, MIN(ROW()-ROW(tbl_Process[#Headers]), 24), 1))</f>
        <v>1312.7749999999999</v>
      </c>
      <c r="R650" s="3" t="e" cm="1" vm="1">
        <f t="array" aca="1" ref="R650" ca="1">tbl_Process[Temp_Firing_C] - AVERAGE(tbl_Zones[[Target_Temp_Min_C]:[Target_Temp_Max_C]])</f>
        <v>#VALUE!</v>
      </c>
    </row>
    <row r="651" spans="1:18" x14ac:dyDescent="0.3">
      <c r="A651" s="2" t="s">
        <v>670</v>
      </c>
      <c r="B651" s="2" t="s">
        <v>16</v>
      </c>
      <c r="C651" s="2" t="s">
        <v>501</v>
      </c>
      <c r="D651" s="3">
        <v>428.7</v>
      </c>
      <c r="E651" s="3">
        <v>3.07</v>
      </c>
      <c r="F651" s="3">
        <v>315.8</v>
      </c>
      <c r="G651" s="3">
        <v>367.2</v>
      </c>
      <c r="H651" s="3">
        <v>955.2</v>
      </c>
      <c r="I651" s="4">
        <v>1312.9</v>
      </c>
      <c r="J651" s="4">
        <v>1254.9000000000001</v>
      </c>
      <c r="K651" s="3">
        <v>153.1</v>
      </c>
      <c r="L651" s="3">
        <v>4.09</v>
      </c>
      <c r="M651" s="4">
        <v>419177</v>
      </c>
      <c r="N651" s="4">
        <v>8828</v>
      </c>
      <c r="O651" s="3">
        <v>13.72</v>
      </c>
      <c r="P651" s="3" t="str">
        <f t="shared" si="10"/>
        <v>NORMAL</v>
      </c>
      <c r="Q651" s="3" cm="1">
        <f t="array" aca="1" ref="Q651" ca="1">AVERAGE(OFFSET(tbl_Process[[#This Row],[Temp_Firing_C]], MAX(1-ROW()+ROW(tbl_Process[#Headers]), -23), 0, MIN(ROW()-ROW(tbl_Process[#Headers]), 24), 1))</f>
        <v>1312.9416666666668</v>
      </c>
      <c r="R651" s="3" t="e" cm="1" vm="1">
        <f t="array" aca="1" ref="R651" ca="1">tbl_Process[Temp_Firing_C] - AVERAGE(tbl_Zones[[Target_Temp_Min_C]:[Target_Temp_Max_C]])</f>
        <v>#VALUE!</v>
      </c>
    </row>
    <row r="652" spans="1:18" x14ac:dyDescent="0.3">
      <c r="A652" s="2" t="s">
        <v>671</v>
      </c>
      <c r="B652" s="2" t="s">
        <v>16</v>
      </c>
      <c r="C652" s="2" t="s">
        <v>501</v>
      </c>
      <c r="D652" s="3">
        <v>432.2</v>
      </c>
      <c r="E652" s="3">
        <v>3.18</v>
      </c>
      <c r="F652" s="3">
        <v>318.10000000000002</v>
      </c>
      <c r="G652" s="3">
        <v>369</v>
      </c>
      <c r="H652" s="3">
        <v>941.6</v>
      </c>
      <c r="I652" s="4">
        <v>1324.2</v>
      </c>
      <c r="J652" s="4">
        <v>1251.5999999999999</v>
      </c>
      <c r="K652" s="3">
        <v>161.30000000000001</v>
      </c>
      <c r="L652" s="3">
        <v>4.25</v>
      </c>
      <c r="M652" s="4">
        <v>425676</v>
      </c>
      <c r="N652" s="4">
        <v>8847</v>
      </c>
      <c r="O652" s="3">
        <v>13.69</v>
      </c>
      <c r="P652" s="3" t="str">
        <f t="shared" si="10"/>
        <v>NORMAL</v>
      </c>
      <c r="Q652" s="3" cm="1">
        <f t="array" aca="1" ref="Q652" ca="1">AVERAGE(OFFSET(tbl_Process[[#This Row],[Temp_Firing_C]], MAX(1-ROW()+ROW(tbl_Process[#Headers]), -23), 0, MIN(ROW()-ROW(tbl_Process[#Headers]), 24), 1))</f>
        <v>1313.354166666667</v>
      </c>
      <c r="R652" s="3" t="e" cm="1" vm="1">
        <f t="array" aca="1" ref="R652" ca="1">tbl_Process[Temp_Firing_C] - AVERAGE(tbl_Zones[[Target_Temp_Min_C]:[Target_Temp_Max_C]])</f>
        <v>#VALUE!</v>
      </c>
    </row>
    <row r="653" spans="1:18" x14ac:dyDescent="0.3">
      <c r="A653" s="2" t="s">
        <v>672</v>
      </c>
      <c r="B653" s="2" t="s">
        <v>16</v>
      </c>
      <c r="C653" s="2" t="s">
        <v>501</v>
      </c>
      <c r="D653" s="3">
        <v>426.1</v>
      </c>
      <c r="E653" s="3">
        <v>3.16</v>
      </c>
      <c r="F653" s="3">
        <v>315.60000000000002</v>
      </c>
      <c r="G653" s="3">
        <v>359.9</v>
      </c>
      <c r="H653" s="3">
        <v>966.5</v>
      </c>
      <c r="I653" s="4">
        <v>1310</v>
      </c>
      <c r="J653" s="4">
        <v>1247.8</v>
      </c>
      <c r="K653" s="3">
        <v>166.5</v>
      </c>
      <c r="L653" s="3">
        <v>4.16</v>
      </c>
      <c r="M653" s="4">
        <v>425285</v>
      </c>
      <c r="N653" s="4">
        <v>8638</v>
      </c>
      <c r="O653" s="3">
        <v>14.49</v>
      </c>
      <c r="P653" s="3" t="str">
        <f t="shared" si="10"/>
        <v>NORMAL</v>
      </c>
      <c r="Q653" s="3" cm="1">
        <f t="array" aca="1" ref="Q653" ca="1">AVERAGE(OFFSET(tbl_Process[[#This Row],[Temp_Firing_C]], MAX(1-ROW()+ROW(tbl_Process[#Headers]), -23), 0, MIN(ROW()-ROW(tbl_Process[#Headers]), 24), 1))</f>
        <v>1312.5125</v>
      </c>
      <c r="R653" s="3" t="e" cm="1" vm="1">
        <f t="array" aca="1" ref="R653" ca="1">tbl_Process[Temp_Firing_C] - AVERAGE(tbl_Zones[[Target_Temp_Min_C]:[Target_Temp_Max_C]])</f>
        <v>#VALUE!</v>
      </c>
    </row>
    <row r="654" spans="1:18" x14ac:dyDescent="0.3">
      <c r="A654" s="2" t="s">
        <v>673</v>
      </c>
      <c r="B654" s="2" t="s">
        <v>16</v>
      </c>
      <c r="C654" s="2" t="s">
        <v>501</v>
      </c>
      <c r="D654" s="3">
        <v>425.8</v>
      </c>
      <c r="E654" s="3">
        <v>3.1</v>
      </c>
      <c r="F654" s="3">
        <v>323.7</v>
      </c>
      <c r="G654" s="3">
        <v>378.2</v>
      </c>
      <c r="H654" s="3">
        <v>973.2</v>
      </c>
      <c r="I654" s="4">
        <v>1315.7</v>
      </c>
      <c r="J654" s="4">
        <v>1263.0999999999999</v>
      </c>
      <c r="K654" s="3">
        <v>170.4</v>
      </c>
      <c r="L654" s="3">
        <v>4.17</v>
      </c>
      <c r="M654" s="4">
        <v>424760</v>
      </c>
      <c r="N654" s="4">
        <v>8831</v>
      </c>
      <c r="O654" s="3">
        <v>13.64</v>
      </c>
      <c r="P654" s="3" t="str">
        <f t="shared" si="10"/>
        <v>NORMAL</v>
      </c>
      <c r="Q654" s="3" cm="1">
        <f t="array" aca="1" ref="Q654" ca="1">AVERAGE(OFFSET(tbl_Process[[#This Row],[Temp_Firing_C]], MAX(1-ROW()+ROW(tbl_Process[#Headers]), -23), 0, MIN(ROW()-ROW(tbl_Process[#Headers]), 24), 1))</f>
        <v>1312.5875000000001</v>
      </c>
      <c r="R654" s="3" t="e" cm="1" vm="1">
        <f t="array" aca="1" ref="R654" ca="1">tbl_Process[Temp_Firing_C] - AVERAGE(tbl_Zones[[Target_Temp_Min_C]:[Target_Temp_Max_C]])</f>
        <v>#VALUE!</v>
      </c>
    </row>
    <row r="655" spans="1:18" x14ac:dyDescent="0.3">
      <c r="A655" s="2" t="s">
        <v>674</v>
      </c>
      <c r="B655" s="2" t="s">
        <v>16</v>
      </c>
      <c r="C655" s="2" t="s">
        <v>501</v>
      </c>
      <c r="D655" s="3">
        <v>424.8</v>
      </c>
      <c r="E655" s="3">
        <v>3.2</v>
      </c>
      <c r="F655" s="3">
        <v>321.5</v>
      </c>
      <c r="G655" s="3">
        <v>378.3</v>
      </c>
      <c r="H655" s="3">
        <v>959.9</v>
      </c>
      <c r="I655" s="4">
        <v>1300.5999999999999</v>
      </c>
      <c r="J655" s="4">
        <v>1234.5</v>
      </c>
      <c r="K655" s="3">
        <v>156.19999999999999</v>
      </c>
      <c r="L655" s="3">
        <v>4.26</v>
      </c>
      <c r="M655" s="4">
        <v>423591</v>
      </c>
      <c r="N655" s="4">
        <v>8576</v>
      </c>
      <c r="O655" s="3">
        <v>14.24</v>
      </c>
      <c r="P655" s="3" t="str">
        <f t="shared" si="10"/>
        <v>NORMAL</v>
      </c>
      <c r="Q655" s="3" cm="1">
        <f t="array" aca="1" ref="Q655" ca="1">AVERAGE(OFFSET(tbl_Process[[#This Row],[Temp_Firing_C]], MAX(1-ROW()+ROW(tbl_Process[#Headers]), -23), 0, MIN(ROW()-ROW(tbl_Process[#Headers]), 24), 1))</f>
        <v>1311.6625000000001</v>
      </c>
      <c r="R655" s="3" t="e" cm="1" vm="1">
        <f t="array" aca="1" ref="R655" ca="1">tbl_Process[Temp_Firing_C] - AVERAGE(tbl_Zones[[Target_Temp_Min_C]:[Target_Temp_Max_C]])</f>
        <v>#VALUE!</v>
      </c>
    </row>
    <row r="656" spans="1:18" x14ac:dyDescent="0.3">
      <c r="A656" s="2" t="s">
        <v>675</v>
      </c>
      <c r="B656" s="2" t="s">
        <v>24</v>
      </c>
      <c r="C656" s="2" t="s">
        <v>501</v>
      </c>
      <c r="D656" s="3">
        <v>424</v>
      </c>
      <c r="E656" s="3">
        <v>3.15</v>
      </c>
      <c r="F656" s="3">
        <v>323.8</v>
      </c>
      <c r="G656" s="3">
        <v>388.7</v>
      </c>
      <c r="H656" s="3">
        <v>985.4</v>
      </c>
      <c r="I656" s="4">
        <v>1306.5</v>
      </c>
      <c r="J656" s="4">
        <v>1239.2</v>
      </c>
      <c r="K656" s="3">
        <v>156.30000000000001</v>
      </c>
      <c r="L656" s="3">
        <v>4.1500000000000004</v>
      </c>
      <c r="M656" s="4">
        <v>421217</v>
      </c>
      <c r="N656" s="4">
        <v>8550</v>
      </c>
      <c r="O656" s="3">
        <v>14.42</v>
      </c>
      <c r="P656" s="3" t="str">
        <f t="shared" si="10"/>
        <v>NORMAL</v>
      </c>
      <c r="Q656" s="3" cm="1">
        <f t="array" aca="1" ref="Q656" ca="1">AVERAGE(OFFSET(tbl_Process[[#This Row],[Temp_Firing_C]], MAX(1-ROW()+ROW(tbl_Process[#Headers]), -23), 0, MIN(ROW()-ROW(tbl_Process[#Headers]), 24), 1))</f>
        <v>1311.6875000000002</v>
      </c>
      <c r="R656" s="3" t="e" cm="1" vm="1">
        <f t="array" aca="1" ref="R656" ca="1">tbl_Process[Temp_Firing_C] - AVERAGE(tbl_Zones[[Target_Temp_Min_C]:[Target_Temp_Max_C]])</f>
        <v>#VALUE!</v>
      </c>
    </row>
    <row r="657" spans="1:18" x14ac:dyDescent="0.3">
      <c r="A657" s="2" t="s">
        <v>676</v>
      </c>
      <c r="B657" s="2" t="s">
        <v>24</v>
      </c>
      <c r="C657" s="2" t="s">
        <v>501</v>
      </c>
      <c r="D657" s="3">
        <v>425.6</v>
      </c>
      <c r="E657" s="3">
        <v>3.02</v>
      </c>
      <c r="F657" s="3">
        <v>313.89999999999998</v>
      </c>
      <c r="G657" s="3">
        <v>377.5</v>
      </c>
      <c r="H657" s="3">
        <v>945.3</v>
      </c>
      <c r="I657" s="4">
        <v>1319.7</v>
      </c>
      <c r="J657" s="4">
        <v>1253.7</v>
      </c>
      <c r="K657" s="3">
        <v>156.1</v>
      </c>
      <c r="L657" s="3">
        <v>4.22</v>
      </c>
      <c r="M657" s="4">
        <v>423338</v>
      </c>
      <c r="N657" s="4">
        <v>8864</v>
      </c>
      <c r="O657" s="3">
        <v>13.86</v>
      </c>
      <c r="P657" s="3" t="str">
        <f t="shared" si="10"/>
        <v>NORMAL</v>
      </c>
      <c r="Q657" s="3" cm="1">
        <f t="array" aca="1" ref="Q657" ca="1">AVERAGE(OFFSET(tbl_Process[[#This Row],[Temp_Firing_C]], MAX(1-ROW()+ROW(tbl_Process[#Headers]), -23), 0, MIN(ROW()-ROW(tbl_Process[#Headers]), 24), 1))</f>
        <v>1311.7875000000001</v>
      </c>
      <c r="R657" s="3" t="e" cm="1" vm="1">
        <f t="array" aca="1" ref="R657" ca="1">tbl_Process[Temp_Firing_C] - AVERAGE(tbl_Zones[[Target_Temp_Min_C]:[Target_Temp_Max_C]])</f>
        <v>#VALUE!</v>
      </c>
    </row>
    <row r="658" spans="1:18" x14ac:dyDescent="0.3">
      <c r="A658" s="2" t="s">
        <v>677</v>
      </c>
      <c r="B658" s="2" t="s">
        <v>24</v>
      </c>
      <c r="C658" s="2" t="s">
        <v>501</v>
      </c>
      <c r="D658" s="3">
        <v>429.9</v>
      </c>
      <c r="E658" s="3">
        <v>3.05</v>
      </c>
      <c r="F658" s="3">
        <v>319.89999999999998</v>
      </c>
      <c r="G658" s="3">
        <v>384.9</v>
      </c>
      <c r="H658" s="3">
        <v>955</v>
      </c>
      <c r="I658" s="4">
        <v>1324</v>
      </c>
      <c r="J658" s="4">
        <v>1254.0999999999999</v>
      </c>
      <c r="K658" s="3">
        <v>163.80000000000001</v>
      </c>
      <c r="L658" s="3">
        <v>4.0999999999999996</v>
      </c>
      <c r="M658" s="4">
        <v>427301</v>
      </c>
      <c r="N658" s="4">
        <v>8795</v>
      </c>
      <c r="O658" s="3">
        <v>14.34</v>
      </c>
      <c r="P658" s="3" t="str">
        <f t="shared" si="10"/>
        <v>NORMAL</v>
      </c>
      <c r="Q658" s="3" cm="1">
        <f t="array" aca="1" ref="Q658" ca="1">AVERAGE(OFFSET(tbl_Process[[#This Row],[Temp_Firing_C]], MAX(1-ROW()+ROW(tbl_Process[#Headers]), -23), 0, MIN(ROW()-ROW(tbl_Process[#Headers]), 24), 1))</f>
        <v>1311.4166666666667</v>
      </c>
      <c r="R658" s="3" t="e" cm="1" vm="1">
        <f t="array" aca="1" ref="R658" ca="1">tbl_Process[Temp_Firing_C] - AVERAGE(tbl_Zones[[Target_Temp_Min_C]:[Target_Temp_Max_C]])</f>
        <v>#VALUE!</v>
      </c>
    </row>
    <row r="659" spans="1:18" x14ac:dyDescent="0.3">
      <c r="A659" s="2" t="s">
        <v>678</v>
      </c>
      <c r="B659" s="2" t="s">
        <v>24</v>
      </c>
      <c r="C659" s="2" t="s">
        <v>501</v>
      </c>
      <c r="D659" s="3">
        <v>425.4</v>
      </c>
      <c r="E659" s="3">
        <v>2.98</v>
      </c>
      <c r="F659" s="3">
        <v>316.10000000000002</v>
      </c>
      <c r="G659" s="3">
        <v>370</v>
      </c>
      <c r="H659" s="3">
        <v>943</v>
      </c>
      <c r="I659" s="4">
        <v>1324.4</v>
      </c>
      <c r="J659" s="4">
        <v>1259.4000000000001</v>
      </c>
      <c r="K659" s="3">
        <v>157.5</v>
      </c>
      <c r="L659" s="3">
        <v>4.05</v>
      </c>
      <c r="M659" s="4">
        <v>422302</v>
      </c>
      <c r="N659" s="4">
        <v>8991</v>
      </c>
      <c r="O659" s="3">
        <v>13.62</v>
      </c>
      <c r="P659" s="3" t="str">
        <f t="shared" si="10"/>
        <v>NORMAL</v>
      </c>
      <c r="Q659" s="3" cm="1">
        <f t="array" aca="1" ref="Q659" ca="1">AVERAGE(OFFSET(tbl_Process[[#This Row],[Temp_Firing_C]], MAX(1-ROW()+ROW(tbl_Process[#Headers]), -23), 0, MIN(ROW()-ROW(tbl_Process[#Headers]), 24), 1))</f>
        <v>1312.2416666666668</v>
      </c>
      <c r="R659" s="3" t="e" cm="1" vm="1">
        <f t="array" aca="1" ref="R659" ca="1">tbl_Process[Temp_Firing_C] - AVERAGE(tbl_Zones[[Target_Temp_Min_C]:[Target_Temp_Max_C]])</f>
        <v>#VALUE!</v>
      </c>
    </row>
    <row r="660" spans="1:18" x14ac:dyDescent="0.3">
      <c r="A660" s="2" t="s">
        <v>679</v>
      </c>
      <c r="B660" s="2" t="s">
        <v>24</v>
      </c>
      <c r="C660" s="2" t="s">
        <v>501</v>
      </c>
      <c r="D660" s="3">
        <v>424.7</v>
      </c>
      <c r="E660" s="3">
        <v>3.16</v>
      </c>
      <c r="F660" s="3">
        <v>318.3</v>
      </c>
      <c r="G660" s="3">
        <v>393.7</v>
      </c>
      <c r="H660" s="3">
        <v>952.8</v>
      </c>
      <c r="I660" s="4">
        <v>1325.6</v>
      </c>
      <c r="J660" s="4">
        <v>1267.0999999999999</v>
      </c>
      <c r="K660" s="3">
        <v>157.1</v>
      </c>
      <c r="L660" s="3">
        <v>4.05</v>
      </c>
      <c r="M660" s="4">
        <v>427203</v>
      </c>
      <c r="N660" s="4">
        <v>8876</v>
      </c>
      <c r="O660" s="3">
        <v>13.55</v>
      </c>
      <c r="P660" s="3" t="str">
        <f t="shared" si="10"/>
        <v>NORMAL</v>
      </c>
      <c r="Q660" s="3" cm="1">
        <f t="array" aca="1" ref="Q660" ca="1">AVERAGE(OFFSET(tbl_Process[[#This Row],[Temp_Firing_C]], MAX(1-ROW()+ROW(tbl_Process[#Headers]), -23), 0, MIN(ROW()-ROW(tbl_Process[#Headers]), 24), 1))</f>
        <v>1312.8291666666667</v>
      </c>
      <c r="R660" s="3" t="e" cm="1" vm="1">
        <f t="array" aca="1" ref="R660" ca="1">tbl_Process[Temp_Firing_C] - AVERAGE(tbl_Zones[[Target_Temp_Min_C]:[Target_Temp_Max_C]])</f>
        <v>#VALUE!</v>
      </c>
    </row>
    <row r="661" spans="1:18" x14ac:dyDescent="0.3">
      <c r="A661" s="2" t="s">
        <v>680</v>
      </c>
      <c r="B661" s="2" t="s">
        <v>24</v>
      </c>
      <c r="C661" s="2" t="s">
        <v>501</v>
      </c>
      <c r="D661" s="3">
        <v>425.5</v>
      </c>
      <c r="E661" s="3">
        <v>2.9</v>
      </c>
      <c r="F661" s="3">
        <v>322.8</v>
      </c>
      <c r="G661" s="3">
        <v>377.2</v>
      </c>
      <c r="H661" s="3">
        <v>956.6</v>
      </c>
      <c r="I661" s="4">
        <v>1304.5</v>
      </c>
      <c r="J661" s="4">
        <v>1232.9000000000001</v>
      </c>
      <c r="K661" s="3">
        <v>157.1</v>
      </c>
      <c r="L661" s="3">
        <v>4</v>
      </c>
      <c r="M661" s="4">
        <v>421222</v>
      </c>
      <c r="N661" s="4">
        <v>8624</v>
      </c>
      <c r="O661" s="3">
        <v>14.67</v>
      </c>
      <c r="P661" s="3" t="str">
        <f t="shared" si="10"/>
        <v>NORMAL</v>
      </c>
      <c r="Q661" s="3" cm="1">
        <f t="array" aca="1" ref="Q661" ca="1">AVERAGE(OFFSET(tbl_Process[[#This Row],[Temp_Firing_C]], MAX(1-ROW()+ROW(tbl_Process[#Headers]), -23), 0, MIN(ROW()-ROW(tbl_Process[#Headers]), 24), 1))</f>
        <v>1312.4</v>
      </c>
      <c r="R661" s="3" t="e" cm="1" vm="1">
        <f t="array" aca="1" ref="R661" ca="1">tbl_Process[Temp_Firing_C] - AVERAGE(tbl_Zones[[Target_Temp_Min_C]:[Target_Temp_Max_C]])</f>
        <v>#VALUE!</v>
      </c>
    </row>
    <row r="662" spans="1:18" x14ac:dyDescent="0.3">
      <c r="A662" s="2" t="s">
        <v>681</v>
      </c>
      <c r="B662" s="2" t="s">
        <v>24</v>
      </c>
      <c r="C662" s="2" t="s">
        <v>501</v>
      </c>
      <c r="D662" s="3">
        <v>429.9</v>
      </c>
      <c r="E662" s="3">
        <v>3.19</v>
      </c>
      <c r="F662" s="3">
        <v>314</v>
      </c>
      <c r="G662" s="3">
        <v>366.9</v>
      </c>
      <c r="H662" s="3">
        <v>953.7</v>
      </c>
      <c r="I662" s="4">
        <v>1304.4000000000001</v>
      </c>
      <c r="J662" s="4">
        <v>1239.5</v>
      </c>
      <c r="K662" s="3">
        <v>155.4</v>
      </c>
      <c r="L662" s="3">
        <v>3.97</v>
      </c>
      <c r="M662" s="4">
        <v>426868</v>
      </c>
      <c r="N662" s="4">
        <v>8488</v>
      </c>
      <c r="O662" s="3">
        <v>13.8</v>
      </c>
      <c r="P662" s="3" t="str">
        <f t="shared" si="10"/>
        <v>NORMAL</v>
      </c>
      <c r="Q662" s="3" cm="1">
        <f t="array" aca="1" ref="Q662" ca="1">AVERAGE(OFFSET(tbl_Process[[#This Row],[Temp_Firing_C]], MAX(1-ROW()+ROW(tbl_Process[#Headers]), -23), 0, MIN(ROW()-ROW(tbl_Process[#Headers]), 24), 1))</f>
        <v>1311.7875000000001</v>
      </c>
      <c r="R662" s="3" t="e" cm="1" vm="1">
        <f t="array" aca="1" ref="R662" ca="1">tbl_Process[Temp_Firing_C] - AVERAGE(tbl_Zones[[Target_Temp_Min_C]:[Target_Temp_Max_C]])</f>
        <v>#VALUE!</v>
      </c>
    </row>
    <row r="663" spans="1:18" x14ac:dyDescent="0.3">
      <c r="A663" s="2" t="s">
        <v>682</v>
      </c>
      <c r="B663" s="2" t="s">
        <v>24</v>
      </c>
      <c r="C663" s="2" t="s">
        <v>501</v>
      </c>
      <c r="D663" s="3">
        <v>433.6</v>
      </c>
      <c r="E663" s="3">
        <v>3.04</v>
      </c>
      <c r="F663" s="3">
        <v>325.2</v>
      </c>
      <c r="G663" s="3">
        <v>373.1</v>
      </c>
      <c r="H663" s="3">
        <v>950.8</v>
      </c>
      <c r="I663" s="4">
        <v>1319.2</v>
      </c>
      <c r="J663" s="4">
        <v>1257.8</v>
      </c>
      <c r="K663" s="3">
        <v>162.9</v>
      </c>
      <c r="L663" s="3">
        <v>4.2</v>
      </c>
      <c r="M663" s="4">
        <v>425306</v>
      </c>
      <c r="N663" s="4">
        <v>8820</v>
      </c>
      <c r="O663" s="3">
        <v>13.99</v>
      </c>
      <c r="P663" s="3" t="str">
        <f t="shared" si="10"/>
        <v>NORMAL</v>
      </c>
      <c r="Q663" s="3" cm="1">
        <f t="array" aca="1" ref="Q663" ca="1">AVERAGE(OFFSET(tbl_Process[[#This Row],[Temp_Firing_C]], MAX(1-ROW()+ROW(tbl_Process[#Headers]), -23), 0, MIN(ROW()-ROW(tbl_Process[#Headers]), 24), 1))</f>
        <v>1312.6833333333334</v>
      </c>
      <c r="R663" s="3" t="e" cm="1" vm="1">
        <f t="array" aca="1" ref="R663" ca="1">tbl_Process[Temp_Firing_C] - AVERAGE(tbl_Zones[[Target_Temp_Min_C]:[Target_Temp_Max_C]])</f>
        <v>#VALUE!</v>
      </c>
    </row>
    <row r="664" spans="1:18" x14ac:dyDescent="0.3">
      <c r="A664" s="2" t="s">
        <v>683</v>
      </c>
      <c r="B664" s="2" t="s">
        <v>33</v>
      </c>
      <c r="C664" s="2" t="s">
        <v>501</v>
      </c>
      <c r="D664" s="3">
        <v>429.4</v>
      </c>
      <c r="E664" s="3">
        <v>2.98</v>
      </c>
      <c r="F664" s="3">
        <v>322</v>
      </c>
      <c r="G664" s="3">
        <v>378.1</v>
      </c>
      <c r="H664" s="3">
        <v>951.8</v>
      </c>
      <c r="I664" s="4">
        <v>1325.9</v>
      </c>
      <c r="J664" s="4">
        <v>1252.3</v>
      </c>
      <c r="K664" s="3">
        <v>167.1</v>
      </c>
      <c r="L664" s="3">
        <v>4.1500000000000004</v>
      </c>
      <c r="M664" s="4">
        <v>425773</v>
      </c>
      <c r="N664" s="4">
        <v>8763</v>
      </c>
      <c r="O664" s="3">
        <v>13.57</v>
      </c>
      <c r="P664" s="3" t="str">
        <f t="shared" si="10"/>
        <v>NORMAL</v>
      </c>
      <c r="Q664" s="3" cm="1">
        <f t="array" aca="1" ref="Q664" ca="1">AVERAGE(OFFSET(tbl_Process[[#This Row],[Temp_Firing_C]], MAX(1-ROW()+ROW(tbl_Process[#Headers]), -23), 0, MIN(ROW()-ROW(tbl_Process[#Headers]), 24), 1))</f>
        <v>1312.9666666666667</v>
      </c>
      <c r="R664" s="3" t="e" cm="1" vm="1">
        <f t="array" aca="1" ref="R664" ca="1">tbl_Process[Temp_Firing_C] - AVERAGE(tbl_Zones[[Target_Temp_Min_C]:[Target_Temp_Max_C]])</f>
        <v>#VALUE!</v>
      </c>
    </row>
    <row r="665" spans="1:18" x14ac:dyDescent="0.3">
      <c r="A665" s="2" t="s">
        <v>684</v>
      </c>
      <c r="B665" s="2" t="s">
        <v>33</v>
      </c>
      <c r="C665" s="2" t="s">
        <v>501</v>
      </c>
      <c r="D665" s="3">
        <v>429.4</v>
      </c>
      <c r="E665" s="3">
        <v>3.13</v>
      </c>
      <c r="F665" s="3">
        <v>322.2</v>
      </c>
      <c r="G665" s="3">
        <v>376.1</v>
      </c>
      <c r="H665" s="3">
        <v>930</v>
      </c>
      <c r="I665" s="4">
        <v>1302.7</v>
      </c>
      <c r="J665" s="4">
        <v>1250</v>
      </c>
      <c r="K665" s="3">
        <v>153.30000000000001</v>
      </c>
      <c r="L665" s="3">
        <v>4.3600000000000003</v>
      </c>
      <c r="M665" s="4">
        <v>417217</v>
      </c>
      <c r="N665" s="4">
        <v>8511</v>
      </c>
      <c r="O665" s="3">
        <v>14.35</v>
      </c>
      <c r="P665" s="3" t="str">
        <f t="shared" si="10"/>
        <v>NORMAL</v>
      </c>
      <c r="Q665" s="3" cm="1">
        <f t="array" aca="1" ref="Q665" ca="1">AVERAGE(OFFSET(tbl_Process[[#This Row],[Temp_Firing_C]], MAX(1-ROW()+ROW(tbl_Process[#Headers]), -23), 0, MIN(ROW()-ROW(tbl_Process[#Headers]), 24), 1))</f>
        <v>1312.8166666666668</v>
      </c>
      <c r="R665" s="3" t="e" cm="1" vm="1">
        <f t="array" aca="1" ref="R665" ca="1">tbl_Process[Temp_Firing_C] - AVERAGE(tbl_Zones[[Target_Temp_Min_C]:[Target_Temp_Max_C]])</f>
        <v>#VALUE!</v>
      </c>
    </row>
    <row r="666" spans="1:18" x14ac:dyDescent="0.3">
      <c r="A666" s="2" t="s">
        <v>685</v>
      </c>
      <c r="B666" s="2" t="s">
        <v>33</v>
      </c>
      <c r="C666" s="2" t="s">
        <v>501</v>
      </c>
      <c r="D666" s="3">
        <v>426.7</v>
      </c>
      <c r="E666" s="3">
        <v>3.23</v>
      </c>
      <c r="F666" s="3">
        <v>318.39999999999998</v>
      </c>
      <c r="G666" s="3">
        <v>380.6</v>
      </c>
      <c r="H666" s="3">
        <v>952.8</v>
      </c>
      <c r="I666" s="4">
        <v>1319.9</v>
      </c>
      <c r="J666" s="4">
        <v>1264.4000000000001</v>
      </c>
      <c r="K666" s="3">
        <v>158</v>
      </c>
      <c r="L666" s="3">
        <v>4.3899999999999997</v>
      </c>
      <c r="M666" s="4">
        <v>421441</v>
      </c>
      <c r="N666" s="4">
        <v>8830</v>
      </c>
      <c r="O666" s="3">
        <v>14.06</v>
      </c>
      <c r="P666" s="3" t="str">
        <f t="shared" si="10"/>
        <v>NORMAL</v>
      </c>
      <c r="Q666" s="3" cm="1">
        <f t="array" aca="1" ref="Q666" ca="1">AVERAGE(OFFSET(tbl_Process[[#This Row],[Temp_Firing_C]], MAX(1-ROW()+ROW(tbl_Process[#Headers]), -23), 0, MIN(ROW()-ROW(tbl_Process[#Headers]), 24), 1))</f>
        <v>1313.7125000000003</v>
      </c>
      <c r="R666" s="3" t="e" cm="1" vm="1">
        <f t="array" aca="1" ref="R666" ca="1">tbl_Process[Temp_Firing_C] - AVERAGE(tbl_Zones[[Target_Temp_Min_C]:[Target_Temp_Max_C]])</f>
        <v>#VALUE!</v>
      </c>
    </row>
    <row r="667" spans="1:18" x14ac:dyDescent="0.3">
      <c r="A667" s="2" t="s">
        <v>686</v>
      </c>
      <c r="B667" s="2" t="s">
        <v>33</v>
      </c>
      <c r="C667" s="2" t="s">
        <v>501</v>
      </c>
      <c r="D667" s="3">
        <v>425.7</v>
      </c>
      <c r="E667" s="3">
        <v>3.12</v>
      </c>
      <c r="F667" s="3">
        <v>318</v>
      </c>
      <c r="G667" s="3">
        <v>371.3</v>
      </c>
      <c r="H667" s="3">
        <v>960.2</v>
      </c>
      <c r="I667" s="4">
        <v>1315.7</v>
      </c>
      <c r="J667" s="4">
        <v>1250.3</v>
      </c>
      <c r="K667" s="3">
        <v>158.30000000000001</v>
      </c>
      <c r="L667" s="3">
        <v>4.13</v>
      </c>
      <c r="M667" s="4">
        <v>421539</v>
      </c>
      <c r="N667" s="4">
        <v>8705</v>
      </c>
      <c r="O667" s="3">
        <v>13.88</v>
      </c>
      <c r="P667" s="3" t="str">
        <f t="shared" si="10"/>
        <v>NORMAL</v>
      </c>
      <c r="Q667" s="3" cm="1">
        <f t="array" aca="1" ref="Q667" ca="1">AVERAGE(OFFSET(tbl_Process[[#This Row],[Temp_Firing_C]], MAX(1-ROW()+ROW(tbl_Process[#Headers]), -23), 0, MIN(ROW()-ROW(tbl_Process[#Headers]), 24), 1))</f>
        <v>1313.5458333333338</v>
      </c>
      <c r="R667" s="3" t="e" cm="1" vm="1">
        <f t="array" aca="1" ref="R667" ca="1">tbl_Process[Temp_Firing_C] - AVERAGE(tbl_Zones[[Target_Temp_Min_C]:[Target_Temp_Max_C]])</f>
        <v>#VALUE!</v>
      </c>
    </row>
    <row r="668" spans="1:18" x14ac:dyDescent="0.3">
      <c r="A668" s="2" t="s">
        <v>687</v>
      </c>
      <c r="B668" s="2" t="s">
        <v>33</v>
      </c>
      <c r="C668" s="2" t="s">
        <v>501</v>
      </c>
      <c r="D668" s="3">
        <v>440.6</v>
      </c>
      <c r="E668" s="3">
        <v>2.99</v>
      </c>
      <c r="F668" s="3">
        <v>314.5</v>
      </c>
      <c r="G668" s="3">
        <v>373.7</v>
      </c>
      <c r="H668" s="3">
        <v>980.4</v>
      </c>
      <c r="I668" s="4">
        <v>1304</v>
      </c>
      <c r="J668" s="4">
        <v>1241.5999999999999</v>
      </c>
      <c r="K668" s="3">
        <v>159.9</v>
      </c>
      <c r="L668" s="3">
        <v>4.32</v>
      </c>
      <c r="M668" s="4">
        <v>425047</v>
      </c>
      <c r="N668" s="4">
        <v>8694</v>
      </c>
      <c r="O668" s="3">
        <v>13.93</v>
      </c>
      <c r="P668" s="3" t="str">
        <f t="shared" si="10"/>
        <v>NORMAL</v>
      </c>
      <c r="Q668" s="3" cm="1">
        <f t="array" aca="1" ref="Q668" ca="1">AVERAGE(OFFSET(tbl_Process[[#This Row],[Temp_Firing_C]], MAX(1-ROW()+ROW(tbl_Process[#Headers]), -23), 0, MIN(ROW()-ROW(tbl_Process[#Headers]), 24), 1))</f>
        <v>1313.5875000000003</v>
      </c>
      <c r="R668" s="3" t="e" cm="1" vm="1">
        <f t="array" aca="1" ref="R668" ca="1">tbl_Process[Temp_Firing_C] - AVERAGE(tbl_Zones[[Target_Temp_Min_C]:[Target_Temp_Max_C]])</f>
        <v>#VALUE!</v>
      </c>
    </row>
    <row r="669" spans="1:18" x14ac:dyDescent="0.3">
      <c r="A669" s="2" t="s">
        <v>688</v>
      </c>
      <c r="B669" s="2" t="s">
        <v>33</v>
      </c>
      <c r="C669" s="2" t="s">
        <v>501</v>
      </c>
      <c r="D669" s="3">
        <v>430.8</v>
      </c>
      <c r="E669" s="3">
        <v>2.95</v>
      </c>
      <c r="F669" s="3">
        <v>318.7</v>
      </c>
      <c r="G669" s="3">
        <v>371.9</v>
      </c>
      <c r="H669" s="3">
        <v>954</v>
      </c>
      <c r="I669" s="4">
        <v>1301.5</v>
      </c>
      <c r="J669" s="4">
        <v>1238.9000000000001</v>
      </c>
      <c r="K669" s="3">
        <v>150.30000000000001</v>
      </c>
      <c r="L669" s="3">
        <v>4.17</v>
      </c>
      <c r="M669" s="4">
        <v>415977</v>
      </c>
      <c r="N669" s="4">
        <v>8416</v>
      </c>
      <c r="O669" s="3">
        <v>14.56</v>
      </c>
      <c r="P669" s="3" t="str">
        <f t="shared" si="10"/>
        <v>NORMAL</v>
      </c>
      <c r="Q669" s="3" cm="1">
        <f t="array" aca="1" ref="Q669" ca="1">AVERAGE(OFFSET(tbl_Process[[#This Row],[Temp_Firing_C]], MAX(1-ROW()+ROW(tbl_Process[#Headers]), -23), 0, MIN(ROW()-ROW(tbl_Process[#Headers]), 24), 1))</f>
        <v>1313.1583333333338</v>
      </c>
      <c r="R669" s="3" t="e" cm="1" vm="1">
        <f t="array" aca="1" ref="R669" ca="1">tbl_Process[Temp_Firing_C] - AVERAGE(tbl_Zones[[Target_Temp_Min_C]:[Target_Temp_Max_C]])</f>
        <v>#VALUE!</v>
      </c>
    </row>
    <row r="670" spans="1:18" x14ac:dyDescent="0.3">
      <c r="A670" s="2" t="s">
        <v>689</v>
      </c>
      <c r="B670" s="2" t="s">
        <v>33</v>
      </c>
      <c r="C670" s="2" t="s">
        <v>501</v>
      </c>
      <c r="D670" s="3">
        <v>432.4</v>
      </c>
      <c r="E670" s="3">
        <v>3.19</v>
      </c>
      <c r="F670" s="3">
        <v>327.7</v>
      </c>
      <c r="G670" s="3">
        <v>372.4</v>
      </c>
      <c r="H670" s="3">
        <v>974.7</v>
      </c>
      <c r="I670" s="4">
        <v>1303.9000000000001</v>
      </c>
      <c r="J670" s="4">
        <v>1243.4000000000001</v>
      </c>
      <c r="K670" s="3">
        <v>156.4</v>
      </c>
      <c r="L670" s="3">
        <v>4.12</v>
      </c>
      <c r="M670" s="4">
        <v>422853</v>
      </c>
      <c r="N670" s="4">
        <v>8660</v>
      </c>
      <c r="O670" s="3">
        <v>14.3</v>
      </c>
      <c r="P670" s="3" t="str">
        <f t="shared" si="10"/>
        <v>NORMAL</v>
      </c>
      <c r="Q670" s="3" cm="1">
        <f t="array" aca="1" ref="Q670" ca="1">AVERAGE(OFFSET(tbl_Process[[#This Row],[Temp_Firing_C]], MAX(1-ROW()+ROW(tbl_Process[#Headers]), -23), 0, MIN(ROW()-ROW(tbl_Process[#Headers]), 24), 1))</f>
        <v>1313.1875000000002</v>
      </c>
      <c r="R670" s="3" t="e" cm="1" vm="1">
        <f t="array" aca="1" ref="R670" ca="1">tbl_Process[Temp_Firing_C] - AVERAGE(tbl_Zones[[Target_Temp_Min_C]:[Target_Temp_Max_C]])</f>
        <v>#VALUE!</v>
      </c>
    </row>
    <row r="671" spans="1:18" x14ac:dyDescent="0.3">
      <c r="A671" s="2" t="s">
        <v>690</v>
      </c>
      <c r="B671" s="2" t="s">
        <v>33</v>
      </c>
      <c r="C671" s="2" t="s">
        <v>501</v>
      </c>
      <c r="D671" s="3">
        <v>430.9</v>
      </c>
      <c r="E671" s="3">
        <v>3.11</v>
      </c>
      <c r="F671" s="3">
        <v>321.8</v>
      </c>
      <c r="G671" s="3">
        <v>380.4</v>
      </c>
      <c r="H671" s="3">
        <v>963.8</v>
      </c>
      <c r="I671" s="4">
        <v>1318.1</v>
      </c>
      <c r="J671" s="4">
        <v>1258.2</v>
      </c>
      <c r="K671" s="3">
        <v>151</v>
      </c>
      <c r="L671" s="3">
        <v>4.18</v>
      </c>
      <c r="M671" s="4">
        <v>418415</v>
      </c>
      <c r="N671" s="4">
        <v>8750</v>
      </c>
      <c r="O671" s="3">
        <v>14.41</v>
      </c>
      <c r="P671" s="3" t="str">
        <f t="shared" si="10"/>
        <v>NORMAL</v>
      </c>
      <c r="Q671" s="3" cm="1">
        <f t="array" aca="1" ref="Q671" ca="1">AVERAGE(OFFSET(tbl_Process[[#This Row],[Temp_Firing_C]], MAX(1-ROW()+ROW(tbl_Process[#Headers]), -23), 0, MIN(ROW()-ROW(tbl_Process[#Headers]), 24), 1))</f>
        <v>1313.5291666666669</v>
      </c>
      <c r="R671" s="3" t="e" cm="1" vm="1">
        <f t="array" aca="1" ref="R671" ca="1">tbl_Process[Temp_Firing_C] - AVERAGE(tbl_Zones[[Target_Temp_Min_C]:[Target_Temp_Max_C]])</f>
        <v>#VALUE!</v>
      </c>
    </row>
    <row r="672" spans="1:18" x14ac:dyDescent="0.3">
      <c r="A672" s="2" t="s">
        <v>691</v>
      </c>
      <c r="B672" s="2" t="s">
        <v>16</v>
      </c>
      <c r="C672" s="2" t="s">
        <v>501</v>
      </c>
      <c r="D672" s="3">
        <v>428.1</v>
      </c>
      <c r="E672" s="3">
        <v>3.11</v>
      </c>
      <c r="F672" s="3">
        <v>323.60000000000002</v>
      </c>
      <c r="G672" s="3">
        <v>364.3</v>
      </c>
      <c r="H672" s="3">
        <v>951.9</v>
      </c>
      <c r="I672" s="4">
        <v>1320.4</v>
      </c>
      <c r="J672" s="4">
        <v>1238</v>
      </c>
      <c r="K672" s="3">
        <v>154.5</v>
      </c>
      <c r="L672" s="3">
        <v>4.3</v>
      </c>
      <c r="M672" s="4">
        <v>427182</v>
      </c>
      <c r="N672" s="4">
        <v>8790</v>
      </c>
      <c r="O672" s="3">
        <v>14.19</v>
      </c>
      <c r="P672" s="3" t="str">
        <f t="shared" si="10"/>
        <v>NORMAL</v>
      </c>
      <c r="Q672" s="3" cm="1">
        <f t="array" aca="1" ref="Q672" ca="1">AVERAGE(OFFSET(tbl_Process[[#This Row],[Temp_Firing_C]], MAX(1-ROW()+ROW(tbl_Process[#Headers]), -23), 0, MIN(ROW()-ROW(tbl_Process[#Headers]), 24), 1))</f>
        <v>1313.7750000000003</v>
      </c>
      <c r="R672" s="3" t="e" cm="1" vm="1">
        <f t="array" aca="1" ref="R672" ca="1">tbl_Process[Temp_Firing_C] - AVERAGE(tbl_Zones[[Target_Temp_Min_C]:[Target_Temp_Max_C]])</f>
        <v>#VALUE!</v>
      </c>
    </row>
    <row r="673" spans="1:18" x14ac:dyDescent="0.3">
      <c r="A673" s="2" t="s">
        <v>692</v>
      </c>
      <c r="B673" s="2" t="s">
        <v>16</v>
      </c>
      <c r="C673" s="2" t="s">
        <v>501</v>
      </c>
      <c r="D673" s="3">
        <v>430.9</v>
      </c>
      <c r="E673" s="3">
        <v>3.14</v>
      </c>
      <c r="F673" s="3">
        <v>317.60000000000002</v>
      </c>
      <c r="G673" s="3">
        <v>380.2</v>
      </c>
      <c r="H673" s="3">
        <v>951.5</v>
      </c>
      <c r="I673" s="4">
        <v>1328.8</v>
      </c>
      <c r="J673" s="4">
        <v>1272.9000000000001</v>
      </c>
      <c r="K673" s="3">
        <v>166.6</v>
      </c>
      <c r="L673" s="3">
        <v>4.16</v>
      </c>
      <c r="M673" s="4">
        <v>421846</v>
      </c>
      <c r="N673" s="4">
        <v>8999</v>
      </c>
      <c r="O673" s="3">
        <v>13.94</v>
      </c>
      <c r="P673" s="3" t="str">
        <f t="shared" si="10"/>
        <v>NORMAL</v>
      </c>
      <c r="Q673" s="3" cm="1">
        <f t="array" aca="1" ref="Q673" ca="1">AVERAGE(OFFSET(tbl_Process[[#This Row],[Temp_Firing_C]], MAX(1-ROW()+ROW(tbl_Process[#Headers]), -23), 0, MIN(ROW()-ROW(tbl_Process[#Headers]), 24), 1))</f>
        <v>1314.4208333333336</v>
      </c>
      <c r="R673" s="3" t="e" cm="1" vm="1">
        <f t="array" aca="1" ref="R673" ca="1">tbl_Process[Temp_Firing_C] - AVERAGE(tbl_Zones[[Target_Temp_Min_C]:[Target_Temp_Max_C]])</f>
        <v>#VALUE!</v>
      </c>
    </row>
    <row r="674" spans="1:18" x14ac:dyDescent="0.3">
      <c r="A674" s="2" t="s">
        <v>693</v>
      </c>
      <c r="B674" s="2" t="s">
        <v>16</v>
      </c>
      <c r="C674" s="2" t="s">
        <v>501</v>
      </c>
      <c r="D674" s="3">
        <v>431.3</v>
      </c>
      <c r="E674" s="3">
        <v>3.05</v>
      </c>
      <c r="F674" s="3">
        <v>322.60000000000002</v>
      </c>
      <c r="G674" s="3">
        <v>372.4</v>
      </c>
      <c r="H674" s="3">
        <v>967.6</v>
      </c>
      <c r="I674" s="4">
        <v>1331</v>
      </c>
      <c r="J674" s="4">
        <v>1275.8</v>
      </c>
      <c r="K674" s="3">
        <v>163.5</v>
      </c>
      <c r="L674" s="3">
        <v>4.0199999999999996</v>
      </c>
      <c r="M674" s="4">
        <v>426271</v>
      </c>
      <c r="N674" s="4">
        <v>9129</v>
      </c>
      <c r="O674" s="3">
        <v>13.48</v>
      </c>
      <c r="P674" s="3" t="str">
        <f t="shared" si="10"/>
        <v>WARNING</v>
      </c>
      <c r="Q674" s="3" cm="1">
        <f t="array" aca="1" ref="Q674" ca="1">AVERAGE(OFFSET(tbl_Process[[#This Row],[Temp_Firing_C]], MAX(1-ROW()+ROW(tbl_Process[#Headers]), -23), 0, MIN(ROW()-ROW(tbl_Process[#Headers]), 24), 1))</f>
        <v>1315.1500000000003</v>
      </c>
      <c r="R674" s="3" t="e" cm="1" vm="1">
        <f t="array" aca="1" ref="R674" ca="1">tbl_Process[Temp_Firing_C] - AVERAGE(tbl_Zones[[Target_Temp_Min_C]:[Target_Temp_Max_C]])</f>
        <v>#VALUE!</v>
      </c>
    </row>
    <row r="675" spans="1:18" x14ac:dyDescent="0.3">
      <c r="A675" s="2" t="s">
        <v>694</v>
      </c>
      <c r="B675" s="2" t="s">
        <v>16</v>
      </c>
      <c r="C675" s="2" t="s">
        <v>501</v>
      </c>
      <c r="D675" s="3">
        <v>429.8</v>
      </c>
      <c r="E675" s="3">
        <v>3.21</v>
      </c>
      <c r="F675" s="3">
        <v>324.2</v>
      </c>
      <c r="G675" s="3">
        <v>398</v>
      </c>
      <c r="H675" s="3">
        <v>952.2</v>
      </c>
      <c r="I675" s="4">
        <v>1313.4</v>
      </c>
      <c r="J675" s="4">
        <v>1255.7</v>
      </c>
      <c r="K675" s="3">
        <v>154.30000000000001</v>
      </c>
      <c r="L675" s="3">
        <v>4.1900000000000004</v>
      </c>
      <c r="M675" s="4">
        <v>422182</v>
      </c>
      <c r="N675" s="4">
        <v>8785</v>
      </c>
      <c r="O675" s="3">
        <v>14.13</v>
      </c>
      <c r="P675" s="3" t="str">
        <f t="shared" si="10"/>
        <v>NORMAL</v>
      </c>
      <c r="Q675" s="3" cm="1">
        <f t="array" aca="1" ref="Q675" ca="1">AVERAGE(OFFSET(tbl_Process[[#This Row],[Temp_Firing_C]], MAX(1-ROW()+ROW(tbl_Process[#Headers]), -23), 0, MIN(ROW()-ROW(tbl_Process[#Headers]), 24), 1))</f>
        <v>1315.1708333333336</v>
      </c>
      <c r="R675" s="3" t="e" cm="1" vm="1">
        <f t="array" aca="1" ref="R675" ca="1">tbl_Process[Temp_Firing_C] - AVERAGE(tbl_Zones[[Target_Temp_Min_C]:[Target_Temp_Max_C]])</f>
        <v>#VALUE!</v>
      </c>
    </row>
    <row r="676" spans="1:18" x14ac:dyDescent="0.3">
      <c r="A676" s="2" t="s">
        <v>695</v>
      </c>
      <c r="B676" s="2" t="s">
        <v>16</v>
      </c>
      <c r="C676" s="2" t="s">
        <v>501</v>
      </c>
      <c r="D676" s="3">
        <v>431.8</v>
      </c>
      <c r="E676" s="3">
        <v>3.07</v>
      </c>
      <c r="F676" s="3">
        <v>328.2</v>
      </c>
      <c r="G676" s="3">
        <v>409.4</v>
      </c>
      <c r="H676" s="3">
        <v>970.2</v>
      </c>
      <c r="I676" s="4">
        <v>1323.3</v>
      </c>
      <c r="J676" s="4">
        <v>1250.5</v>
      </c>
      <c r="K676" s="3">
        <v>157.4</v>
      </c>
      <c r="L676" s="3">
        <v>4.17</v>
      </c>
      <c r="M676" s="4">
        <v>422323</v>
      </c>
      <c r="N676" s="4">
        <v>8778</v>
      </c>
      <c r="O676" s="3">
        <v>14.42</v>
      </c>
      <c r="P676" s="3" t="str">
        <f t="shared" si="10"/>
        <v>NORMAL</v>
      </c>
      <c r="Q676" s="3" cm="1">
        <f t="array" aca="1" ref="Q676" ca="1">AVERAGE(OFFSET(tbl_Process[[#This Row],[Temp_Firing_C]], MAX(1-ROW()+ROW(tbl_Process[#Headers]), -23), 0, MIN(ROW()-ROW(tbl_Process[#Headers]), 24), 1))</f>
        <v>1315.1333333333334</v>
      </c>
      <c r="R676" s="3" t="e" cm="1" vm="1">
        <f t="array" aca="1" ref="R676" ca="1">tbl_Process[Temp_Firing_C] - AVERAGE(tbl_Zones[[Target_Temp_Min_C]:[Target_Temp_Max_C]])</f>
        <v>#VALUE!</v>
      </c>
    </row>
    <row r="677" spans="1:18" x14ac:dyDescent="0.3">
      <c r="A677" s="2" t="s">
        <v>696</v>
      </c>
      <c r="B677" s="2" t="s">
        <v>16</v>
      </c>
      <c r="C677" s="2" t="s">
        <v>501</v>
      </c>
      <c r="D677" s="3">
        <v>435</v>
      </c>
      <c r="E677" s="3">
        <v>3.09</v>
      </c>
      <c r="F677" s="3">
        <v>314.10000000000002</v>
      </c>
      <c r="G677" s="3">
        <v>391.1</v>
      </c>
      <c r="H677" s="3">
        <v>962.1</v>
      </c>
      <c r="I677" s="4">
        <v>1309.7</v>
      </c>
      <c r="J677" s="4">
        <v>1249</v>
      </c>
      <c r="K677" s="3">
        <v>166</v>
      </c>
      <c r="L677" s="3">
        <v>3.95</v>
      </c>
      <c r="M677" s="4">
        <v>418860</v>
      </c>
      <c r="N677" s="4">
        <v>8603</v>
      </c>
      <c r="O677" s="3">
        <v>14.3</v>
      </c>
      <c r="P677" s="3" t="str">
        <f t="shared" si="10"/>
        <v>NORMAL</v>
      </c>
      <c r="Q677" s="3" cm="1">
        <f t="array" aca="1" ref="Q677" ca="1">AVERAGE(OFFSET(tbl_Process[[#This Row],[Temp_Firing_C]], MAX(1-ROW()+ROW(tbl_Process[#Headers]), -23), 0, MIN(ROW()-ROW(tbl_Process[#Headers]), 24), 1))</f>
        <v>1315.1208333333336</v>
      </c>
      <c r="R677" s="3" t="e" cm="1" vm="1">
        <f t="array" aca="1" ref="R677" ca="1">tbl_Process[Temp_Firing_C] - AVERAGE(tbl_Zones[[Target_Temp_Min_C]:[Target_Temp_Max_C]])</f>
        <v>#VALUE!</v>
      </c>
    </row>
    <row r="678" spans="1:18" x14ac:dyDescent="0.3">
      <c r="A678" s="2" t="s">
        <v>697</v>
      </c>
      <c r="B678" s="2" t="s">
        <v>16</v>
      </c>
      <c r="C678" s="2" t="s">
        <v>501</v>
      </c>
      <c r="D678" s="3">
        <v>427.9</v>
      </c>
      <c r="E678" s="3">
        <v>3.03</v>
      </c>
      <c r="F678" s="3">
        <v>326</v>
      </c>
      <c r="G678" s="3">
        <v>378.9</v>
      </c>
      <c r="H678" s="3">
        <v>969.8</v>
      </c>
      <c r="I678" s="4">
        <v>1315.5</v>
      </c>
      <c r="J678" s="4">
        <v>1242.4000000000001</v>
      </c>
      <c r="K678" s="3">
        <v>164.9</v>
      </c>
      <c r="L678" s="3">
        <v>4.17</v>
      </c>
      <c r="M678" s="4">
        <v>426019</v>
      </c>
      <c r="N678" s="4">
        <v>8622</v>
      </c>
      <c r="O678" s="3">
        <v>13.9</v>
      </c>
      <c r="P678" s="3" t="str">
        <f t="shared" si="10"/>
        <v>NORMAL</v>
      </c>
      <c r="Q678" s="3" cm="1">
        <f t="array" aca="1" ref="Q678" ca="1">AVERAGE(OFFSET(tbl_Process[[#This Row],[Temp_Firing_C]], MAX(1-ROW()+ROW(tbl_Process[#Headers]), -23), 0, MIN(ROW()-ROW(tbl_Process[#Headers]), 24), 1))</f>
        <v>1315.1125000000002</v>
      </c>
      <c r="R678" s="3" t="e" cm="1" vm="1">
        <f t="array" aca="1" ref="R678" ca="1">tbl_Process[Temp_Firing_C] - AVERAGE(tbl_Zones[[Target_Temp_Min_C]:[Target_Temp_Max_C]])</f>
        <v>#VALUE!</v>
      </c>
    </row>
    <row r="679" spans="1:18" x14ac:dyDescent="0.3">
      <c r="A679" s="2" t="s">
        <v>698</v>
      </c>
      <c r="B679" s="2" t="s">
        <v>16</v>
      </c>
      <c r="C679" s="2" t="s">
        <v>501</v>
      </c>
      <c r="D679" s="3">
        <v>435.4</v>
      </c>
      <c r="E679" s="3">
        <v>2.98</v>
      </c>
      <c r="F679" s="3">
        <v>329.4</v>
      </c>
      <c r="G679" s="3">
        <v>391.8</v>
      </c>
      <c r="H679" s="3">
        <v>974.1</v>
      </c>
      <c r="I679" s="4">
        <v>1319.6</v>
      </c>
      <c r="J679" s="4">
        <v>1249.7</v>
      </c>
      <c r="K679" s="3">
        <v>160.19999999999999</v>
      </c>
      <c r="L679" s="3">
        <v>4.0599999999999996</v>
      </c>
      <c r="M679" s="4">
        <v>420162</v>
      </c>
      <c r="N679" s="4">
        <v>8813</v>
      </c>
      <c r="O679" s="3">
        <v>14.11</v>
      </c>
      <c r="P679" s="3" t="str">
        <f t="shared" si="10"/>
        <v>NORMAL</v>
      </c>
      <c r="Q679" s="3" cm="1">
        <f t="array" aca="1" ref="Q679" ca="1">AVERAGE(OFFSET(tbl_Process[[#This Row],[Temp_Firing_C]], MAX(1-ROW()+ROW(tbl_Process[#Headers]), -23), 0, MIN(ROW()-ROW(tbl_Process[#Headers]), 24), 1))</f>
        <v>1315.9041666666667</v>
      </c>
      <c r="R679" s="3" t="e" cm="1" vm="1">
        <f t="array" aca="1" ref="R679" ca="1">tbl_Process[Temp_Firing_C] - AVERAGE(tbl_Zones[[Target_Temp_Min_C]:[Target_Temp_Max_C]])</f>
        <v>#VALUE!</v>
      </c>
    </row>
    <row r="680" spans="1:18" x14ac:dyDescent="0.3">
      <c r="A680" s="2" t="s">
        <v>699</v>
      </c>
      <c r="B680" s="2" t="s">
        <v>24</v>
      </c>
      <c r="C680" s="2" t="s">
        <v>501</v>
      </c>
      <c r="D680" s="3">
        <v>425.8</v>
      </c>
      <c r="E680" s="3">
        <v>3.15</v>
      </c>
      <c r="F680" s="3">
        <v>324.8</v>
      </c>
      <c r="G680" s="3">
        <v>393.3</v>
      </c>
      <c r="H680" s="3">
        <v>970.9</v>
      </c>
      <c r="I680" s="4">
        <v>1333.9</v>
      </c>
      <c r="J680" s="4">
        <v>1271.8</v>
      </c>
      <c r="K680" s="3">
        <v>166.3</v>
      </c>
      <c r="L680" s="3">
        <v>3.99</v>
      </c>
      <c r="M680" s="4">
        <v>425676</v>
      </c>
      <c r="N680" s="4">
        <v>8902</v>
      </c>
      <c r="O680" s="3">
        <v>13.82</v>
      </c>
      <c r="P680" s="3" t="str">
        <f t="shared" si="10"/>
        <v>WARNING</v>
      </c>
      <c r="Q680" s="3" cm="1">
        <f t="array" aca="1" ref="Q680" ca="1">AVERAGE(OFFSET(tbl_Process[[#This Row],[Temp_Firing_C]], MAX(1-ROW()+ROW(tbl_Process[#Headers]), -23), 0, MIN(ROW()-ROW(tbl_Process[#Headers]), 24), 1))</f>
        <v>1317.0458333333333</v>
      </c>
      <c r="R680" s="3" t="e" cm="1" vm="1">
        <f t="array" aca="1" ref="R680" ca="1">tbl_Process[Temp_Firing_C] - AVERAGE(tbl_Zones[[Target_Temp_Min_C]:[Target_Temp_Max_C]])</f>
        <v>#VALUE!</v>
      </c>
    </row>
    <row r="681" spans="1:18" x14ac:dyDescent="0.3">
      <c r="A681" s="2" t="s">
        <v>700</v>
      </c>
      <c r="B681" s="2" t="s">
        <v>24</v>
      </c>
      <c r="C681" s="2" t="s">
        <v>501</v>
      </c>
      <c r="D681" s="3">
        <v>431.8</v>
      </c>
      <c r="E681" s="3">
        <v>3.15</v>
      </c>
      <c r="F681" s="3">
        <v>324.39999999999998</v>
      </c>
      <c r="G681" s="3">
        <v>381.5</v>
      </c>
      <c r="H681" s="3">
        <v>955.3</v>
      </c>
      <c r="I681" s="4">
        <v>1334.3</v>
      </c>
      <c r="J681" s="4">
        <v>1271.4000000000001</v>
      </c>
      <c r="K681" s="3">
        <v>156.30000000000001</v>
      </c>
      <c r="L681" s="3">
        <v>4.2</v>
      </c>
      <c r="M681" s="4">
        <v>420072</v>
      </c>
      <c r="N681" s="4">
        <v>8916</v>
      </c>
      <c r="O681" s="3">
        <v>13.82</v>
      </c>
      <c r="P681" s="3" t="str">
        <f t="shared" si="10"/>
        <v>WARNING</v>
      </c>
      <c r="Q681" s="3" cm="1">
        <f t="array" aca="1" ref="Q681" ca="1">AVERAGE(OFFSET(tbl_Process[[#This Row],[Temp_Firing_C]], MAX(1-ROW()+ROW(tbl_Process[#Headers]), -23), 0, MIN(ROW()-ROW(tbl_Process[#Headers]), 24), 1))</f>
        <v>1317.6541666666667</v>
      </c>
      <c r="R681" s="3" t="e" cm="1" vm="1">
        <f t="array" aca="1" ref="R681" ca="1">tbl_Process[Temp_Firing_C] - AVERAGE(tbl_Zones[[Target_Temp_Min_C]:[Target_Temp_Max_C]])</f>
        <v>#VALUE!</v>
      </c>
    </row>
    <row r="682" spans="1:18" x14ac:dyDescent="0.3">
      <c r="A682" s="2" t="s">
        <v>701</v>
      </c>
      <c r="B682" s="2" t="s">
        <v>24</v>
      </c>
      <c r="C682" s="2" t="s">
        <v>501</v>
      </c>
      <c r="D682" s="3">
        <v>427.7</v>
      </c>
      <c r="E682" s="3">
        <v>3.23</v>
      </c>
      <c r="F682" s="3">
        <v>315.10000000000002</v>
      </c>
      <c r="G682" s="3">
        <v>387.6</v>
      </c>
      <c r="H682" s="3">
        <v>990.3</v>
      </c>
      <c r="I682" s="4">
        <v>1334</v>
      </c>
      <c r="J682" s="4">
        <v>1268.8</v>
      </c>
      <c r="K682" s="3">
        <v>155.69999999999999</v>
      </c>
      <c r="L682" s="3">
        <v>4.03</v>
      </c>
      <c r="M682" s="4">
        <v>424680</v>
      </c>
      <c r="N682" s="4">
        <v>8826</v>
      </c>
      <c r="O682" s="3">
        <v>13.76</v>
      </c>
      <c r="P682" s="3" t="str">
        <f t="shared" si="10"/>
        <v>WARNING</v>
      </c>
      <c r="Q682" s="3" cm="1">
        <f t="array" aca="1" ref="Q682" ca="1">AVERAGE(OFFSET(tbl_Process[[#This Row],[Temp_Firing_C]], MAX(1-ROW()+ROW(tbl_Process[#Headers]), -23), 0, MIN(ROW()-ROW(tbl_Process[#Headers]), 24), 1))</f>
        <v>1318.0708333333334</v>
      </c>
      <c r="R682" s="3" t="e" cm="1" vm="1">
        <f t="array" aca="1" ref="R682" ca="1">tbl_Process[Temp_Firing_C] - AVERAGE(tbl_Zones[[Target_Temp_Min_C]:[Target_Temp_Max_C]])</f>
        <v>#VALUE!</v>
      </c>
    </row>
    <row r="683" spans="1:18" x14ac:dyDescent="0.3">
      <c r="A683" s="2" t="s">
        <v>702</v>
      </c>
      <c r="B683" s="2" t="s">
        <v>24</v>
      </c>
      <c r="C683" s="2" t="s">
        <v>501</v>
      </c>
      <c r="D683" s="3">
        <v>428.7</v>
      </c>
      <c r="E683" s="3">
        <v>3.09</v>
      </c>
      <c r="F683" s="3">
        <v>324.8</v>
      </c>
      <c r="G683" s="3">
        <v>373.8</v>
      </c>
      <c r="H683" s="3">
        <v>955.5</v>
      </c>
      <c r="I683" s="4">
        <v>1323.7</v>
      </c>
      <c r="J683" s="4">
        <v>1257.5</v>
      </c>
      <c r="K683" s="3">
        <v>170.4</v>
      </c>
      <c r="L683" s="3">
        <v>4.1900000000000004</v>
      </c>
      <c r="M683" s="4">
        <v>418618</v>
      </c>
      <c r="N683" s="4">
        <v>8835</v>
      </c>
      <c r="O683" s="3">
        <v>14.07</v>
      </c>
      <c r="P683" s="3" t="str">
        <f t="shared" si="10"/>
        <v>NORMAL</v>
      </c>
      <c r="Q683" s="3" cm="1">
        <f t="array" aca="1" ref="Q683" ca="1">AVERAGE(OFFSET(tbl_Process[[#This Row],[Temp_Firing_C]], MAX(1-ROW()+ROW(tbl_Process[#Headers]), -23), 0, MIN(ROW()-ROW(tbl_Process[#Headers]), 24), 1))</f>
        <v>1318.0416666666667</v>
      </c>
      <c r="R683" s="3" t="e" cm="1" vm="1">
        <f t="array" aca="1" ref="R683" ca="1">tbl_Process[Temp_Firing_C] - AVERAGE(tbl_Zones[[Target_Temp_Min_C]:[Target_Temp_Max_C]])</f>
        <v>#VALUE!</v>
      </c>
    </row>
    <row r="684" spans="1:18" x14ac:dyDescent="0.3">
      <c r="A684" s="2" t="s">
        <v>703</v>
      </c>
      <c r="B684" s="2" t="s">
        <v>24</v>
      </c>
      <c r="C684" s="2" t="s">
        <v>501</v>
      </c>
      <c r="D684" s="3">
        <v>429.5</v>
      </c>
      <c r="E684" s="3">
        <v>3</v>
      </c>
      <c r="F684" s="3">
        <v>332.2</v>
      </c>
      <c r="G684" s="3">
        <v>374.7</v>
      </c>
      <c r="H684" s="3">
        <v>971.2</v>
      </c>
      <c r="I684" s="4">
        <v>1325.9</v>
      </c>
      <c r="J684" s="4">
        <v>1264.5</v>
      </c>
      <c r="K684" s="3">
        <v>169.6</v>
      </c>
      <c r="L684" s="3">
        <v>4.22</v>
      </c>
      <c r="M684" s="4">
        <v>422707</v>
      </c>
      <c r="N684" s="4">
        <v>8944</v>
      </c>
      <c r="O684" s="3">
        <v>13.69</v>
      </c>
      <c r="P684" s="3" t="str">
        <f t="shared" si="10"/>
        <v>NORMAL</v>
      </c>
      <c r="Q684" s="3" cm="1">
        <f t="array" aca="1" ref="Q684" ca="1">AVERAGE(OFFSET(tbl_Process[[#This Row],[Temp_Firing_C]], MAX(1-ROW()+ROW(tbl_Process[#Headers]), -23), 0, MIN(ROW()-ROW(tbl_Process[#Headers]), 24), 1))</f>
        <v>1318.0541666666668</v>
      </c>
      <c r="R684" s="3" t="e" cm="1" vm="1">
        <f t="array" aca="1" ref="R684" ca="1">tbl_Process[Temp_Firing_C] - AVERAGE(tbl_Zones[[Target_Temp_Min_C]:[Target_Temp_Max_C]])</f>
        <v>#VALUE!</v>
      </c>
    </row>
    <row r="685" spans="1:18" x14ac:dyDescent="0.3">
      <c r="A685" s="2" t="s">
        <v>704</v>
      </c>
      <c r="B685" s="2" t="s">
        <v>24</v>
      </c>
      <c r="C685" s="2" t="s">
        <v>501</v>
      </c>
      <c r="D685" s="3">
        <v>430.7</v>
      </c>
      <c r="E685" s="3">
        <v>3</v>
      </c>
      <c r="F685" s="3">
        <v>315.10000000000002</v>
      </c>
      <c r="G685" s="3">
        <v>382.2</v>
      </c>
      <c r="H685" s="3">
        <v>967.1</v>
      </c>
      <c r="I685" s="4">
        <v>1310</v>
      </c>
      <c r="J685" s="4">
        <v>1248</v>
      </c>
      <c r="K685" s="3">
        <v>156.80000000000001</v>
      </c>
      <c r="L685" s="3">
        <v>4.32</v>
      </c>
      <c r="M685" s="4">
        <v>420568</v>
      </c>
      <c r="N685" s="4">
        <v>8485</v>
      </c>
      <c r="O685" s="3">
        <v>14.23</v>
      </c>
      <c r="P685" s="3" t="str">
        <f t="shared" si="10"/>
        <v>NORMAL</v>
      </c>
      <c r="Q685" s="3" cm="1">
        <f t="array" aca="1" ref="Q685" ca="1">AVERAGE(OFFSET(tbl_Process[[#This Row],[Temp_Firing_C]], MAX(1-ROW()+ROW(tbl_Process[#Headers]), -23), 0, MIN(ROW()-ROW(tbl_Process[#Headers]), 24), 1))</f>
        <v>1318.2833333333335</v>
      </c>
      <c r="R685" s="3" t="e" cm="1" vm="1">
        <f t="array" aca="1" ref="R685" ca="1">tbl_Process[Temp_Firing_C] - AVERAGE(tbl_Zones[[Target_Temp_Min_C]:[Target_Temp_Max_C]])</f>
        <v>#VALUE!</v>
      </c>
    </row>
    <row r="686" spans="1:18" x14ac:dyDescent="0.3">
      <c r="A686" s="2" t="s">
        <v>705</v>
      </c>
      <c r="B686" s="2" t="s">
        <v>24</v>
      </c>
      <c r="C686" s="2" t="s">
        <v>501</v>
      </c>
      <c r="D686" s="3">
        <v>426.3</v>
      </c>
      <c r="E686" s="3">
        <v>3.2</v>
      </c>
      <c r="F686" s="3">
        <v>321</v>
      </c>
      <c r="G686" s="3">
        <v>380.3</v>
      </c>
      <c r="H686" s="3">
        <v>969.2</v>
      </c>
      <c r="I686" s="4">
        <v>1314.7</v>
      </c>
      <c r="J686" s="4">
        <v>1242</v>
      </c>
      <c r="K686" s="3">
        <v>162.69999999999999</v>
      </c>
      <c r="L686" s="3">
        <v>4.03</v>
      </c>
      <c r="M686" s="4">
        <v>418796</v>
      </c>
      <c r="N686" s="4">
        <v>8777</v>
      </c>
      <c r="O686" s="3">
        <v>14.11</v>
      </c>
      <c r="P686" s="3" t="str">
        <f t="shared" si="10"/>
        <v>NORMAL</v>
      </c>
      <c r="Q686" s="3" cm="1">
        <f t="array" aca="1" ref="Q686" ca="1">AVERAGE(OFFSET(tbl_Process[[#This Row],[Temp_Firing_C]], MAX(1-ROW()+ROW(tbl_Process[#Headers]), -23), 0, MIN(ROW()-ROW(tbl_Process[#Headers]), 24), 1))</f>
        <v>1318.7125000000001</v>
      </c>
      <c r="R686" s="3" t="e" cm="1" vm="1">
        <f t="array" aca="1" ref="R686" ca="1">tbl_Process[Temp_Firing_C] - AVERAGE(tbl_Zones[[Target_Temp_Min_C]:[Target_Temp_Max_C]])</f>
        <v>#VALUE!</v>
      </c>
    </row>
    <row r="687" spans="1:18" x14ac:dyDescent="0.3">
      <c r="A687" s="2" t="s">
        <v>706</v>
      </c>
      <c r="B687" s="2" t="s">
        <v>24</v>
      </c>
      <c r="C687" s="2" t="s">
        <v>501</v>
      </c>
      <c r="D687" s="3">
        <v>425</v>
      </c>
      <c r="E687" s="3">
        <v>3.05</v>
      </c>
      <c r="F687" s="3">
        <v>315.3</v>
      </c>
      <c r="G687" s="3">
        <v>393.4</v>
      </c>
      <c r="H687" s="3">
        <v>972.3</v>
      </c>
      <c r="I687" s="4">
        <v>1318.6</v>
      </c>
      <c r="J687" s="4">
        <v>1257.0999999999999</v>
      </c>
      <c r="K687" s="3">
        <v>153.69999999999999</v>
      </c>
      <c r="L687" s="3">
        <v>4.03</v>
      </c>
      <c r="M687" s="4">
        <v>423715</v>
      </c>
      <c r="N687" s="4">
        <v>8777</v>
      </c>
      <c r="O687" s="3">
        <v>13.95</v>
      </c>
      <c r="P687" s="3" t="str">
        <f t="shared" si="10"/>
        <v>NORMAL</v>
      </c>
      <c r="Q687" s="3" cm="1">
        <f t="array" aca="1" ref="Q687" ca="1">AVERAGE(OFFSET(tbl_Process[[#This Row],[Temp_Firing_C]], MAX(1-ROW()+ROW(tbl_Process[#Headers]), -23), 0, MIN(ROW()-ROW(tbl_Process[#Headers]), 24), 1))</f>
        <v>1318.6875</v>
      </c>
      <c r="R687" s="3" t="e" cm="1" vm="1">
        <f t="array" aca="1" ref="R687" ca="1">tbl_Process[Temp_Firing_C] - AVERAGE(tbl_Zones[[Target_Temp_Min_C]:[Target_Temp_Max_C]])</f>
        <v>#VALUE!</v>
      </c>
    </row>
    <row r="688" spans="1:18" x14ac:dyDescent="0.3">
      <c r="A688" s="2" t="s">
        <v>707</v>
      </c>
      <c r="B688" s="2" t="s">
        <v>33</v>
      </c>
      <c r="C688" s="2" t="s">
        <v>501</v>
      </c>
      <c r="D688" s="3">
        <v>431</v>
      </c>
      <c r="E688" s="3">
        <v>3.11</v>
      </c>
      <c r="F688" s="3">
        <v>319.5</v>
      </c>
      <c r="G688" s="3">
        <v>378.5</v>
      </c>
      <c r="H688" s="3">
        <v>955.8</v>
      </c>
      <c r="I688" s="4">
        <v>1323.1</v>
      </c>
      <c r="J688" s="4">
        <v>1260.5999999999999</v>
      </c>
      <c r="K688" s="3">
        <v>161.30000000000001</v>
      </c>
      <c r="L688" s="3">
        <v>4.0599999999999996</v>
      </c>
      <c r="M688" s="4">
        <v>420662</v>
      </c>
      <c r="N688" s="4">
        <v>8825</v>
      </c>
      <c r="O688" s="3">
        <v>14.31</v>
      </c>
      <c r="P688" s="3" t="str">
        <f t="shared" si="10"/>
        <v>NORMAL</v>
      </c>
      <c r="Q688" s="3" cm="1">
        <f t="array" aca="1" ref="Q688" ca="1">AVERAGE(OFFSET(tbl_Process[[#This Row],[Temp_Firing_C]], MAX(1-ROW()+ROW(tbl_Process[#Headers]), -23), 0, MIN(ROW()-ROW(tbl_Process[#Headers]), 24), 1))</f>
        <v>1318.5708333333332</v>
      </c>
      <c r="R688" s="3" t="e" cm="1" vm="1">
        <f t="array" aca="1" ref="R688" ca="1">tbl_Process[Temp_Firing_C] - AVERAGE(tbl_Zones[[Target_Temp_Min_C]:[Target_Temp_Max_C]])</f>
        <v>#VALUE!</v>
      </c>
    </row>
    <row r="689" spans="1:18" x14ac:dyDescent="0.3">
      <c r="A689" s="2" t="s">
        <v>708</v>
      </c>
      <c r="B689" s="2" t="s">
        <v>33</v>
      </c>
      <c r="C689" s="2" t="s">
        <v>501</v>
      </c>
      <c r="D689" s="3">
        <v>430.6</v>
      </c>
      <c r="E689" s="3">
        <v>3.07</v>
      </c>
      <c r="F689" s="3">
        <v>321.60000000000002</v>
      </c>
      <c r="G689" s="3">
        <v>372.3</v>
      </c>
      <c r="H689" s="3">
        <v>976.1</v>
      </c>
      <c r="I689" s="4">
        <v>1322.1</v>
      </c>
      <c r="J689" s="4">
        <v>1253.0999999999999</v>
      </c>
      <c r="K689" s="3">
        <v>159.30000000000001</v>
      </c>
      <c r="L689" s="3">
        <v>4.12</v>
      </c>
      <c r="M689" s="4">
        <v>428569</v>
      </c>
      <c r="N689" s="4">
        <v>8741</v>
      </c>
      <c r="O689" s="3">
        <v>14.05</v>
      </c>
      <c r="P689" s="3" t="str">
        <f t="shared" si="10"/>
        <v>NORMAL</v>
      </c>
      <c r="Q689" s="3" cm="1">
        <f t="array" aca="1" ref="Q689" ca="1">AVERAGE(OFFSET(tbl_Process[[#This Row],[Temp_Firing_C]], MAX(1-ROW()+ROW(tbl_Process[#Headers]), -23), 0, MIN(ROW()-ROW(tbl_Process[#Headers]), 24), 1))</f>
        <v>1319.3791666666664</v>
      </c>
      <c r="R689" s="3" t="e" cm="1" vm="1">
        <f t="array" aca="1" ref="R689" ca="1">tbl_Process[Temp_Firing_C] - AVERAGE(tbl_Zones[[Target_Temp_Min_C]:[Target_Temp_Max_C]])</f>
        <v>#VALUE!</v>
      </c>
    </row>
    <row r="690" spans="1:18" x14ac:dyDescent="0.3">
      <c r="A690" s="2" t="s">
        <v>709</v>
      </c>
      <c r="B690" s="2" t="s">
        <v>33</v>
      </c>
      <c r="C690" s="2" t="s">
        <v>501</v>
      </c>
      <c r="D690" s="3">
        <v>432.3</v>
      </c>
      <c r="E690" s="3">
        <v>3.04</v>
      </c>
      <c r="F690" s="3">
        <v>321.2</v>
      </c>
      <c r="G690" s="3">
        <v>382</v>
      </c>
      <c r="H690" s="3">
        <v>941.5</v>
      </c>
      <c r="I690" s="4">
        <v>1322.2</v>
      </c>
      <c r="J690" s="4">
        <v>1256.9000000000001</v>
      </c>
      <c r="K690" s="3">
        <v>160.69999999999999</v>
      </c>
      <c r="L690" s="3">
        <v>4.2</v>
      </c>
      <c r="M690" s="4">
        <v>424903</v>
      </c>
      <c r="N690" s="4">
        <v>8927</v>
      </c>
      <c r="O690" s="3">
        <v>13.56</v>
      </c>
      <c r="P690" s="3" t="str">
        <f t="shared" si="10"/>
        <v>NORMAL</v>
      </c>
      <c r="Q690" s="3" cm="1">
        <f t="array" aca="1" ref="Q690" ca="1">AVERAGE(OFFSET(tbl_Process[[#This Row],[Temp_Firing_C]], MAX(1-ROW()+ROW(tbl_Process[#Headers]), -23), 0, MIN(ROW()-ROW(tbl_Process[#Headers]), 24), 1))</f>
        <v>1319.4749999999999</v>
      </c>
      <c r="R690" s="3" t="e" cm="1" vm="1">
        <f t="array" aca="1" ref="R690" ca="1">tbl_Process[Temp_Firing_C] - AVERAGE(tbl_Zones[[Target_Temp_Min_C]:[Target_Temp_Max_C]])</f>
        <v>#VALUE!</v>
      </c>
    </row>
    <row r="691" spans="1:18" x14ac:dyDescent="0.3">
      <c r="A691" s="2" t="s">
        <v>710</v>
      </c>
      <c r="B691" s="2" t="s">
        <v>33</v>
      </c>
      <c r="C691" s="2" t="s">
        <v>501</v>
      </c>
      <c r="D691" s="3">
        <v>428.6</v>
      </c>
      <c r="E691" s="3">
        <v>3.15</v>
      </c>
      <c r="F691" s="3">
        <v>322.89999999999998</v>
      </c>
      <c r="G691" s="3">
        <v>383.2</v>
      </c>
      <c r="H691" s="3">
        <v>993</v>
      </c>
      <c r="I691" s="4">
        <v>1324.8</v>
      </c>
      <c r="J691" s="4">
        <v>1266.5999999999999</v>
      </c>
      <c r="K691" s="3">
        <v>158.4</v>
      </c>
      <c r="L691" s="3">
        <v>4.0599999999999996</v>
      </c>
      <c r="M691" s="4">
        <v>423364</v>
      </c>
      <c r="N691" s="4">
        <v>8883</v>
      </c>
      <c r="O691" s="3">
        <v>14</v>
      </c>
      <c r="P691" s="3" t="str">
        <f t="shared" si="10"/>
        <v>NORMAL</v>
      </c>
      <c r="Q691" s="3" cm="1">
        <f t="array" aca="1" ref="Q691" ca="1">AVERAGE(OFFSET(tbl_Process[[#This Row],[Temp_Firing_C]], MAX(1-ROW()+ROW(tbl_Process[#Headers]), -23), 0, MIN(ROW()-ROW(tbl_Process[#Headers]), 24), 1))</f>
        <v>1319.8541666666667</v>
      </c>
      <c r="R691" s="3" t="e" cm="1" vm="1">
        <f t="array" aca="1" ref="R691" ca="1">tbl_Process[Temp_Firing_C] - AVERAGE(tbl_Zones[[Target_Temp_Min_C]:[Target_Temp_Max_C]])</f>
        <v>#VALUE!</v>
      </c>
    </row>
    <row r="692" spans="1:18" x14ac:dyDescent="0.3">
      <c r="A692" s="2" t="s">
        <v>711</v>
      </c>
      <c r="B692" s="2" t="s">
        <v>33</v>
      </c>
      <c r="C692" s="2" t="s">
        <v>501</v>
      </c>
      <c r="D692" s="3">
        <v>431.6</v>
      </c>
      <c r="E692" s="3">
        <v>3.08</v>
      </c>
      <c r="F692" s="3">
        <v>317.8</v>
      </c>
      <c r="G692" s="3">
        <v>378.7</v>
      </c>
      <c r="H692" s="3">
        <v>968.7</v>
      </c>
      <c r="I692" s="4">
        <v>1326.7</v>
      </c>
      <c r="J692" s="4">
        <v>1255.7</v>
      </c>
      <c r="K692" s="3">
        <v>163.80000000000001</v>
      </c>
      <c r="L692" s="3">
        <v>4.12</v>
      </c>
      <c r="M692" s="4">
        <v>426447</v>
      </c>
      <c r="N692" s="4">
        <v>8797</v>
      </c>
      <c r="O692" s="3">
        <v>14.35</v>
      </c>
      <c r="P692" s="3" t="str">
        <f t="shared" si="10"/>
        <v>NORMAL</v>
      </c>
      <c r="Q692" s="3" cm="1">
        <f t="array" aca="1" ref="Q692" ca="1">AVERAGE(OFFSET(tbl_Process[[#This Row],[Temp_Firing_C]], MAX(1-ROW()+ROW(tbl_Process[#Headers]), -23), 0, MIN(ROW()-ROW(tbl_Process[#Headers]), 24), 1))</f>
        <v>1320.8</v>
      </c>
      <c r="R692" s="3" t="e" cm="1" vm="1">
        <f t="array" aca="1" ref="R692" ca="1">tbl_Process[Temp_Firing_C] - AVERAGE(tbl_Zones[[Target_Temp_Min_C]:[Target_Temp_Max_C]])</f>
        <v>#VALUE!</v>
      </c>
    </row>
    <row r="693" spans="1:18" x14ac:dyDescent="0.3">
      <c r="A693" s="2" t="s">
        <v>712</v>
      </c>
      <c r="B693" s="2" t="s">
        <v>33</v>
      </c>
      <c r="C693" s="2" t="s">
        <v>501</v>
      </c>
      <c r="D693" s="3">
        <v>428.3</v>
      </c>
      <c r="E693" s="3">
        <v>3.11</v>
      </c>
      <c r="F693" s="3">
        <v>323.8</v>
      </c>
      <c r="G693" s="3">
        <v>374</v>
      </c>
      <c r="H693" s="3">
        <v>959.4</v>
      </c>
      <c r="I693" s="4">
        <v>1318.2</v>
      </c>
      <c r="J693" s="4">
        <v>1250.0999999999999</v>
      </c>
      <c r="K693" s="3">
        <v>157.9</v>
      </c>
      <c r="L693" s="3">
        <v>4.3</v>
      </c>
      <c r="M693" s="4">
        <v>421181</v>
      </c>
      <c r="N693" s="4">
        <v>8786</v>
      </c>
      <c r="O693" s="3">
        <v>14.05</v>
      </c>
      <c r="P693" s="3" t="str">
        <f t="shared" si="10"/>
        <v>NORMAL</v>
      </c>
      <c r="Q693" s="3" cm="1">
        <f t="array" aca="1" ref="Q693" ca="1">AVERAGE(OFFSET(tbl_Process[[#This Row],[Temp_Firing_C]], MAX(1-ROW()+ROW(tbl_Process[#Headers]), -23), 0, MIN(ROW()-ROW(tbl_Process[#Headers]), 24), 1))</f>
        <v>1321.4958333333334</v>
      </c>
      <c r="R693" s="3" t="e" cm="1" vm="1">
        <f t="array" aca="1" ref="R693" ca="1">tbl_Process[Temp_Firing_C] - AVERAGE(tbl_Zones[[Target_Temp_Min_C]:[Target_Temp_Max_C]])</f>
        <v>#VALUE!</v>
      </c>
    </row>
    <row r="694" spans="1:18" x14ac:dyDescent="0.3">
      <c r="A694" s="2" t="s">
        <v>713</v>
      </c>
      <c r="B694" s="2" t="s">
        <v>33</v>
      </c>
      <c r="C694" s="2" t="s">
        <v>501</v>
      </c>
      <c r="D694" s="3">
        <v>424.4</v>
      </c>
      <c r="E694" s="3">
        <v>3.14</v>
      </c>
      <c r="F694" s="3">
        <v>311.89999999999998</v>
      </c>
      <c r="G694" s="3">
        <v>384.8</v>
      </c>
      <c r="H694" s="3">
        <v>954.6</v>
      </c>
      <c r="I694" s="4">
        <v>1321</v>
      </c>
      <c r="J694" s="4">
        <v>1248.2</v>
      </c>
      <c r="K694" s="3">
        <v>160.80000000000001</v>
      </c>
      <c r="L694" s="3">
        <v>4.24</v>
      </c>
      <c r="M694" s="4">
        <v>420956</v>
      </c>
      <c r="N694" s="4">
        <v>8679</v>
      </c>
      <c r="O694" s="3">
        <v>14.17</v>
      </c>
      <c r="P694" s="3" t="str">
        <f t="shared" si="10"/>
        <v>NORMAL</v>
      </c>
      <c r="Q694" s="3" cm="1">
        <f t="array" aca="1" ref="Q694" ca="1">AVERAGE(OFFSET(tbl_Process[[#This Row],[Temp_Firing_C]], MAX(1-ROW()+ROW(tbl_Process[#Headers]), -23), 0, MIN(ROW()-ROW(tbl_Process[#Headers]), 24), 1))</f>
        <v>1322.2083333333333</v>
      </c>
      <c r="R694" s="3" t="e" cm="1" vm="1">
        <f t="array" aca="1" ref="R694" ca="1">tbl_Process[Temp_Firing_C] - AVERAGE(tbl_Zones[[Target_Temp_Min_C]:[Target_Temp_Max_C]])</f>
        <v>#VALUE!</v>
      </c>
    </row>
    <row r="695" spans="1:18" x14ac:dyDescent="0.3">
      <c r="A695" s="2" t="s">
        <v>714</v>
      </c>
      <c r="B695" s="2" t="s">
        <v>33</v>
      </c>
      <c r="C695" s="2" t="s">
        <v>501</v>
      </c>
      <c r="D695" s="3">
        <v>431.9</v>
      </c>
      <c r="E695" s="3">
        <v>2.91</v>
      </c>
      <c r="F695" s="3">
        <v>332.7</v>
      </c>
      <c r="G695" s="3">
        <v>384.5</v>
      </c>
      <c r="H695" s="3">
        <v>969.6</v>
      </c>
      <c r="I695" s="4">
        <v>1320.5</v>
      </c>
      <c r="J695" s="4">
        <v>1244.4000000000001</v>
      </c>
      <c r="K695" s="3">
        <v>163.80000000000001</v>
      </c>
      <c r="L695" s="3">
        <v>4.09</v>
      </c>
      <c r="M695" s="4">
        <v>425594</v>
      </c>
      <c r="N695" s="4">
        <v>8720</v>
      </c>
      <c r="O695" s="3">
        <v>14.08</v>
      </c>
      <c r="P695" s="3" t="str">
        <f t="shared" si="10"/>
        <v>NORMAL</v>
      </c>
      <c r="Q695" s="3" cm="1">
        <f t="array" aca="1" ref="Q695" ca="1">AVERAGE(OFFSET(tbl_Process[[#This Row],[Temp_Firing_C]], MAX(1-ROW()+ROW(tbl_Process[#Headers]), -23), 0, MIN(ROW()-ROW(tbl_Process[#Headers]), 24), 1))</f>
        <v>1322.3083333333332</v>
      </c>
      <c r="R695" s="3" t="e" cm="1" vm="1">
        <f t="array" aca="1" ref="R695" ca="1">tbl_Process[Temp_Firing_C] - AVERAGE(tbl_Zones[[Target_Temp_Min_C]:[Target_Temp_Max_C]])</f>
        <v>#VALUE!</v>
      </c>
    </row>
    <row r="696" spans="1:18" x14ac:dyDescent="0.3">
      <c r="A696" s="2" t="s">
        <v>715</v>
      </c>
      <c r="B696" s="2" t="s">
        <v>16</v>
      </c>
      <c r="C696" s="2" t="s">
        <v>501</v>
      </c>
      <c r="D696" s="3">
        <v>426.9</v>
      </c>
      <c r="E696" s="3">
        <v>3.17</v>
      </c>
      <c r="F696" s="3">
        <v>313.89999999999998</v>
      </c>
      <c r="G696" s="3">
        <v>397.1</v>
      </c>
      <c r="H696" s="3">
        <v>988.9</v>
      </c>
      <c r="I696" s="4">
        <v>1335.8</v>
      </c>
      <c r="J696" s="4">
        <v>1278.5</v>
      </c>
      <c r="K696" s="3">
        <v>160.30000000000001</v>
      </c>
      <c r="L696" s="3">
        <v>4.3099999999999996</v>
      </c>
      <c r="M696" s="4">
        <v>426107</v>
      </c>
      <c r="N696" s="4">
        <v>8743</v>
      </c>
      <c r="O696" s="3">
        <v>14.38</v>
      </c>
      <c r="P696" s="3" t="str">
        <f t="shared" si="10"/>
        <v>WARNING</v>
      </c>
      <c r="Q696" s="3" cm="1">
        <f t="array" aca="1" ref="Q696" ca="1">AVERAGE(OFFSET(tbl_Process[[#This Row],[Temp_Firing_C]], MAX(1-ROW()+ROW(tbl_Process[#Headers]), -23), 0, MIN(ROW()-ROW(tbl_Process[#Headers]), 24), 1))</f>
        <v>1322.9499999999998</v>
      </c>
      <c r="R696" s="3" t="e" cm="1" vm="1">
        <f t="array" aca="1" ref="R696" ca="1">tbl_Process[Temp_Firing_C] - AVERAGE(tbl_Zones[[Target_Temp_Min_C]:[Target_Temp_Max_C]])</f>
        <v>#VALUE!</v>
      </c>
    </row>
    <row r="697" spans="1:18" x14ac:dyDescent="0.3">
      <c r="A697" s="2" t="s">
        <v>716</v>
      </c>
      <c r="B697" s="2" t="s">
        <v>16</v>
      </c>
      <c r="C697" s="2" t="s">
        <v>501</v>
      </c>
      <c r="D697" s="3">
        <v>434.5</v>
      </c>
      <c r="E697" s="3">
        <v>3.1</v>
      </c>
      <c r="F697" s="3">
        <v>314.10000000000002</v>
      </c>
      <c r="G697" s="3">
        <v>377.8</v>
      </c>
      <c r="H697" s="3">
        <v>941</v>
      </c>
      <c r="I697" s="4">
        <v>1331.4</v>
      </c>
      <c r="J697" s="4">
        <v>1256.8</v>
      </c>
      <c r="K697" s="3">
        <v>162.4</v>
      </c>
      <c r="L697" s="3">
        <v>4.1399999999999997</v>
      </c>
      <c r="M697" s="4">
        <v>420659</v>
      </c>
      <c r="N697" s="4">
        <v>8905</v>
      </c>
      <c r="O697" s="3">
        <v>13.79</v>
      </c>
      <c r="P697" s="3" t="str">
        <f t="shared" si="10"/>
        <v>WARNING</v>
      </c>
      <c r="Q697" s="3" cm="1">
        <f t="array" aca="1" ref="Q697" ca="1">AVERAGE(OFFSET(tbl_Process[[#This Row],[Temp_Firing_C]], MAX(1-ROW()+ROW(tbl_Process[#Headers]), -23), 0, MIN(ROW()-ROW(tbl_Process[#Headers]), 24), 1))</f>
        <v>1323.0583333333332</v>
      </c>
      <c r="R697" s="3" t="e" cm="1" vm="1">
        <f t="array" aca="1" ref="R697" ca="1">tbl_Process[Temp_Firing_C] - AVERAGE(tbl_Zones[[Target_Temp_Min_C]:[Target_Temp_Max_C]])</f>
        <v>#VALUE!</v>
      </c>
    </row>
    <row r="698" spans="1:18" x14ac:dyDescent="0.3">
      <c r="A698" s="2" t="s">
        <v>717</v>
      </c>
      <c r="B698" s="2" t="s">
        <v>16</v>
      </c>
      <c r="C698" s="2" t="s">
        <v>501</v>
      </c>
      <c r="D698" s="3">
        <v>433.4</v>
      </c>
      <c r="E698" s="3">
        <v>3</v>
      </c>
      <c r="F698" s="3">
        <v>317.3</v>
      </c>
      <c r="G698" s="3">
        <v>365.8</v>
      </c>
      <c r="H698" s="3">
        <v>937.5</v>
      </c>
      <c r="I698" s="4">
        <v>1339.4</v>
      </c>
      <c r="J698" s="4">
        <v>1286.9000000000001</v>
      </c>
      <c r="K698" s="3">
        <v>161.69999999999999</v>
      </c>
      <c r="L698" s="3">
        <v>4.0999999999999996</v>
      </c>
      <c r="M698" s="4">
        <v>426047</v>
      </c>
      <c r="N698" s="4">
        <v>9078</v>
      </c>
      <c r="O698" s="3">
        <v>13.61</v>
      </c>
      <c r="P698" s="3" t="str">
        <f t="shared" si="10"/>
        <v>WARNING</v>
      </c>
      <c r="Q698" s="3" cm="1">
        <f t="array" aca="1" ref="Q698" ca="1">AVERAGE(OFFSET(tbl_Process[[#This Row],[Temp_Firing_C]], MAX(1-ROW()+ROW(tbl_Process[#Headers]), -23), 0, MIN(ROW()-ROW(tbl_Process[#Headers]), 24), 1))</f>
        <v>1323.4083333333333</v>
      </c>
      <c r="R698" s="3" t="e" cm="1" vm="1">
        <f t="array" aca="1" ref="R698" ca="1">tbl_Process[Temp_Firing_C] - AVERAGE(tbl_Zones[[Target_Temp_Min_C]:[Target_Temp_Max_C]])</f>
        <v>#VALUE!</v>
      </c>
    </row>
    <row r="699" spans="1:18" x14ac:dyDescent="0.3">
      <c r="A699" s="2" t="s">
        <v>718</v>
      </c>
      <c r="B699" s="2" t="s">
        <v>16</v>
      </c>
      <c r="C699" s="2" t="s">
        <v>501</v>
      </c>
      <c r="D699" s="3">
        <v>431</v>
      </c>
      <c r="E699" s="3">
        <v>3.1</v>
      </c>
      <c r="F699" s="3">
        <v>318.89999999999998</v>
      </c>
      <c r="G699" s="3">
        <v>379.4</v>
      </c>
      <c r="H699" s="3">
        <v>968.2</v>
      </c>
      <c r="I699" s="4">
        <v>1318.4</v>
      </c>
      <c r="J699" s="4">
        <v>1256.0999999999999</v>
      </c>
      <c r="K699" s="3">
        <v>159.19999999999999</v>
      </c>
      <c r="L699" s="3">
        <v>4.21</v>
      </c>
      <c r="M699" s="4">
        <v>428156</v>
      </c>
      <c r="N699" s="4">
        <v>8701</v>
      </c>
      <c r="O699" s="3">
        <v>14.27</v>
      </c>
      <c r="P699" s="3" t="str">
        <f t="shared" si="10"/>
        <v>NORMAL</v>
      </c>
      <c r="Q699" s="3" cm="1">
        <f t="array" aca="1" ref="Q699" ca="1">AVERAGE(OFFSET(tbl_Process[[#This Row],[Temp_Firing_C]], MAX(1-ROW()+ROW(tbl_Process[#Headers]), -23), 0, MIN(ROW()-ROW(tbl_Process[#Headers]), 24), 1))</f>
        <v>1323.6166666666668</v>
      </c>
      <c r="R699" s="3" t="e" cm="1" vm="1">
        <f t="array" aca="1" ref="R699" ca="1">tbl_Process[Temp_Firing_C] - AVERAGE(tbl_Zones[[Target_Temp_Min_C]:[Target_Temp_Max_C]])</f>
        <v>#VALUE!</v>
      </c>
    </row>
    <row r="700" spans="1:18" x14ac:dyDescent="0.3">
      <c r="A700" s="2" t="s">
        <v>719</v>
      </c>
      <c r="B700" s="2" t="s">
        <v>16</v>
      </c>
      <c r="C700" s="2" t="s">
        <v>501</v>
      </c>
      <c r="D700" s="3">
        <v>422.8</v>
      </c>
      <c r="E700" s="3">
        <v>3.06</v>
      </c>
      <c r="F700" s="3">
        <v>322.89999999999998</v>
      </c>
      <c r="G700" s="3">
        <v>397.1</v>
      </c>
      <c r="H700" s="3">
        <v>941.9</v>
      </c>
      <c r="I700" s="4">
        <v>1326.5</v>
      </c>
      <c r="J700" s="4">
        <v>1270.2</v>
      </c>
      <c r="K700" s="3">
        <v>157.9</v>
      </c>
      <c r="L700" s="3">
        <v>4.0599999999999996</v>
      </c>
      <c r="M700" s="4">
        <v>425931</v>
      </c>
      <c r="N700" s="4">
        <v>8840</v>
      </c>
      <c r="O700" s="3">
        <v>14.32</v>
      </c>
      <c r="P700" s="3" t="str">
        <f t="shared" si="10"/>
        <v>NORMAL</v>
      </c>
      <c r="Q700" s="3" cm="1">
        <f t="array" aca="1" ref="Q700" ca="1">AVERAGE(OFFSET(tbl_Process[[#This Row],[Temp_Firing_C]], MAX(1-ROW()+ROW(tbl_Process[#Headers]), -23), 0, MIN(ROW()-ROW(tbl_Process[#Headers]), 24), 1))</f>
        <v>1323.7500000000002</v>
      </c>
      <c r="R700" s="3" t="e" cm="1" vm="1">
        <f t="array" aca="1" ref="R700" ca="1">tbl_Process[Temp_Firing_C] - AVERAGE(tbl_Zones[[Target_Temp_Min_C]:[Target_Temp_Max_C]])</f>
        <v>#VALUE!</v>
      </c>
    </row>
    <row r="701" spans="1:18" x14ac:dyDescent="0.3">
      <c r="A701" s="2" t="s">
        <v>720</v>
      </c>
      <c r="B701" s="2" t="s">
        <v>16</v>
      </c>
      <c r="C701" s="2" t="s">
        <v>501</v>
      </c>
      <c r="D701" s="3">
        <v>431.8</v>
      </c>
      <c r="E701" s="3">
        <v>3.21</v>
      </c>
      <c r="F701" s="3">
        <v>320.89999999999998</v>
      </c>
      <c r="G701" s="3">
        <v>378.9</v>
      </c>
      <c r="H701" s="3">
        <v>963.5</v>
      </c>
      <c r="I701" s="4">
        <v>1319</v>
      </c>
      <c r="J701" s="4">
        <v>1256.9000000000001</v>
      </c>
      <c r="K701" s="3">
        <v>160.1</v>
      </c>
      <c r="L701" s="3">
        <v>4.1500000000000004</v>
      </c>
      <c r="M701" s="4">
        <v>425165</v>
      </c>
      <c r="N701" s="4">
        <v>8591</v>
      </c>
      <c r="O701" s="3">
        <v>14.32</v>
      </c>
      <c r="P701" s="3" t="str">
        <f t="shared" si="10"/>
        <v>NORMAL</v>
      </c>
      <c r="Q701" s="3" cm="1">
        <f t="array" aca="1" ref="Q701" ca="1">AVERAGE(OFFSET(tbl_Process[[#This Row],[Temp_Firing_C]], MAX(1-ROW()+ROW(tbl_Process[#Headers]), -23), 0, MIN(ROW()-ROW(tbl_Process[#Headers]), 24), 1))</f>
        <v>1324.1375000000003</v>
      </c>
      <c r="R701" s="3" t="e" cm="1" vm="1">
        <f t="array" aca="1" ref="R701" ca="1">tbl_Process[Temp_Firing_C] - AVERAGE(tbl_Zones[[Target_Temp_Min_C]:[Target_Temp_Max_C]])</f>
        <v>#VALUE!</v>
      </c>
    </row>
    <row r="702" spans="1:18" x14ac:dyDescent="0.3">
      <c r="A702" s="2" t="s">
        <v>721</v>
      </c>
      <c r="B702" s="2" t="s">
        <v>16</v>
      </c>
      <c r="C702" s="2" t="s">
        <v>501</v>
      </c>
      <c r="D702" s="3">
        <v>428.1</v>
      </c>
      <c r="E702" s="3">
        <v>3.19</v>
      </c>
      <c r="F702" s="3">
        <v>321</v>
      </c>
      <c r="G702" s="3">
        <v>388.9</v>
      </c>
      <c r="H702" s="3">
        <v>968.9</v>
      </c>
      <c r="I702" s="4">
        <v>1335</v>
      </c>
      <c r="J702" s="4">
        <v>1270.7</v>
      </c>
      <c r="K702" s="3">
        <v>153.9</v>
      </c>
      <c r="L702" s="3">
        <v>4.3099999999999996</v>
      </c>
      <c r="M702" s="4">
        <v>425993</v>
      </c>
      <c r="N702" s="4">
        <v>9015</v>
      </c>
      <c r="O702" s="3">
        <v>13.96</v>
      </c>
      <c r="P702" s="3" t="str">
        <f t="shared" si="10"/>
        <v>WARNING</v>
      </c>
      <c r="Q702" s="3" cm="1">
        <f t="array" aca="1" ref="Q702" ca="1">AVERAGE(OFFSET(tbl_Process[[#This Row],[Temp_Firing_C]], MAX(1-ROW()+ROW(tbl_Process[#Headers]), -23), 0, MIN(ROW()-ROW(tbl_Process[#Headers]), 24), 1))</f>
        <v>1324.9500000000003</v>
      </c>
      <c r="R702" s="3" t="e" cm="1" vm="1">
        <f t="array" aca="1" ref="R702" ca="1">tbl_Process[Temp_Firing_C] - AVERAGE(tbl_Zones[[Target_Temp_Min_C]:[Target_Temp_Max_C]])</f>
        <v>#VALUE!</v>
      </c>
    </row>
    <row r="703" spans="1:18" x14ac:dyDescent="0.3">
      <c r="A703" s="2" t="s">
        <v>722</v>
      </c>
      <c r="B703" s="2" t="s">
        <v>16</v>
      </c>
      <c r="C703" s="2" t="s">
        <v>501</v>
      </c>
      <c r="D703" s="3">
        <v>426.9</v>
      </c>
      <c r="E703" s="3">
        <v>3.03</v>
      </c>
      <c r="F703" s="3">
        <v>327.5</v>
      </c>
      <c r="G703" s="3">
        <v>382.6</v>
      </c>
      <c r="H703" s="3">
        <v>978.4</v>
      </c>
      <c r="I703" s="4">
        <v>1328.1</v>
      </c>
      <c r="J703" s="4">
        <v>1269.2</v>
      </c>
      <c r="K703" s="3">
        <v>164.5</v>
      </c>
      <c r="L703" s="3">
        <v>4.16</v>
      </c>
      <c r="M703" s="4">
        <v>423749</v>
      </c>
      <c r="N703" s="4">
        <v>8865</v>
      </c>
      <c r="O703" s="3">
        <v>14.21</v>
      </c>
      <c r="P703" s="3" t="str">
        <f t="shared" si="10"/>
        <v>NORMAL</v>
      </c>
      <c r="Q703" s="3" cm="1">
        <f t="array" aca="1" ref="Q703" ca="1">AVERAGE(OFFSET(tbl_Process[[#This Row],[Temp_Firing_C]], MAX(1-ROW()+ROW(tbl_Process[#Headers]), -23), 0, MIN(ROW()-ROW(tbl_Process[#Headers]), 24), 1))</f>
        <v>1325.3041666666668</v>
      </c>
      <c r="R703" s="3" t="e" cm="1" vm="1">
        <f t="array" aca="1" ref="R703" ca="1">tbl_Process[Temp_Firing_C] - AVERAGE(tbl_Zones[[Target_Temp_Min_C]:[Target_Temp_Max_C]])</f>
        <v>#VALUE!</v>
      </c>
    </row>
    <row r="704" spans="1:18" x14ac:dyDescent="0.3">
      <c r="A704" s="2" t="s">
        <v>723</v>
      </c>
      <c r="B704" s="2" t="s">
        <v>24</v>
      </c>
      <c r="C704" s="2" t="s">
        <v>501</v>
      </c>
      <c r="D704" s="3">
        <v>429.8</v>
      </c>
      <c r="E704" s="3">
        <v>3.14</v>
      </c>
      <c r="F704" s="3">
        <v>323.89999999999998</v>
      </c>
      <c r="G704" s="3">
        <v>385.8</v>
      </c>
      <c r="H704" s="3">
        <v>988</v>
      </c>
      <c r="I704" s="4">
        <v>1339.4</v>
      </c>
      <c r="J704" s="4">
        <v>1274.9000000000001</v>
      </c>
      <c r="K704" s="3">
        <v>163.5</v>
      </c>
      <c r="L704" s="3">
        <v>4.1100000000000003</v>
      </c>
      <c r="M704" s="4">
        <v>426487</v>
      </c>
      <c r="N704" s="4">
        <v>9010</v>
      </c>
      <c r="O704" s="3">
        <v>14</v>
      </c>
      <c r="P704" s="3" t="str">
        <f t="shared" si="10"/>
        <v>WARNING</v>
      </c>
      <c r="Q704" s="3" cm="1">
        <f t="array" aca="1" ref="Q704" ca="1">AVERAGE(OFFSET(tbl_Process[[#This Row],[Temp_Firing_C]], MAX(1-ROW()+ROW(tbl_Process[#Headers]), -23), 0, MIN(ROW()-ROW(tbl_Process[#Headers]), 24), 1))</f>
        <v>1325.5333333333335</v>
      </c>
      <c r="R704" s="3" t="e" cm="1" vm="1">
        <f t="array" aca="1" ref="R704" ca="1">tbl_Process[Temp_Firing_C] - AVERAGE(tbl_Zones[[Target_Temp_Min_C]:[Target_Temp_Max_C]])</f>
        <v>#VALUE!</v>
      </c>
    </row>
    <row r="705" spans="1:18" x14ac:dyDescent="0.3">
      <c r="A705" s="2" t="s">
        <v>724</v>
      </c>
      <c r="B705" s="2" t="s">
        <v>24</v>
      </c>
      <c r="C705" s="2" t="s">
        <v>501</v>
      </c>
      <c r="D705" s="3">
        <v>433</v>
      </c>
      <c r="E705" s="3">
        <v>3.01</v>
      </c>
      <c r="F705" s="3">
        <v>329.5</v>
      </c>
      <c r="G705" s="3">
        <v>384.2</v>
      </c>
      <c r="H705" s="3">
        <v>955.5</v>
      </c>
      <c r="I705" s="4">
        <v>1340.4</v>
      </c>
      <c r="J705" s="4">
        <v>1284.2</v>
      </c>
      <c r="K705" s="3">
        <v>163.80000000000001</v>
      </c>
      <c r="L705" s="3">
        <v>4.28</v>
      </c>
      <c r="M705" s="4">
        <v>429958</v>
      </c>
      <c r="N705" s="4">
        <v>9152</v>
      </c>
      <c r="O705" s="3">
        <v>13.86</v>
      </c>
      <c r="P705" s="3" t="str">
        <f t="shared" si="10"/>
        <v>WARNING</v>
      </c>
      <c r="Q705" s="3" cm="1">
        <f t="array" aca="1" ref="Q705" ca="1">AVERAGE(OFFSET(tbl_Process[[#This Row],[Temp_Firing_C]], MAX(1-ROW()+ROW(tbl_Process[#Headers]), -23), 0, MIN(ROW()-ROW(tbl_Process[#Headers]), 24), 1))</f>
        <v>1325.7875000000001</v>
      </c>
      <c r="R705" s="3" t="e" cm="1" vm="1">
        <f t="array" aca="1" ref="R705" ca="1">tbl_Process[Temp_Firing_C] - AVERAGE(tbl_Zones[[Target_Temp_Min_C]:[Target_Temp_Max_C]])</f>
        <v>#VALUE!</v>
      </c>
    </row>
    <row r="706" spans="1:18" x14ac:dyDescent="0.3">
      <c r="A706" s="2" t="s">
        <v>725</v>
      </c>
      <c r="B706" s="2" t="s">
        <v>24</v>
      </c>
      <c r="C706" s="2" t="s">
        <v>501</v>
      </c>
      <c r="D706" s="3">
        <v>424.7</v>
      </c>
      <c r="E706" s="3">
        <v>3.26</v>
      </c>
      <c r="F706" s="3">
        <v>329.9</v>
      </c>
      <c r="G706" s="3">
        <v>381.1</v>
      </c>
      <c r="H706" s="3">
        <v>954.7</v>
      </c>
      <c r="I706" s="4">
        <v>1333.5</v>
      </c>
      <c r="J706" s="4">
        <v>1266.8</v>
      </c>
      <c r="K706" s="3">
        <v>164</v>
      </c>
      <c r="L706" s="3">
        <v>4.25</v>
      </c>
      <c r="M706" s="4">
        <v>424047</v>
      </c>
      <c r="N706" s="4">
        <v>8768</v>
      </c>
      <c r="O706" s="3">
        <v>14.08</v>
      </c>
      <c r="P706" s="3" t="str">
        <f t="shared" ref="P706:P721" si="11">IF(L706&gt;4.5,"CRITICAL",IF(OR(I706&lt;1250,I706&gt;1330),"WARNING","NORMAL"))</f>
        <v>WARNING</v>
      </c>
      <c r="Q706" s="3" cm="1">
        <f t="array" aca="1" ref="Q706" ca="1">AVERAGE(OFFSET(tbl_Process[[#This Row],[Temp_Firing_C]], MAX(1-ROW()+ROW(tbl_Process[#Headers]), -23), 0, MIN(ROW()-ROW(tbl_Process[#Headers]), 24), 1))</f>
        <v>1325.7666666666669</v>
      </c>
      <c r="R706" s="3" t="e" cm="1" vm="1">
        <f t="array" aca="1" ref="R706" ca="1">tbl_Process[Temp_Firing_C] - AVERAGE(tbl_Zones[[Target_Temp_Min_C]:[Target_Temp_Max_C]])</f>
        <v>#VALUE!</v>
      </c>
    </row>
    <row r="707" spans="1:18" x14ac:dyDescent="0.3">
      <c r="A707" s="2" t="s">
        <v>726</v>
      </c>
      <c r="B707" s="2" t="s">
        <v>24</v>
      </c>
      <c r="C707" s="2" t="s">
        <v>501</v>
      </c>
      <c r="D707" s="3">
        <v>427.9</v>
      </c>
      <c r="E707" s="3">
        <v>3.11</v>
      </c>
      <c r="F707" s="3">
        <v>315.3</v>
      </c>
      <c r="G707" s="3">
        <v>382.7</v>
      </c>
      <c r="H707" s="3">
        <v>975.2</v>
      </c>
      <c r="I707" s="4">
        <v>1333.7</v>
      </c>
      <c r="J707" s="4">
        <v>1264</v>
      </c>
      <c r="K707" s="3">
        <v>156.4</v>
      </c>
      <c r="L707" s="3">
        <v>4.16</v>
      </c>
      <c r="M707" s="4">
        <v>428030</v>
      </c>
      <c r="N707" s="4">
        <v>8953</v>
      </c>
      <c r="O707" s="3">
        <v>13.71</v>
      </c>
      <c r="P707" s="3" t="str">
        <f t="shared" si="11"/>
        <v>WARNING</v>
      </c>
      <c r="Q707" s="3" cm="1">
        <f t="array" aca="1" ref="Q707" ca="1">AVERAGE(OFFSET(tbl_Process[[#This Row],[Temp_Firing_C]], MAX(1-ROW()+ROW(tbl_Process[#Headers]), -23), 0, MIN(ROW()-ROW(tbl_Process[#Headers]), 24), 1))</f>
        <v>1326.1833333333336</v>
      </c>
      <c r="R707" s="3" t="e" cm="1" vm="1">
        <f t="array" aca="1" ref="R707" ca="1">tbl_Process[Temp_Firing_C] - AVERAGE(tbl_Zones[[Target_Temp_Min_C]:[Target_Temp_Max_C]])</f>
        <v>#VALUE!</v>
      </c>
    </row>
    <row r="708" spans="1:18" x14ac:dyDescent="0.3">
      <c r="A708" s="2" t="s">
        <v>727</v>
      </c>
      <c r="B708" s="2" t="s">
        <v>24</v>
      </c>
      <c r="C708" s="2" t="s">
        <v>501</v>
      </c>
      <c r="D708" s="3">
        <v>431.2</v>
      </c>
      <c r="E708" s="3">
        <v>3.22</v>
      </c>
      <c r="F708" s="3">
        <v>324.3</v>
      </c>
      <c r="G708" s="3">
        <v>372.6</v>
      </c>
      <c r="H708" s="3">
        <v>968.5</v>
      </c>
      <c r="I708" s="4">
        <v>1344.5</v>
      </c>
      <c r="J708" s="4">
        <v>1271.8</v>
      </c>
      <c r="K708" s="3">
        <v>162.19999999999999</v>
      </c>
      <c r="L708" s="3">
        <v>4.2</v>
      </c>
      <c r="M708" s="4">
        <v>428346</v>
      </c>
      <c r="N708" s="4">
        <v>9057</v>
      </c>
      <c r="O708" s="3">
        <v>14.04</v>
      </c>
      <c r="P708" s="3" t="str">
        <f t="shared" si="11"/>
        <v>WARNING</v>
      </c>
      <c r="Q708" s="3" cm="1">
        <f t="array" aca="1" ref="Q708" ca="1">AVERAGE(OFFSET(tbl_Process[[#This Row],[Temp_Firing_C]], MAX(1-ROW()+ROW(tbl_Process[#Headers]), -23), 0, MIN(ROW()-ROW(tbl_Process[#Headers]), 24), 1))</f>
        <v>1326.9583333333337</v>
      </c>
      <c r="R708" s="3" t="e" cm="1" vm="1">
        <f t="array" aca="1" ref="R708" ca="1">tbl_Process[Temp_Firing_C] - AVERAGE(tbl_Zones[[Target_Temp_Min_C]:[Target_Temp_Max_C]])</f>
        <v>#VALUE!</v>
      </c>
    </row>
    <row r="709" spans="1:18" x14ac:dyDescent="0.3">
      <c r="A709" s="2" t="s">
        <v>728</v>
      </c>
      <c r="B709" s="2" t="s">
        <v>24</v>
      </c>
      <c r="C709" s="2" t="s">
        <v>501</v>
      </c>
      <c r="D709" s="3">
        <v>430.3</v>
      </c>
      <c r="E709" s="3">
        <v>3.2</v>
      </c>
      <c r="F709" s="3">
        <v>322</v>
      </c>
      <c r="G709" s="3">
        <v>381.2</v>
      </c>
      <c r="H709" s="3">
        <v>957.4</v>
      </c>
      <c r="I709" s="4">
        <v>1312.7</v>
      </c>
      <c r="J709" s="4">
        <v>1249.4000000000001</v>
      </c>
      <c r="K709" s="3">
        <v>172.1</v>
      </c>
      <c r="L709" s="3">
        <v>4.2699999999999996</v>
      </c>
      <c r="M709" s="4">
        <v>424690</v>
      </c>
      <c r="N709" s="4">
        <v>8603</v>
      </c>
      <c r="O709" s="3">
        <v>14.06</v>
      </c>
      <c r="P709" s="3" t="str">
        <f t="shared" si="11"/>
        <v>NORMAL</v>
      </c>
      <c r="Q709" s="3" cm="1">
        <f t="array" aca="1" ref="Q709" ca="1">AVERAGE(OFFSET(tbl_Process[[#This Row],[Temp_Firing_C]], MAX(1-ROW()+ROW(tbl_Process[#Headers]), -23), 0, MIN(ROW()-ROW(tbl_Process[#Headers]), 24), 1))</f>
        <v>1327.0708333333334</v>
      </c>
      <c r="R709" s="3" t="e" cm="1" vm="1">
        <f t="array" aca="1" ref="R709" ca="1">tbl_Process[Temp_Firing_C] - AVERAGE(tbl_Zones[[Target_Temp_Min_C]:[Target_Temp_Max_C]])</f>
        <v>#VALUE!</v>
      </c>
    </row>
    <row r="710" spans="1:18" x14ac:dyDescent="0.3">
      <c r="A710" s="2" t="s">
        <v>729</v>
      </c>
      <c r="B710" s="2" t="s">
        <v>24</v>
      </c>
      <c r="C710" s="2" t="s">
        <v>501</v>
      </c>
      <c r="D710" s="3">
        <v>433.9</v>
      </c>
      <c r="E710" s="3">
        <v>3.26</v>
      </c>
      <c r="F710" s="3">
        <v>331.3</v>
      </c>
      <c r="G710" s="3">
        <v>388.8</v>
      </c>
      <c r="H710" s="3">
        <v>965.1</v>
      </c>
      <c r="I710" s="4">
        <v>1327.9</v>
      </c>
      <c r="J710" s="4">
        <v>1258.4000000000001</v>
      </c>
      <c r="K710" s="3">
        <v>154.30000000000001</v>
      </c>
      <c r="L710" s="3">
        <v>4.1399999999999997</v>
      </c>
      <c r="M710" s="4">
        <v>425196</v>
      </c>
      <c r="N710" s="4">
        <v>8800</v>
      </c>
      <c r="O710" s="3">
        <v>13.59</v>
      </c>
      <c r="P710" s="3" t="str">
        <f t="shared" si="11"/>
        <v>NORMAL</v>
      </c>
      <c r="Q710" s="3" cm="1">
        <f t="array" aca="1" ref="Q710" ca="1">AVERAGE(OFFSET(tbl_Process[[#This Row],[Temp_Firing_C]], MAX(1-ROW()+ROW(tbl_Process[#Headers]), -23), 0, MIN(ROW()-ROW(tbl_Process[#Headers]), 24), 1))</f>
        <v>1327.6208333333336</v>
      </c>
      <c r="R710" s="3" t="e" cm="1" vm="1">
        <f t="array" aca="1" ref="R710" ca="1">tbl_Process[Temp_Firing_C] - AVERAGE(tbl_Zones[[Target_Temp_Min_C]:[Target_Temp_Max_C]])</f>
        <v>#VALUE!</v>
      </c>
    </row>
    <row r="711" spans="1:18" x14ac:dyDescent="0.3">
      <c r="A711" s="2" t="s">
        <v>730</v>
      </c>
      <c r="B711" s="2" t="s">
        <v>24</v>
      </c>
      <c r="C711" s="2" t="s">
        <v>501</v>
      </c>
      <c r="D711" s="3">
        <v>429.9</v>
      </c>
      <c r="E711" s="3">
        <v>3.07</v>
      </c>
      <c r="F711" s="3">
        <v>314.89999999999998</v>
      </c>
      <c r="G711" s="3">
        <v>380</v>
      </c>
      <c r="H711" s="3">
        <v>960.1</v>
      </c>
      <c r="I711" s="4">
        <v>1320.3</v>
      </c>
      <c r="J711" s="4">
        <v>1260.9000000000001</v>
      </c>
      <c r="K711" s="3">
        <v>151.80000000000001</v>
      </c>
      <c r="L711" s="3">
        <v>3.94</v>
      </c>
      <c r="M711" s="4">
        <v>423666</v>
      </c>
      <c r="N711" s="4">
        <v>8755</v>
      </c>
      <c r="O711" s="3">
        <v>14.1</v>
      </c>
      <c r="P711" s="3" t="str">
        <f t="shared" si="11"/>
        <v>NORMAL</v>
      </c>
      <c r="Q711" s="3" cm="1">
        <f t="array" aca="1" ref="Q711" ca="1">AVERAGE(OFFSET(tbl_Process[[#This Row],[Temp_Firing_C]], MAX(1-ROW()+ROW(tbl_Process[#Headers]), -23), 0, MIN(ROW()-ROW(tbl_Process[#Headers]), 24), 1))</f>
        <v>1327.6916666666668</v>
      </c>
      <c r="R711" s="3" t="e" cm="1" vm="1">
        <f t="array" aca="1" ref="R711" ca="1">tbl_Process[Temp_Firing_C] - AVERAGE(tbl_Zones[[Target_Temp_Min_C]:[Target_Temp_Max_C]])</f>
        <v>#VALUE!</v>
      </c>
    </row>
    <row r="712" spans="1:18" x14ac:dyDescent="0.3">
      <c r="A712" s="2" t="s">
        <v>731</v>
      </c>
      <c r="B712" s="2" t="s">
        <v>33</v>
      </c>
      <c r="C712" s="2" t="s">
        <v>501</v>
      </c>
      <c r="D712" s="3">
        <v>427.8</v>
      </c>
      <c r="E712" s="3">
        <v>3.03</v>
      </c>
      <c r="F712" s="3">
        <v>321.60000000000002</v>
      </c>
      <c r="G712" s="3">
        <v>379.1</v>
      </c>
      <c r="H712" s="3">
        <v>981.9</v>
      </c>
      <c r="I712" s="4">
        <v>1321.7</v>
      </c>
      <c r="J712" s="4">
        <v>1256.4000000000001</v>
      </c>
      <c r="K712" s="3">
        <v>173.5</v>
      </c>
      <c r="L712" s="3">
        <v>4.12</v>
      </c>
      <c r="M712" s="4">
        <v>425853</v>
      </c>
      <c r="N712" s="4">
        <v>8838</v>
      </c>
      <c r="O712" s="3">
        <v>14.11</v>
      </c>
      <c r="P712" s="3" t="str">
        <f t="shared" si="11"/>
        <v>NORMAL</v>
      </c>
      <c r="Q712" s="3" cm="1">
        <f t="array" aca="1" ref="Q712" ca="1">AVERAGE(OFFSET(tbl_Process[[#This Row],[Temp_Firing_C]], MAX(1-ROW()+ROW(tbl_Process[#Headers]), -23), 0, MIN(ROW()-ROW(tbl_Process[#Headers]), 24), 1))</f>
        <v>1327.6333333333334</v>
      </c>
      <c r="R712" s="3" t="e" cm="1" vm="1">
        <f t="array" aca="1" ref="R712" ca="1">tbl_Process[Temp_Firing_C] - AVERAGE(tbl_Zones[[Target_Temp_Min_C]:[Target_Temp_Max_C]])</f>
        <v>#VALUE!</v>
      </c>
    </row>
    <row r="713" spans="1:18" x14ac:dyDescent="0.3">
      <c r="A713" s="2" t="s">
        <v>732</v>
      </c>
      <c r="B713" s="2" t="s">
        <v>33</v>
      </c>
      <c r="C713" s="2" t="s">
        <v>501</v>
      </c>
      <c r="D713" s="3">
        <v>431.2</v>
      </c>
      <c r="E713" s="3">
        <v>3.12</v>
      </c>
      <c r="F713" s="3">
        <v>321.89999999999998</v>
      </c>
      <c r="G713" s="3">
        <v>377.7</v>
      </c>
      <c r="H713" s="3">
        <v>966.6</v>
      </c>
      <c r="I713" s="4">
        <v>1339.8</v>
      </c>
      <c r="J713" s="4">
        <v>1282.0999999999999</v>
      </c>
      <c r="K713" s="3">
        <v>162.4</v>
      </c>
      <c r="L713" s="3">
        <v>4.3099999999999996</v>
      </c>
      <c r="M713" s="4">
        <v>424122</v>
      </c>
      <c r="N713" s="4">
        <v>8946</v>
      </c>
      <c r="O713" s="3">
        <v>14.08</v>
      </c>
      <c r="P713" s="3" t="str">
        <f t="shared" si="11"/>
        <v>WARNING</v>
      </c>
      <c r="Q713" s="3" cm="1">
        <f t="array" aca="1" ref="Q713" ca="1">AVERAGE(OFFSET(tbl_Process[[#This Row],[Temp_Firing_C]], MAX(1-ROW()+ROW(tbl_Process[#Headers]), -23), 0, MIN(ROW()-ROW(tbl_Process[#Headers]), 24), 1))</f>
        <v>1328.3708333333334</v>
      </c>
      <c r="R713" s="3" t="e" cm="1" vm="1">
        <f t="array" aca="1" ref="R713" ca="1">tbl_Process[Temp_Firing_C] - AVERAGE(tbl_Zones[[Target_Temp_Min_C]:[Target_Temp_Max_C]])</f>
        <v>#VALUE!</v>
      </c>
    </row>
    <row r="714" spans="1:18" x14ac:dyDescent="0.3">
      <c r="A714" s="2" t="s">
        <v>733</v>
      </c>
      <c r="B714" s="2" t="s">
        <v>33</v>
      </c>
      <c r="C714" s="2" t="s">
        <v>501</v>
      </c>
      <c r="D714" s="3">
        <v>435.9</v>
      </c>
      <c r="E714" s="3">
        <v>3.04</v>
      </c>
      <c r="F714" s="3">
        <v>318.2</v>
      </c>
      <c r="G714" s="3">
        <v>396.7</v>
      </c>
      <c r="H714" s="3">
        <v>963.3</v>
      </c>
      <c r="I714" s="4">
        <v>1337.5</v>
      </c>
      <c r="J714" s="4">
        <v>1273.7</v>
      </c>
      <c r="K714" s="3">
        <v>162</v>
      </c>
      <c r="L714" s="3">
        <v>4.2</v>
      </c>
      <c r="M714" s="4">
        <v>430049</v>
      </c>
      <c r="N714" s="4">
        <v>9113</v>
      </c>
      <c r="O714" s="3">
        <v>13.45</v>
      </c>
      <c r="P714" s="3" t="str">
        <f t="shared" si="11"/>
        <v>WARNING</v>
      </c>
      <c r="Q714" s="3" cm="1">
        <f t="array" aca="1" ref="Q714" ca="1">AVERAGE(OFFSET(tbl_Process[[#This Row],[Temp_Firing_C]], MAX(1-ROW()+ROW(tbl_Process[#Headers]), -23), 0, MIN(ROW()-ROW(tbl_Process[#Headers]), 24), 1))</f>
        <v>1329.0083333333334</v>
      </c>
      <c r="R714" s="3" t="e" cm="1" vm="1">
        <f t="array" aca="1" ref="R714" ca="1">tbl_Process[Temp_Firing_C] - AVERAGE(tbl_Zones[[Target_Temp_Min_C]:[Target_Temp_Max_C]])</f>
        <v>#VALUE!</v>
      </c>
    </row>
    <row r="715" spans="1:18" x14ac:dyDescent="0.3">
      <c r="A715" s="2" t="s">
        <v>734</v>
      </c>
      <c r="B715" s="2" t="s">
        <v>33</v>
      </c>
      <c r="C715" s="2" t="s">
        <v>501</v>
      </c>
      <c r="D715" s="3">
        <v>428.6</v>
      </c>
      <c r="E715" s="3">
        <v>3.17</v>
      </c>
      <c r="F715" s="3">
        <v>320.2</v>
      </c>
      <c r="G715" s="3">
        <v>377.8</v>
      </c>
      <c r="H715" s="3">
        <v>974</v>
      </c>
      <c r="I715" s="4">
        <v>1331.4</v>
      </c>
      <c r="J715" s="4">
        <v>1263.7</v>
      </c>
      <c r="K715" s="3">
        <v>161.69999999999999</v>
      </c>
      <c r="L715" s="3">
        <v>4.04</v>
      </c>
      <c r="M715" s="4">
        <v>422518</v>
      </c>
      <c r="N715" s="4">
        <v>8892</v>
      </c>
      <c r="O715" s="3">
        <v>13.89</v>
      </c>
      <c r="P715" s="3" t="str">
        <f t="shared" si="11"/>
        <v>WARNING</v>
      </c>
      <c r="Q715" s="3" cm="1">
        <f t="array" aca="1" ref="Q715" ca="1">AVERAGE(OFFSET(tbl_Process[[#This Row],[Temp_Firing_C]], MAX(1-ROW()+ROW(tbl_Process[#Headers]), -23), 0, MIN(ROW()-ROW(tbl_Process[#Headers]), 24), 1))</f>
        <v>1329.2833333333335</v>
      </c>
      <c r="R715" s="3" t="e" cm="1" vm="1">
        <f t="array" aca="1" ref="R715" ca="1">tbl_Process[Temp_Firing_C] - AVERAGE(tbl_Zones[[Target_Temp_Min_C]:[Target_Temp_Max_C]])</f>
        <v>#VALUE!</v>
      </c>
    </row>
    <row r="716" spans="1:18" x14ac:dyDescent="0.3">
      <c r="A716" s="2" t="s">
        <v>735</v>
      </c>
      <c r="B716" s="2" t="s">
        <v>33</v>
      </c>
      <c r="C716" s="2" t="s">
        <v>501</v>
      </c>
      <c r="D716" s="3">
        <v>426.1</v>
      </c>
      <c r="E716" s="3">
        <v>3.04</v>
      </c>
      <c r="F716" s="3">
        <v>314.5</v>
      </c>
      <c r="G716" s="3">
        <v>384.4</v>
      </c>
      <c r="H716" s="3">
        <v>938.2</v>
      </c>
      <c r="I716" s="4">
        <v>1314.3</v>
      </c>
      <c r="J716" s="4">
        <v>1238.0999999999999</v>
      </c>
      <c r="K716" s="3">
        <v>162.69999999999999</v>
      </c>
      <c r="L716" s="3">
        <v>3.91</v>
      </c>
      <c r="M716" s="4">
        <v>422685</v>
      </c>
      <c r="N716" s="4">
        <v>8868</v>
      </c>
      <c r="O716" s="3">
        <v>14.32</v>
      </c>
      <c r="P716" s="3" t="str">
        <f t="shared" si="11"/>
        <v>NORMAL</v>
      </c>
      <c r="Q716" s="3" cm="1">
        <f t="array" aca="1" ref="Q716" ca="1">AVERAGE(OFFSET(tbl_Process[[#This Row],[Temp_Firing_C]], MAX(1-ROW()+ROW(tbl_Process[#Headers]), -23), 0, MIN(ROW()-ROW(tbl_Process[#Headers]), 24), 1))</f>
        <v>1328.7666666666667</v>
      </c>
      <c r="R716" s="3" t="e" cm="1" vm="1">
        <f t="array" aca="1" ref="R716" ca="1">tbl_Process[Temp_Firing_C] - AVERAGE(tbl_Zones[[Target_Temp_Min_C]:[Target_Temp_Max_C]])</f>
        <v>#VALUE!</v>
      </c>
    </row>
    <row r="717" spans="1:18" x14ac:dyDescent="0.3">
      <c r="A717" s="2" t="s">
        <v>736</v>
      </c>
      <c r="B717" s="2" t="s">
        <v>33</v>
      </c>
      <c r="C717" s="2" t="s">
        <v>501</v>
      </c>
      <c r="D717" s="3">
        <v>422.8</v>
      </c>
      <c r="E717" s="3">
        <v>3.12</v>
      </c>
      <c r="F717" s="3">
        <v>315</v>
      </c>
      <c r="G717" s="3">
        <v>372.9</v>
      </c>
      <c r="H717" s="3">
        <v>960.5</v>
      </c>
      <c r="I717" s="4">
        <v>1332.4</v>
      </c>
      <c r="J717" s="4">
        <v>1271</v>
      </c>
      <c r="K717" s="3">
        <v>157.1</v>
      </c>
      <c r="L717" s="3">
        <v>4.1900000000000004</v>
      </c>
      <c r="M717" s="4">
        <v>417979</v>
      </c>
      <c r="N717" s="4">
        <v>8798</v>
      </c>
      <c r="O717" s="3">
        <v>13.76</v>
      </c>
      <c r="P717" s="3" t="str">
        <f t="shared" si="11"/>
        <v>WARNING</v>
      </c>
      <c r="Q717" s="3" cm="1">
        <f t="array" aca="1" ref="Q717" ca="1">AVERAGE(OFFSET(tbl_Process[[#This Row],[Temp_Firing_C]], MAX(1-ROW()+ROW(tbl_Process[#Headers]), -23), 0, MIN(ROW()-ROW(tbl_Process[#Headers]), 24), 1))</f>
        <v>1329.3583333333336</v>
      </c>
      <c r="R717" s="3" t="e" cm="1" vm="1">
        <f t="array" aca="1" ref="R717" ca="1">tbl_Process[Temp_Firing_C] - AVERAGE(tbl_Zones[[Target_Temp_Min_C]:[Target_Temp_Max_C]])</f>
        <v>#VALUE!</v>
      </c>
    </row>
    <row r="718" spans="1:18" x14ac:dyDescent="0.3">
      <c r="A718" s="2" t="s">
        <v>737</v>
      </c>
      <c r="B718" s="2" t="s">
        <v>33</v>
      </c>
      <c r="C718" s="2" t="s">
        <v>501</v>
      </c>
      <c r="D718" s="3">
        <v>430.3</v>
      </c>
      <c r="E718" s="3">
        <v>3.08</v>
      </c>
      <c r="F718" s="3">
        <v>320.2</v>
      </c>
      <c r="G718" s="3">
        <v>380.2</v>
      </c>
      <c r="H718" s="3">
        <v>962.5</v>
      </c>
      <c r="I718" s="4">
        <v>1327.2</v>
      </c>
      <c r="J718" s="4">
        <v>1263.0999999999999</v>
      </c>
      <c r="K718" s="3">
        <v>159.30000000000001</v>
      </c>
      <c r="L718" s="3">
        <v>4.2300000000000004</v>
      </c>
      <c r="M718" s="4">
        <v>427787</v>
      </c>
      <c r="N718" s="4">
        <v>8760</v>
      </c>
      <c r="O718" s="3">
        <v>13.98</v>
      </c>
      <c r="P718" s="3" t="str">
        <f t="shared" si="11"/>
        <v>NORMAL</v>
      </c>
      <c r="Q718" s="3" cm="1">
        <f t="array" aca="1" ref="Q718" ca="1">AVERAGE(OFFSET(tbl_Process[[#This Row],[Temp_Firing_C]], MAX(1-ROW()+ROW(tbl_Process[#Headers]), -23), 0, MIN(ROW()-ROW(tbl_Process[#Headers]), 24), 1))</f>
        <v>1329.6166666666668</v>
      </c>
      <c r="R718" s="3" t="e" cm="1" vm="1">
        <f t="array" aca="1" ref="R718" ca="1">tbl_Process[Temp_Firing_C] - AVERAGE(tbl_Zones[[Target_Temp_Min_C]:[Target_Temp_Max_C]])</f>
        <v>#VALUE!</v>
      </c>
    </row>
    <row r="719" spans="1:18" x14ac:dyDescent="0.3">
      <c r="A719" s="2" t="s">
        <v>738</v>
      </c>
      <c r="B719" s="2" t="s">
        <v>33</v>
      </c>
      <c r="C719" s="2" t="s">
        <v>501</v>
      </c>
      <c r="D719" s="3">
        <v>434.6</v>
      </c>
      <c r="E719" s="3">
        <v>3.01</v>
      </c>
      <c r="F719" s="3">
        <v>332.2</v>
      </c>
      <c r="G719" s="3">
        <v>372.4</v>
      </c>
      <c r="H719" s="3">
        <v>958.5</v>
      </c>
      <c r="I719" s="4">
        <v>1315.9</v>
      </c>
      <c r="J719" s="4">
        <v>1264</v>
      </c>
      <c r="K719" s="3">
        <v>158.4</v>
      </c>
      <c r="L719" s="3">
        <v>4.16</v>
      </c>
      <c r="M719" s="4">
        <v>421564</v>
      </c>
      <c r="N719" s="4">
        <v>8702</v>
      </c>
      <c r="O719" s="3">
        <v>13.96</v>
      </c>
      <c r="P719" s="3" t="str">
        <f t="shared" si="11"/>
        <v>NORMAL</v>
      </c>
      <c r="Q719" s="3" cm="1">
        <f t="array" aca="1" ref="Q719" ca="1">AVERAGE(OFFSET(tbl_Process[[#This Row],[Temp_Firing_C]], MAX(1-ROW()+ROW(tbl_Process[#Headers]), -23), 0, MIN(ROW()-ROW(tbl_Process[#Headers]), 24), 1))</f>
        <v>1329.4250000000002</v>
      </c>
      <c r="R719" s="3" t="e" cm="1" vm="1">
        <f t="array" aca="1" ref="R719" ca="1">tbl_Process[Temp_Firing_C] - AVERAGE(tbl_Zones[[Target_Temp_Min_C]:[Target_Temp_Max_C]])</f>
        <v>#VALUE!</v>
      </c>
    </row>
    <row r="720" spans="1:18" x14ac:dyDescent="0.3">
      <c r="A720" s="2" t="s">
        <v>739</v>
      </c>
      <c r="B720" s="2" t="s">
        <v>16</v>
      </c>
      <c r="C720" s="2" t="s">
        <v>501</v>
      </c>
      <c r="D720" s="3">
        <v>429.5</v>
      </c>
      <c r="E720" s="3">
        <v>2.82</v>
      </c>
      <c r="F720" s="3">
        <v>322</v>
      </c>
      <c r="G720" s="3">
        <v>382.3</v>
      </c>
      <c r="H720" s="3">
        <v>975.7</v>
      </c>
      <c r="I720" s="4">
        <v>1334.8</v>
      </c>
      <c r="J720" s="4">
        <v>1268.7</v>
      </c>
      <c r="K720" s="3">
        <v>165.2</v>
      </c>
      <c r="L720" s="3">
        <v>3.98</v>
      </c>
      <c r="M720" s="4">
        <v>428950</v>
      </c>
      <c r="N720" s="4">
        <v>8849</v>
      </c>
      <c r="O720" s="3">
        <v>13.62</v>
      </c>
      <c r="P720" s="3" t="str">
        <f t="shared" si="11"/>
        <v>WARNING</v>
      </c>
      <c r="Q720" s="3" cm="1">
        <f t="array" aca="1" ref="Q720" ca="1">AVERAGE(OFFSET(tbl_Process[[#This Row],[Temp_Firing_C]], MAX(1-ROW()+ROW(tbl_Process[#Headers]), -23), 0, MIN(ROW()-ROW(tbl_Process[#Headers]), 24), 1))</f>
        <v>1329.3833333333334</v>
      </c>
      <c r="R720" s="3" t="e" cm="1" vm="1">
        <f t="array" aca="1" ref="R720" ca="1">tbl_Process[Temp_Firing_C] - AVERAGE(tbl_Zones[[Target_Temp_Min_C]:[Target_Temp_Max_C]])</f>
        <v>#VALUE!</v>
      </c>
    </row>
    <row r="721" spans="1:18" x14ac:dyDescent="0.3">
      <c r="A721" s="13" t="s">
        <v>740</v>
      </c>
      <c r="B721" s="13" t="s">
        <v>16</v>
      </c>
      <c r="C721" s="13" t="s">
        <v>501</v>
      </c>
      <c r="D721" s="14">
        <v>429.3</v>
      </c>
      <c r="E721" s="14">
        <v>3.21</v>
      </c>
      <c r="F721" s="14">
        <v>323.10000000000002</v>
      </c>
      <c r="G721" s="14">
        <v>393.1</v>
      </c>
      <c r="H721" s="14">
        <v>955</v>
      </c>
      <c r="I721" s="15">
        <v>1333.6</v>
      </c>
      <c r="J721" s="15">
        <v>1264.7</v>
      </c>
      <c r="K721" s="14">
        <v>162.4</v>
      </c>
      <c r="L721" s="14">
        <v>4.2300000000000004</v>
      </c>
      <c r="M721" s="15">
        <v>428363</v>
      </c>
      <c r="N721" s="15">
        <v>8933</v>
      </c>
      <c r="O721" s="14">
        <v>13.67</v>
      </c>
      <c r="P721" s="14" t="str">
        <f t="shared" si="11"/>
        <v>WARNING</v>
      </c>
      <c r="Q721" s="14" cm="1">
        <f t="array" aca="1" ref="Q721" ca="1">AVERAGE(OFFSET(tbl_Process[[#This Row],[Temp_Firing_C]], MAX(1-ROW()+ROW(tbl_Process[#Headers]), -23), 0, MIN(ROW()-ROW(tbl_Process[#Headers]), 24), 1))</f>
        <v>1329.4750000000001</v>
      </c>
      <c r="R721" s="14" t="e" cm="1" vm="1">
        <f t="array" aca="1" ref="R721" ca="1">tbl_Process[Temp_Firing_C] - AVERAGE(tbl_Zones[[Target_Temp_Min_C]:[Target_Temp_Max_C]])</f>
        <v>#VALUE!</v>
      </c>
    </row>
  </sheetData>
  <conditionalFormatting sqref="L1:L1048576">
    <cfRule type="expression" dxfId="5" priority="3">
      <formula>$L2&gt;4.5</formula>
    </cfRule>
  </conditionalFormatting>
  <conditionalFormatting sqref="Q1:Q1048576">
    <cfRule type="expression" dxfId="2" priority="2">
      <formula>$L2&gt;4.5</formula>
    </cfRule>
  </conditionalFormatting>
  <conditionalFormatting sqref="I1:I1048576">
    <cfRule type="expression" dxfId="1" priority="1">
      <formula>OR($J2&lt;1250,$J2&gt;1330)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81"/>
  <sheetViews>
    <sheetView topLeftCell="Q1" workbookViewId="0">
      <selection sqref="A1:Y11"/>
    </sheetView>
  </sheetViews>
  <sheetFormatPr defaultRowHeight="14.4" x14ac:dyDescent="0.3"/>
  <cols>
    <col min="1" max="1" width="13" customWidth="1"/>
    <col min="2" max="2" width="22" customWidth="1"/>
    <col min="3" max="3" width="14" customWidth="1"/>
    <col min="4" max="4" width="15" customWidth="1"/>
    <col min="5" max="5" width="16" customWidth="1"/>
    <col min="6" max="6" width="17" customWidth="1"/>
    <col min="7" max="8" width="15" customWidth="1"/>
    <col min="9" max="11" width="14" customWidth="1"/>
    <col min="12" max="12" width="21" customWidth="1"/>
    <col min="13" max="13" width="15" customWidth="1"/>
    <col min="14" max="14" width="17" customWidth="1"/>
    <col min="15" max="15" width="14" customWidth="1"/>
    <col min="16" max="16" width="17" customWidth="1"/>
    <col min="17" max="17" width="21" customWidth="1"/>
    <col min="18" max="18" width="15" customWidth="1"/>
    <col min="19" max="19" width="18" customWidth="1"/>
    <col min="20" max="20" width="17" customWidth="1"/>
    <col min="21" max="21" width="25" customWidth="1"/>
    <col min="22" max="24" width="23" customWidth="1"/>
    <col min="25" max="25" width="26" customWidth="1"/>
  </cols>
  <sheetData>
    <row r="1" spans="1:25" x14ac:dyDescent="0.3">
      <c r="A1" s="1" t="s">
        <v>741</v>
      </c>
      <c r="B1" s="1" t="s">
        <v>742</v>
      </c>
      <c r="C1" s="1" t="s">
        <v>743</v>
      </c>
      <c r="D1" s="1" t="s">
        <v>744</v>
      </c>
      <c r="E1" s="1" t="s">
        <v>745</v>
      </c>
      <c r="F1" s="1" t="s">
        <v>746</v>
      </c>
      <c r="G1" s="1" t="s">
        <v>747</v>
      </c>
      <c r="H1" s="1" t="s">
        <v>748</v>
      </c>
      <c r="I1" s="1" t="s">
        <v>749</v>
      </c>
      <c r="J1" s="1" t="s">
        <v>750</v>
      </c>
      <c r="K1" s="1" t="s">
        <v>751</v>
      </c>
      <c r="L1" s="1" t="s">
        <v>752</v>
      </c>
      <c r="M1" s="1" t="s">
        <v>753</v>
      </c>
      <c r="N1" s="1" t="s">
        <v>754</v>
      </c>
      <c r="O1" s="1" t="s">
        <v>755</v>
      </c>
      <c r="P1" s="1" t="s">
        <v>756</v>
      </c>
      <c r="Q1" s="1" t="s">
        <v>757</v>
      </c>
      <c r="R1" s="1" t="s">
        <v>758</v>
      </c>
      <c r="S1" s="1" t="s">
        <v>759</v>
      </c>
      <c r="T1" s="1" t="s">
        <v>760</v>
      </c>
      <c r="U1" s="1" t="s">
        <v>761</v>
      </c>
      <c r="V1" s="1" t="s">
        <v>762</v>
      </c>
      <c r="W1" s="1" t="s">
        <v>763</v>
      </c>
      <c r="X1" s="1" t="s">
        <v>764</v>
      </c>
      <c r="Y1" s="1" t="s">
        <v>765</v>
      </c>
    </row>
    <row r="2" spans="1:25" x14ac:dyDescent="0.3">
      <c r="A2" s="2" t="s">
        <v>766</v>
      </c>
      <c r="B2" s="2" t="s">
        <v>19</v>
      </c>
      <c r="C2" s="3">
        <v>67.126999999999995</v>
      </c>
      <c r="D2" s="5">
        <v>0.38</v>
      </c>
      <c r="E2" s="3">
        <v>3.9580000000000002</v>
      </c>
      <c r="F2" s="5">
        <v>0.65400000000000003</v>
      </c>
      <c r="G2" s="3">
        <v>3.3</v>
      </c>
      <c r="H2" s="5">
        <v>0.67300000000000004</v>
      </c>
      <c r="I2" s="5">
        <v>0.83360000000000001</v>
      </c>
      <c r="J2" s="5">
        <v>0.86140000000000005</v>
      </c>
      <c r="K2" s="4">
        <v>1671.5</v>
      </c>
      <c r="L2" s="3">
        <v>9.26</v>
      </c>
      <c r="M2" s="3">
        <v>318.10000000000002</v>
      </c>
      <c r="N2" s="3">
        <v>27.1</v>
      </c>
      <c r="O2" s="3">
        <v>272.89999999999998</v>
      </c>
      <c r="P2" s="3">
        <v>92.99</v>
      </c>
      <c r="Q2" s="3">
        <v>5.01</v>
      </c>
      <c r="R2" s="3">
        <v>24.91</v>
      </c>
      <c r="S2" s="5">
        <v>0.63600000000000001</v>
      </c>
      <c r="T2" s="3">
        <v>1.21</v>
      </c>
      <c r="U2" s="2" t="s">
        <v>15</v>
      </c>
      <c r="V2" s="4">
        <v>1294.5999999999999</v>
      </c>
      <c r="W2" s="3">
        <v>14.36</v>
      </c>
      <c r="X2" s="3">
        <v>421.2</v>
      </c>
      <c r="Y2" s="3">
        <v>3.12</v>
      </c>
    </row>
    <row r="3" spans="1:25" x14ac:dyDescent="0.3">
      <c r="A3" s="2" t="s">
        <v>767</v>
      </c>
      <c r="B3" s="2" t="s">
        <v>23</v>
      </c>
      <c r="C3" s="3">
        <v>67.241</v>
      </c>
      <c r="D3" s="5">
        <v>0.36799999999999999</v>
      </c>
      <c r="E3" s="3">
        <v>3.5190000000000001</v>
      </c>
      <c r="F3" s="5">
        <v>0.58799999999999997</v>
      </c>
      <c r="G3" s="3">
        <v>3.06</v>
      </c>
      <c r="H3" s="5">
        <v>0.77500000000000002</v>
      </c>
      <c r="I3" s="5">
        <v>0.86950000000000005</v>
      </c>
      <c r="J3" s="5">
        <v>0.93369999999999997</v>
      </c>
      <c r="K3" s="4">
        <v>1719.2</v>
      </c>
      <c r="L3" s="3">
        <v>9.27</v>
      </c>
      <c r="M3" s="3">
        <v>305.3</v>
      </c>
      <c r="N3" s="3">
        <v>27.1</v>
      </c>
      <c r="O3" s="3">
        <v>239.2</v>
      </c>
      <c r="P3" s="3">
        <v>93.5</v>
      </c>
      <c r="Q3" s="3">
        <v>6.15</v>
      </c>
      <c r="R3" s="3">
        <v>22.52</v>
      </c>
      <c r="S3" s="5">
        <v>0.58599999999999997</v>
      </c>
      <c r="T3" s="3">
        <v>1.48</v>
      </c>
      <c r="U3" s="2" t="s">
        <v>21</v>
      </c>
      <c r="V3" s="4">
        <v>1306.9000000000001</v>
      </c>
      <c r="W3" s="3">
        <v>14.46</v>
      </c>
      <c r="X3" s="3">
        <v>422.7</v>
      </c>
      <c r="Y3" s="3">
        <v>3.21</v>
      </c>
    </row>
    <row r="4" spans="1:25" x14ac:dyDescent="0.3">
      <c r="A4" s="2" t="s">
        <v>768</v>
      </c>
      <c r="B4" s="2" t="s">
        <v>28</v>
      </c>
      <c r="C4" s="3">
        <v>67.248999999999995</v>
      </c>
      <c r="D4" s="5">
        <v>0.26900000000000002</v>
      </c>
      <c r="E4" s="3">
        <v>3.7789999999999999</v>
      </c>
      <c r="F4" s="5">
        <v>0.53800000000000003</v>
      </c>
      <c r="G4" s="3">
        <v>3.2930000000000001</v>
      </c>
      <c r="H4" s="5">
        <v>0.49199999999999999</v>
      </c>
      <c r="I4" s="5">
        <v>0.87139999999999995</v>
      </c>
      <c r="J4" s="5">
        <v>0.87670000000000003</v>
      </c>
      <c r="K4" s="4">
        <v>1689.9</v>
      </c>
      <c r="L4" s="3">
        <v>9.2899999999999991</v>
      </c>
      <c r="M4" s="3">
        <v>306.60000000000002</v>
      </c>
      <c r="N4" s="3">
        <v>21.8</v>
      </c>
      <c r="O4" s="3">
        <v>256.3</v>
      </c>
      <c r="P4" s="3">
        <v>92.74</v>
      </c>
      <c r="Q4" s="3">
        <v>5.36</v>
      </c>
      <c r="R4" s="3">
        <v>25.67</v>
      </c>
      <c r="S4" s="5">
        <v>0.60799999999999998</v>
      </c>
      <c r="T4" s="3">
        <v>2.13</v>
      </c>
      <c r="U4" s="2" t="s">
        <v>26</v>
      </c>
      <c r="V4" s="4">
        <v>1320.7</v>
      </c>
      <c r="W4" s="3">
        <v>14.01</v>
      </c>
      <c r="X4" s="3">
        <v>414.7</v>
      </c>
      <c r="Y4" s="3">
        <v>3.12</v>
      </c>
    </row>
    <row r="5" spans="1:25" x14ac:dyDescent="0.3">
      <c r="A5" s="2" t="s">
        <v>769</v>
      </c>
      <c r="B5" s="2" t="s">
        <v>32</v>
      </c>
      <c r="C5" s="3">
        <v>67.456999999999994</v>
      </c>
      <c r="D5" s="5">
        <v>0.38800000000000001</v>
      </c>
      <c r="E5" s="3">
        <v>3.746</v>
      </c>
      <c r="F5" s="5">
        <v>0.54</v>
      </c>
      <c r="G5" s="3">
        <v>3.3780000000000001</v>
      </c>
      <c r="H5" s="5">
        <v>0.68400000000000005</v>
      </c>
      <c r="I5" s="5">
        <v>0.90169999999999995</v>
      </c>
      <c r="J5" s="5">
        <v>0.9476</v>
      </c>
      <c r="K5" s="4">
        <v>1658.5</v>
      </c>
      <c r="L5" s="3">
        <v>9.44</v>
      </c>
      <c r="M5" s="3">
        <v>311.5</v>
      </c>
      <c r="N5" s="3">
        <v>31.8</v>
      </c>
      <c r="O5" s="3">
        <v>256.7</v>
      </c>
      <c r="P5" s="3">
        <v>92.61</v>
      </c>
      <c r="Q5" s="3">
        <v>5.68</v>
      </c>
      <c r="R5" s="3">
        <v>23.13</v>
      </c>
      <c r="S5" s="5">
        <v>0.43099999999999999</v>
      </c>
      <c r="T5" s="5">
        <v>0.33</v>
      </c>
      <c r="U5" s="2" t="s">
        <v>30</v>
      </c>
      <c r="V5" s="4">
        <v>1309</v>
      </c>
      <c r="W5" s="3">
        <v>14.56</v>
      </c>
      <c r="X5" s="3">
        <v>416.7</v>
      </c>
      <c r="Y5" s="3">
        <v>3.17</v>
      </c>
    </row>
    <row r="6" spans="1:25" x14ac:dyDescent="0.3">
      <c r="A6" s="2" t="s">
        <v>770</v>
      </c>
      <c r="B6" s="2" t="s">
        <v>37</v>
      </c>
      <c r="C6" s="3">
        <v>67.22</v>
      </c>
      <c r="D6" s="5">
        <v>0.42099999999999999</v>
      </c>
      <c r="E6" s="3">
        <v>3.714</v>
      </c>
      <c r="F6" s="5">
        <v>0.51800000000000002</v>
      </c>
      <c r="G6" s="3">
        <v>3.2109999999999999</v>
      </c>
      <c r="H6" s="5">
        <v>0.61199999999999999</v>
      </c>
      <c r="I6" s="5">
        <v>0.86460000000000004</v>
      </c>
      <c r="J6" s="5">
        <v>0.90349999999999997</v>
      </c>
      <c r="K6" s="4">
        <v>1631.9</v>
      </c>
      <c r="L6" s="3">
        <v>9.4499999999999993</v>
      </c>
      <c r="M6" s="3">
        <v>304.7</v>
      </c>
      <c r="N6" s="3">
        <v>21</v>
      </c>
      <c r="O6" s="3">
        <v>239.4</v>
      </c>
      <c r="P6" s="3">
        <v>91.86</v>
      </c>
      <c r="Q6" s="3">
        <v>6.19</v>
      </c>
      <c r="R6" s="3">
        <v>24.07</v>
      </c>
      <c r="S6" s="5">
        <v>0.81499999999999995</v>
      </c>
      <c r="T6" s="3">
        <v>1.86</v>
      </c>
      <c r="U6" s="2" t="s">
        <v>35</v>
      </c>
      <c r="V6" s="4">
        <v>1302</v>
      </c>
      <c r="W6" s="3">
        <v>14.33</v>
      </c>
      <c r="X6" s="3">
        <v>418.5</v>
      </c>
      <c r="Y6" s="3">
        <v>3.32</v>
      </c>
    </row>
    <row r="7" spans="1:25" x14ac:dyDescent="0.3">
      <c r="A7" s="2" t="s">
        <v>771</v>
      </c>
      <c r="B7" s="2" t="s">
        <v>41</v>
      </c>
      <c r="C7" s="3">
        <v>67.346999999999994</v>
      </c>
      <c r="D7" s="5">
        <v>0.27900000000000003</v>
      </c>
      <c r="E7" s="3">
        <v>3.9260000000000002</v>
      </c>
      <c r="F7" s="5">
        <v>0.629</v>
      </c>
      <c r="G7" s="3">
        <v>3.4870000000000001</v>
      </c>
      <c r="H7" s="5">
        <v>0.66700000000000004</v>
      </c>
      <c r="I7" s="5">
        <v>0.8881</v>
      </c>
      <c r="J7" s="5">
        <v>0.91200000000000003</v>
      </c>
      <c r="K7" s="4">
        <v>1678.5</v>
      </c>
      <c r="L7" s="3">
        <v>9.18</v>
      </c>
      <c r="M7" s="3">
        <v>314.10000000000002</v>
      </c>
      <c r="N7" s="3">
        <v>33</v>
      </c>
      <c r="O7" s="3">
        <v>252.9</v>
      </c>
      <c r="P7" s="3">
        <v>93.11</v>
      </c>
      <c r="Q7" s="3">
        <v>5.49</v>
      </c>
      <c r="R7" s="3">
        <v>25.13</v>
      </c>
      <c r="S7" s="5">
        <v>0.63400000000000001</v>
      </c>
      <c r="T7" s="5">
        <v>0.68</v>
      </c>
      <c r="U7" s="2" t="s">
        <v>39</v>
      </c>
      <c r="V7" s="4">
        <v>1295.5999999999999</v>
      </c>
      <c r="W7" s="3">
        <v>14.36</v>
      </c>
      <c r="X7" s="3">
        <v>416.5</v>
      </c>
      <c r="Y7" s="3">
        <v>3.19</v>
      </c>
    </row>
    <row r="8" spans="1:25" x14ac:dyDescent="0.3">
      <c r="A8" s="2" t="s">
        <v>772</v>
      </c>
      <c r="B8" s="2" t="s">
        <v>45</v>
      </c>
      <c r="C8" s="3">
        <v>67.281000000000006</v>
      </c>
      <c r="D8" s="5">
        <v>0.434</v>
      </c>
      <c r="E8" s="3">
        <v>3.5249999999999999</v>
      </c>
      <c r="F8" s="5">
        <v>0.47199999999999998</v>
      </c>
      <c r="G8" s="3">
        <v>2.8879999999999999</v>
      </c>
      <c r="H8" s="5">
        <v>0.65800000000000003</v>
      </c>
      <c r="I8" s="5">
        <v>0.81930000000000003</v>
      </c>
      <c r="J8" s="5">
        <v>0.8871</v>
      </c>
      <c r="K8" s="4">
        <v>1678.1</v>
      </c>
      <c r="L8" s="3">
        <v>8.49</v>
      </c>
      <c r="M8" s="3">
        <v>296.2</v>
      </c>
      <c r="N8" s="3">
        <v>30.5</v>
      </c>
      <c r="O8" s="3">
        <v>245.9</v>
      </c>
      <c r="P8" s="3">
        <v>92.77</v>
      </c>
      <c r="Q8" s="3">
        <v>5.79</v>
      </c>
      <c r="R8" s="3">
        <v>23.85</v>
      </c>
      <c r="S8" s="5">
        <v>0.66600000000000004</v>
      </c>
      <c r="T8" s="3">
        <v>1.95</v>
      </c>
      <c r="U8" s="2" t="s">
        <v>43</v>
      </c>
      <c r="V8" s="4">
        <v>1289.5</v>
      </c>
      <c r="W8" s="3">
        <v>14.55</v>
      </c>
      <c r="X8" s="3">
        <v>418.8</v>
      </c>
      <c r="Y8" s="3">
        <v>3.19</v>
      </c>
    </row>
    <row r="9" spans="1:25" x14ac:dyDescent="0.3">
      <c r="A9" s="2" t="s">
        <v>773</v>
      </c>
      <c r="B9" s="2" t="s">
        <v>49</v>
      </c>
      <c r="C9" s="3">
        <v>67.509</v>
      </c>
      <c r="D9" s="5">
        <v>0.309</v>
      </c>
      <c r="E9" s="3">
        <v>3.6760000000000002</v>
      </c>
      <c r="F9" s="5">
        <v>0.63500000000000001</v>
      </c>
      <c r="G9" s="3">
        <v>3.3439999999999999</v>
      </c>
      <c r="H9" s="5">
        <v>0.72399999999999998</v>
      </c>
      <c r="I9" s="5">
        <v>0.90969999999999995</v>
      </c>
      <c r="J9" s="5">
        <v>0.94350000000000001</v>
      </c>
      <c r="K9" s="4">
        <v>1697.8</v>
      </c>
      <c r="L9" s="3">
        <v>9.2200000000000006</v>
      </c>
      <c r="M9" s="3">
        <v>305.7</v>
      </c>
      <c r="N9" s="3">
        <v>30.8</v>
      </c>
      <c r="O9" s="3">
        <v>249</v>
      </c>
      <c r="P9" s="3">
        <v>91.03</v>
      </c>
      <c r="Q9" s="3">
        <v>4.96</v>
      </c>
      <c r="R9" s="3">
        <v>24.59</v>
      </c>
      <c r="S9" s="5">
        <v>0.54200000000000004</v>
      </c>
      <c r="T9" s="3">
        <v>1.1200000000000001</v>
      </c>
      <c r="U9" s="2" t="s">
        <v>47</v>
      </c>
      <c r="V9" s="4">
        <v>1316.4</v>
      </c>
      <c r="W9" s="3">
        <v>14.25</v>
      </c>
      <c r="X9" s="3">
        <v>417.3</v>
      </c>
      <c r="Y9" s="3">
        <v>3.22</v>
      </c>
    </row>
    <row r="10" spans="1:25" x14ac:dyDescent="0.3">
      <c r="A10" s="2" t="s">
        <v>774</v>
      </c>
      <c r="B10" s="2" t="s">
        <v>53</v>
      </c>
      <c r="C10" s="3">
        <v>67.296000000000006</v>
      </c>
      <c r="D10" s="5">
        <v>0.34599999999999997</v>
      </c>
      <c r="E10" s="3">
        <v>3.911</v>
      </c>
      <c r="F10" s="5">
        <v>0.48099999999999998</v>
      </c>
      <c r="G10" s="3">
        <v>3.456</v>
      </c>
      <c r="H10" s="5">
        <v>0.74399999999999999</v>
      </c>
      <c r="I10" s="5">
        <v>0.88349999999999995</v>
      </c>
      <c r="J10" s="5">
        <v>0.95620000000000005</v>
      </c>
      <c r="K10" s="4">
        <v>1690.3</v>
      </c>
      <c r="L10" s="3">
        <v>8.34</v>
      </c>
      <c r="M10" s="3">
        <v>319.7</v>
      </c>
      <c r="N10" s="3">
        <v>21.5</v>
      </c>
      <c r="O10" s="3">
        <v>263.2</v>
      </c>
      <c r="P10" s="3">
        <v>94.07</v>
      </c>
      <c r="Q10" s="3">
        <v>5.91</v>
      </c>
      <c r="R10" s="3">
        <v>24.72</v>
      </c>
      <c r="S10" s="5">
        <v>0.71099999999999997</v>
      </c>
      <c r="T10" s="3">
        <v>1.78</v>
      </c>
      <c r="U10" s="2" t="s">
        <v>51</v>
      </c>
      <c r="V10" s="4">
        <v>1303.0999999999999</v>
      </c>
      <c r="W10" s="3">
        <v>14.14</v>
      </c>
      <c r="X10" s="3">
        <v>413.6</v>
      </c>
      <c r="Y10" s="3">
        <v>3.14</v>
      </c>
    </row>
    <row r="11" spans="1:25" x14ac:dyDescent="0.3">
      <c r="A11" s="2" t="s">
        <v>775</v>
      </c>
      <c r="B11" s="2" t="s">
        <v>57</v>
      </c>
      <c r="C11" s="3">
        <v>67.3</v>
      </c>
      <c r="D11" s="5">
        <v>0.41899999999999998</v>
      </c>
      <c r="E11" s="3">
        <v>3.863</v>
      </c>
      <c r="F11" s="5">
        <v>0.56000000000000005</v>
      </c>
      <c r="G11" s="3">
        <v>3.5209999999999999</v>
      </c>
      <c r="H11" s="5">
        <v>0.83</v>
      </c>
      <c r="I11" s="5">
        <v>0.91139999999999999</v>
      </c>
      <c r="J11" s="5">
        <v>0.98370000000000002</v>
      </c>
      <c r="K11" s="4">
        <v>1657.3</v>
      </c>
      <c r="L11" s="3">
        <v>9.31</v>
      </c>
      <c r="M11" s="3">
        <v>317.7</v>
      </c>
      <c r="N11" s="3">
        <v>33.700000000000003</v>
      </c>
      <c r="O11" s="3">
        <v>254.5</v>
      </c>
      <c r="P11" s="3">
        <v>93.2</v>
      </c>
      <c r="Q11" s="3">
        <v>5.63</v>
      </c>
      <c r="R11" s="3">
        <v>25.56</v>
      </c>
      <c r="S11" s="5">
        <v>0.60599999999999998</v>
      </c>
      <c r="T11" s="5">
        <v>0.87</v>
      </c>
      <c r="U11" s="2" t="s">
        <v>55</v>
      </c>
      <c r="V11" s="4">
        <v>1302.7</v>
      </c>
      <c r="W11" s="3">
        <v>14.47</v>
      </c>
      <c r="X11" s="3">
        <v>419.5</v>
      </c>
      <c r="Y11" s="3">
        <v>3.05</v>
      </c>
    </row>
    <row r="12" spans="1:25" x14ac:dyDescent="0.3">
      <c r="A12" s="2" t="s">
        <v>776</v>
      </c>
      <c r="B12" s="2" t="s">
        <v>61</v>
      </c>
      <c r="C12" s="3">
        <v>67.100999999999999</v>
      </c>
      <c r="D12" s="5">
        <v>0.45600000000000002</v>
      </c>
      <c r="E12" s="3">
        <v>3.706</v>
      </c>
      <c r="F12" s="5">
        <v>0.66300000000000003</v>
      </c>
      <c r="G12" s="3">
        <v>3.3140000000000001</v>
      </c>
      <c r="H12" s="5">
        <v>0.754</v>
      </c>
      <c r="I12" s="5">
        <v>0.89429999999999998</v>
      </c>
      <c r="J12" s="5">
        <v>0.93110000000000004</v>
      </c>
      <c r="K12" s="4">
        <v>1674.3</v>
      </c>
      <c r="L12" s="3">
        <v>8.75</v>
      </c>
      <c r="M12" s="3">
        <v>311.10000000000002</v>
      </c>
      <c r="N12" s="3">
        <v>25.9</v>
      </c>
      <c r="O12" s="3">
        <v>235.7</v>
      </c>
      <c r="P12" s="3">
        <v>91.66</v>
      </c>
      <c r="Q12" s="3">
        <v>5.67</v>
      </c>
      <c r="R12" s="3">
        <v>24.56</v>
      </c>
      <c r="S12" s="5">
        <v>0.47099999999999997</v>
      </c>
      <c r="T12" s="3">
        <v>1.79</v>
      </c>
      <c r="U12" s="2" t="s">
        <v>59</v>
      </c>
      <c r="V12" s="4">
        <v>1306.5999999999999</v>
      </c>
      <c r="W12" s="3">
        <v>14.12</v>
      </c>
      <c r="X12" s="3">
        <v>420.9</v>
      </c>
      <c r="Y12" s="3">
        <v>3.31</v>
      </c>
    </row>
    <row r="13" spans="1:25" x14ac:dyDescent="0.3">
      <c r="A13" s="2" t="s">
        <v>777</v>
      </c>
      <c r="B13" s="2" t="s">
        <v>65</v>
      </c>
      <c r="C13" s="3">
        <v>66.944000000000003</v>
      </c>
      <c r="D13" s="5">
        <v>0.34300000000000003</v>
      </c>
      <c r="E13" s="3">
        <v>3.9260000000000002</v>
      </c>
      <c r="F13" s="5">
        <v>0.443</v>
      </c>
      <c r="G13" s="3">
        <v>3.2869999999999999</v>
      </c>
      <c r="H13" s="5">
        <v>0.77500000000000002</v>
      </c>
      <c r="I13" s="5">
        <v>0.83740000000000003</v>
      </c>
      <c r="J13" s="5">
        <v>0.92979999999999996</v>
      </c>
      <c r="K13" s="4">
        <v>1773</v>
      </c>
      <c r="L13" s="3">
        <v>8.7799999999999994</v>
      </c>
      <c r="M13" s="3">
        <v>296.39999999999998</v>
      </c>
      <c r="N13" s="3">
        <v>29.1</v>
      </c>
      <c r="O13" s="3">
        <v>253.9</v>
      </c>
      <c r="P13" s="3">
        <v>91.43</v>
      </c>
      <c r="Q13" s="3">
        <v>6.18</v>
      </c>
      <c r="R13" s="3">
        <v>23.76</v>
      </c>
      <c r="S13" s="5">
        <v>0.64900000000000002</v>
      </c>
      <c r="T13" s="3">
        <v>1.26</v>
      </c>
      <c r="U13" s="2" t="s">
        <v>63</v>
      </c>
      <c r="V13" s="4">
        <v>1311.5</v>
      </c>
      <c r="W13" s="3">
        <v>14.12</v>
      </c>
      <c r="X13" s="3">
        <v>421</v>
      </c>
      <c r="Y13" s="3">
        <v>3.33</v>
      </c>
    </row>
    <row r="14" spans="1:25" x14ac:dyDescent="0.3">
      <c r="A14" s="2" t="s">
        <v>778</v>
      </c>
      <c r="B14" s="2" t="s">
        <v>69</v>
      </c>
      <c r="C14" s="3">
        <v>67.524000000000001</v>
      </c>
      <c r="D14" s="5">
        <v>0.373</v>
      </c>
      <c r="E14" s="3">
        <v>4.0330000000000004</v>
      </c>
      <c r="F14" s="5">
        <v>0.61599999999999999</v>
      </c>
      <c r="G14" s="3">
        <v>3.306</v>
      </c>
      <c r="H14" s="5">
        <v>0.70799999999999996</v>
      </c>
      <c r="I14" s="5">
        <v>0.81979999999999997</v>
      </c>
      <c r="J14" s="5">
        <v>0.86339999999999995</v>
      </c>
      <c r="K14" s="4">
        <v>1760.2</v>
      </c>
      <c r="L14" s="3">
        <v>9.23</v>
      </c>
      <c r="M14" s="3">
        <v>294</v>
      </c>
      <c r="N14" s="3">
        <v>22.4</v>
      </c>
      <c r="O14" s="3">
        <v>233.3</v>
      </c>
      <c r="P14" s="3">
        <v>90.71</v>
      </c>
      <c r="Q14" s="3">
        <v>6.61</v>
      </c>
      <c r="R14" s="3">
        <v>24.58</v>
      </c>
      <c r="S14" s="5">
        <v>0.60699999999999998</v>
      </c>
      <c r="T14" s="3">
        <v>2.56</v>
      </c>
      <c r="U14" s="2" t="s">
        <v>67</v>
      </c>
      <c r="V14" s="4">
        <v>1302</v>
      </c>
      <c r="W14" s="3">
        <v>14.08</v>
      </c>
      <c r="X14" s="3">
        <v>425.3</v>
      </c>
      <c r="Y14" s="3">
        <v>3.3</v>
      </c>
    </row>
    <row r="15" spans="1:25" x14ac:dyDescent="0.3">
      <c r="A15" s="2" t="s">
        <v>779</v>
      </c>
      <c r="B15" s="2" t="s">
        <v>73</v>
      </c>
      <c r="C15" s="3">
        <v>67.507000000000005</v>
      </c>
      <c r="D15" s="5">
        <v>0.34899999999999998</v>
      </c>
      <c r="E15" s="3">
        <v>3.883</v>
      </c>
      <c r="F15" s="5">
        <v>0.52700000000000002</v>
      </c>
      <c r="G15" s="3">
        <v>3.6219999999999999</v>
      </c>
      <c r="H15" s="5">
        <v>0.628</v>
      </c>
      <c r="I15" s="5">
        <v>0.93269999999999997</v>
      </c>
      <c r="J15" s="5">
        <v>0.9637</v>
      </c>
      <c r="K15" s="4">
        <v>1738.1</v>
      </c>
      <c r="L15" s="3">
        <v>8.9499999999999993</v>
      </c>
      <c r="M15" s="3">
        <v>288.7</v>
      </c>
      <c r="N15" s="3">
        <v>29.2</v>
      </c>
      <c r="O15" s="3">
        <v>248.1</v>
      </c>
      <c r="P15" s="3">
        <v>91.57</v>
      </c>
      <c r="Q15" s="3">
        <v>5.59</v>
      </c>
      <c r="R15" s="3">
        <v>25.18</v>
      </c>
      <c r="S15" s="5">
        <v>0.85499999999999998</v>
      </c>
      <c r="T15" s="3">
        <v>2.0699999999999998</v>
      </c>
      <c r="U15" s="2" t="s">
        <v>71</v>
      </c>
      <c r="V15" s="4">
        <v>1295.0999999999999</v>
      </c>
      <c r="W15" s="3">
        <v>14.21</v>
      </c>
      <c r="X15" s="3">
        <v>421.9</v>
      </c>
      <c r="Y15" s="3">
        <v>3.16</v>
      </c>
    </row>
    <row r="16" spans="1:25" x14ac:dyDescent="0.3">
      <c r="A16" s="2" t="s">
        <v>780</v>
      </c>
      <c r="B16" s="2" t="s">
        <v>77</v>
      </c>
      <c r="C16" s="3">
        <v>67.546000000000006</v>
      </c>
      <c r="D16" s="5">
        <v>0.28899999999999998</v>
      </c>
      <c r="E16" s="3">
        <v>3.7160000000000002</v>
      </c>
      <c r="F16" s="5">
        <v>0.502</v>
      </c>
      <c r="G16" s="3">
        <v>3.2629999999999999</v>
      </c>
      <c r="H16" s="5">
        <v>0.68</v>
      </c>
      <c r="I16" s="5">
        <v>0.87809999999999999</v>
      </c>
      <c r="J16" s="5">
        <v>0.93479999999999996</v>
      </c>
      <c r="K16" s="4">
        <v>1712.1</v>
      </c>
      <c r="L16" s="3">
        <v>9.6</v>
      </c>
      <c r="M16" s="3">
        <v>300.8</v>
      </c>
      <c r="N16" s="3">
        <v>26.3</v>
      </c>
      <c r="O16" s="3">
        <v>247.6</v>
      </c>
      <c r="P16" s="3">
        <v>92.59</v>
      </c>
      <c r="Q16" s="3">
        <v>6.07</v>
      </c>
      <c r="R16" s="3">
        <v>24.42</v>
      </c>
      <c r="S16" s="5">
        <v>0.57999999999999996</v>
      </c>
      <c r="T16" s="3">
        <v>2.16</v>
      </c>
      <c r="U16" s="2" t="s">
        <v>75</v>
      </c>
      <c r="V16" s="4">
        <v>1317.4</v>
      </c>
      <c r="W16" s="3">
        <v>13.78</v>
      </c>
      <c r="X16" s="3">
        <v>417.1</v>
      </c>
      <c r="Y16" s="3">
        <v>3.09</v>
      </c>
    </row>
    <row r="17" spans="1:25" x14ac:dyDescent="0.3">
      <c r="A17" s="2" t="s">
        <v>781</v>
      </c>
      <c r="B17" s="2" t="s">
        <v>81</v>
      </c>
      <c r="C17" s="3">
        <v>67.664000000000001</v>
      </c>
      <c r="D17" s="5">
        <v>0.29799999999999999</v>
      </c>
      <c r="E17" s="3">
        <v>4.0279999999999996</v>
      </c>
      <c r="F17" s="5">
        <v>0.60299999999999998</v>
      </c>
      <c r="G17" s="3">
        <v>3.5339999999999998</v>
      </c>
      <c r="H17" s="5">
        <v>0.82399999999999995</v>
      </c>
      <c r="I17" s="5">
        <v>0.87729999999999997</v>
      </c>
      <c r="J17" s="5">
        <v>0.94089999999999996</v>
      </c>
      <c r="K17" s="4">
        <v>1580.8</v>
      </c>
      <c r="L17" s="3">
        <v>8.6999999999999993</v>
      </c>
      <c r="M17" s="3">
        <v>310.8</v>
      </c>
      <c r="N17" s="3">
        <v>19</v>
      </c>
      <c r="O17" s="3">
        <v>249.6</v>
      </c>
      <c r="P17" s="3">
        <v>93.06</v>
      </c>
      <c r="Q17" s="3">
        <v>5.05</v>
      </c>
      <c r="R17" s="3">
        <v>23.91</v>
      </c>
      <c r="S17" s="5">
        <v>0.80800000000000005</v>
      </c>
      <c r="T17" s="3">
        <v>1.52</v>
      </c>
      <c r="U17" s="2" t="s">
        <v>79</v>
      </c>
      <c r="V17" s="4">
        <v>1321.7</v>
      </c>
      <c r="W17" s="3">
        <v>13.96</v>
      </c>
      <c r="X17" s="3">
        <v>419.6</v>
      </c>
      <c r="Y17" s="3">
        <v>3.29</v>
      </c>
    </row>
    <row r="18" spans="1:25" x14ac:dyDescent="0.3">
      <c r="A18" s="2" t="s">
        <v>782</v>
      </c>
      <c r="B18" s="2" t="s">
        <v>85</v>
      </c>
      <c r="C18" s="3">
        <v>67.317999999999998</v>
      </c>
      <c r="D18" s="5">
        <v>0.38400000000000001</v>
      </c>
      <c r="E18" s="3">
        <v>3.57</v>
      </c>
      <c r="F18" s="5">
        <v>0.58099999999999996</v>
      </c>
      <c r="G18" s="3">
        <v>3.1259999999999999</v>
      </c>
      <c r="H18" s="5">
        <v>0.80500000000000005</v>
      </c>
      <c r="I18" s="5">
        <v>0.87549999999999994</v>
      </c>
      <c r="J18" s="5">
        <v>0.94699999999999995</v>
      </c>
      <c r="K18" s="4">
        <v>1666</v>
      </c>
      <c r="L18" s="3">
        <v>8.7899999999999991</v>
      </c>
      <c r="M18" s="3">
        <v>306.8</v>
      </c>
      <c r="N18" s="3">
        <v>22.3</v>
      </c>
      <c r="O18" s="3">
        <v>246.9</v>
      </c>
      <c r="P18" s="3">
        <v>91.87</v>
      </c>
      <c r="Q18" s="3">
        <v>5.63</v>
      </c>
      <c r="R18" s="3">
        <v>24.82</v>
      </c>
      <c r="S18" s="5">
        <v>0.72899999999999998</v>
      </c>
      <c r="T18" s="3">
        <v>1.84</v>
      </c>
      <c r="U18" s="2" t="s">
        <v>83</v>
      </c>
      <c r="V18" s="4">
        <v>1316.7</v>
      </c>
      <c r="W18" s="3">
        <v>13.71</v>
      </c>
      <c r="X18" s="3">
        <v>414.9</v>
      </c>
      <c r="Y18" s="3">
        <v>3.33</v>
      </c>
    </row>
    <row r="19" spans="1:25" x14ac:dyDescent="0.3">
      <c r="A19" s="2" t="s">
        <v>783</v>
      </c>
      <c r="B19" s="2" t="s">
        <v>89</v>
      </c>
      <c r="C19" s="3">
        <v>67.555000000000007</v>
      </c>
      <c r="D19" s="5">
        <v>0.33</v>
      </c>
      <c r="E19" s="3">
        <v>3.6760000000000002</v>
      </c>
      <c r="F19" s="5">
        <v>0.60299999999999998</v>
      </c>
      <c r="G19" s="3">
        <v>3.1349999999999998</v>
      </c>
      <c r="H19" s="5">
        <v>0.60699999999999998</v>
      </c>
      <c r="I19" s="5">
        <v>0.85299999999999998</v>
      </c>
      <c r="J19" s="5">
        <v>0.87450000000000006</v>
      </c>
      <c r="K19" s="4">
        <v>1748.5</v>
      </c>
      <c r="L19" s="3">
        <v>8.64</v>
      </c>
      <c r="M19" s="3">
        <v>285</v>
      </c>
      <c r="N19" s="3">
        <v>26.7</v>
      </c>
      <c r="O19" s="3">
        <v>202.8</v>
      </c>
      <c r="P19" s="3">
        <v>90.68</v>
      </c>
      <c r="Q19" s="3">
        <v>6.77</v>
      </c>
      <c r="R19" s="3">
        <v>26.31</v>
      </c>
      <c r="S19" s="5">
        <v>0.78800000000000003</v>
      </c>
      <c r="T19" s="5">
        <v>0.81</v>
      </c>
      <c r="U19" s="2" t="s">
        <v>87</v>
      </c>
      <c r="V19" s="4">
        <v>1316.6</v>
      </c>
      <c r="W19" s="3">
        <v>14.01</v>
      </c>
      <c r="X19" s="3">
        <v>418.4</v>
      </c>
      <c r="Y19" s="3">
        <v>3.22</v>
      </c>
    </row>
    <row r="20" spans="1:25" x14ac:dyDescent="0.3">
      <c r="A20" s="2" t="s">
        <v>784</v>
      </c>
      <c r="B20" s="2" t="s">
        <v>93</v>
      </c>
      <c r="C20" s="3">
        <v>67.41</v>
      </c>
      <c r="D20" s="5">
        <v>0.42799999999999999</v>
      </c>
      <c r="E20" s="3">
        <v>3.399</v>
      </c>
      <c r="F20" s="5">
        <v>0.52800000000000002</v>
      </c>
      <c r="G20" s="3">
        <v>3.1059999999999999</v>
      </c>
      <c r="H20" s="5">
        <v>0.68700000000000006</v>
      </c>
      <c r="I20" s="5">
        <v>0.91390000000000005</v>
      </c>
      <c r="J20" s="5">
        <v>0.96589999999999998</v>
      </c>
      <c r="K20" s="4">
        <v>1592.2</v>
      </c>
      <c r="L20" s="3">
        <v>9.34</v>
      </c>
      <c r="M20" s="3">
        <v>316.5</v>
      </c>
      <c r="N20" s="3">
        <v>26.3</v>
      </c>
      <c r="O20" s="3">
        <v>252.3</v>
      </c>
      <c r="P20" s="3">
        <v>93.26</v>
      </c>
      <c r="Q20" s="3">
        <v>5.36</v>
      </c>
      <c r="R20" s="3">
        <v>24.52</v>
      </c>
      <c r="S20" s="5">
        <v>0.47699999999999998</v>
      </c>
      <c r="T20" s="5">
        <v>0.55000000000000004</v>
      </c>
      <c r="U20" s="2" t="s">
        <v>91</v>
      </c>
      <c r="V20" s="4">
        <v>1307.4000000000001</v>
      </c>
      <c r="W20" s="3">
        <v>13.82</v>
      </c>
      <c r="X20" s="3">
        <v>417.2</v>
      </c>
      <c r="Y20" s="3">
        <v>3.27</v>
      </c>
    </row>
    <row r="21" spans="1:25" x14ac:dyDescent="0.3">
      <c r="A21" s="2" t="s">
        <v>785</v>
      </c>
      <c r="B21" s="2" t="s">
        <v>97</v>
      </c>
      <c r="C21" s="3">
        <v>67.278999999999996</v>
      </c>
      <c r="D21" s="5">
        <v>0.33200000000000002</v>
      </c>
      <c r="E21" s="3">
        <v>3.5209999999999999</v>
      </c>
      <c r="F21" s="5">
        <v>0.66300000000000003</v>
      </c>
      <c r="G21" s="3">
        <v>3.0649999999999999</v>
      </c>
      <c r="H21" s="5">
        <v>0.8</v>
      </c>
      <c r="I21" s="5">
        <v>0.87050000000000005</v>
      </c>
      <c r="J21" s="5">
        <v>0.92379999999999995</v>
      </c>
      <c r="K21" s="4">
        <v>1606.6</v>
      </c>
      <c r="L21" s="3">
        <v>9.19</v>
      </c>
      <c r="M21" s="3">
        <v>296.10000000000002</v>
      </c>
      <c r="N21" s="3">
        <v>33.6</v>
      </c>
      <c r="O21" s="3">
        <v>227.5</v>
      </c>
      <c r="P21" s="3">
        <v>90.31</v>
      </c>
      <c r="Q21" s="3">
        <v>5.6</v>
      </c>
      <c r="R21" s="3">
        <v>22.55</v>
      </c>
      <c r="S21" s="5">
        <v>0.63400000000000001</v>
      </c>
      <c r="T21" s="3">
        <v>1.02</v>
      </c>
      <c r="U21" s="2" t="s">
        <v>95</v>
      </c>
      <c r="V21" s="4">
        <v>1314.6</v>
      </c>
      <c r="W21" s="3">
        <v>13.91</v>
      </c>
      <c r="X21" s="3">
        <v>422.2</v>
      </c>
      <c r="Y21" s="3">
        <v>3.15</v>
      </c>
    </row>
    <row r="22" spans="1:25" x14ac:dyDescent="0.3">
      <c r="A22" s="2" t="s">
        <v>786</v>
      </c>
      <c r="B22" s="2" t="s">
        <v>101</v>
      </c>
      <c r="C22" s="3">
        <v>67.481999999999999</v>
      </c>
      <c r="D22" s="5">
        <v>0.372</v>
      </c>
      <c r="E22" s="3">
        <v>3.883</v>
      </c>
      <c r="F22" s="5">
        <v>0.56200000000000006</v>
      </c>
      <c r="G22" s="3">
        <v>3.4380000000000002</v>
      </c>
      <c r="H22" s="5">
        <v>0.54800000000000004</v>
      </c>
      <c r="I22" s="5">
        <v>0.88529999999999998</v>
      </c>
      <c r="J22" s="5">
        <v>0.89670000000000005</v>
      </c>
      <c r="K22" s="4">
        <v>1637.4</v>
      </c>
      <c r="L22" s="3">
        <v>8.4700000000000006</v>
      </c>
      <c r="M22" s="3">
        <v>281.7</v>
      </c>
      <c r="N22" s="3">
        <v>25.2</v>
      </c>
      <c r="O22" s="3">
        <v>211.3</v>
      </c>
      <c r="P22" s="3">
        <v>91.92</v>
      </c>
      <c r="Q22" s="3">
        <v>5.49</v>
      </c>
      <c r="R22" s="3">
        <v>23.83</v>
      </c>
      <c r="S22" s="5">
        <v>0.53700000000000003</v>
      </c>
      <c r="T22" s="3">
        <v>1.95</v>
      </c>
      <c r="U22" s="2" t="s">
        <v>99</v>
      </c>
      <c r="V22" s="4">
        <v>1298.5</v>
      </c>
      <c r="W22" s="3">
        <v>14.22</v>
      </c>
      <c r="X22" s="3">
        <v>426.5</v>
      </c>
      <c r="Y22" s="3">
        <v>3.21</v>
      </c>
    </row>
    <row r="23" spans="1:25" x14ac:dyDescent="0.3">
      <c r="A23" s="2" t="s">
        <v>787</v>
      </c>
      <c r="B23" s="2" t="s">
        <v>105</v>
      </c>
      <c r="C23" s="3">
        <v>67.221999999999994</v>
      </c>
      <c r="D23" s="5">
        <v>0.28299999999999997</v>
      </c>
      <c r="E23" s="3">
        <v>3.512</v>
      </c>
      <c r="F23" s="5">
        <v>0.63600000000000001</v>
      </c>
      <c r="G23" s="3">
        <v>3.101</v>
      </c>
      <c r="H23" s="5">
        <v>0.72799999999999998</v>
      </c>
      <c r="I23" s="5">
        <v>0.88290000000000002</v>
      </c>
      <c r="J23" s="5">
        <v>0.92300000000000004</v>
      </c>
      <c r="K23" s="4">
        <v>1605.5</v>
      </c>
      <c r="L23" s="3">
        <v>9.43</v>
      </c>
      <c r="M23" s="3">
        <v>277.7</v>
      </c>
      <c r="N23" s="3">
        <v>20.3</v>
      </c>
      <c r="O23" s="3">
        <v>227.8</v>
      </c>
      <c r="P23" s="3">
        <v>90.75</v>
      </c>
      <c r="Q23" s="3">
        <v>6.46</v>
      </c>
      <c r="R23" s="3">
        <v>27.6</v>
      </c>
      <c r="S23" s="5">
        <v>0.72499999999999998</v>
      </c>
      <c r="T23" s="3">
        <v>1.04</v>
      </c>
      <c r="U23" s="2" t="s">
        <v>103</v>
      </c>
      <c r="V23" s="4">
        <v>1291.8</v>
      </c>
      <c r="W23" s="3">
        <v>14.47</v>
      </c>
      <c r="X23" s="3">
        <v>423</v>
      </c>
      <c r="Y23" s="3">
        <v>3.23</v>
      </c>
    </row>
    <row r="24" spans="1:25" x14ac:dyDescent="0.3">
      <c r="A24" s="2" t="s">
        <v>788</v>
      </c>
      <c r="B24" s="2" t="s">
        <v>109</v>
      </c>
      <c r="C24" s="3">
        <v>67.073999999999998</v>
      </c>
      <c r="D24" s="5">
        <v>0.312</v>
      </c>
      <c r="E24" s="3">
        <v>4.0670000000000002</v>
      </c>
      <c r="F24" s="5">
        <v>0.53800000000000003</v>
      </c>
      <c r="G24" s="3">
        <v>3.5859999999999999</v>
      </c>
      <c r="H24" s="5">
        <v>0.68799999999999994</v>
      </c>
      <c r="I24" s="5">
        <v>0.88180000000000003</v>
      </c>
      <c r="J24" s="5">
        <v>0.92810000000000004</v>
      </c>
      <c r="K24" s="4">
        <v>1706.8</v>
      </c>
      <c r="L24" s="3">
        <v>9.15</v>
      </c>
      <c r="M24" s="3">
        <v>296.10000000000002</v>
      </c>
      <c r="N24" s="3">
        <v>29.1</v>
      </c>
      <c r="O24" s="3">
        <v>220.3</v>
      </c>
      <c r="P24" s="3">
        <v>92.36</v>
      </c>
      <c r="Q24" s="3">
        <v>5.93</v>
      </c>
      <c r="R24" s="3">
        <v>26.9</v>
      </c>
      <c r="S24" s="5">
        <v>0.66500000000000004</v>
      </c>
      <c r="T24" s="3">
        <v>1.77</v>
      </c>
      <c r="U24" s="2" t="s">
        <v>107</v>
      </c>
      <c r="V24" s="4">
        <v>1312.2</v>
      </c>
      <c r="W24" s="3">
        <v>14.3</v>
      </c>
      <c r="X24" s="3">
        <v>420.6</v>
      </c>
      <c r="Y24" s="3">
        <v>3.23</v>
      </c>
    </row>
    <row r="25" spans="1:25" x14ac:dyDescent="0.3">
      <c r="A25" s="2" t="s">
        <v>789</v>
      </c>
      <c r="B25" s="2" t="s">
        <v>113</v>
      </c>
      <c r="C25" s="3">
        <v>66.884</v>
      </c>
      <c r="D25" s="5">
        <v>0.45600000000000002</v>
      </c>
      <c r="E25" s="3">
        <v>4.2329999999999997</v>
      </c>
      <c r="F25" s="5">
        <v>0.63600000000000001</v>
      </c>
      <c r="G25" s="3">
        <v>3.802</v>
      </c>
      <c r="H25" s="5">
        <v>0.81399999999999995</v>
      </c>
      <c r="I25" s="5">
        <v>0.89810000000000001</v>
      </c>
      <c r="J25" s="5">
        <v>0.94799999999999995</v>
      </c>
      <c r="K25" s="4">
        <v>1769.1</v>
      </c>
      <c r="L25" s="3">
        <v>8.82</v>
      </c>
      <c r="M25" s="3">
        <v>298.60000000000002</v>
      </c>
      <c r="N25" s="3">
        <v>24.9</v>
      </c>
      <c r="O25" s="3">
        <v>227.5</v>
      </c>
      <c r="P25" s="3">
        <v>92.59</v>
      </c>
      <c r="Q25" s="3">
        <v>7.25</v>
      </c>
      <c r="R25" s="3">
        <v>24.93</v>
      </c>
      <c r="S25" s="5">
        <v>0.71499999999999997</v>
      </c>
      <c r="T25" s="3">
        <v>1.73</v>
      </c>
      <c r="U25" s="2" t="s">
        <v>111</v>
      </c>
      <c r="V25" s="4">
        <v>1306.4000000000001</v>
      </c>
      <c r="W25" s="3">
        <v>14.15</v>
      </c>
      <c r="X25" s="3">
        <v>415.6</v>
      </c>
      <c r="Y25" s="3">
        <v>3.26</v>
      </c>
    </row>
    <row r="26" spans="1:25" x14ac:dyDescent="0.3">
      <c r="A26" s="2" t="s">
        <v>790</v>
      </c>
      <c r="B26" s="2" t="s">
        <v>117</v>
      </c>
      <c r="C26" s="3">
        <v>67.302999999999997</v>
      </c>
      <c r="D26" s="5">
        <v>0.29399999999999998</v>
      </c>
      <c r="E26" s="3">
        <v>3.875</v>
      </c>
      <c r="F26" s="5">
        <v>0.50600000000000001</v>
      </c>
      <c r="G26" s="3">
        <v>3.3780000000000001</v>
      </c>
      <c r="H26" s="5">
        <v>0.61599999999999999</v>
      </c>
      <c r="I26" s="5">
        <v>0.87160000000000004</v>
      </c>
      <c r="J26" s="5">
        <v>0.91159999999999997</v>
      </c>
      <c r="K26" s="4">
        <v>1709.4</v>
      </c>
      <c r="L26" s="3">
        <v>8.9700000000000006</v>
      </c>
      <c r="M26" s="3">
        <v>310.39999999999998</v>
      </c>
      <c r="N26" s="3">
        <v>30.6</v>
      </c>
      <c r="O26" s="3">
        <v>245.2</v>
      </c>
      <c r="P26" s="3">
        <v>93.36</v>
      </c>
      <c r="Q26" s="3">
        <v>5.35</v>
      </c>
      <c r="R26" s="3">
        <v>26.71</v>
      </c>
      <c r="S26" s="5">
        <v>0.57699999999999996</v>
      </c>
      <c r="T26" s="3">
        <v>1.59</v>
      </c>
      <c r="U26" s="2" t="s">
        <v>115</v>
      </c>
      <c r="V26" s="4">
        <v>1314</v>
      </c>
      <c r="W26" s="3">
        <v>13.71</v>
      </c>
      <c r="X26" s="3">
        <v>421.1</v>
      </c>
      <c r="Y26" s="3">
        <v>3.16</v>
      </c>
    </row>
    <row r="27" spans="1:25" x14ac:dyDescent="0.3">
      <c r="A27" s="2" t="s">
        <v>791</v>
      </c>
      <c r="B27" s="2" t="s">
        <v>121</v>
      </c>
      <c r="C27" s="3">
        <v>67.381</v>
      </c>
      <c r="D27" s="5">
        <v>0.29599999999999999</v>
      </c>
      <c r="E27" s="3">
        <v>3.9649999999999999</v>
      </c>
      <c r="F27" s="5">
        <v>0.60399999999999998</v>
      </c>
      <c r="G27" s="3">
        <v>3.323</v>
      </c>
      <c r="H27" s="5">
        <v>0.84099999999999997</v>
      </c>
      <c r="I27" s="5">
        <v>0.83789999999999998</v>
      </c>
      <c r="J27" s="5">
        <v>0.91120000000000001</v>
      </c>
      <c r="K27" s="4">
        <v>1507.7</v>
      </c>
      <c r="L27" s="3">
        <v>9.24</v>
      </c>
      <c r="M27" s="3">
        <v>293.8</v>
      </c>
      <c r="N27" s="3">
        <v>24.9</v>
      </c>
      <c r="O27" s="3">
        <v>226.3</v>
      </c>
      <c r="P27" s="3">
        <v>91.23</v>
      </c>
      <c r="Q27" s="3">
        <v>5.77</v>
      </c>
      <c r="R27" s="3">
        <v>24.89</v>
      </c>
      <c r="S27" s="5">
        <v>0.61799999999999999</v>
      </c>
      <c r="T27" s="3">
        <v>1.02</v>
      </c>
      <c r="U27" s="2" t="s">
        <v>119</v>
      </c>
      <c r="V27" s="4">
        <v>1299.5</v>
      </c>
      <c r="W27" s="3">
        <v>14</v>
      </c>
      <c r="X27" s="3">
        <v>414.7</v>
      </c>
      <c r="Y27" s="3">
        <v>3.16</v>
      </c>
    </row>
    <row r="28" spans="1:25" x14ac:dyDescent="0.3">
      <c r="A28" s="2" t="s">
        <v>792</v>
      </c>
      <c r="B28" s="2" t="s">
        <v>125</v>
      </c>
      <c r="C28" s="3">
        <v>67.069999999999993</v>
      </c>
      <c r="D28" s="5">
        <v>0.315</v>
      </c>
      <c r="E28" s="3">
        <v>3.7490000000000001</v>
      </c>
      <c r="F28" s="5">
        <v>0.66200000000000003</v>
      </c>
      <c r="G28" s="3">
        <v>3.3340000000000001</v>
      </c>
      <c r="H28" s="5">
        <v>0.68799999999999994</v>
      </c>
      <c r="I28" s="5">
        <v>0.88919999999999999</v>
      </c>
      <c r="J28" s="5">
        <v>0.91169999999999995</v>
      </c>
      <c r="K28" s="4">
        <v>1569.2</v>
      </c>
      <c r="L28" s="3">
        <v>8.66</v>
      </c>
      <c r="M28" s="3">
        <v>287.39999999999998</v>
      </c>
      <c r="N28" s="3">
        <v>24.8</v>
      </c>
      <c r="O28" s="3">
        <v>233.4</v>
      </c>
      <c r="P28" s="3">
        <v>92.24</v>
      </c>
      <c r="Q28" s="3">
        <v>5.91</v>
      </c>
      <c r="R28" s="3">
        <v>22.7</v>
      </c>
      <c r="S28" s="5">
        <v>0.69899999999999995</v>
      </c>
      <c r="T28" s="3">
        <v>1.94</v>
      </c>
      <c r="U28" s="2" t="s">
        <v>123</v>
      </c>
      <c r="V28" s="4">
        <v>1306.5</v>
      </c>
      <c r="W28" s="3">
        <v>13.85</v>
      </c>
      <c r="X28" s="3">
        <v>419.3</v>
      </c>
      <c r="Y28" s="3">
        <v>3.08</v>
      </c>
    </row>
    <row r="29" spans="1:25" x14ac:dyDescent="0.3">
      <c r="A29" s="2" t="s">
        <v>793</v>
      </c>
      <c r="B29" s="2" t="s">
        <v>129</v>
      </c>
      <c r="C29" s="3">
        <v>67.018000000000001</v>
      </c>
      <c r="D29" s="5">
        <v>0.36</v>
      </c>
      <c r="E29" s="3">
        <v>3.7909999999999999</v>
      </c>
      <c r="F29" s="5">
        <v>0.63700000000000001</v>
      </c>
      <c r="G29" s="3">
        <v>3.26</v>
      </c>
      <c r="H29" s="5">
        <v>0.75700000000000001</v>
      </c>
      <c r="I29" s="5">
        <v>0.86</v>
      </c>
      <c r="J29" s="5">
        <v>0.90700000000000003</v>
      </c>
      <c r="K29" s="4">
        <v>1707.3</v>
      </c>
      <c r="L29" s="3">
        <v>9.24</v>
      </c>
      <c r="M29" s="3">
        <v>308.3</v>
      </c>
      <c r="N29" s="3">
        <v>30.3</v>
      </c>
      <c r="O29" s="3">
        <v>248.9</v>
      </c>
      <c r="P29" s="3">
        <v>93.23</v>
      </c>
      <c r="Q29" s="3">
        <v>5.26</v>
      </c>
      <c r="R29" s="3">
        <v>24.75</v>
      </c>
      <c r="S29" s="5">
        <v>0.68799999999999994</v>
      </c>
      <c r="T29" s="5">
        <v>0.64</v>
      </c>
      <c r="U29" s="2" t="s">
        <v>127</v>
      </c>
      <c r="V29" s="4">
        <v>1283.3</v>
      </c>
      <c r="W29" s="3">
        <v>14.76</v>
      </c>
      <c r="X29" s="3">
        <v>413.7</v>
      </c>
      <c r="Y29" s="3">
        <v>3.15</v>
      </c>
    </row>
    <row r="30" spans="1:25" x14ac:dyDescent="0.3">
      <c r="A30" s="2" t="s">
        <v>794</v>
      </c>
      <c r="B30" s="2" t="s">
        <v>133</v>
      </c>
      <c r="C30" s="3">
        <v>66.766000000000005</v>
      </c>
      <c r="D30" s="5">
        <v>0.374</v>
      </c>
      <c r="E30" s="3">
        <v>3.5619999999999998</v>
      </c>
      <c r="F30" s="5">
        <v>0.35799999999999998</v>
      </c>
      <c r="G30" s="3">
        <v>3.0529999999999999</v>
      </c>
      <c r="H30" s="5">
        <v>0.71399999999999997</v>
      </c>
      <c r="I30" s="5">
        <v>0.8569</v>
      </c>
      <c r="J30" s="5">
        <v>0.96079999999999999</v>
      </c>
      <c r="K30" s="4">
        <v>1637.9</v>
      </c>
      <c r="L30" s="3">
        <v>9.23</v>
      </c>
      <c r="M30" s="3">
        <v>304</v>
      </c>
      <c r="N30" s="3">
        <v>29.4</v>
      </c>
      <c r="O30" s="3">
        <v>252.5</v>
      </c>
      <c r="P30" s="3">
        <v>91.57</v>
      </c>
      <c r="Q30" s="3">
        <v>5.55</v>
      </c>
      <c r="R30" s="3">
        <v>24</v>
      </c>
      <c r="S30" s="5">
        <v>0.73299999999999998</v>
      </c>
      <c r="T30" s="3">
        <v>1.02</v>
      </c>
      <c r="U30" s="2" t="s">
        <v>131</v>
      </c>
      <c r="V30" s="4">
        <v>1295.0999999999999</v>
      </c>
      <c r="W30" s="3">
        <v>14.18</v>
      </c>
      <c r="X30" s="3">
        <v>415.9</v>
      </c>
      <c r="Y30" s="3">
        <v>3.38</v>
      </c>
    </row>
    <row r="31" spans="1:25" x14ac:dyDescent="0.3">
      <c r="A31" s="2" t="s">
        <v>795</v>
      </c>
      <c r="B31" s="2" t="s">
        <v>137</v>
      </c>
      <c r="C31" s="3">
        <v>66.977999999999994</v>
      </c>
      <c r="D31" s="5">
        <v>0.34399999999999997</v>
      </c>
      <c r="E31" s="3">
        <v>3.915</v>
      </c>
      <c r="F31" s="5">
        <v>0.48899999999999999</v>
      </c>
      <c r="G31" s="3">
        <v>3.4060000000000001</v>
      </c>
      <c r="H31" s="5">
        <v>0.70599999999999996</v>
      </c>
      <c r="I31" s="5">
        <v>0.87009999999999998</v>
      </c>
      <c r="J31" s="5">
        <v>0.93379999999999996</v>
      </c>
      <c r="K31" s="4">
        <v>1559.6</v>
      </c>
      <c r="L31" s="3">
        <v>9.25</v>
      </c>
      <c r="M31" s="3">
        <v>312.10000000000002</v>
      </c>
      <c r="N31" s="3">
        <v>29.4</v>
      </c>
      <c r="O31" s="3">
        <v>263.39999999999998</v>
      </c>
      <c r="P31" s="3">
        <v>92.72</v>
      </c>
      <c r="Q31" s="3">
        <v>5.64</v>
      </c>
      <c r="R31" s="3">
        <v>25.39</v>
      </c>
      <c r="S31" s="5">
        <v>0.47599999999999998</v>
      </c>
      <c r="T31" s="3">
        <v>1.48</v>
      </c>
      <c r="U31" s="2" t="s">
        <v>135</v>
      </c>
      <c r="V31" s="4">
        <v>1294.0999999999999</v>
      </c>
      <c r="W31" s="3">
        <v>14.15</v>
      </c>
      <c r="X31" s="3">
        <v>417.8</v>
      </c>
      <c r="Y31" s="3">
        <v>3.24</v>
      </c>
    </row>
    <row r="32" spans="1:25" x14ac:dyDescent="0.3">
      <c r="A32" s="2" t="s">
        <v>796</v>
      </c>
      <c r="B32" s="2" t="s">
        <v>141</v>
      </c>
      <c r="C32" s="3">
        <v>67.244</v>
      </c>
      <c r="D32" s="5">
        <v>0.378</v>
      </c>
      <c r="E32" s="3">
        <v>3.8170000000000002</v>
      </c>
      <c r="F32" s="5">
        <v>0.53900000000000003</v>
      </c>
      <c r="G32" s="3">
        <v>3.4009999999999998</v>
      </c>
      <c r="H32" s="5">
        <v>0.63300000000000001</v>
      </c>
      <c r="I32" s="5">
        <v>0.8911</v>
      </c>
      <c r="J32" s="5">
        <v>0.92620000000000002</v>
      </c>
      <c r="K32" s="4">
        <v>1687.2</v>
      </c>
      <c r="L32" s="3">
        <v>9.57</v>
      </c>
      <c r="M32" s="3">
        <v>317</v>
      </c>
      <c r="N32" s="3">
        <v>31.9</v>
      </c>
      <c r="O32" s="3">
        <v>258.39999999999998</v>
      </c>
      <c r="P32" s="3">
        <v>93.18</v>
      </c>
      <c r="Q32" s="3">
        <v>5.15</v>
      </c>
      <c r="R32" s="3">
        <v>24.47</v>
      </c>
      <c r="S32" s="5">
        <v>0.8</v>
      </c>
      <c r="T32" s="5">
        <v>0.78</v>
      </c>
      <c r="U32" s="2" t="s">
        <v>139</v>
      </c>
      <c r="V32" s="4">
        <v>1301.0999999999999</v>
      </c>
      <c r="W32" s="3">
        <v>14.35</v>
      </c>
      <c r="X32" s="3">
        <v>417.3</v>
      </c>
      <c r="Y32" s="3">
        <v>3.23</v>
      </c>
    </row>
    <row r="33" spans="1:25" x14ac:dyDescent="0.3">
      <c r="A33" s="2" t="s">
        <v>797</v>
      </c>
      <c r="B33" s="2" t="s">
        <v>145</v>
      </c>
      <c r="C33" s="3">
        <v>67.245000000000005</v>
      </c>
      <c r="D33" s="5">
        <v>0.34200000000000003</v>
      </c>
      <c r="E33" s="3">
        <v>3.7330000000000001</v>
      </c>
      <c r="F33" s="5">
        <v>0.61799999999999999</v>
      </c>
      <c r="G33" s="3">
        <v>3.1789999999999998</v>
      </c>
      <c r="H33" s="5">
        <v>0.79400000000000004</v>
      </c>
      <c r="I33" s="5">
        <v>0.85170000000000001</v>
      </c>
      <c r="J33" s="5">
        <v>0.91320000000000001</v>
      </c>
      <c r="K33" s="4">
        <v>1647</v>
      </c>
      <c r="L33" s="3">
        <v>9.76</v>
      </c>
      <c r="M33" s="3">
        <v>297.2</v>
      </c>
      <c r="N33" s="3">
        <v>31</v>
      </c>
      <c r="O33" s="3">
        <v>232.2</v>
      </c>
      <c r="P33" s="3">
        <v>92.63</v>
      </c>
      <c r="Q33" s="3">
        <v>6.56</v>
      </c>
      <c r="R33" s="3">
        <v>25.42</v>
      </c>
      <c r="S33" s="5">
        <v>0.71</v>
      </c>
      <c r="T33" s="3">
        <v>2.17</v>
      </c>
      <c r="U33" s="2" t="s">
        <v>143</v>
      </c>
      <c r="V33" s="4">
        <v>1293.5</v>
      </c>
      <c r="W33" s="3">
        <v>13.9</v>
      </c>
      <c r="X33" s="3">
        <v>421.3</v>
      </c>
      <c r="Y33" s="3">
        <v>3.21</v>
      </c>
    </row>
    <row r="34" spans="1:25" x14ac:dyDescent="0.3">
      <c r="A34" s="2" t="s">
        <v>798</v>
      </c>
      <c r="B34" s="2" t="s">
        <v>149</v>
      </c>
      <c r="C34" s="3">
        <v>67.393000000000001</v>
      </c>
      <c r="D34" s="5">
        <v>0.33400000000000002</v>
      </c>
      <c r="E34" s="3">
        <v>3.661</v>
      </c>
      <c r="F34" s="5">
        <v>0.497</v>
      </c>
      <c r="G34" s="3">
        <v>3.1589999999999998</v>
      </c>
      <c r="H34" s="5">
        <v>0.76500000000000001</v>
      </c>
      <c r="I34" s="5">
        <v>0.86299999999999999</v>
      </c>
      <c r="J34" s="5">
        <v>0.94399999999999995</v>
      </c>
      <c r="K34" s="4">
        <v>1644.6</v>
      </c>
      <c r="L34" s="3">
        <v>8.5500000000000007</v>
      </c>
      <c r="M34" s="3">
        <v>304.89999999999998</v>
      </c>
      <c r="N34" s="3">
        <v>21.4</v>
      </c>
      <c r="O34" s="3">
        <v>238.4</v>
      </c>
      <c r="P34" s="3">
        <v>91.51</v>
      </c>
      <c r="Q34" s="3">
        <v>5.76</v>
      </c>
      <c r="R34" s="3">
        <v>23.16</v>
      </c>
      <c r="S34" s="5">
        <v>0.64600000000000002</v>
      </c>
      <c r="T34" s="5">
        <v>0.6</v>
      </c>
      <c r="U34" s="2" t="s">
        <v>147</v>
      </c>
      <c r="V34" s="4">
        <v>1308.8</v>
      </c>
      <c r="W34" s="3">
        <v>14.09</v>
      </c>
      <c r="X34" s="3">
        <v>423</v>
      </c>
      <c r="Y34" s="3">
        <v>3.07</v>
      </c>
    </row>
    <row r="35" spans="1:25" x14ac:dyDescent="0.3">
      <c r="A35" s="2" t="s">
        <v>799</v>
      </c>
      <c r="B35" s="2" t="s">
        <v>153</v>
      </c>
      <c r="C35" s="3">
        <v>66.992999999999995</v>
      </c>
      <c r="D35" s="5">
        <v>0.33300000000000002</v>
      </c>
      <c r="E35" s="3">
        <v>3.6269999999999998</v>
      </c>
      <c r="F35" s="5">
        <v>0.53100000000000003</v>
      </c>
      <c r="G35" s="3">
        <v>3.145</v>
      </c>
      <c r="H35" s="5">
        <v>0.86399999999999999</v>
      </c>
      <c r="I35" s="5">
        <v>0.86709999999999998</v>
      </c>
      <c r="J35" s="5">
        <v>0.96409999999999996</v>
      </c>
      <c r="K35" s="4">
        <v>1754.5</v>
      </c>
      <c r="L35" s="3">
        <v>8.19</v>
      </c>
      <c r="M35" s="3">
        <v>313.2</v>
      </c>
      <c r="N35" s="3">
        <v>31.8</v>
      </c>
      <c r="O35" s="3">
        <v>242.9</v>
      </c>
      <c r="P35" s="3">
        <v>91.55</v>
      </c>
      <c r="Q35" s="3">
        <v>6.05</v>
      </c>
      <c r="R35" s="3">
        <v>25.5</v>
      </c>
      <c r="S35" s="5">
        <v>0.66500000000000004</v>
      </c>
      <c r="T35" s="5">
        <v>0.88</v>
      </c>
      <c r="U35" s="2" t="s">
        <v>151</v>
      </c>
      <c r="V35" s="4">
        <v>1295.0999999999999</v>
      </c>
      <c r="W35" s="3">
        <v>14.32</v>
      </c>
      <c r="X35" s="3">
        <v>419.5</v>
      </c>
      <c r="Y35" s="3">
        <v>3.07</v>
      </c>
    </row>
    <row r="36" spans="1:25" x14ac:dyDescent="0.3">
      <c r="A36" s="2" t="s">
        <v>800</v>
      </c>
      <c r="B36" s="2" t="s">
        <v>157</v>
      </c>
      <c r="C36" s="3">
        <v>66.998000000000005</v>
      </c>
      <c r="D36" s="5">
        <v>0.36299999999999999</v>
      </c>
      <c r="E36" s="3">
        <v>3.827</v>
      </c>
      <c r="F36" s="5">
        <v>0.52</v>
      </c>
      <c r="G36" s="3">
        <v>3.3639999999999999</v>
      </c>
      <c r="H36" s="5">
        <v>0.68700000000000006</v>
      </c>
      <c r="I36" s="5">
        <v>0.87909999999999999</v>
      </c>
      <c r="J36" s="5">
        <v>0.93210000000000004</v>
      </c>
      <c r="K36" s="4">
        <v>1664.8</v>
      </c>
      <c r="L36" s="3">
        <v>8.8800000000000008</v>
      </c>
      <c r="M36" s="3">
        <v>306.7</v>
      </c>
      <c r="N36" s="3">
        <v>28.7</v>
      </c>
      <c r="O36" s="3">
        <v>236.1</v>
      </c>
      <c r="P36" s="3">
        <v>90.73</v>
      </c>
      <c r="Q36" s="3">
        <v>5.77</v>
      </c>
      <c r="R36" s="3">
        <v>23.62</v>
      </c>
      <c r="S36" s="5">
        <v>0.51900000000000002</v>
      </c>
      <c r="T36" s="5">
        <v>0.56999999999999995</v>
      </c>
      <c r="U36" s="2" t="s">
        <v>155</v>
      </c>
      <c r="V36" s="4">
        <v>1303.4000000000001</v>
      </c>
      <c r="W36" s="3">
        <v>14.56</v>
      </c>
      <c r="X36" s="3">
        <v>420.6</v>
      </c>
      <c r="Y36" s="3">
        <v>3.2</v>
      </c>
    </row>
    <row r="37" spans="1:25" x14ac:dyDescent="0.3">
      <c r="A37" s="2" t="s">
        <v>801</v>
      </c>
      <c r="B37" s="2" t="s">
        <v>161</v>
      </c>
      <c r="C37" s="3">
        <v>67.036000000000001</v>
      </c>
      <c r="D37" s="5">
        <v>0.36</v>
      </c>
      <c r="E37" s="3">
        <v>3.8010000000000002</v>
      </c>
      <c r="F37" s="5">
        <v>0.59899999999999998</v>
      </c>
      <c r="G37" s="3">
        <v>3.3290000000000002</v>
      </c>
      <c r="H37" s="5">
        <v>0.77700000000000002</v>
      </c>
      <c r="I37" s="5">
        <v>0.87570000000000003</v>
      </c>
      <c r="J37" s="5">
        <v>0.93310000000000004</v>
      </c>
      <c r="K37" s="4">
        <v>1719.9</v>
      </c>
      <c r="L37" s="3">
        <v>8.57</v>
      </c>
      <c r="M37" s="3">
        <v>303.60000000000002</v>
      </c>
      <c r="N37" s="3">
        <v>26.4</v>
      </c>
      <c r="O37" s="3">
        <v>213.1</v>
      </c>
      <c r="P37" s="3">
        <v>93.2</v>
      </c>
      <c r="Q37" s="3">
        <v>5.5</v>
      </c>
      <c r="R37" s="3">
        <v>26.16</v>
      </c>
      <c r="S37" s="5">
        <v>0.69299999999999995</v>
      </c>
      <c r="T37" s="3">
        <v>1.04</v>
      </c>
      <c r="U37" s="2" t="s">
        <v>159</v>
      </c>
      <c r="V37" s="4">
        <v>1301.0999999999999</v>
      </c>
      <c r="W37" s="3">
        <v>13.85</v>
      </c>
      <c r="X37" s="3">
        <v>414</v>
      </c>
      <c r="Y37" s="3">
        <v>3.12</v>
      </c>
    </row>
    <row r="38" spans="1:25" x14ac:dyDescent="0.3">
      <c r="A38" s="2" t="s">
        <v>802</v>
      </c>
      <c r="B38" s="2" t="s">
        <v>165</v>
      </c>
      <c r="C38" s="3">
        <v>67.378</v>
      </c>
      <c r="D38" s="5">
        <v>0.34599999999999997</v>
      </c>
      <c r="E38" s="3">
        <v>3.9129999999999998</v>
      </c>
      <c r="F38" s="5">
        <v>0.59</v>
      </c>
      <c r="G38" s="3">
        <v>3.3180000000000001</v>
      </c>
      <c r="H38" s="5">
        <v>0.64600000000000002</v>
      </c>
      <c r="I38" s="5">
        <v>0.8478</v>
      </c>
      <c r="J38" s="5">
        <v>0.88009999999999999</v>
      </c>
      <c r="K38" s="4">
        <v>1575.2</v>
      </c>
      <c r="L38" s="3">
        <v>8.9</v>
      </c>
      <c r="M38" s="3">
        <v>287.5</v>
      </c>
      <c r="N38" s="3">
        <v>36.4</v>
      </c>
      <c r="O38" s="3">
        <v>242</v>
      </c>
      <c r="P38" s="3">
        <v>91.36</v>
      </c>
      <c r="Q38" s="3">
        <v>5.63</v>
      </c>
      <c r="R38" s="3">
        <v>25.42</v>
      </c>
      <c r="S38" s="5">
        <v>0.68799999999999994</v>
      </c>
      <c r="T38" s="3">
        <v>1.87</v>
      </c>
      <c r="U38" s="2" t="s">
        <v>163</v>
      </c>
      <c r="V38" s="4">
        <v>1288.5</v>
      </c>
      <c r="W38" s="3">
        <v>14.42</v>
      </c>
      <c r="X38" s="3">
        <v>420.3</v>
      </c>
      <c r="Y38" s="3">
        <v>3.2</v>
      </c>
    </row>
    <row r="39" spans="1:25" x14ac:dyDescent="0.3">
      <c r="A39" s="2" t="s">
        <v>803</v>
      </c>
      <c r="B39" s="2" t="s">
        <v>169</v>
      </c>
      <c r="C39" s="3">
        <v>67.13</v>
      </c>
      <c r="D39" s="5">
        <v>0.376</v>
      </c>
      <c r="E39" s="3">
        <v>3.7930000000000001</v>
      </c>
      <c r="F39" s="5">
        <v>0.54600000000000004</v>
      </c>
      <c r="G39" s="3">
        <v>3.254</v>
      </c>
      <c r="H39" s="5">
        <v>0.70399999999999996</v>
      </c>
      <c r="I39" s="5">
        <v>0.85780000000000001</v>
      </c>
      <c r="J39" s="5">
        <v>0.9123</v>
      </c>
      <c r="K39" s="4">
        <v>1751.7</v>
      </c>
      <c r="L39" s="3">
        <v>9.0500000000000007</v>
      </c>
      <c r="M39" s="3">
        <v>298</v>
      </c>
      <c r="N39" s="3">
        <v>21.6</v>
      </c>
      <c r="O39" s="3">
        <v>232.6</v>
      </c>
      <c r="P39" s="3">
        <v>93.15</v>
      </c>
      <c r="Q39" s="3">
        <v>5.86</v>
      </c>
      <c r="R39" s="3">
        <v>24.53</v>
      </c>
      <c r="S39" s="5">
        <v>0.5</v>
      </c>
      <c r="T39" s="3">
        <v>1.38</v>
      </c>
      <c r="U39" s="2" t="s">
        <v>167</v>
      </c>
      <c r="V39" s="4">
        <v>1304.9000000000001</v>
      </c>
      <c r="W39" s="3">
        <v>13.65</v>
      </c>
      <c r="X39" s="3">
        <v>414.6</v>
      </c>
      <c r="Y39" s="3">
        <v>3.22</v>
      </c>
    </row>
    <row r="40" spans="1:25" x14ac:dyDescent="0.3">
      <c r="A40" s="2" t="s">
        <v>804</v>
      </c>
      <c r="B40" s="2" t="s">
        <v>173</v>
      </c>
      <c r="C40" s="3">
        <v>67.244</v>
      </c>
      <c r="D40" s="5">
        <v>0.309</v>
      </c>
      <c r="E40" s="3">
        <v>3.7919999999999998</v>
      </c>
      <c r="F40" s="5">
        <v>0.48799999999999999</v>
      </c>
      <c r="G40" s="3">
        <v>3.3370000000000002</v>
      </c>
      <c r="H40" s="5">
        <v>0.78100000000000003</v>
      </c>
      <c r="I40" s="5">
        <v>0.87990000000000002</v>
      </c>
      <c r="J40" s="5">
        <v>0.96209999999999996</v>
      </c>
      <c r="K40" s="4">
        <v>1570.6</v>
      </c>
      <c r="L40" s="3">
        <v>8.64</v>
      </c>
      <c r="M40" s="3">
        <v>313.10000000000002</v>
      </c>
      <c r="N40" s="3">
        <v>23.3</v>
      </c>
      <c r="O40" s="3">
        <v>240.7</v>
      </c>
      <c r="P40" s="3">
        <v>91.87</v>
      </c>
      <c r="Q40" s="3">
        <v>5.73</v>
      </c>
      <c r="R40" s="3">
        <v>22.98</v>
      </c>
      <c r="S40" s="5">
        <v>0.70199999999999996</v>
      </c>
      <c r="T40" s="3">
        <v>1.23</v>
      </c>
      <c r="U40" s="2" t="s">
        <v>171</v>
      </c>
      <c r="V40" s="4">
        <v>1303</v>
      </c>
      <c r="W40" s="3">
        <v>14.14</v>
      </c>
      <c r="X40" s="3">
        <v>416.5</v>
      </c>
      <c r="Y40" s="3">
        <v>3.25</v>
      </c>
    </row>
    <row r="41" spans="1:25" x14ac:dyDescent="0.3">
      <c r="A41" s="2" t="s">
        <v>805</v>
      </c>
      <c r="B41" s="2" t="s">
        <v>177</v>
      </c>
      <c r="C41" s="3">
        <v>67.108999999999995</v>
      </c>
      <c r="D41" s="5">
        <v>0.34100000000000003</v>
      </c>
      <c r="E41" s="3">
        <v>3.7879999999999998</v>
      </c>
      <c r="F41" s="5">
        <v>0.51200000000000001</v>
      </c>
      <c r="G41" s="3">
        <v>3.3210000000000002</v>
      </c>
      <c r="H41" s="5">
        <v>0.72299999999999998</v>
      </c>
      <c r="I41" s="5">
        <v>0.87660000000000005</v>
      </c>
      <c r="J41" s="5">
        <v>0.94040000000000001</v>
      </c>
      <c r="K41" s="4">
        <v>1595.2</v>
      </c>
      <c r="L41" s="3">
        <v>9.1199999999999992</v>
      </c>
      <c r="M41" s="3">
        <v>313</v>
      </c>
      <c r="N41" s="3">
        <v>27.7</v>
      </c>
      <c r="O41" s="3">
        <v>241.9</v>
      </c>
      <c r="P41" s="3">
        <v>93.24</v>
      </c>
      <c r="Q41" s="3">
        <v>4.54</v>
      </c>
      <c r="R41" s="3">
        <v>22.88</v>
      </c>
      <c r="S41" s="5">
        <v>0.49299999999999999</v>
      </c>
      <c r="T41" s="3">
        <v>1.06</v>
      </c>
      <c r="U41" s="2" t="s">
        <v>175</v>
      </c>
      <c r="V41" s="4">
        <v>1316.7</v>
      </c>
      <c r="W41" s="3">
        <v>14.11</v>
      </c>
      <c r="X41" s="3">
        <v>417.5</v>
      </c>
      <c r="Y41" s="3">
        <v>3.1</v>
      </c>
    </row>
    <row r="42" spans="1:25" x14ac:dyDescent="0.3">
      <c r="A42" s="2" t="s">
        <v>806</v>
      </c>
      <c r="B42" s="2" t="s">
        <v>181</v>
      </c>
      <c r="C42" s="3">
        <v>67.569000000000003</v>
      </c>
      <c r="D42" s="5">
        <v>0.48</v>
      </c>
      <c r="E42" s="3">
        <v>3.944</v>
      </c>
      <c r="F42" s="5">
        <v>0.438</v>
      </c>
      <c r="G42" s="3">
        <v>3.419</v>
      </c>
      <c r="H42" s="5">
        <v>0.60699999999999998</v>
      </c>
      <c r="I42" s="5">
        <v>0.86699999999999999</v>
      </c>
      <c r="J42" s="5">
        <v>0.91890000000000005</v>
      </c>
      <c r="K42" s="4">
        <v>1725.9</v>
      </c>
      <c r="L42" s="3">
        <v>9.1999999999999993</v>
      </c>
      <c r="M42" s="3">
        <v>299</v>
      </c>
      <c r="N42" s="3">
        <v>27.6</v>
      </c>
      <c r="O42" s="3">
        <v>245.2</v>
      </c>
      <c r="P42" s="3">
        <v>90.49</v>
      </c>
      <c r="Q42" s="3">
        <v>5.83</v>
      </c>
      <c r="R42" s="3">
        <v>24.08</v>
      </c>
      <c r="S42" s="5">
        <v>0.70199999999999996</v>
      </c>
      <c r="T42" s="5">
        <v>0.85</v>
      </c>
      <c r="U42" s="2" t="s">
        <v>179</v>
      </c>
      <c r="V42" s="4">
        <v>1290.0999999999999</v>
      </c>
      <c r="W42" s="3">
        <v>14.36</v>
      </c>
      <c r="X42" s="3">
        <v>415.6</v>
      </c>
      <c r="Y42" s="3">
        <v>3.28</v>
      </c>
    </row>
    <row r="43" spans="1:25" x14ac:dyDescent="0.3">
      <c r="A43" s="2" t="s">
        <v>807</v>
      </c>
      <c r="B43" s="2" t="s">
        <v>185</v>
      </c>
      <c r="C43" s="3">
        <v>67.153000000000006</v>
      </c>
      <c r="D43" s="5">
        <v>0.36</v>
      </c>
      <c r="E43" s="3">
        <v>3.6419999999999999</v>
      </c>
      <c r="F43" s="5">
        <v>0.52500000000000002</v>
      </c>
      <c r="G43" s="3">
        <v>3.093</v>
      </c>
      <c r="H43" s="5">
        <v>0.74399999999999999</v>
      </c>
      <c r="I43" s="5">
        <v>0.84930000000000005</v>
      </c>
      <c r="J43" s="5">
        <v>0.92090000000000005</v>
      </c>
      <c r="K43" s="4">
        <v>1637.1</v>
      </c>
      <c r="L43" s="3">
        <v>8.9700000000000006</v>
      </c>
      <c r="M43" s="3">
        <v>304.60000000000002</v>
      </c>
      <c r="N43" s="3">
        <v>24.6</v>
      </c>
      <c r="O43" s="3">
        <v>250.1</v>
      </c>
      <c r="P43" s="3">
        <v>91.99</v>
      </c>
      <c r="Q43" s="3">
        <v>5.75</v>
      </c>
      <c r="R43" s="3">
        <v>24.02</v>
      </c>
      <c r="S43" s="5">
        <v>0.54</v>
      </c>
      <c r="T43" s="3">
        <v>1.35</v>
      </c>
      <c r="U43" s="2" t="s">
        <v>183</v>
      </c>
      <c r="V43" s="4">
        <v>1314.2</v>
      </c>
      <c r="W43" s="3">
        <v>14.03</v>
      </c>
      <c r="X43" s="3">
        <v>418.3</v>
      </c>
      <c r="Y43" s="3">
        <v>3.26</v>
      </c>
    </row>
    <row r="44" spans="1:25" x14ac:dyDescent="0.3">
      <c r="A44" s="2" t="s">
        <v>808</v>
      </c>
      <c r="B44" s="2" t="s">
        <v>189</v>
      </c>
      <c r="C44" s="3">
        <v>67.088999999999999</v>
      </c>
      <c r="D44" s="5">
        <v>0.373</v>
      </c>
      <c r="E44" s="3">
        <v>3.6150000000000002</v>
      </c>
      <c r="F44" s="5">
        <v>0.52400000000000002</v>
      </c>
      <c r="G44" s="3">
        <v>3.0569999999999999</v>
      </c>
      <c r="H44" s="5">
        <v>0.69399999999999995</v>
      </c>
      <c r="I44" s="5">
        <v>0.84550000000000003</v>
      </c>
      <c r="J44" s="5">
        <v>0.90629999999999999</v>
      </c>
      <c r="K44" s="4">
        <v>1656.9</v>
      </c>
      <c r="L44" s="3">
        <v>8.94</v>
      </c>
      <c r="M44" s="3">
        <v>286.10000000000002</v>
      </c>
      <c r="N44" s="3">
        <v>30</v>
      </c>
      <c r="O44" s="3">
        <v>219.8</v>
      </c>
      <c r="P44" s="3">
        <v>92.5</v>
      </c>
      <c r="Q44" s="3">
        <v>6.31</v>
      </c>
      <c r="R44" s="3">
        <v>28</v>
      </c>
      <c r="S44" s="5">
        <v>0.65900000000000003</v>
      </c>
      <c r="T44" s="5">
        <v>0.86</v>
      </c>
      <c r="U44" s="2" t="s">
        <v>187</v>
      </c>
      <c r="V44" s="4">
        <v>1298.7</v>
      </c>
      <c r="W44" s="3">
        <v>13.51</v>
      </c>
      <c r="X44" s="3">
        <v>419.9</v>
      </c>
      <c r="Y44" s="3">
        <v>3.15</v>
      </c>
    </row>
    <row r="45" spans="1:25" x14ac:dyDescent="0.3">
      <c r="A45" s="2" t="s">
        <v>809</v>
      </c>
      <c r="B45" s="2" t="s">
        <v>193</v>
      </c>
      <c r="C45" s="3">
        <v>67.051000000000002</v>
      </c>
      <c r="D45" s="5">
        <v>0.374</v>
      </c>
      <c r="E45" s="3">
        <v>3.766</v>
      </c>
      <c r="F45" s="5">
        <v>0.53400000000000003</v>
      </c>
      <c r="G45" s="3">
        <v>3.4020000000000001</v>
      </c>
      <c r="H45" s="5">
        <v>0.73399999999999999</v>
      </c>
      <c r="I45" s="5">
        <v>0.90329999999999999</v>
      </c>
      <c r="J45" s="5">
        <v>0.96179999999999999</v>
      </c>
      <c r="K45" s="4">
        <v>1668.7</v>
      </c>
      <c r="L45" s="3">
        <v>9.65</v>
      </c>
      <c r="M45" s="3">
        <v>307</v>
      </c>
      <c r="N45" s="3">
        <v>27.4</v>
      </c>
      <c r="O45" s="3">
        <v>252.6</v>
      </c>
      <c r="P45" s="3">
        <v>92.46</v>
      </c>
      <c r="Q45" s="3">
        <v>5.47</v>
      </c>
      <c r="R45" s="3">
        <v>24.87</v>
      </c>
      <c r="S45" s="5">
        <v>0.78200000000000003</v>
      </c>
      <c r="T45" s="3">
        <v>1.76</v>
      </c>
      <c r="U45" s="2" t="s">
        <v>191</v>
      </c>
      <c r="V45" s="4">
        <v>1307.8</v>
      </c>
      <c r="W45" s="3">
        <v>13.8</v>
      </c>
      <c r="X45" s="3">
        <v>418.8</v>
      </c>
      <c r="Y45" s="3">
        <v>3.19</v>
      </c>
    </row>
    <row r="46" spans="1:25" x14ac:dyDescent="0.3">
      <c r="A46" s="2" t="s">
        <v>810</v>
      </c>
      <c r="B46" s="2" t="s">
        <v>197</v>
      </c>
      <c r="C46" s="3">
        <v>67.411000000000001</v>
      </c>
      <c r="D46" s="5">
        <v>0.25800000000000001</v>
      </c>
      <c r="E46" s="3">
        <v>3.8690000000000002</v>
      </c>
      <c r="F46" s="5">
        <v>0.54600000000000004</v>
      </c>
      <c r="G46" s="3">
        <v>3.673</v>
      </c>
      <c r="H46" s="5">
        <v>0.69499999999999995</v>
      </c>
      <c r="I46" s="5">
        <v>0.94920000000000004</v>
      </c>
      <c r="J46" s="5">
        <v>0.98929999999999996</v>
      </c>
      <c r="K46" s="4">
        <v>1623.9</v>
      </c>
      <c r="L46" s="3">
        <v>9.14</v>
      </c>
      <c r="M46" s="3">
        <v>306</v>
      </c>
      <c r="N46" s="3">
        <v>23.6</v>
      </c>
      <c r="O46" s="3">
        <v>242</v>
      </c>
      <c r="P46" s="3">
        <v>92.93</v>
      </c>
      <c r="Q46" s="3">
        <v>5.0999999999999996</v>
      </c>
      <c r="R46" s="3">
        <v>26.6</v>
      </c>
      <c r="S46" s="5">
        <v>0.51100000000000001</v>
      </c>
      <c r="T46" s="3">
        <v>1.1399999999999999</v>
      </c>
      <c r="U46" s="2" t="s">
        <v>195</v>
      </c>
      <c r="V46" s="4">
        <v>1311.2</v>
      </c>
      <c r="W46" s="3">
        <v>14.19</v>
      </c>
      <c r="X46" s="3">
        <v>423.6</v>
      </c>
      <c r="Y46" s="3">
        <v>3.22</v>
      </c>
    </row>
    <row r="47" spans="1:25" x14ac:dyDescent="0.3">
      <c r="A47" s="2" t="s">
        <v>811</v>
      </c>
      <c r="B47" s="2" t="s">
        <v>201</v>
      </c>
      <c r="C47" s="3">
        <v>66.971999999999994</v>
      </c>
      <c r="D47" s="5">
        <v>0.25800000000000001</v>
      </c>
      <c r="E47" s="3">
        <v>3.4750000000000001</v>
      </c>
      <c r="F47" s="5">
        <v>0.53600000000000003</v>
      </c>
      <c r="G47" s="3">
        <v>3.21</v>
      </c>
      <c r="H47" s="5">
        <v>0.59499999999999997</v>
      </c>
      <c r="I47" s="5">
        <v>0.92369999999999997</v>
      </c>
      <c r="J47" s="5">
        <v>0.94840000000000002</v>
      </c>
      <c r="K47" s="4">
        <v>1706.9</v>
      </c>
      <c r="L47" s="3">
        <v>8.94</v>
      </c>
      <c r="M47" s="3">
        <v>304.89999999999998</v>
      </c>
      <c r="N47" s="3">
        <v>26.2</v>
      </c>
      <c r="O47" s="3">
        <v>237.5</v>
      </c>
      <c r="P47" s="3">
        <v>92.78</v>
      </c>
      <c r="Q47" s="3">
        <v>5.94</v>
      </c>
      <c r="R47" s="3">
        <v>22.92</v>
      </c>
      <c r="S47" s="5">
        <v>0.88300000000000001</v>
      </c>
      <c r="T47" s="5">
        <v>0.93</v>
      </c>
      <c r="U47" s="2" t="s">
        <v>199</v>
      </c>
      <c r="V47" s="4">
        <v>1317.8</v>
      </c>
      <c r="W47" s="3">
        <v>13.84</v>
      </c>
      <c r="X47" s="3">
        <v>417.9</v>
      </c>
      <c r="Y47" s="3">
        <v>3.12</v>
      </c>
    </row>
    <row r="48" spans="1:25" x14ac:dyDescent="0.3">
      <c r="A48" s="2" t="s">
        <v>812</v>
      </c>
      <c r="B48" s="2" t="s">
        <v>205</v>
      </c>
      <c r="C48" s="3">
        <v>67.644000000000005</v>
      </c>
      <c r="D48" s="5">
        <v>0.28000000000000003</v>
      </c>
      <c r="E48" s="3">
        <v>3.6509999999999998</v>
      </c>
      <c r="F48" s="5">
        <v>0.53</v>
      </c>
      <c r="G48" s="3">
        <v>3.2879999999999998</v>
      </c>
      <c r="H48" s="5">
        <v>0.70199999999999996</v>
      </c>
      <c r="I48" s="5">
        <v>0.90049999999999997</v>
      </c>
      <c r="J48" s="5">
        <v>0.95409999999999995</v>
      </c>
      <c r="K48" s="4">
        <v>1630.7</v>
      </c>
      <c r="L48" s="3">
        <v>9.1</v>
      </c>
      <c r="M48" s="3">
        <v>297.39999999999998</v>
      </c>
      <c r="N48" s="3">
        <v>25.3</v>
      </c>
      <c r="O48" s="3">
        <v>238.1</v>
      </c>
      <c r="P48" s="3">
        <v>91.22</v>
      </c>
      <c r="Q48" s="3">
        <v>6.08</v>
      </c>
      <c r="R48" s="3">
        <v>22.64</v>
      </c>
      <c r="S48" s="5">
        <v>0.49099999999999999</v>
      </c>
      <c r="T48" s="3">
        <v>1.3</v>
      </c>
      <c r="U48" s="2" t="s">
        <v>203</v>
      </c>
      <c r="V48" s="4">
        <v>1319.4</v>
      </c>
      <c r="W48" s="3">
        <v>13.7</v>
      </c>
      <c r="X48" s="3">
        <v>422.4</v>
      </c>
      <c r="Y48" s="3">
        <v>3.17</v>
      </c>
    </row>
    <row r="49" spans="1:25" x14ac:dyDescent="0.3">
      <c r="A49" s="2" t="s">
        <v>813</v>
      </c>
      <c r="B49" s="2" t="s">
        <v>209</v>
      </c>
      <c r="C49" s="3">
        <v>67.177999999999997</v>
      </c>
      <c r="D49" s="5">
        <v>0.36299999999999999</v>
      </c>
      <c r="E49" s="3">
        <v>3.6589999999999998</v>
      </c>
      <c r="F49" s="5">
        <v>0.496</v>
      </c>
      <c r="G49" s="3">
        <v>3.319</v>
      </c>
      <c r="H49" s="5">
        <v>0.68899999999999995</v>
      </c>
      <c r="I49" s="5">
        <v>0.90710000000000002</v>
      </c>
      <c r="J49" s="5">
        <v>0.96450000000000002</v>
      </c>
      <c r="K49" s="4">
        <v>1586.9</v>
      </c>
      <c r="L49" s="3">
        <v>8.7799999999999994</v>
      </c>
      <c r="M49" s="3">
        <v>295.39999999999998</v>
      </c>
      <c r="N49" s="3">
        <v>24.7</v>
      </c>
      <c r="O49" s="3">
        <v>225.8</v>
      </c>
      <c r="P49" s="3">
        <v>92.08</v>
      </c>
      <c r="Q49" s="3">
        <v>5.86</v>
      </c>
      <c r="R49" s="3">
        <v>23.05</v>
      </c>
      <c r="S49" s="5">
        <v>0.83399999999999996</v>
      </c>
      <c r="T49" s="3">
        <v>1.72</v>
      </c>
      <c r="U49" s="2" t="s">
        <v>207</v>
      </c>
      <c r="V49" s="4">
        <v>1299.5999999999999</v>
      </c>
      <c r="W49" s="3">
        <v>14.09</v>
      </c>
      <c r="X49" s="3">
        <v>421.3</v>
      </c>
      <c r="Y49" s="3">
        <v>3.22</v>
      </c>
    </row>
    <row r="50" spans="1:25" x14ac:dyDescent="0.3">
      <c r="A50" s="2" t="s">
        <v>814</v>
      </c>
      <c r="B50" s="2" t="s">
        <v>213</v>
      </c>
      <c r="C50" s="3">
        <v>67.331999999999994</v>
      </c>
      <c r="D50" s="5">
        <v>0.32500000000000001</v>
      </c>
      <c r="E50" s="3">
        <v>4.1749999999999998</v>
      </c>
      <c r="F50" s="5">
        <v>0.625</v>
      </c>
      <c r="G50" s="3">
        <v>3.7410000000000001</v>
      </c>
      <c r="H50" s="5">
        <v>0.82499999999999996</v>
      </c>
      <c r="I50" s="5">
        <v>0.89610000000000001</v>
      </c>
      <c r="J50" s="5">
        <v>0.95120000000000005</v>
      </c>
      <c r="K50" s="4">
        <v>1657.3</v>
      </c>
      <c r="L50" s="3">
        <v>9.56</v>
      </c>
      <c r="M50" s="3">
        <v>321.60000000000002</v>
      </c>
      <c r="N50" s="3">
        <v>21.3</v>
      </c>
      <c r="O50" s="3">
        <v>274.7</v>
      </c>
      <c r="P50" s="3">
        <v>91.88</v>
      </c>
      <c r="Q50" s="3">
        <v>5.12</v>
      </c>
      <c r="R50" s="3">
        <v>24.76</v>
      </c>
      <c r="S50" s="5">
        <v>0.66100000000000003</v>
      </c>
      <c r="T50" s="3">
        <v>1.44</v>
      </c>
      <c r="U50" s="2" t="s">
        <v>211</v>
      </c>
      <c r="V50" s="4">
        <v>1312.1</v>
      </c>
      <c r="W50" s="3">
        <v>14.13</v>
      </c>
      <c r="X50" s="3">
        <v>421.5</v>
      </c>
      <c r="Y50" s="3">
        <v>3.16</v>
      </c>
    </row>
    <row r="51" spans="1:25" x14ac:dyDescent="0.3">
      <c r="A51" s="2" t="s">
        <v>815</v>
      </c>
      <c r="B51" s="2" t="s">
        <v>217</v>
      </c>
      <c r="C51" s="3">
        <v>67.052000000000007</v>
      </c>
      <c r="D51" s="5">
        <v>0.41799999999999998</v>
      </c>
      <c r="E51" s="3">
        <v>3.5030000000000001</v>
      </c>
      <c r="F51" s="5">
        <v>0.58899999999999997</v>
      </c>
      <c r="G51" s="3">
        <v>3.0990000000000002</v>
      </c>
      <c r="H51" s="5">
        <v>0.63700000000000001</v>
      </c>
      <c r="I51" s="5">
        <v>0.88480000000000003</v>
      </c>
      <c r="J51" s="5">
        <v>0.91310000000000002</v>
      </c>
      <c r="K51" s="4">
        <v>1662.6</v>
      </c>
      <c r="L51" s="3">
        <v>8.74</v>
      </c>
      <c r="M51" s="3">
        <v>302.8</v>
      </c>
      <c r="N51" s="3">
        <v>24.6</v>
      </c>
      <c r="O51" s="3">
        <v>253.3</v>
      </c>
      <c r="P51" s="3">
        <v>91.68</v>
      </c>
      <c r="Q51" s="3">
        <v>6.07</v>
      </c>
      <c r="R51" s="3">
        <v>23.82</v>
      </c>
      <c r="S51" s="5">
        <v>0.91700000000000004</v>
      </c>
      <c r="T51" s="3">
        <v>1.63</v>
      </c>
      <c r="U51" s="2" t="s">
        <v>215</v>
      </c>
      <c r="V51" s="4">
        <v>1316.6</v>
      </c>
      <c r="W51" s="3">
        <v>14.19</v>
      </c>
      <c r="X51" s="3">
        <v>419.9</v>
      </c>
      <c r="Y51" s="3">
        <v>3.22</v>
      </c>
    </row>
    <row r="52" spans="1:25" x14ac:dyDescent="0.3">
      <c r="A52" s="2" t="s">
        <v>816</v>
      </c>
      <c r="B52" s="2" t="s">
        <v>221</v>
      </c>
      <c r="C52" s="3">
        <v>67.197000000000003</v>
      </c>
      <c r="D52" s="5">
        <v>0.39400000000000002</v>
      </c>
      <c r="E52" s="3">
        <v>3.6280000000000001</v>
      </c>
      <c r="F52" s="5">
        <v>0.49199999999999999</v>
      </c>
      <c r="G52" s="3">
        <v>3.0760000000000001</v>
      </c>
      <c r="H52" s="5">
        <v>0.75</v>
      </c>
      <c r="I52" s="5">
        <v>0.8478</v>
      </c>
      <c r="J52" s="5">
        <v>0.9284</v>
      </c>
      <c r="K52" s="4">
        <v>1561.2</v>
      </c>
      <c r="L52" s="3">
        <v>9.1300000000000008</v>
      </c>
      <c r="M52" s="3">
        <v>321</v>
      </c>
      <c r="N52" s="3">
        <v>31.3</v>
      </c>
      <c r="O52" s="3">
        <v>271.60000000000002</v>
      </c>
      <c r="P52" s="3">
        <v>92.43</v>
      </c>
      <c r="Q52" s="3">
        <v>4.91</v>
      </c>
      <c r="R52" s="3">
        <v>22.47</v>
      </c>
      <c r="S52" s="5">
        <v>0.69699999999999995</v>
      </c>
      <c r="T52" s="5">
        <v>0.84</v>
      </c>
      <c r="U52" s="2" t="s">
        <v>219</v>
      </c>
      <c r="V52" s="4">
        <v>1301.2</v>
      </c>
      <c r="W52" s="3">
        <v>14.67</v>
      </c>
      <c r="X52" s="3">
        <v>418.2</v>
      </c>
      <c r="Y52" s="3">
        <v>3.28</v>
      </c>
    </row>
    <row r="53" spans="1:25" x14ac:dyDescent="0.3">
      <c r="A53" s="2" t="s">
        <v>817</v>
      </c>
      <c r="B53" s="2" t="s">
        <v>225</v>
      </c>
      <c r="C53" s="3">
        <v>67.192999999999998</v>
      </c>
      <c r="D53" s="5">
        <v>0.33900000000000002</v>
      </c>
      <c r="E53" s="3">
        <v>4.1289999999999996</v>
      </c>
      <c r="F53" s="5">
        <v>0.54900000000000004</v>
      </c>
      <c r="G53" s="3">
        <v>3.605</v>
      </c>
      <c r="H53" s="5">
        <v>0.79500000000000004</v>
      </c>
      <c r="I53" s="5">
        <v>0.87309999999999999</v>
      </c>
      <c r="J53" s="5">
        <v>0.94040000000000001</v>
      </c>
      <c r="K53" s="4">
        <v>1751.9</v>
      </c>
      <c r="L53" s="3">
        <v>9.19</v>
      </c>
      <c r="M53" s="3">
        <v>302.7</v>
      </c>
      <c r="N53" s="3">
        <v>17</v>
      </c>
      <c r="O53" s="3">
        <v>237.4</v>
      </c>
      <c r="P53" s="3">
        <v>92.12</v>
      </c>
      <c r="Q53" s="3">
        <v>5.68</v>
      </c>
      <c r="R53" s="3">
        <v>24.43</v>
      </c>
      <c r="S53" s="5">
        <v>0.879</v>
      </c>
      <c r="T53" s="3">
        <v>1.6</v>
      </c>
      <c r="U53" s="2" t="s">
        <v>223</v>
      </c>
      <c r="V53" s="4">
        <v>1304.5999999999999</v>
      </c>
      <c r="W53" s="3">
        <v>13.85</v>
      </c>
      <c r="X53" s="3">
        <v>423.1</v>
      </c>
      <c r="Y53" s="3">
        <v>3.27</v>
      </c>
    </row>
    <row r="54" spans="1:25" x14ac:dyDescent="0.3">
      <c r="A54" s="2" t="s">
        <v>818</v>
      </c>
      <c r="B54" s="2" t="s">
        <v>229</v>
      </c>
      <c r="C54" s="3">
        <v>67.409000000000006</v>
      </c>
      <c r="D54" s="5">
        <v>0.33600000000000002</v>
      </c>
      <c r="E54" s="3">
        <v>3.6960000000000002</v>
      </c>
      <c r="F54" s="5">
        <v>0.52800000000000002</v>
      </c>
      <c r="G54" s="3">
        <v>3.3170000000000002</v>
      </c>
      <c r="H54" s="5">
        <v>0.75700000000000001</v>
      </c>
      <c r="I54" s="5">
        <v>0.89729999999999999</v>
      </c>
      <c r="J54" s="5">
        <v>0.96440000000000003</v>
      </c>
      <c r="K54" s="4">
        <v>1674.9</v>
      </c>
      <c r="L54" s="3">
        <v>8.9600000000000009</v>
      </c>
      <c r="M54" s="3">
        <v>295.3</v>
      </c>
      <c r="N54" s="3">
        <v>22.9</v>
      </c>
      <c r="O54" s="3">
        <v>228.9</v>
      </c>
      <c r="P54" s="3">
        <v>91.76</v>
      </c>
      <c r="Q54" s="3">
        <v>6.48</v>
      </c>
      <c r="R54" s="3">
        <v>24.79</v>
      </c>
      <c r="S54" s="5">
        <v>0.48199999999999998</v>
      </c>
      <c r="T54" s="3">
        <v>1.39</v>
      </c>
      <c r="U54" s="2" t="s">
        <v>227</v>
      </c>
      <c r="V54" s="4">
        <v>1309.9000000000001</v>
      </c>
      <c r="W54" s="3">
        <v>14.05</v>
      </c>
      <c r="X54" s="3">
        <v>419.5</v>
      </c>
      <c r="Y54" s="3">
        <v>3.02</v>
      </c>
    </row>
    <row r="55" spans="1:25" x14ac:dyDescent="0.3">
      <c r="A55" s="2" t="s">
        <v>819</v>
      </c>
      <c r="B55" s="2" t="s">
        <v>233</v>
      </c>
      <c r="C55" s="3">
        <v>67.061999999999998</v>
      </c>
      <c r="D55" s="5">
        <v>0.30399999999999999</v>
      </c>
      <c r="E55" s="3">
        <v>3.7789999999999999</v>
      </c>
      <c r="F55" s="5">
        <v>0.58899999999999997</v>
      </c>
      <c r="G55" s="3">
        <v>3.3660000000000001</v>
      </c>
      <c r="H55" s="5">
        <v>0.90800000000000003</v>
      </c>
      <c r="I55" s="5">
        <v>0.89070000000000005</v>
      </c>
      <c r="J55" s="5">
        <v>0.97860000000000003</v>
      </c>
      <c r="K55" s="4">
        <v>1680</v>
      </c>
      <c r="L55" s="3">
        <v>8.92</v>
      </c>
      <c r="M55" s="3">
        <v>292</v>
      </c>
      <c r="N55" s="3">
        <v>23.7</v>
      </c>
      <c r="O55" s="3">
        <v>227.7</v>
      </c>
      <c r="P55" s="3">
        <v>92.48</v>
      </c>
      <c r="Q55" s="3">
        <v>7.11</v>
      </c>
      <c r="R55" s="3">
        <v>23.99</v>
      </c>
      <c r="S55" s="5">
        <v>0.76700000000000002</v>
      </c>
      <c r="T55" s="3">
        <v>1.89</v>
      </c>
      <c r="U55" s="2" t="s">
        <v>231</v>
      </c>
      <c r="V55" s="4">
        <v>1311.9</v>
      </c>
      <c r="W55" s="3">
        <v>13.95</v>
      </c>
      <c r="X55" s="3">
        <v>419.8</v>
      </c>
      <c r="Y55" s="3">
        <v>3.16</v>
      </c>
    </row>
    <row r="56" spans="1:25" x14ac:dyDescent="0.3">
      <c r="A56" s="2" t="s">
        <v>820</v>
      </c>
      <c r="B56" s="2" t="s">
        <v>237</v>
      </c>
      <c r="C56" s="3">
        <v>67.108999999999995</v>
      </c>
      <c r="D56" s="5">
        <v>0.34200000000000003</v>
      </c>
      <c r="E56" s="3">
        <v>3.7160000000000002</v>
      </c>
      <c r="F56" s="5">
        <v>0.52500000000000002</v>
      </c>
      <c r="G56" s="3">
        <v>3.202</v>
      </c>
      <c r="H56" s="5">
        <v>0.76700000000000002</v>
      </c>
      <c r="I56" s="5">
        <v>0.86160000000000003</v>
      </c>
      <c r="J56" s="5">
        <v>0.93579999999999997</v>
      </c>
      <c r="K56" s="4">
        <v>1509.6</v>
      </c>
      <c r="L56" s="3">
        <v>9.1300000000000008</v>
      </c>
      <c r="M56" s="3">
        <v>292</v>
      </c>
      <c r="N56" s="3">
        <v>26</v>
      </c>
      <c r="O56" s="3">
        <v>245.9</v>
      </c>
      <c r="P56" s="3">
        <v>92.12</v>
      </c>
      <c r="Q56" s="3">
        <v>5.89</v>
      </c>
      <c r="R56" s="3">
        <v>22.99</v>
      </c>
      <c r="S56" s="5">
        <v>0.77700000000000002</v>
      </c>
      <c r="T56" s="3">
        <v>1.44</v>
      </c>
      <c r="U56" s="2" t="s">
        <v>235</v>
      </c>
      <c r="V56" s="4">
        <v>1313.5</v>
      </c>
      <c r="W56" s="3">
        <v>14.13</v>
      </c>
      <c r="X56" s="3">
        <v>421.9</v>
      </c>
      <c r="Y56" s="3">
        <v>3.26</v>
      </c>
    </row>
    <row r="57" spans="1:25" x14ac:dyDescent="0.3">
      <c r="A57" s="2" t="s">
        <v>821</v>
      </c>
      <c r="B57" s="2" t="s">
        <v>241</v>
      </c>
      <c r="C57" s="3">
        <v>67.347999999999999</v>
      </c>
      <c r="D57" s="5">
        <v>0.40699999999999997</v>
      </c>
      <c r="E57" s="3">
        <v>3.9660000000000002</v>
      </c>
      <c r="F57" s="5">
        <v>0.432</v>
      </c>
      <c r="G57" s="3">
        <v>3.4430000000000001</v>
      </c>
      <c r="H57" s="5">
        <v>0.70099999999999996</v>
      </c>
      <c r="I57" s="5">
        <v>0.86799999999999999</v>
      </c>
      <c r="J57" s="5">
        <v>0.94210000000000005</v>
      </c>
      <c r="K57" s="4">
        <v>1721.7</v>
      </c>
      <c r="L57" s="3">
        <v>9.5299999999999994</v>
      </c>
      <c r="M57" s="3">
        <v>297.2</v>
      </c>
      <c r="N57" s="3">
        <v>30</v>
      </c>
      <c r="O57" s="3">
        <v>247.6</v>
      </c>
      <c r="P57" s="3">
        <v>91.93</v>
      </c>
      <c r="Q57" s="3">
        <v>6.33</v>
      </c>
      <c r="R57" s="3">
        <v>24.5</v>
      </c>
      <c r="S57" s="5">
        <v>0.82899999999999996</v>
      </c>
      <c r="T57" s="3">
        <v>1.26</v>
      </c>
      <c r="U57" s="2" t="s">
        <v>239</v>
      </c>
      <c r="V57" s="4">
        <v>1313.2</v>
      </c>
      <c r="W57" s="3">
        <v>13.7</v>
      </c>
      <c r="X57" s="3">
        <v>422.4</v>
      </c>
      <c r="Y57" s="3">
        <v>3.19</v>
      </c>
    </row>
    <row r="58" spans="1:25" x14ac:dyDescent="0.3">
      <c r="A58" s="2" t="s">
        <v>822</v>
      </c>
      <c r="B58" s="2" t="s">
        <v>245</v>
      </c>
      <c r="C58" s="3">
        <v>67.304000000000002</v>
      </c>
      <c r="D58" s="5">
        <v>0.308</v>
      </c>
      <c r="E58" s="3">
        <v>3.7890000000000001</v>
      </c>
      <c r="F58" s="5">
        <v>0.55300000000000005</v>
      </c>
      <c r="G58" s="3">
        <v>3.2679999999999998</v>
      </c>
      <c r="H58" s="5">
        <v>0.76100000000000001</v>
      </c>
      <c r="I58" s="5">
        <v>0.86250000000000004</v>
      </c>
      <c r="J58" s="5">
        <v>0.92779999999999996</v>
      </c>
      <c r="K58" s="4">
        <v>1678.1</v>
      </c>
      <c r="L58" s="3">
        <v>8.99</v>
      </c>
      <c r="M58" s="3">
        <v>301.5</v>
      </c>
      <c r="N58" s="3">
        <v>20.2</v>
      </c>
      <c r="O58" s="3">
        <v>241.6</v>
      </c>
      <c r="P58" s="3">
        <v>92.67</v>
      </c>
      <c r="Q58" s="3">
        <v>5.89</v>
      </c>
      <c r="R58" s="3">
        <v>24.54</v>
      </c>
      <c r="S58" s="5">
        <v>0.85299999999999998</v>
      </c>
      <c r="T58" s="3">
        <v>1.49</v>
      </c>
      <c r="U58" s="2" t="s">
        <v>243</v>
      </c>
      <c r="V58" s="4">
        <v>1311.1</v>
      </c>
      <c r="W58" s="3">
        <v>13.84</v>
      </c>
      <c r="X58" s="3">
        <v>425.1</v>
      </c>
      <c r="Y58" s="3">
        <v>3.05</v>
      </c>
    </row>
    <row r="59" spans="1:25" x14ac:dyDescent="0.3">
      <c r="A59" s="2" t="s">
        <v>823</v>
      </c>
      <c r="B59" s="2" t="s">
        <v>249</v>
      </c>
      <c r="C59" s="3">
        <v>67.162999999999997</v>
      </c>
      <c r="D59" s="5">
        <v>0.44400000000000001</v>
      </c>
      <c r="E59" s="3">
        <v>3.972</v>
      </c>
      <c r="F59" s="5">
        <v>0.59399999999999997</v>
      </c>
      <c r="G59" s="3">
        <v>3.5939999999999999</v>
      </c>
      <c r="H59" s="5">
        <v>0.80900000000000005</v>
      </c>
      <c r="I59" s="5">
        <v>0.90480000000000005</v>
      </c>
      <c r="J59" s="5">
        <v>0.96430000000000005</v>
      </c>
      <c r="K59" s="4">
        <v>1593.7</v>
      </c>
      <c r="L59" s="3">
        <v>9.2899999999999991</v>
      </c>
      <c r="M59" s="3">
        <v>319.7</v>
      </c>
      <c r="N59" s="3">
        <v>29.5</v>
      </c>
      <c r="O59" s="3">
        <v>262.39999999999998</v>
      </c>
      <c r="P59" s="3">
        <v>93.03</v>
      </c>
      <c r="Q59" s="3">
        <v>5.33</v>
      </c>
      <c r="R59" s="3">
        <v>24.47</v>
      </c>
      <c r="S59" s="5">
        <v>0.83599999999999997</v>
      </c>
      <c r="T59" s="3">
        <v>1.92</v>
      </c>
      <c r="U59" s="2" t="s">
        <v>247</v>
      </c>
      <c r="V59" s="4">
        <v>1315.2</v>
      </c>
      <c r="W59" s="3">
        <v>13.84</v>
      </c>
      <c r="X59" s="3">
        <v>416.2</v>
      </c>
      <c r="Y59" s="3">
        <v>3.18</v>
      </c>
    </row>
    <row r="60" spans="1:25" x14ac:dyDescent="0.3">
      <c r="A60" s="2" t="s">
        <v>824</v>
      </c>
      <c r="B60" s="2" t="s">
        <v>253</v>
      </c>
      <c r="C60" s="3">
        <v>66.600999999999999</v>
      </c>
      <c r="D60" s="5">
        <v>0.40600000000000003</v>
      </c>
      <c r="E60" s="3">
        <v>3.8380000000000001</v>
      </c>
      <c r="F60" s="5">
        <v>0.55300000000000005</v>
      </c>
      <c r="G60" s="3">
        <v>3.3679999999999999</v>
      </c>
      <c r="H60" s="5">
        <v>0.75800000000000001</v>
      </c>
      <c r="I60" s="5">
        <v>0.87749999999999995</v>
      </c>
      <c r="J60" s="5">
        <v>0.9395</v>
      </c>
      <c r="K60" s="4">
        <v>1692.3</v>
      </c>
      <c r="L60" s="3">
        <v>9.44</v>
      </c>
      <c r="M60" s="3">
        <v>304.10000000000002</v>
      </c>
      <c r="N60" s="3">
        <v>27</v>
      </c>
      <c r="O60" s="3">
        <v>254.5</v>
      </c>
      <c r="P60" s="3">
        <v>91.47</v>
      </c>
      <c r="Q60" s="3">
        <v>5.61</v>
      </c>
      <c r="R60" s="3">
        <v>26.98</v>
      </c>
      <c r="S60" s="5">
        <v>0.74099999999999999</v>
      </c>
      <c r="T60" s="3">
        <v>2.12</v>
      </c>
      <c r="U60" s="2" t="s">
        <v>251</v>
      </c>
      <c r="V60" s="4">
        <v>1302.3</v>
      </c>
      <c r="W60" s="3">
        <v>14.24</v>
      </c>
      <c r="X60" s="3">
        <v>421.5</v>
      </c>
      <c r="Y60" s="3">
        <v>3.21</v>
      </c>
    </row>
    <row r="61" spans="1:25" x14ac:dyDescent="0.3">
      <c r="A61" s="2" t="s">
        <v>825</v>
      </c>
      <c r="B61" s="2" t="s">
        <v>257</v>
      </c>
      <c r="C61" s="3">
        <v>67.311000000000007</v>
      </c>
      <c r="D61" s="5">
        <v>0.316</v>
      </c>
      <c r="E61" s="3">
        <v>3.6</v>
      </c>
      <c r="F61" s="5">
        <v>0.58199999999999996</v>
      </c>
      <c r="G61" s="3">
        <v>3.1320000000000001</v>
      </c>
      <c r="H61" s="5">
        <v>0.72099999999999997</v>
      </c>
      <c r="I61" s="5">
        <v>0.87</v>
      </c>
      <c r="J61" s="5">
        <v>0.9214</v>
      </c>
      <c r="K61" s="4">
        <v>1730.7</v>
      </c>
      <c r="L61" s="3">
        <v>8.7799999999999994</v>
      </c>
      <c r="M61" s="3">
        <v>314.2</v>
      </c>
      <c r="N61" s="3">
        <v>33.5</v>
      </c>
      <c r="O61" s="3">
        <v>258.39999999999998</v>
      </c>
      <c r="P61" s="3">
        <v>93.28</v>
      </c>
      <c r="Q61" s="3">
        <v>6.43</v>
      </c>
      <c r="R61" s="3">
        <v>23.93</v>
      </c>
      <c r="S61" s="5">
        <v>0.749</v>
      </c>
      <c r="T61" s="5">
        <v>0.78</v>
      </c>
      <c r="U61" s="2" t="s">
        <v>255</v>
      </c>
      <c r="V61" s="4">
        <v>1307</v>
      </c>
      <c r="W61" s="3">
        <v>14.26</v>
      </c>
      <c r="X61" s="3">
        <v>423.9</v>
      </c>
      <c r="Y61" s="3">
        <v>3.12</v>
      </c>
    </row>
    <row r="62" spans="1:25" x14ac:dyDescent="0.3">
      <c r="A62" s="2" t="s">
        <v>826</v>
      </c>
      <c r="B62" s="2" t="s">
        <v>262</v>
      </c>
      <c r="C62" s="3">
        <v>65.790999999999997</v>
      </c>
      <c r="D62" s="5">
        <v>0.42399999999999999</v>
      </c>
      <c r="E62" s="3">
        <v>3.78</v>
      </c>
      <c r="F62" s="5">
        <v>0.59199999999999997</v>
      </c>
      <c r="G62" s="3">
        <v>4.351</v>
      </c>
      <c r="H62" s="5">
        <v>0.78800000000000003</v>
      </c>
      <c r="I62" s="3">
        <v>1.1511</v>
      </c>
      <c r="J62" s="3">
        <v>1.1754</v>
      </c>
      <c r="K62" s="4">
        <v>1788.6</v>
      </c>
      <c r="L62" s="3">
        <v>9.02</v>
      </c>
      <c r="M62" s="3">
        <v>305.89999999999998</v>
      </c>
      <c r="N62" s="3">
        <v>30.8</v>
      </c>
      <c r="O62" s="3">
        <v>227.7</v>
      </c>
      <c r="P62" s="3">
        <v>91.52</v>
      </c>
      <c r="Q62" s="3">
        <v>4.9400000000000004</v>
      </c>
      <c r="R62" s="3">
        <v>25.41</v>
      </c>
      <c r="S62" s="5">
        <v>0.60599999999999998</v>
      </c>
      <c r="T62" s="5">
        <v>0.57999999999999996</v>
      </c>
      <c r="U62" s="2" t="s">
        <v>259</v>
      </c>
      <c r="V62" s="4">
        <v>1290.2</v>
      </c>
      <c r="W62" s="3">
        <v>14.48</v>
      </c>
      <c r="X62" s="3">
        <v>401.2</v>
      </c>
      <c r="Y62" s="3">
        <v>3.47</v>
      </c>
    </row>
    <row r="63" spans="1:25" x14ac:dyDescent="0.3">
      <c r="A63" s="2" t="s">
        <v>827</v>
      </c>
      <c r="B63" s="2" t="s">
        <v>266</v>
      </c>
      <c r="C63" s="3">
        <v>65.959999999999994</v>
      </c>
      <c r="D63" s="5">
        <v>0.375</v>
      </c>
      <c r="E63" s="3">
        <v>4.1989999999999998</v>
      </c>
      <c r="F63" s="5">
        <v>0.79400000000000004</v>
      </c>
      <c r="G63" s="3">
        <v>4.8159999999999998</v>
      </c>
      <c r="H63" s="5">
        <v>0.82099999999999995</v>
      </c>
      <c r="I63" s="3">
        <v>1.1468</v>
      </c>
      <c r="J63" s="3">
        <v>1.1289</v>
      </c>
      <c r="K63" s="4">
        <v>1691.1</v>
      </c>
      <c r="L63" s="3">
        <v>9.48</v>
      </c>
      <c r="M63" s="3">
        <v>318.7</v>
      </c>
      <c r="N63" s="3">
        <v>24</v>
      </c>
      <c r="O63" s="3">
        <v>255.1</v>
      </c>
      <c r="P63" s="3">
        <v>91.36</v>
      </c>
      <c r="Q63" s="3">
        <v>5.28</v>
      </c>
      <c r="R63" s="3">
        <v>24.6</v>
      </c>
      <c r="S63" s="5">
        <v>0.67200000000000004</v>
      </c>
      <c r="T63" s="5">
        <v>0.39</v>
      </c>
      <c r="U63" s="2" t="s">
        <v>264</v>
      </c>
      <c r="V63" s="4">
        <v>1298.8</v>
      </c>
      <c r="W63" s="3">
        <v>14.06</v>
      </c>
      <c r="X63" s="3">
        <v>394.6</v>
      </c>
      <c r="Y63" s="3">
        <v>3.38</v>
      </c>
    </row>
    <row r="64" spans="1:25" x14ac:dyDescent="0.3">
      <c r="A64" s="2" t="s">
        <v>828</v>
      </c>
      <c r="B64" s="2" t="s">
        <v>270</v>
      </c>
      <c r="C64" s="3">
        <v>65.671000000000006</v>
      </c>
      <c r="D64" s="5">
        <v>0.495</v>
      </c>
      <c r="E64" s="3">
        <v>4.4139999999999997</v>
      </c>
      <c r="F64" s="5">
        <v>0.65500000000000003</v>
      </c>
      <c r="G64" s="3">
        <v>5.1820000000000004</v>
      </c>
      <c r="H64" s="5">
        <v>0.80300000000000005</v>
      </c>
      <c r="I64" s="3">
        <v>1.1740999999999999</v>
      </c>
      <c r="J64" s="3">
        <v>1.1809000000000001</v>
      </c>
      <c r="K64" s="4">
        <v>1805.9</v>
      </c>
      <c r="L64" s="3">
        <v>8.98</v>
      </c>
      <c r="M64" s="3">
        <v>305.10000000000002</v>
      </c>
      <c r="N64" s="3">
        <v>32.6</v>
      </c>
      <c r="O64" s="3">
        <v>254.1</v>
      </c>
      <c r="P64" s="3">
        <v>92.78</v>
      </c>
      <c r="Q64" s="3">
        <v>5.77</v>
      </c>
      <c r="R64" s="3">
        <v>26.46</v>
      </c>
      <c r="S64" s="5">
        <v>0.61499999999999999</v>
      </c>
      <c r="T64" s="5">
        <v>0.9</v>
      </c>
      <c r="U64" s="2" t="s">
        <v>268</v>
      </c>
      <c r="V64" s="4">
        <v>1301.8</v>
      </c>
      <c r="W64" s="3">
        <v>14.56</v>
      </c>
      <c r="X64" s="3">
        <v>396.9</v>
      </c>
      <c r="Y64" s="3">
        <v>3.39</v>
      </c>
    </row>
    <row r="65" spans="1:25" x14ac:dyDescent="0.3">
      <c r="A65" s="2" t="s">
        <v>829</v>
      </c>
      <c r="B65" s="2" t="s">
        <v>274</v>
      </c>
      <c r="C65" s="3">
        <v>65.984999999999999</v>
      </c>
      <c r="D65" s="5">
        <v>0.249</v>
      </c>
      <c r="E65" s="3">
        <v>4.2640000000000002</v>
      </c>
      <c r="F65" s="5">
        <v>0.60799999999999998</v>
      </c>
      <c r="G65" s="3">
        <v>4.9130000000000003</v>
      </c>
      <c r="H65" s="5">
        <v>0.66400000000000003</v>
      </c>
      <c r="I65" s="3">
        <v>1.1520999999999999</v>
      </c>
      <c r="J65" s="3">
        <v>1.1447000000000001</v>
      </c>
      <c r="K65" s="4">
        <v>1699.7</v>
      </c>
      <c r="L65" s="3">
        <v>9.0399999999999991</v>
      </c>
      <c r="M65" s="3">
        <v>308.7</v>
      </c>
      <c r="N65" s="3">
        <v>28.8</v>
      </c>
      <c r="O65" s="3">
        <v>256.8</v>
      </c>
      <c r="P65" s="3">
        <v>91.87</v>
      </c>
      <c r="Q65" s="3">
        <v>4.76</v>
      </c>
      <c r="R65" s="3">
        <v>26</v>
      </c>
      <c r="S65" s="5">
        <v>0.79700000000000004</v>
      </c>
      <c r="T65" s="6">
        <v>0</v>
      </c>
      <c r="U65" s="2" t="s">
        <v>272</v>
      </c>
      <c r="V65" s="4">
        <v>1287.2</v>
      </c>
      <c r="W65" s="3">
        <v>14.34</v>
      </c>
      <c r="X65" s="3">
        <v>399.3</v>
      </c>
      <c r="Y65" s="3">
        <v>3.4</v>
      </c>
    </row>
    <row r="66" spans="1:25" x14ac:dyDescent="0.3">
      <c r="A66" s="2" t="s">
        <v>830</v>
      </c>
      <c r="B66" s="2" t="s">
        <v>278</v>
      </c>
      <c r="C66" s="3">
        <v>65.522000000000006</v>
      </c>
      <c r="D66" s="5">
        <v>0.42399999999999999</v>
      </c>
      <c r="E66" s="3">
        <v>4.3460000000000001</v>
      </c>
      <c r="F66" s="5">
        <v>0.58799999999999997</v>
      </c>
      <c r="G66" s="3">
        <v>5.0250000000000004</v>
      </c>
      <c r="H66" s="5">
        <v>0.57899999999999996</v>
      </c>
      <c r="I66" s="3">
        <v>1.1564000000000001</v>
      </c>
      <c r="J66" s="3">
        <v>1.1359999999999999</v>
      </c>
      <c r="K66" s="4">
        <v>1931.8</v>
      </c>
      <c r="L66" s="3">
        <v>8.8699999999999992</v>
      </c>
      <c r="M66" s="3">
        <v>303.60000000000002</v>
      </c>
      <c r="N66" s="3">
        <v>21</v>
      </c>
      <c r="O66" s="3">
        <v>242.5</v>
      </c>
      <c r="P66" s="3">
        <v>91.95</v>
      </c>
      <c r="Q66" s="3">
        <v>6.03</v>
      </c>
      <c r="R66" s="3">
        <v>28.2</v>
      </c>
      <c r="S66" s="5">
        <v>0.61799999999999999</v>
      </c>
      <c r="T66" s="5">
        <v>0.31</v>
      </c>
      <c r="U66" s="2" t="s">
        <v>276</v>
      </c>
      <c r="V66" s="4">
        <v>1266.8</v>
      </c>
      <c r="W66" s="3">
        <v>14.37</v>
      </c>
      <c r="X66" s="3">
        <v>393.7</v>
      </c>
      <c r="Y66" s="3">
        <v>3.46</v>
      </c>
    </row>
    <row r="67" spans="1:25" x14ac:dyDescent="0.3">
      <c r="A67" s="2" t="s">
        <v>831</v>
      </c>
      <c r="B67" s="2" t="s">
        <v>282</v>
      </c>
      <c r="C67" s="3">
        <v>65.998000000000005</v>
      </c>
      <c r="D67" s="5">
        <v>0.23699999999999999</v>
      </c>
      <c r="E67" s="3">
        <v>4.5270000000000001</v>
      </c>
      <c r="F67" s="5">
        <v>0.68799999999999994</v>
      </c>
      <c r="G67" s="3">
        <v>5.2720000000000002</v>
      </c>
      <c r="H67" s="5">
        <v>0.624</v>
      </c>
      <c r="I67" s="3">
        <v>1.1647000000000001</v>
      </c>
      <c r="J67" s="3">
        <v>1.1308</v>
      </c>
      <c r="K67" s="4">
        <v>1673.7</v>
      </c>
      <c r="L67" s="3">
        <v>8.8800000000000008</v>
      </c>
      <c r="M67" s="3">
        <v>320.7</v>
      </c>
      <c r="N67" s="3">
        <v>29.9</v>
      </c>
      <c r="O67" s="3">
        <v>263.60000000000002</v>
      </c>
      <c r="P67" s="3">
        <v>94.37</v>
      </c>
      <c r="Q67" s="3">
        <v>5.09</v>
      </c>
      <c r="R67" s="3">
        <v>25.26</v>
      </c>
      <c r="S67" s="5">
        <v>0.78200000000000003</v>
      </c>
      <c r="T67" s="5">
        <v>0.6</v>
      </c>
      <c r="U67" s="2" t="s">
        <v>280</v>
      </c>
      <c r="V67" s="4">
        <v>1284.0999999999999</v>
      </c>
      <c r="W67" s="3">
        <v>14.12</v>
      </c>
      <c r="X67" s="3">
        <v>401.3</v>
      </c>
      <c r="Y67" s="3">
        <v>3.41</v>
      </c>
    </row>
    <row r="68" spans="1:25" x14ac:dyDescent="0.3">
      <c r="A68" s="2" t="s">
        <v>832</v>
      </c>
      <c r="B68" s="2" t="s">
        <v>286</v>
      </c>
      <c r="C68" s="3">
        <v>65.757000000000005</v>
      </c>
      <c r="D68" s="5">
        <v>0.16500000000000001</v>
      </c>
      <c r="E68" s="3">
        <v>4.5129999999999999</v>
      </c>
      <c r="F68" s="5">
        <v>0.74099999999999999</v>
      </c>
      <c r="G68" s="3">
        <v>5.3380000000000001</v>
      </c>
      <c r="H68" s="5">
        <v>0.76100000000000001</v>
      </c>
      <c r="I68" s="3">
        <v>1.1829000000000001</v>
      </c>
      <c r="J68" s="3">
        <v>1.1608000000000001</v>
      </c>
      <c r="K68" s="4">
        <v>1851.6</v>
      </c>
      <c r="L68" s="3">
        <v>9.36</v>
      </c>
      <c r="M68" s="3">
        <v>317</v>
      </c>
      <c r="N68" s="3">
        <v>19.5</v>
      </c>
      <c r="O68" s="3">
        <v>244.8</v>
      </c>
      <c r="P68" s="3">
        <v>92.59</v>
      </c>
      <c r="Q68" s="3">
        <v>5.6</v>
      </c>
      <c r="R68" s="3">
        <v>25.5</v>
      </c>
      <c r="S68" s="5">
        <v>0.67100000000000004</v>
      </c>
      <c r="T68" s="6">
        <v>0</v>
      </c>
      <c r="U68" s="2" t="s">
        <v>284</v>
      </c>
      <c r="V68" s="4">
        <v>1282.5</v>
      </c>
      <c r="W68" s="3">
        <v>14.4</v>
      </c>
      <c r="X68" s="3">
        <v>396.3</v>
      </c>
      <c r="Y68" s="3">
        <v>3.3</v>
      </c>
    </row>
    <row r="69" spans="1:25" x14ac:dyDescent="0.3">
      <c r="A69" s="2" t="s">
        <v>833</v>
      </c>
      <c r="B69" s="2" t="s">
        <v>290</v>
      </c>
      <c r="C69" s="3">
        <v>65.397000000000006</v>
      </c>
      <c r="D69" s="5">
        <v>0.252</v>
      </c>
      <c r="E69" s="3">
        <v>4.1609999999999996</v>
      </c>
      <c r="F69" s="5">
        <v>0.63500000000000001</v>
      </c>
      <c r="G69" s="3">
        <v>4.8890000000000002</v>
      </c>
      <c r="H69" s="5">
        <v>0.628</v>
      </c>
      <c r="I69" s="3">
        <v>1.175</v>
      </c>
      <c r="J69" s="3">
        <v>1.1505000000000001</v>
      </c>
      <c r="K69" s="4">
        <v>1772.1</v>
      </c>
      <c r="L69" s="3">
        <v>9.0399999999999991</v>
      </c>
      <c r="M69" s="3">
        <v>310.8</v>
      </c>
      <c r="N69" s="3">
        <v>27.9</v>
      </c>
      <c r="O69" s="3">
        <v>252.9</v>
      </c>
      <c r="P69" s="3">
        <v>93.04</v>
      </c>
      <c r="Q69" s="3">
        <v>5.75</v>
      </c>
      <c r="R69" s="3">
        <v>26.24</v>
      </c>
      <c r="S69" s="5">
        <v>0.61699999999999999</v>
      </c>
      <c r="T69" s="3">
        <v>1.1000000000000001</v>
      </c>
      <c r="U69" s="2" t="s">
        <v>288</v>
      </c>
      <c r="V69" s="4">
        <v>1285.5</v>
      </c>
      <c r="W69" s="3">
        <v>14.41</v>
      </c>
      <c r="X69" s="3">
        <v>394.7</v>
      </c>
      <c r="Y69" s="3">
        <v>3.5</v>
      </c>
    </row>
    <row r="70" spans="1:25" x14ac:dyDescent="0.3">
      <c r="A70" s="2" t="s">
        <v>834</v>
      </c>
      <c r="B70" s="2" t="s">
        <v>294</v>
      </c>
      <c r="C70" s="3">
        <v>65.927999999999997</v>
      </c>
      <c r="D70" s="5">
        <v>0.33800000000000002</v>
      </c>
      <c r="E70" s="3">
        <v>4.3319999999999999</v>
      </c>
      <c r="F70" s="5">
        <v>0.51100000000000001</v>
      </c>
      <c r="G70" s="3">
        <v>5.0179999999999998</v>
      </c>
      <c r="H70" s="5">
        <v>0.57699999999999996</v>
      </c>
      <c r="I70" s="3">
        <v>1.1581999999999999</v>
      </c>
      <c r="J70" s="3">
        <v>1.1553</v>
      </c>
      <c r="K70" s="4">
        <v>1781.3</v>
      </c>
      <c r="L70" s="3">
        <v>9.26</v>
      </c>
      <c r="M70" s="3">
        <v>314.2</v>
      </c>
      <c r="N70" s="3">
        <v>19.5</v>
      </c>
      <c r="O70" s="3">
        <v>249.7</v>
      </c>
      <c r="P70" s="3">
        <v>92.5</v>
      </c>
      <c r="Q70" s="3">
        <v>5.82</v>
      </c>
      <c r="R70" s="3">
        <v>25.18</v>
      </c>
      <c r="S70" s="5">
        <v>0.73</v>
      </c>
      <c r="T70" s="6">
        <v>0</v>
      </c>
      <c r="U70" s="2" t="s">
        <v>292</v>
      </c>
      <c r="V70" s="4">
        <v>1277.5999999999999</v>
      </c>
      <c r="W70" s="3">
        <v>14.32</v>
      </c>
      <c r="X70" s="3">
        <v>398</v>
      </c>
      <c r="Y70" s="3">
        <v>3.43</v>
      </c>
    </row>
    <row r="71" spans="1:25" x14ac:dyDescent="0.3">
      <c r="A71" s="2" t="s">
        <v>835</v>
      </c>
      <c r="B71" s="2" t="s">
        <v>298</v>
      </c>
      <c r="C71" s="3">
        <v>65.825999999999993</v>
      </c>
      <c r="D71" s="5">
        <v>0.248</v>
      </c>
      <c r="E71" s="3">
        <v>4.2409999999999997</v>
      </c>
      <c r="F71" s="5">
        <v>0.52100000000000002</v>
      </c>
      <c r="G71" s="3">
        <v>4.7690000000000001</v>
      </c>
      <c r="H71" s="5">
        <v>0.66600000000000004</v>
      </c>
      <c r="I71" s="3">
        <v>1.1246</v>
      </c>
      <c r="J71" s="3">
        <v>1.1414</v>
      </c>
      <c r="K71" s="4">
        <v>1816.4</v>
      </c>
      <c r="L71" s="3">
        <v>9.2200000000000006</v>
      </c>
      <c r="M71" s="3">
        <v>298.5</v>
      </c>
      <c r="N71" s="3">
        <v>25.2</v>
      </c>
      <c r="O71" s="3">
        <v>232.6</v>
      </c>
      <c r="P71" s="3">
        <v>92.16</v>
      </c>
      <c r="Q71" s="3">
        <v>5.71</v>
      </c>
      <c r="R71" s="3">
        <v>27.5</v>
      </c>
      <c r="S71" s="5">
        <v>0.71</v>
      </c>
      <c r="T71" s="5">
        <v>0.19</v>
      </c>
      <c r="U71" s="2" t="s">
        <v>296</v>
      </c>
      <c r="V71" s="4">
        <v>1274.5999999999999</v>
      </c>
      <c r="W71" s="3">
        <v>14.62</v>
      </c>
      <c r="X71" s="3">
        <v>399.3</v>
      </c>
      <c r="Y71" s="3">
        <v>3.41</v>
      </c>
    </row>
    <row r="72" spans="1:25" x14ac:dyDescent="0.3">
      <c r="A72" s="2" t="s">
        <v>836</v>
      </c>
      <c r="B72" s="2" t="s">
        <v>302</v>
      </c>
      <c r="C72" s="3">
        <v>65.724000000000004</v>
      </c>
      <c r="D72" s="5">
        <v>0.32700000000000001</v>
      </c>
      <c r="E72" s="3">
        <v>4.7519999999999998</v>
      </c>
      <c r="F72" s="5">
        <v>0.53900000000000003</v>
      </c>
      <c r="G72" s="3">
        <v>5.37</v>
      </c>
      <c r="H72" s="5">
        <v>0.71</v>
      </c>
      <c r="I72" s="3">
        <v>1.1299999999999999</v>
      </c>
      <c r="J72" s="3">
        <v>1.1491</v>
      </c>
      <c r="K72" s="4">
        <v>1834.9</v>
      </c>
      <c r="L72" s="3">
        <v>8.9700000000000006</v>
      </c>
      <c r="M72" s="3">
        <v>298.5</v>
      </c>
      <c r="N72" s="3">
        <v>25.5</v>
      </c>
      <c r="O72" s="3">
        <v>223.5</v>
      </c>
      <c r="P72" s="3">
        <v>91.92</v>
      </c>
      <c r="Q72" s="3">
        <v>5.65</v>
      </c>
      <c r="R72" s="3">
        <v>27.25</v>
      </c>
      <c r="S72" s="5">
        <v>0.73599999999999999</v>
      </c>
      <c r="T72" s="6">
        <v>0</v>
      </c>
      <c r="U72" s="2" t="s">
        <v>300</v>
      </c>
      <c r="V72" s="4">
        <v>1265.7</v>
      </c>
      <c r="W72" s="3">
        <v>14.17</v>
      </c>
      <c r="X72" s="3">
        <v>399.8</v>
      </c>
      <c r="Y72" s="3">
        <v>3.22</v>
      </c>
    </row>
    <row r="73" spans="1:25" x14ac:dyDescent="0.3">
      <c r="A73" s="2" t="s">
        <v>837</v>
      </c>
      <c r="B73" s="2" t="s">
        <v>306</v>
      </c>
      <c r="C73" s="3">
        <v>65.759</v>
      </c>
      <c r="D73" s="5">
        <v>0.42899999999999999</v>
      </c>
      <c r="E73" s="3">
        <v>3.89</v>
      </c>
      <c r="F73" s="5">
        <v>0.65200000000000002</v>
      </c>
      <c r="G73" s="3">
        <v>4.5869999999999997</v>
      </c>
      <c r="H73" s="5">
        <v>0.66400000000000003</v>
      </c>
      <c r="I73" s="3">
        <v>1.1792</v>
      </c>
      <c r="J73" s="3">
        <v>1.1560999999999999</v>
      </c>
      <c r="K73" s="4">
        <v>1713.5</v>
      </c>
      <c r="L73" s="3">
        <v>9.1</v>
      </c>
      <c r="M73" s="3">
        <v>312.5</v>
      </c>
      <c r="N73" s="3">
        <v>29</v>
      </c>
      <c r="O73" s="3">
        <v>270.89999999999998</v>
      </c>
      <c r="P73" s="3">
        <v>93.12</v>
      </c>
      <c r="Q73" s="3">
        <v>5.18</v>
      </c>
      <c r="R73" s="3">
        <v>26.41</v>
      </c>
      <c r="S73" s="5">
        <v>0.66700000000000004</v>
      </c>
      <c r="T73" s="5">
        <v>0.08</v>
      </c>
      <c r="U73" s="2" t="s">
        <v>304</v>
      </c>
      <c r="V73" s="4">
        <v>1272.7</v>
      </c>
      <c r="W73" s="3">
        <v>14.76</v>
      </c>
      <c r="X73" s="3">
        <v>402</v>
      </c>
      <c r="Y73" s="3">
        <v>3.4</v>
      </c>
    </row>
    <row r="74" spans="1:25" x14ac:dyDescent="0.3">
      <c r="A74" s="2" t="s">
        <v>838</v>
      </c>
      <c r="B74" s="2" t="s">
        <v>310</v>
      </c>
      <c r="C74" s="3">
        <v>65.94</v>
      </c>
      <c r="D74" s="5">
        <v>0.38100000000000001</v>
      </c>
      <c r="E74" s="3">
        <v>4.2389999999999999</v>
      </c>
      <c r="F74" s="5">
        <v>0.629</v>
      </c>
      <c r="G74" s="3">
        <v>4.9249999999999998</v>
      </c>
      <c r="H74" s="5">
        <v>0.56899999999999995</v>
      </c>
      <c r="I74" s="3">
        <v>1.1618999999999999</v>
      </c>
      <c r="J74" s="3">
        <v>1.1286</v>
      </c>
      <c r="K74" s="4">
        <v>1787.6</v>
      </c>
      <c r="L74" s="3">
        <v>8.5500000000000007</v>
      </c>
      <c r="M74" s="3">
        <v>292.3</v>
      </c>
      <c r="N74" s="3">
        <v>27.9</v>
      </c>
      <c r="O74" s="3">
        <v>241.2</v>
      </c>
      <c r="P74" s="3">
        <v>92.39</v>
      </c>
      <c r="Q74" s="3">
        <v>5.2</v>
      </c>
      <c r="R74" s="3">
        <v>28.2</v>
      </c>
      <c r="S74" s="5">
        <v>0.85699999999999998</v>
      </c>
      <c r="T74" s="5">
        <v>0.32</v>
      </c>
      <c r="U74" s="2" t="s">
        <v>308</v>
      </c>
      <c r="V74" s="4">
        <v>1267.5</v>
      </c>
      <c r="W74" s="3">
        <v>13.91</v>
      </c>
      <c r="X74" s="3">
        <v>400.9</v>
      </c>
      <c r="Y74" s="3">
        <v>3.32</v>
      </c>
    </row>
    <row r="75" spans="1:25" x14ac:dyDescent="0.3">
      <c r="A75" s="2" t="s">
        <v>839</v>
      </c>
      <c r="B75" s="2" t="s">
        <v>314</v>
      </c>
      <c r="C75" s="3">
        <v>65.852000000000004</v>
      </c>
      <c r="D75" s="5">
        <v>0.47299999999999998</v>
      </c>
      <c r="E75" s="3">
        <v>4.0119999999999996</v>
      </c>
      <c r="F75" s="5">
        <v>0.496</v>
      </c>
      <c r="G75" s="3">
        <v>4.8049999999999997</v>
      </c>
      <c r="H75" s="5">
        <v>0.64800000000000002</v>
      </c>
      <c r="I75" s="3">
        <v>1.1976</v>
      </c>
      <c r="J75" s="3">
        <v>1.2096</v>
      </c>
      <c r="K75" s="4">
        <v>1738.5</v>
      </c>
      <c r="L75" s="3">
        <v>9.0399999999999991</v>
      </c>
      <c r="M75" s="3">
        <v>319.10000000000002</v>
      </c>
      <c r="N75" s="3">
        <v>22.8</v>
      </c>
      <c r="O75" s="3">
        <v>271.3</v>
      </c>
      <c r="P75" s="3">
        <v>93.29</v>
      </c>
      <c r="Q75" s="3">
        <v>5.0999999999999996</v>
      </c>
      <c r="R75" s="3">
        <v>26.65</v>
      </c>
      <c r="S75" s="5">
        <v>0.55500000000000005</v>
      </c>
      <c r="T75" s="5">
        <v>0.37</v>
      </c>
      <c r="U75" s="2" t="s">
        <v>312</v>
      </c>
      <c r="V75" s="4">
        <v>1273.8</v>
      </c>
      <c r="W75" s="3">
        <v>14.34</v>
      </c>
      <c r="X75" s="3">
        <v>400.6</v>
      </c>
      <c r="Y75" s="3">
        <v>3.53</v>
      </c>
    </row>
    <row r="76" spans="1:25" x14ac:dyDescent="0.3">
      <c r="A76" s="2" t="s">
        <v>840</v>
      </c>
      <c r="B76" s="2" t="s">
        <v>318</v>
      </c>
      <c r="C76" s="3">
        <v>66.135999999999996</v>
      </c>
      <c r="D76" s="5">
        <v>0.34799999999999998</v>
      </c>
      <c r="E76" s="3">
        <v>4.2140000000000004</v>
      </c>
      <c r="F76" s="5">
        <v>0.65600000000000003</v>
      </c>
      <c r="G76" s="3">
        <v>4.875</v>
      </c>
      <c r="H76" s="5">
        <v>0.877</v>
      </c>
      <c r="I76" s="3">
        <v>1.157</v>
      </c>
      <c r="J76" s="3">
        <v>1.1811</v>
      </c>
      <c r="K76" s="4">
        <v>1744.3</v>
      </c>
      <c r="L76" s="3">
        <v>8.73</v>
      </c>
      <c r="M76" s="3">
        <v>307.8</v>
      </c>
      <c r="N76" s="3">
        <v>21.2</v>
      </c>
      <c r="O76" s="3">
        <v>256.39999999999998</v>
      </c>
      <c r="P76" s="3">
        <v>91.41</v>
      </c>
      <c r="Q76" s="3">
        <v>5.57</v>
      </c>
      <c r="R76" s="3">
        <v>26.03</v>
      </c>
      <c r="S76" s="5">
        <v>0.82299999999999995</v>
      </c>
      <c r="T76" s="5">
        <v>0.71</v>
      </c>
      <c r="U76" s="2" t="s">
        <v>316</v>
      </c>
      <c r="V76" s="4">
        <v>1285.4000000000001</v>
      </c>
      <c r="W76" s="3">
        <v>14.42</v>
      </c>
      <c r="X76" s="3">
        <v>404.1</v>
      </c>
      <c r="Y76" s="3">
        <v>3.26</v>
      </c>
    </row>
    <row r="77" spans="1:25" x14ac:dyDescent="0.3">
      <c r="A77" s="2" t="s">
        <v>841</v>
      </c>
      <c r="B77" s="2" t="s">
        <v>322</v>
      </c>
      <c r="C77" s="3">
        <v>65.584999999999994</v>
      </c>
      <c r="D77" s="5">
        <v>0.376</v>
      </c>
      <c r="E77" s="3">
        <v>4.13</v>
      </c>
      <c r="F77" s="5">
        <v>0.57799999999999996</v>
      </c>
      <c r="G77" s="3">
        <v>4.835</v>
      </c>
      <c r="H77" s="5">
        <v>0.74</v>
      </c>
      <c r="I77" s="3">
        <v>1.1707000000000001</v>
      </c>
      <c r="J77" s="3">
        <v>1.1840999999999999</v>
      </c>
      <c r="K77" s="4">
        <v>1673</v>
      </c>
      <c r="L77" s="3">
        <v>9.17</v>
      </c>
      <c r="M77" s="3">
        <v>321.39999999999998</v>
      </c>
      <c r="N77" s="3">
        <v>23.2</v>
      </c>
      <c r="O77" s="3">
        <v>248.3</v>
      </c>
      <c r="P77" s="3">
        <v>93.43</v>
      </c>
      <c r="Q77" s="3">
        <v>5.4</v>
      </c>
      <c r="R77" s="3">
        <v>24.69</v>
      </c>
      <c r="S77" s="5">
        <v>0.94799999999999995</v>
      </c>
      <c r="T77" s="3">
        <v>1.78</v>
      </c>
      <c r="U77" s="2" t="s">
        <v>320</v>
      </c>
      <c r="V77" s="4">
        <v>1285.2</v>
      </c>
      <c r="W77" s="3">
        <v>14.09</v>
      </c>
      <c r="X77" s="3">
        <v>403.9</v>
      </c>
      <c r="Y77" s="3">
        <v>3.59</v>
      </c>
    </row>
    <row r="78" spans="1:25" x14ac:dyDescent="0.3">
      <c r="A78" s="2" t="s">
        <v>842</v>
      </c>
      <c r="B78" s="2" t="s">
        <v>326</v>
      </c>
      <c r="C78" s="3">
        <v>65.742999999999995</v>
      </c>
      <c r="D78" s="5">
        <v>0.38900000000000001</v>
      </c>
      <c r="E78" s="3">
        <v>4.43</v>
      </c>
      <c r="F78" s="5">
        <v>0.62</v>
      </c>
      <c r="G78" s="3">
        <v>4.9850000000000003</v>
      </c>
      <c r="H78" s="5">
        <v>0.73</v>
      </c>
      <c r="I78" s="3">
        <v>1.1253</v>
      </c>
      <c r="J78" s="3">
        <v>1.1316999999999999</v>
      </c>
      <c r="K78" s="4">
        <v>1810.2</v>
      </c>
      <c r="L78" s="3">
        <v>9.17</v>
      </c>
      <c r="M78" s="3">
        <v>307.39999999999998</v>
      </c>
      <c r="N78" s="3">
        <v>21.2</v>
      </c>
      <c r="O78" s="3">
        <v>259.8</v>
      </c>
      <c r="P78" s="3">
        <v>91.34</v>
      </c>
      <c r="Q78" s="3">
        <v>5.25</v>
      </c>
      <c r="R78" s="3">
        <v>26.73</v>
      </c>
      <c r="S78" s="5">
        <v>0.69799999999999995</v>
      </c>
      <c r="T78" s="3">
        <v>1.02</v>
      </c>
      <c r="U78" s="2" t="s">
        <v>324</v>
      </c>
      <c r="V78" s="4">
        <v>1281.3</v>
      </c>
      <c r="W78" s="3">
        <v>14.47</v>
      </c>
      <c r="X78" s="3">
        <v>405.5</v>
      </c>
      <c r="Y78" s="3">
        <v>3.4</v>
      </c>
    </row>
    <row r="79" spans="1:25" x14ac:dyDescent="0.3">
      <c r="A79" s="2" t="s">
        <v>843</v>
      </c>
      <c r="B79" s="2" t="s">
        <v>330</v>
      </c>
      <c r="C79" s="3">
        <v>65.700999999999993</v>
      </c>
      <c r="D79" s="5">
        <v>0.42</v>
      </c>
      <c r="E79" s="3">
        <v>4.2510000000000003</v>
      </c>
      <c r="F79" s="5">
        <v>0.61399999999999999</v>
      </c>
      <c r="G79" s="3">
        <v>4.8929999999999998</v>
      </c>
      <c r="H79" s="5">
        <v>0.54900000000000004</v>
      </c>
      <c r="I79" s="3">
        <v>1.151</v>
      </c>
      <c r="J79" s="3">
        <v>1.1186</v>
      </c>
      <c r="K79" s="4">
        <v>1769.2</v>
      </c>
      <c r="L79" s="3">
        <v>9.39</v>
      </c>
      <c r="M79" s="3">
        <v>318.60000000000002</v>
      </c>
      <c r="N79" s="3">
        <v>29.5</v>
      </c>
      <c r="O79" s="3">
        <v>274</v>
      </c>
      <c r="P79" s="3">
        <v>91.55</v>
      </c>
      <c r="Q79" s="3">
        <v>5.42</v>
      </c>
      <c r="R79" s="3">
        <v>27.53</v>
      </c>
      <c r="S79" s="5">
        <v>0.84899999999999998</v>
      </c>
      <c r="T79" s="6">
        <v>0</v>
      </c>
      <c r="U79" s="2" t="s">
        <v>328</v>
      </c>
      <c r="V79" s="4">
        <v>1268.9000000000001</v>
      </c>
      <c r="W79" s="3">
        <v>14.67</v>
      </c>
      <c r="X79" s="3">
        <v>397.2</v>
      </c>
      <c r="Y79" s="3">
        <v>3.39</v>
      </c>
    </row>
    <row r="80" spans="1:25" x14ac:dyDescent="0.3">
      <c r="A80" s="2" t="s">
        <v>844</v>
      </c>
      <c r="B80" s="2" t="s">
        <v>334</v>
      </c>
      <c r="C80" s="3">
        <v>65.915000000000006</v>
      </c>
      <c r="D80" s="5">
        <v>0.33600000000000002</v>
      </c>
      <c r="E80" s="3">
        <v>4.1500000000000004</v>
      </c>
      <c r="F80" s="5">
        <v>0.65900000000000003</v>
      </c>
      <c r="G80" s="3">
        <v>4.806</v>
      </c>
      <c r="H80" s="5">
        <v>0.80600000000000005</v>
      </c>
      <c r="I80" s="3">
        <v>1.1578999999999999</v>
      </c>
      <c r="J80" s="3">
        <v>1.1668000000000001</v>
      </c>
      <c r="K80" s="4">
        <v>1763.3</v>
      </c>
      <c r="L80" s="3">
        <v>9</v>
      </c>
      <c r="M80" s="3">
        <v>304.8</v>
      </c>
      <c r="N80" s="3">
        <v>18.399999999999999</v>
      </c>
      <c r="O80" s="3">
        <v>255.8</v>
      </c>
      <c r="P80" s="3">
        <v>92.04</v>
      </c>
      <c r="Q80" s="3">
        <v>5.52</v>
      </c>
      <c r="R80" s="3">
        <v>26.74</v>
      </c>
      <c r="S80" s="5">
        <v>0.85099999999999998</v>
      </c>
      <c r="T80" s="3">
        <v>1.55</v>
      </c>
      <c r="U80" s="2" t="s">
        <v>332</v>
      </c>
      <c r="V80" s="4">
        <v>1290.4000000000001</v>
      </c>
      <c r="W80" s="3">
        <v>14.19</v>
      </c>
      <c r="X80" s="3">
        <v>411.2</v>
      </c>
      <c r="Y80" s="3">
        <v>3.37</v>
      </c>
    </row>
    <row r="81" spans="1:25" x14ac:dyDescent="0.3">
      <c r="A81" s="2" t="s">
        <v>845</v>
      </c>
      <c r="B81" s="2" t="s">
        <v>338</v>
      </c>
      <c r="C81" s="3">
        <v>65.8</v>
      </c>
      <c r="D81" s="5">
        <v>0.29199999999999998</v>
      </c>
      <c r="E81" s="3">
        <v>4.1959999999999997</v>
      </c>
      <c r="F81" s="5">
        <v>0.55800000000000005</v>
      </c>
      <c r="G81" s="3">
        <v>4.99</v>
      </c>
      <c r="H81" s="5">
        <v>0.61799999999999999</v>
      </c>
      <c r="I81" s="3">
        <v>1.1891</v>
      </c>
      <c r="J81" s="3">
        <v>1.1796</v>
      </c>
      <c r="K81" s="4">
        <v>1842</v>
      </c>
      <c r="L81" s="3">
        <v>9.36</v>
      </c>
      <c r="M81" s="3">
        <v>317.8</v>
      </c>
      <c r="N81" s="3">
        <v>28.7</v>
      </c>
      <c r="O81" s="3">
        <v>253.7</v>
      </c>
      <c r="P81" s="3">
        <v>93.44</v>
      </c>
      <c r="Q81" s="3">
        <v>5.21</v>
      </c>
      <c r="R81" s="3">
        <v>27.73</v>
      </c>
      <c r="S81" s="5">
        <v>0.753</v>
      </c>
      <c r="T81" s="5">
        <v>0.68</v>
      </c>
      <c r="U81" s="2" t="s">
        <v>336</v>
      </c>
      <c r="V81" s="4">
        <v>1275.7</v>
      </c>
      <c r="W81" s="3">
        <v>14.53</v>
      </c>
      <c r="X81" s="3">
        <v>398.5</v>
      </c>
      <c r="Y81" s="3">
        <v>3.46</v>
      </c>
    </row>
    <row r="82" spans="1:25" x14ac:dyDescent="0.3">
      <c r="A82" s="2" t="s">
        <v>846</v>
      </c>
      <c r="B82" s="2" t="s">
        <v>342</v>
      </c>
      <c r="C82" s="3">
        <v>65.838999999999999</v>
      </c>
      <c r="D82" s="5">
        <v>0.33900000000000002</v>
      </c>
      <c r="E82" s="3">
        <v>4.492</v>
      </c>
      <c r="F82" s="5">
        <v>0.61599999999999999</v>
      </c>
      <c r="G82" s="3">
        <v>5.3230000000000004</v>
      </c>
      <c r="H82" s="5">
        <v>0.72699999999999998</v>
      </c>
      <c r="I82" s="3">
        <v>1.1850000000000001</v>
      </c>
      <c r="J82" s="3">
        <v>1.1843999999999999</v>
      </c>
      <c r="K82" s="4">
        <v>1838.4</v>
      </c>
      <c r="L82" s="3">
        <v>8.69</v>
      </c>
      <c r="M82" s="3">
        <v>315.7</v>
      </c>
      <c r="N82" s="3">
        <v>20.7</v>
      </c>
      <c r="O82" s="3">
        <v>257.39999999999998</v>
      </c>
      <c r="P82" s="3">
        <v>93.46</v>
      </c>
      <c r="Q82" s="3">
        <v>5.43</v>
      </c>
      <c r="R82" s="3">
        <v>27.06</v>
      </c>
      <c r="S82" s="5">
        <v>0.875</v>
      </c>
      <c r="T82" s="5">
        <v>0.39</v>
      </c>
      <c r="U82" s="2" t="s">
        <v>340</v>
      </c>
      <c r="V82" s="4">
        <v>1266.2</v>
      </c>
      <c r="W82" s="3">
        <v>14.28</v>
      </c>
      <c r="X82" s="3">
        <v>394.5</v>
      </c>
      <c r="Y82" s="3">
        <v>3.39</v>
      </c>
    </row>
    <row r="83" spans="1:25" x14ac:dyDescent="0.3">
      <c r="A83" s="2" t="s">
        <v>847</v>
      </c>
      <c r="B83" s="2" t="s">
        <v>346</v>
      </c>
      <c r="C83" s="3">
        <v>65.998999999999995</v>
      </c>
      <c r="D83" s="5">
        <v>0.36099999999999999</v>
      </c>
      <c r="E83" s="3">
        <v>4.2720000000000002</v>
      </c>
      <c r="F83" s="5">
        <v>0.66500000000000004</v>
      </c>
      <c r="G83" s="3">
        <v>4.8849999999999998</v>
      </c>
      <c r="H83" s="5">
        <v>0.65500000000000003</v>
      </c>
      <c r="I83" s="3">
        <v>1.1435</v>
      </c>
      <c r="J83" s="3">
        <v>1.1221000000000001</v>
      </c>
      <c r="K83" s="4">
        <v>1704.2</v>
      </c>
      <c r="L83" s="3">
        <v>9.0399999999999991</v>
      </c>
      <c r="M83" s="3">
        <v>303</v>
      </c>
      <c r="N83" s="3">
        <v>32</v>
      </c>
      <c r="O83" s="3">
        <v>230.4</v>
      </c>
      <c r="P83" s="3">
        <v>90.98</v>
      </c>
      <c r="Q83" s="3">
        <v>5.41</v>
      </c>
      <c r="R83" s="3">
        <v>25.76</v>
      </c>
      <c r="S83" s="5">
        <v>0.76800000000000002</v>
      </c>
      <c r="T83" s="5">
        <v>0.28000000000000003</v>
      </c>
      <c r="U83" s="2" t="s">
        <v>344</v>
      </c>
      <c r="V83" s="4">
        <v>1273.8</v>
      </c>
      <c r="W83" s="3">
        <v>14.59</v>
      </c>
      <c r="X83" s="3">
        <v>399</v>
      </c>
      <c r="Y83" s="3">
        <v>3.34</v>
      </c>
    </row>
    <row r="84" spans="1:25" x14ac:dyDescent="0.3">
      <c r="A84" s="2" t="s">
        <v>848</v>
      </c>
      <c r="B84" s="2" t="s">
        <v>350</v>
      </c>
      <c r="C84" s="3">
        <v>65.635000000000005</v>
      </c>
      <c r="D84" s="5">
        <v>0.47499999999999998</v>
      </c>
      <c r="E84" s="3">
        <v>4.2930000000000001</v>
      </c>
      <c r="F84" s="5">
        <v>0.63900000000000001</v>
      </c>
      <c r="G84" s="3">
        <v>5.0350000000000001</v>
      </c>
      <c r="H84" s="5">
        <v>0.76800000000000002</v>
      </c>
      <c r="I84" s="3">
        <v>1.1728000000000001</v>
      </c>
      <c r="J84" s="3">
        <v>1.1765000000000001</v>
      </c>
      <c r="K84" s="4">
        <v>1674.7</v>
      </c>
      <c r="L84" s="3">
        <v>8.81</v>
      </c>
      <c r="M84" s="3">
        <v>316.2</v>
      </c>
      <c r="N84" s="3">
        <v>33.200000000000003</v>
      </c>
      <c r="O84" s="3">
        <v>259.10000000000002</v>
      </c>
      <c r="P84" s="3">
        <v>92.5</v>
      </c>
      <c r="Q84" s="3">
        <v>4.8499999999999996</v>
      </c>
      <c r="R84" s="3">
        <v>24.86</v>
      </c>
      <c r="S84" s="5">
        <v>0.66800000000000004</v>
      </c>
      <c r="T84" s="3">
        <v>1.18</v>
      </c>
      <c r="U84" s="2" t="s">
        <v>348</v>
      </c>
      <c r="V84" s="4">
        <v>1277.2</v>
      </c>
      <c r="W84" s="3">
        <v>13.8</v>
      </c>
      <c r="X84" s="3">
        <v>404.8</v>
      </c>
      <c r="Y84" s="3">
        <v>3.44</v>
      </c>
    </row>
    <row r="85" spans="1:25" x14ac:dyDescent="0.3">
      <c r="A85" s="2" t="s">
        <v>849</v>
      </c>
      <c r="B85" s="2" t="s">
        <v>354</v>
      </c>
      <c r="C85" s="3">
        <v>65.757999999999996</v>
      </c>
      <c r="D85" s="5">
        <v>0.34399999999999997</v>
      </c>
      <c r="E85" s="3">
        <v>4.3899999999999997</v>
      </c>
      <c r="F85" s="5">
        <v>0.51</v>
      </c>
      <c r="G85" s="3">
        <v>5.1440000000000001</v>
      </c>
      <c r="H85" s="5">
        <v>0.66</v>
      </c>
      <c r="I85" s="3">
        <v>1.1718</v>
      </c>
      <c r="J85" s="3">
        <v>1.1846000000000001</v>
      </c>
      <c r="K85" s="4">
        <v>1703.2</v>
      </c>
      <c r="L85" s="3">
        <v>9.1</v>
      </c>
      <c r="M85" s="3">
        <v>294.3</v>
      </c>
      <c r="N85" s="3">
        <v>23.8</v>
      </c>
      <c r="O85" s="3">
        <v>227.6</v>
      </c>
      <c r="P85" s="3">
        <v>91.25</v>
      </c>
      <c r="Q85" s="3">
        <v>4.95</v>
      </c>
      <c r="R85" s="3">
        <v>26.97</v>
      </c>
      <c r="S85" s="5">
        <v>0.75800000000000001</v>
      </c>
      <c r="T85" s="5">
        <v>7.0000000000000007E-2</v>
      </c>
      <c r="U85" s="2" t="s">
        <v>352</v>
      </c>
      <c r="V85" s="4">
        <v>1273.3</v>
      </c>
      <c r="W85" s="3">
        <v>14.23</v>
      </c>
      <c r="X85" s="3">
        <v>396.8</v>
      </c>
      <c r="Y85" s="3">
        <v>3.35</v>
      </c>
    </row>
    <row r="86" spans="1:25" x14ac:dyDescent="0.3">
      <c r="A86" s="2" t="s">
        <v>850</v>
      </c>
      <c r="B86" s="2" t="s">
        <v>358</v>
      </c>
      <c r="C86" s="3">
        <v>65.834000000000003</v>
      </c>
      <c r="D86" s="5">
        <v>0.29099999999999998</v>
      </c>
      <c r="E86" s="3">
        <v>4.2759999999999998</v>
      </c>
      <c r="F86" s="5">
        <v>0.56599999999999995</v>
      </c>
      <c r="G86" s="3">
        <v>4.8840000000000003</v>
      </c>
      <c r="H86" s="5">
        <v>0.77500000000000002</v>
      </c>
      <c r="I86" s="3">
        <v>1.1423000000000001</v>
      </c>
      <c r="J86" s="3">
        <v>1.1688000000000001</v>
      </c>
      <c r="K86" s="4">
        <v>1933.3</v>
      </c>
      <c r="L86" s="3">
        <v>9.31</v>
      </c>
      <c r="M86" s="3">
        <v>301</v>
      </c>
      <c r="N86" s="3">
        <v>17</v>
      </c>
      <c r="O86" s="3">
        <v>227</v>
      </c>
      <c r="P86" s="3">
        <v>92.5</v>
      </c>
      <c r="Q86" s="3">
        <v>5.78</v>
      </c>
      <c r="R86" s="3">
        <v>27.48</v>
      </c>
      <c r="S86" s="5">
        <v>0.78200000000000003</v>
      </c>
      <c r="T86" s="5">
        <v>0.08</v>
      </c>
      <c r="U86" s="2" t="s">
        <v>356</v>
      </c>
      <c r="V86" s="4">
        <v>1284.9000000000001</v>
      </c>
      <c r="W86" s="3">
        <v>13.99</v>
      </c>
      <c r="X86" s="3">
        <v>402.3</v>
      </c>
      <c r="Y86" s="3">
        <v>3.45</v>
      </c>
    </row>
    <row r="87" spans="1:25" x14ac:dyDescent="0.3">
      <c r="A87" s="2" t="s">
        <v>851</v>
      </c>
      <c r="B87" s="2" t="s">
        <v>362</v>
      </c>
      <c r="C87" s="3">
        <v>65.412999999999997</v>
      </c>
      <c r="D87" s="5">
        <v>0.316</v>
      </c>
      <c r="E87" s="3">
        <v>3.9209999999999998</v>
      </c>
      <c r="F87" s="5">
        <v>0.60699999999999998</v>
      </c>
      <c r="G87" s="3">
        <v>4.5609999999999999</v>
      </c>
      <c r="H87" s="5">
        <v>0.86299999999999999</v>
      </c>
      <c r="I87" s="3">
        <v>1.1634</v>
      </c>
      <c r="J87" s="3">
        <v>1.1980999999999999</v>
      </c>
      <c r="K87" s="4">
        <v>1869.7</v>
      </c>
      <c r="L87" s="3">
        <v>9.08</v>
      </c>
      <c r="M87" s="3">
        <v>313.2</v>
      </c>
      <c r="N87" s="3">
        <v>27.8</v>
      </c>
      <c r="O87" s="3">
        <v>238.9</v>
      </c>
      <c r="P87" s="3">
        <v>92.85</v>
      </c>
      <c r="Q87" s="3">
        <v>5.89</v>
      </c>
      <c r="R87" s="3">
        <v>24.84</v>
      </c>
      <c r="S87" s="5">
        <v>0.60199999999999998</v>
      </c>
      <c r="T87" s="5">
        <v>0.3</v>
      </c>
      <c r="U87" s="2" t="s">
        <v>360</v>
      </c>
      <c r="V87" s="4">
        <v>1289.3</v>
      </c>
      <c r="W87" s="3">
        <v>14.1</v>
      </c>
      <c r="X87" s="3">
        <v>404.4</v>
      </c>
      <c r="Y87" s="3">
        <v>3.47</v>
      </c>
    </row>
    <row r="88" spans="1:25" x14ac:dyDescent="0.3">
      <c r="A88" s="2" t="s">
        <v>852</v>
      </c>
      <c r="B88" s="2" t="s">
        <v>366</v>
      </c>
      <c r="C88" s="3">
        <v>65.754000000000005</v>
      </c>
      <c r="D88" s="5">
        <v>0.28799999999999998</v>
      </c>
      <c r="E88" s="3">
        <v>4.1360000000000001</v>
      </c>
      <c r="F88" s="5">
        <v>0.80300000000000005</v>
      </c>
      <c r="G88" s="3">
        <v>4.7069999999999999</v>
      </c>
      <c r="H88" s="5">
        <v>0.67500000000000004</v>
      </c>
      <c r="I88" s="3">
        <v>1.1382000000000001</v>
      </c>
      <c r="J88" s="3">
        <v>1.0898000000000001</v>
      </c>
      <c r="K88" s="4">
        <v>1668.2</v>
      </c>
      <c r="L88" s="3">
        <v>9.18</v>
      </c>
      <c r="M88" s="3">
        <v>307.7</v>
      </c>
      <c r="N88" s="3">
        <v>29.4</v>
      </c>
      <c r="O88" s="3">
        <v>257.3</v>
      </c>
      <c r="P88" s="3">
        <v>92.41</v>
      </c>
      <c r="Q88" s="3">
        <v>5.28</v>
      </c>
      <c r="R88" s="3">
        <v>23.1</v>
      </c>
      <c r="S88" s="5">
        <v>0.69299999999999995</v>
      </c>
      <c r="T88" s="6">
        <v>0</v>
      </c>
      <c r="U88" s="2" t="s">
        <v>364</v>
      </c>
      <c r="V88" s="4">
        <v>1289.8</v>
      </c>
      <c r="W88" s="3">
        <v>14.47</v>
      </c>
      <c r="X88" s="3">
        <v>399.1</v>
      </c>
      <c r="Y88" s="3">
        <v>3.32</v>
      </c>
    </row>
    <row r="89" spans="1:25" x14ac:dyDescent="0.3">
      <c r="A89" s="2" t="s">
        <v>853</v>
      </c>
      <c r="B89" s="2" t="s">
        <v>370</v>
      </c>
      <c r="C89" s="3">
        <v>65.891999999999996</v>
      </c>
      <c r="D89" s="5">
        <v>0.48499999999999999</v>
      </c>
      <c r="E89" s="3">
        <v>4.0430000000000001</v>
      </c>
      <c r="F89" s="5">
        <v>0.57699999999999996</v>
      </c>
      <c r="G89" s="3">
        <v>4.6420000000000003</v>
      </c>
      <c r="H89" s="5">
        <v>0.78600000000000003</v>
      </c>
      <c r="I89" s="3">
        <v>1.1478999999999999</v>
      </c>
      <c r="J89" s="3">
        <v>1.1746000000000001</v>
      </c>
      <c r="K89" s="4">
        <v>1714.3</v>
      </c>
      <c r="L89" s="3">
        <v>9</v>
      </c>
      <c r="M89" s="3">
        <v>299.2</v>
      </c>
      <c r="N89" s="3">
        <v>24.6</v>
      </c>
      <c r="O89" s="3">
        <v>235</v>
      </c>
      <c r="P89" s="3">
        <v>93.21</v>
      </c>
      <c r="Q89" s="3">
        <v>5.97</v>
      </c>
      <c r="R89" s="3">
        <v>24.62</v>
      </c>
      <c r="S89" s="5">
        <v>0.80400000000000005</v>
      </c>
      <c r="T89" s="6">
        <v>0</v>
      </c>
      <c r="U89" s="2" t="s">
        <v>368</v>
      </c>
      <c r="V89" s="4">
        <v>1288.4000000000001</v>
      </c>
      <c r="W89" s="3">
        <v>14.18</v>
      </c>
      <c r="X89" s="3">
        <v>401.6</v>
      </c>
      <c r="Y89" s="3">
        <v>3.43</v>
      </c>
    </row>
    <row r="90" spans="1:25" x14ac:dyDescent="0.3">
      <c r="A90" s="2" t="s">
        <v>854</v>
      </c>
      <c r="B90" s="2" t="s">
        <v>374</v>
      </c>
      <c r="C90" s="3">
        <v>65.578999999999994</v>
      </c>
      <c r="D90" s="5">
        <v>0.376</v>
      </c>
      <c r="E90" s="3">
        <v>4.1849999999999996</v>
      </c>
      <c r="F90" s="5">
        <v>0.66800000000000004</v>
      </c>
      <c r="G90" s="3">
        <v>4.67</v>
      </c>
      <c r="H90" s="5">
        <v>0.628</v>
      </c>
      <c r="I90" s="3">
        <v>1.1158999999999999</v>
      </c>
      <c r="J90" s="3">
        <v>1.0919000000000001</v>
      </c>
      <c r="K90" s="4">
        <v>1775.8</v>
      </c>
      <c r="L90" s="3">
        <v>9.1300000000000008</v>
      </c>
      <c r="M90" s="3">
        <v>311.3</v>
      </c>
      <c r="N90" s="3">
        <v>25.2</v>
      </c>
      <c r="O90" s="3">
        <v>246.4</v>
      </c>
      <c r="P90" s="3">
        <v>92.41</v>
      </c>
      <c r="Q90" s="3">
        <v>6.64</v>
      </c>
      <c r="R90" s="3">
        <v>26.04</v>
      </c>
      <c r="S90" s="5">
        <v>0.79300000000000004</v>
      </c>
      <c r="T90" s="5">
        <v>0.75</v>
      </c>
      <c r="U90" s="2" t="s">
        <v>372</v>
      </c>
      <c r="V90" s="4">
        <v>1292.4000000000001</v>
      </c>
      <c r="W90" s="3">
        <v>14.31</v>
      </c>
      <c r="X90" s="3">
        <v>397.2</v>
      </c>
      <c r="Y90" s="3">
        <v>3.43</v>
      </c>
    </row>
    <row r="91" spans="1:25" x14ac:dyDescent="0.3">
      <c r="A91" s="2" t="s">
        <v>855</v>
      </c>
      <c r="B91" s="2" t="s">
        <v>378</v>
      </c>
      <c r="C91" s="3">
        <v>65.968999999999994</v>
      </c>
      <c r="D91" s="5">
        <v>0.39600000000000002</v>
      </c>
      <c r="E91" s="3">
        <v>4.2329999999999997</v>
      </c>
      <c r="F91" s="5">
        <v>0.64700000000000002</v>
      </c>
      <c r="G91" s="3">
        <v>5.0119999999999996</v>
      </c>
      <c r="H91" s="5">
        <v>0.66400000000000003</v>
      </c>
      <c r="I91" s="3">
        <v>1.1840999999999999</v>
      </c>
      <c r="J91" s="3">
        <v>1.1631</v>
      </c>
      <c r="K91" s="4">
        <v>1794</v>
      </c>
      <c r="L91" s="3">
        <v>9.39</v>
      </c>
      <c r="M91" s="3">
        <v>313.8</v>
      </c>
      <c r="N91" s="3">
        <v>23.4</v>
      </c>
      <c r="O91" s="3">
        <v>264.39999999999998</v>
      </c>
      <c r="P91" s="3">
        <v>91.3</v>
      </c>
      <c r="Q91" s="3">
        <v>5.87</v>
      </c>
      <c r="R91" s="3">
        <v>27.46</v>
      </c>
      <c r="S91" s="5">
        <v>0.75900000000000001</v>
      </c>
      <c r="T91" s="5">
        <v>0.72</v>
      </c>
      <c r="U91" s="2" t="s">
        <v>376</v>
      </c>
      <c r="V91" s="4">
        <v>1284</v>
      </c>
      <c r="W91" s="3">
        <v>14.16</v>
      </c>
      <c r="X91" s="3">
        <v>401.6</v>
      </c>
      <c r="Y91" s="3">
        <v>3.55</v>
      </c>
    </row>
    <row r="92" spans="1:25" x14ac:dyDescent="0.3">
      <c r="A92" s="2" t="s">
        <v>856</v>
      </c>
      <c r="B92" s="2" t="s">
        <v>382</v>
      </c>
      <c r="C92" s="3">
        <v>65.784999999999997</v>
      </c>
      <c r="D92" s="5">
        <v>0.32900000000000001</v>
      </c>
      <c r="E92" s="3">
        <v>4.0270000000000001</v>
      </c>
      <c r="F92" s="5">
        <v>0.59199999999999997</v>
      </c>
      <c r="G92" s="3">
        <v>4.6749999999999998</v>
      </c>
      <c r="H92" s="5">
        <v>0.70299999999999996</v>
      </c>
      <c r="I92" s="3">
        <v>1.161</v>
      </c>
      <c r="J92" s="3">
        <v>1.1644000000000001</v>
      </c>
      <c r="K92" s="4">
        <v>1776.1</v>
      </c>
      <c r="L92" s="3">
        <v>8.9700000000000006</v>
      </c>
      <c r="M92" s="3">
        <v>308.60000000000002</v>
      </c>
      <c r="N92" s="3">
        <v>25.1</v>
      </c>
      <c r="O92" s="3">
        <v>265.7</v>
      </c>
      <c r="P92" s="3">
        <v>92.09</v>
      </c>
      <c r="Q92" s="3">
        <v>5.57</v>
      </c>
      <c r="R92" s="3">
        <v>25.2</v>
      </c>
      <c r="S92" s="5">
        <v>0.876</v>
      </c>
      <c r="T92" s="6">
        <v>0</v>
      </c>
      <c r="U92" s="2" t="s">
        <v>380</v>
      </c>
      <c r="V92" s="4">
        <v>1286.5</v>
      </c>
      <c r="W92" s="3">
        <v>13.86</v>
      </c>
      <c r="X92" s="3">
        <v>397.1</v>
      </c>
      <c r="Y92" s="3">
        <v>3.41</v>
      </c>
    </row>
    <row r="93" spans="1:25" x14ac:dyDescent="0.3">
      <c r="A93" s="2" t="s">
        <v>857</v>
      </c>
      <c r="B93" s="2" t="s">
        <v>386</v>
      </c>
      <c r="C93" s="3">
        <v>65.536000000000001</v>
      </c>
      <c r="D93" s="5">
        <v>0.40300000000000002</v>
      </c>
      <c r="E93" s="3">
        <v>4.3929999999999998</v>
      </c>
      <c r="F93" s="5">
        <v>0.64</v>
      </c>
      <c r="G93" s="3">
        <v>5.0469999999999997</v>
      </c>
      <c r="H93" s="5">
        <v>0.625</v>
      </c>
      <c r="I93" s="3">
        <v>1.1489</v>
      </c>
      <c r="J93" s="3">
        <v>1.1271</v>
      </c>
      <c r="K93" s="4">
        <v>1774.9</v>
      </c>
      <c r="L93" s="3">
        <v>9.1</v>
      </c>
      <c r="M93" s="3">
        <v>309.5</v>
      </c>
      <c r="N93" s="3">
        <v>23.9</v>
      </c>
      <c r="O93" s="3">
        <v>232.6</v>
      </c>
      <c r="P93" s="3">
        <v>91.94</v>
      </c>
      <c r="Q93" s="3">
        <v>5.65</v>
      </c>
      <c r="R93" s="3">
        <v>24.63</v>
      </c>
      <c r="S93" s="5">
        <v>0.996</v>
      </c>
      <c r="T93" s="5">
        <v>0.56999999999999995</v>
      </c>
      <c r="U93" s="2" t="s">
        <v>384</v>
      </c>
      <c r="V93" s="4">
        <v>1308.2</v>
      </c>
      <c r="W93" s="3">
        <v>13.84</v>
      </c>
      <c r="X93" s="3">
        <v>399.5</v>
      </c>
      <c r="Y93" s="3">
        <v>3.46</v>
      </c>
    </row>
    <row r="94" spans="1:25" x14ac:dyDescent="0.3">
      <c r="A94" s="2" t="s">
        <v>858</v>
      </c>
      <c r="B94" s="2" t="s">
        <v>390</v>
      </c>
      <c r="C94" s="3">
        <v>66.188000000000002</v>
      </c>
      <c r="D94" s="5">
        <v>0.20499999999999999</v>
      </c>
      <c r="E94" s="3">
        <v>4.0389999999999997</v>
      </c>
      <c r="F94" s="5">
        <v>0.55100000000000005</v>
      </c>
      <c r="G94" s="3">
        <v>4.63</v>
      </c>
      <c r="H94" s="5">
        <v>0.80300000000000005</v>
      </c>
      <c r="I94" s="3">
        <v>1.1463000000000001</v>
      </c>
      <c r="J94" s="3">
        <v>1.1835</v>
      </c>
      <c r="K94" s="4">
        <v>1727.9</v>
      </c>
      <c r="L94" s="3">
        <v>9.0299999999999994</v>
      </c>
      <c r="M94" s="3">
        <v>295.39999999999998</v>
      </c>
      <c r="N94" s="3">
        <v>20.5</v>
      </c>
      <c r="O94" s="3">
        <v>225.1</v>
      </c>
      <c r="P94" s="3">
        <v>92.11</v>
      </c>
      <c r="Q94" s="3">
        <v>5.67</v>
      </c>
      <c r="R94" s="3">
        <v>26.63</v>
      </c>
      <c r="S94" s="5">
        <v>0.68300000000000005</v>
      </c>
      <c r="T94" s="5">
        <v>0.94</v>
      </c>
      <c r="U94" s="2" t="s">
        <v>388</v>
      </c>
      <c r="V94" s="4">
        <v>1300.5</v>
      </c>
      <c r="W94" s="3">
        <v>13.83</v>
      </c>
      <c r="X94" s="3">
        <v>404.9</v>
      </c>
      <c r="Y94" s="3">
        <v>3.42</v>
      </c>
    </row>
    <row r="95" spans="1:25" x14ac:dyDescent="0.3">
      <c r="A95" s="2" t="s">
        <v>859</v>
      </c>
      <c r="B95" s="2" t="s">
        <v>394</v>
      </c>
      <c r="C95" s="3">
        <v>65.802000000000007</v>
      </c>
      <c r="D95" s="5">
        <v>0.46800000000000003</v>
      </c>
      <c r="E95" s="3">
        <v>4.2039999999999997</v>
      </c>
      <c r="F95" s="5">
        <v>0.51</v>
      </c>
      <c r="G95" s="3">
        <v>4.8920000000000003</v>
      </c>
      <c r="H95" s="5">
        <v>0.75700000000000001</v>
      </c>
      <c r="I95" s="3">
        <v>1.1637999999999999</v>
      </c>
      <c r="J95" s="3">
        <v>1.1984999999999999</v>
      </c>
      <c r="K95" s="4">
        <v>1718.7</v>
      </c>
      <c r="L95" s="3">
        <v>9.09</v>
      </c>
      <c r="M95" s="3">
        <v>299.5</v>
      </c>
      <c r="N95" s="3">
        <v>20.5</v>
      </c>
      <c r="O95" s="3">
        <v>224.6</v>
      </c>
      <c r="P95" s="3">
        <v>92.14</v>
      </c>
      <c r="Q95" s="3">
        <v>6.1</v>
      </c>
      <c r="R95" s="3">
        <v>25.27</v>
      </c>
      <c r="S95" s="5">
        <v>0.73699999999999999</v>
      </c>
      <c r="T95" s="5">
        <v>0.56000000000000005</v>
      </c>
      <c r="U95" s="2" t="s">
        <v>392</v>
      </c>
      <c r="V95" s="4">
        <v>1284.7</v>
      </c>
      <c r="W95" s="3">
        <v>14.54</v>
      </c>
      <c r="X95" s="3">
        <v>403.9</v>
      </c>
      <c r="Y95" s="3">
        <v>3.44</v>
      </c>
    </row>
    <row r="96" spans="1:25" x14ac:dyDescent="0.3">
      <c r="A96" s="2" t="s">
        <v>860</v>
      </c>
      <c r="B96" s="2" t="s">
        <v>398</v>
      </c>
      <c r="C96" s="3">
        <v>65.917000000000002</v>
      </c>
      <c r="D96" s="5">
        <v>0.42199999999999999</v>
      </c>
      <c r="E96" s="3">
        <v>4.3819999999999997</v>
      </c>
      <c r="F96" s="5">
        <v>0.63600000000000001</v>
      </c>
      <c r="G96" s="3">
        <v>5.1029999999999998</v>
      </c>
      <c r="H96" s="5">
        <v>0.65500000000000003</v>
      </c>
      <c r="I96" s="3">
        <v>1.1645000000000001</v>
      </c>
      <c r="J96" s="3">
        <v>1.1474</v>
      </c>
      <c r="K96" s="4">
        <v>1828.6</v>
      </c>
      <c r="L96" s="3">
        <v>8.9700000000000006</v>
      </c>
      <c r="M96" s="3">
        <v>321.39999999999998</v>
      </c>
      <c r="N96" s="3">
        <v>17.600000000000001</v>
      </c>
      <c r="O96" s="3">
        <v>257.7</v>
      </c>
      <c r="P96" s="3">
        <v>91.98</v>
      </c>
      <c r="Q96" s="3">
        <v>5.64</v>
      </c>
      <c r="R96" s="3">
        <v>26.18</v>
      </c>
      <c r="S96" s="5">
        <v>0.68200000000000005</v>
      </c>
      <c r="T96" s="5">
        <v>0.65</v>
      </c>
      <c r="U96" s="2" t="s">
        <v>396</v>
      </c>
      <c r="V96" s="4">
        <v>1286.5999999999999</v>
      </c>
      <c r="W96" s="3">
        <v>14.36</v>
      </c>
      <c r="X96" s="3">
        <v>405.1</v>
      </c>
      <c r="Y96" s="3">
        <v>3.34</v>
      </c>
    </row>
    <row r="97" spans="1:25" x14ac:dyDescent="0.3">
      <c r="A97" s="2" t="s">
        <v>861</v>
      </c>
      <c r="B97" s="2" t="s">
        <v>402</v>
      </c>
      <c r="C97" s="3">
        <v>65.884</v>
      </c>
      <c r="D97" s="5">
        <v>0.38400000000000001</v>
      </c>
      <c r="E97" s="3">
        <v>4.07</v>
      </c>
      <c r="F97" s="5">
        <v>0.59899999999999998</v>
      </c>
      <c r="G97" s="3">
        <v>4.8220000000000001</v>
      </c>
      <c r="H97" s="5">
        <v>0.86799999999999999</v>
      </c>
      <c r="I97" s="3">
        <v>1.1848000000000001</v>
      </c>
      <c r="J97" s="3">
        <v>1.2188000000000001</v>
      </c>
      <c r="K97" s="4">
        <v>1769.3</v>
      </c>
      <c r="L97" s="3">
        <v>9.66</v>
      </c>
      <c r="M97" s="3">
        <v>316.5</v>
      </c>
      <c r="N97" s="3">
        <v>26.8</v>
      </c>
      <c r="O97" s="3">
        <v>251.8</v>
      </c>
      <c r="P97" s="3">
        <v>92.77</v>
      </c>
      <c r="Q97" s="3">
        <v>5.58</v>
      </c>
      <c r="R97" s="3">
        <v>26.57</v>
      </c>
      <c r="S97" s="5">
        <v>0.56100000000000005</v>
      </c>
      <c r="T97" s="6">
        <v>0</v>
      </c>
      <c r="U97" s="2" t="s">
        <v>400</v>
      </c>
      <c r="V97" s="4">
        <v>1288.9000000000001</v>
      </c>
      <c r="W97" s="3">
        <v>14.73</v>
      </c>
      <c r="X97" s="3">
        <v>402.6</v>
      </c>
      <c r="Y97" s="3">
        <v>3.34</v>
      </c>
    </row>
    <row r="98" spans="1:25" x14ac:dyDescent="0.3">
      <c r="A98" s="2" t="s">
        <v>862</v>
      </c>
      <c r="B98" s="2" t="s">
        <v>406</v>
      </c>
      <c r="C98" s="3">
        <v>65.683000000000007</v>
      </c>
      <c r="D98" s="5">
        <v>0.32400000000000001</v>
      </c>
      <c r="E98" s="3">
        <v>4.28</v>
      </c>
      <c r="F98" s="5">
        <v>0.58399999999999996</v>
      </c>
      <c r="G98" s="3">
        <v>4.9139999999999997</v>
      </c>
      <c r="H98" s="5">
        <v>0.77100000000000002</v>
      </c>
      <c r="I98" s="3">
        <v>1.1484000000000001</v>
      </c>
      <c r="J98" s="3">
        <v>1.169</v>
      </c>
      <c r="K98" s="4">
        <v>1853.5</v>
      </c>
      <c r="L98" s="3">
        <v>9.02</v>
      </c>
      <c r="M98" s="3">
        <v>282.60000000000002</v>
      </c>
      <c r="N98" s="3">
        <v>31.2</v>
      </c>
      <c r="O98" s="3">
        <v>215</v>
      </c>
      <c r="P98" s="3">
        <v>90.83</v>
      </c>
      <c r="Q98" s="3">
        <v>5.93</v>
      </c>
      <c r="R98" s="3">
        <v>28.02</v>
      </c>
      <c r="S98" s="5">
        <v>0.92600000000000005</v>
      </c>
      <c r="T98" s="5">
        <v>0.02</v>
      </c>
      <c r="U98" s="2" t="s">
        <v>404</v>
      </c>
      <c r="V98" s="4">
        <v>1285.9000000000001</v>
      </c>
      <c r="W98" s="3">
        <v>14.22</v>
      </c>
      <c r="X98" s="3">
        <v>395.4</v>
      </c>
      <c r="Y98" s="3">
        <v>3.37</v>
      </c>
    </row>
    <row r="99" spans="1:25" x14ac:dyDescent="0.3">
      <c r="A99" s="2" t="s">
        <v>863</v>
      </c>
      <c r="B99" s="2" t="s">
        <v>410</v>
      </c>
      <c r="C99" s="3">
        <v>65.713999999999999</v>
      </c>
      <c r="D99" s="5">
        <v>0.33100000000000002</v>
      </c>
      <c r="E99" s="3">
        <v>4.4329999999999998</v>
      </c>
      <c r="F99" s="5">
        <v>0.63</v>
      </c>
      <c r="G99" s="3">
        <v>5.1920000000000002</v>
      </c>
      <c r="H99" s="5">
        <v>0.82299999999999995</v>
      </c>
      <c r="I99" s="3">
        <v>1.1711</v>
      </c>
      <c r="J99" s="3">
        <v>1.1879999999999999</v>
      </c>
      <c r="K99" s="4">
        <v>1816.5</v>
      </c>
      <c r="L99" s="3">
        <v>9.33</v>
      </c>
      <c r="M99" s="3">
        <v>315.2</v>
      </c>
      <c r="N99" s="3">
        <v>25.5</v>
      </c>
      <c r="O99" s="3">
        <v>260</v>
      </c>
      <c r="P99" s="3">
        <v>92.65</v>
      </c>
      <c r="Q99" s="3">
        <v>5.72</v>
      </c>
      <c r="R99" s="3">
        <v>27.05</v>
      </c>
      <c r="S99" s="5">
        <v>0.64800000000000002</v>
      </c>
      <c r="T99" s="5">
        <v>0.38</v>
      </c>
      <c r="U99" s="2" t="s">
        <v>408</v>
      </c>
      <c r="V99" s="4">
        <v>1291.5999999999999</v>
      </c>
      <c r="W99" s="3">
        <v>14.35</v>
      </c>
      <c r="X99" s="3">
        <v>396.5</v>
      </c>
      <c r="Y99" s="3">
        <v>3.41</v>
      </c>
    </row>
    <row r="100" spans="1:25" x14ac:dyDescent="0.3">
      <c r="A100" s="2" t="s">
        <v>864</v>
      </c>
      <c r="B100" s="2" t="s">
        <v>414</v>
      </c>
      <c r="C100" s="3">
        <v>65.683999999999997</v>
      </c>
      <c r="D100" s="5">
        <v>0.39800000000000002</v>
      </c>
      <c r="E100" s="3">
        <v>4.4269999999999996</v>
      </c>
      <c r="F100" s="5">
        <v>0.53900000000000003</v>
      </c>
      <c r="G100" s="3">
        <v>5.0990000000000002</v>
      </c>
      <c r="H100" s="5">
        <v>0.67200000000000004</v>
      </c>
      <c r="I100" s="3">
        <v>1.1518999999999999</v>
      </c>
      <c r="J100" s="3">
        <v>1.1623000000000001</v>
      </c>
      <c r="K100" s="4">
        <v>1752.1</v>
      </c>
      <c r="L100" s="3">
        <v>8.6999999999999993</v>
      </c>
      <c r="M100" s="3">
        <v>309.5</v>
      </c>
      <c r="N100" s="3">
        <v>31.5</v>
      </c>
      <c r="O100" s="3">
        <v>244.5</v>
      </c>
      <c r="P100" s="3">
        <v>93.65</v>
      </c>
      <c r="Q100" s="3">
        <v>5.55</v>
      </c>
      <c r="R100" s="3">
        <v>25.75</v>
      </c>
      <c r="S100" s="5">
        <v>0.60299999999999998</v>
      </c>
      <c r="T100" s="5">
        <v>0.06</v>
      </c>
      <c r="U100" s="2" t="s">
        <v>412</v>
      </c>
      <c r="V100" s="4">
        <v>1298.4000000000001</v>
      </c>
      <c r="W100" s="3">
        <v>14.68</v>
      </c>
      <c r="X100" s="3">
        <v>402.9</v>
      </c>
      <c r="Y100" s="3">
        <v>3.45</v>
      </c>
    </row>
    <row r="101" spans="1:25" x14ac:dyDescent="0.3">
      <c r="A101" s="2" t="s">
        <v>865</v>
      </c>
      <c r="B101" s="2" t="s">
        <v>418</v>
      </c>
      <c r="C101" s="3">
        <v>66.055999999999997</v>
      </c>
      <c r="D101" s="5">
        <v>0.4</v>
      </c>
      <c r="E101" s="3">
        <v>4.3209999999999997</v>
      </c>
      <c r="F101" s="5">
        <v>0.64400000000000002</v>
      </c>
      <c r="G101" s="3">
        <v>4.9770000000000003</v>
      </c>
      <c r="H101" s="5">
        <v>0.71699999999999997</v>
      </c>
      <c r="I101" s="3">
        <v>1.1518999999999999</v>
      </c>
      <c r="J101" s="3">
        <v>1.1469</v>
      </c>
      <c r="K101" s="4">
        <v>1850.5</v>
      </c>
      <c r="L101" s="3">
        <v>8.77</v>
      </c>
      <c r="M101" s="3">
        <v>309.8</v>
      </c>
      <c r="N101" s="3">
        <v>30.3</v>
      </c>
      <c r="O101" s="3">
        <v>245.7</v>
      </c>
      <c r="P101" s="3">
        <v>93.34</v>
      </c>
      <c r="Q101" s="3">
        <v>5.56</v>
      </c>
      <c r="R101" s="3">
        <v>27.43</v>
      </c>
      <c r="S101" s="5">
        <v>0.59299999999999997</v>
      </c>
      <c r="T101" s="6">
        <v>0</v>
      </c>
      <c r="U101" s="2" t="s">
        <v>416</v>
      </c>
      <c r="V101" s="4">
        <v>1296.8</v>
      </c>
      <c r="W101" s="3">
        <v>14.6</v>
      </c>
      <c r="X101" s="3">
        <v>402</v>
      </c>
      <c r="Y101" s="3">
        <v>3.29</v>
      </c>
    </row>
    <row r="102" spans="1:25" x14ac:dyDescent="0.3">
      <c r="A102" s="2" t="s">
        <v>866</v>
      </c>
      <c r="B102" s="2" t="s">
        <v>422</v>
      </c>
      <c r="C102" s="3">
        <v>65.986000000000004</v>
      </c>
      <c r="D102" s="5">
        <v>0.26700000000000002</v>
      </c>
      <c r="E102" s="3">
        <v>4.0970000000000004</v>
      </c>
      <c r="F102" s="5">
        <v>0.57799999999999996</v>
      </c>
      <c r="G102" s="3">
        <v>4.7439999999999998</v>
      </c>
      <c r="H102" s="5">
        <v>0.753</v>
      </c>
      <c r="I102" s="3">
        <v>1.1579999999999999</v>
      </c>
      <c r="J102" s="3">
        <v>1.1759999999999999</v>
      </c>
      <c r="K102" s="4">
        <v>1748.8</v>
      </c>
      <c r="L102" s="3">
        <v>9.5500000000000007</v>
      </c>
      <c r="M102" s="3">
        <v>300.8</v>
      </c>
      <c r="N102" s="3">
        <v>25.1</v>
      </c>
      <c r="O102" s="3">
        <v>236.6</v>
      </c>
      <c r="P102" s="3">
        <v>91.55</v>
      </c>
      <c r="Q102" s="3">
        <v>4.99</v>
      </c>
      <c r="R102" s="3">
        <v>24.86</v>
      </c>
      <c r="S102" s="5">
        <v>0.71699999999999997</v>
      </c>
      <c r="T102" s="5">
        <v>0.25</v>
      </c>
      <c r="U102" s="2" t="s">
        <v>420</v>
      </c>
      <c r="V102" s="4">
        <v>1275.3</v>
      </c>
      <c r="W102" s="3">
        <v>14.33</v>
      </c>
      <c r="X102" s="3">
        <v>400.1</v>
      </c>
      <c r="Y102" s="3">
        <v>3.44</v>
      </c>
    </row>
    <row r="103" spans="1:25" x14ac:dyDescent="0.3">
      <c r="A103" s="2" t="s">
        <v>867</v>
      </c>
      <c r="B103" s="2" t="s">
        <v>426</v>
      </c>
      <c r="C103" s="3">
        <v>65.78</v>
      </c>
      <c r="D103" s="5">
        <v>0.214</v>
      </c>
      <c r="E103" s="3">
        <v>3.89</v>
      </c>
      <c r="F103" s="5">
        <v>0.58799999999999997</v>
      </c>
      <c r="G103" s="3">
        <v>4.49</v>
      </c>
      <c r="H103" s="5">
        <v>0.66900000000000004</v>
      </c>
      <c r="I103" s="3">
        <v>1.1541999999999999</v>
      </c>
      <c r="J103" s="3">
        <v>1.1521999999999999</v>
      </c>
      <c r="K103" s="4">
        <v>1846.8</v>
      </c>
      <c r="L103" s="3">
        <v>9.5500000000000007</v>
      </c>
      <c r="M103" s="3">
        <v>311.89999999999998</v>
      </c>
      <c r="N103" s="3">
        <v>22.1</v>
      </c>
      <c r="O103" s="3">
        <v>260.8</v>
      </c>
      <c r="P103" s="3">
        <v>92.65</v>
      </c>
      <c r="Q103" s="3">
        <v>6.12</v>
      </c>
      <c r="R103" s="3">
        <v>25.36</v>
      </c>
      <c r="S103" s="5">
        <v>0.64300000000000002</v>
      </c>
      <c r="T103" s="6">
        <v>0</v>
      </c>
      <c r="U103" s="2" t="s">
        <v>424</v>
      </c>
      <c r="V103" s="4">
        <v>1271</v>
      </c>
      <c r="W103" s="3">
        <v>14.47</v>
      </c>
      <c r="X103" s="3">
        <v>397</v>
      </c>
      <c r="Y103" s="3">
        <v>3.4</v>
      </c>
    </row>
    <row r="104" spans="1:25" x14ac:dyDescent="0.3">
      <c r="A104" s="2" t="s">
        <v>868</v>
      </c>
      <c r="B104" s="2" t="s">
        <v>430</v>
      </c>
      <c r="C104" s="3">
        <v>66.281000000000006</v>
      </c>
      <c r="D104" s="5">
        <v>0.313</v>
      </c>
      <c r="E104" s="3">
        <v>4.1970000000000001</v>
      </c>
      <c r="F104" s="5">
        <v>0.64400000000000002</v>
      </c>
      <c r="G104" s="3">
        <v>4.7320000000000002</v>
      </c>
      <c r="H104" s="5">
        <v>0.66</v>
      </c>
      <c r="I104" s="3">
        <v>1.1273</v>
      </c>
      <c r="J104" s="3">
        <v>1.1136999999999999</v>
      </c>
      <c r="K104" s="4">
        <v>1821.1</v>
      </c>
      <c r="L104" s="3">
        <v>9.18</v>
      </c>
      <c r="M104" s="3">
        <v>297.89999999999998</v>
      </c>
      <c r="N104" s="3">
        <v>24.8</v>
      </c>
      <c r="O104" s="3">
        <v>217.7</v>
      </c>
      <c r="P104" s="3">
        <v>91.64</v>
      </c>
      <c r="Q104" s="3">
        <v>5.54</v>
      </c>
      <c r="R104" s="3">
        <v>25.34</v>
      </c>
      <c r="S104" s="5">
        <v>0.83499999999999996</v>
      </c>
      <c r="T104" s="5">
        <v>0.27</v>
      </c>
      <c r="U104" s="2" t="s">
        <v>428</v>
      </c>
      <c r="V104" s="4">
        <v>1288.3</v>
      </c>
      <c r="W104" s="3">
        <v>14</v>
      </c>
      <c r="X104" s="3">
        <v>402.5</v>
      </c>
      <c r="Y104" s="3">
        <v>3.5</v>
      </c>
    </row>
    <row r="105" spans="1:25" x14ac:dyDescent="0.3">
      <c r="A105" s="2" t="s">
        <v>869</v>
      </c>
      <c r="B105" s="2" t="s">
        <v>434</v>
      </c>
      <c r="C105" s="3">
        <v>65.757000000000005</v>
      </c>
      <c r="D105" s="5">
        <v>0.40500000000000003</v>
      </c>
      <c r="E105" s="3">
        <v>3.9049999999999998</v>
      </c>
      <c r="F105" s="5">
        <v>0.625</v>
      </c>
      <c r="G105" s="3">
        <v>4.6079999999999997</v>
      </c>
      <c r="H105" s="5">
        <v>0.73299999999999998</v>
      </c>
      <c r="I105" s="3">
        <v>1.1801999999999999</v>
      </c>
      <c r="J105" s="3">
        <v>1.1793</v>
      </c>
      <c r="K105" s="4">
        <v>1816.1</v>
      </c>
      <c r="L105" s="3">
        <v>8.9</v>
      </c>
      <c r="M105" s="3">
        <v>314.8</v>
      </c>
      <c r="N105" s="3">
        <v>27.3</v>
      </c>
      <c r="O105" s="3">
        <v>268</v>
      </c>
      <c r="P105" s="3">
        <v>92</v>
      </c>
      <c r="Q105" s="3">
        <v>5.34</v>
      </c>
      <c r="R105" s="3">
        <v>26.32</v>
      </c>
      <c r="S105" s="5">
        <v>0.56999999999999995</v>
      </c>
      <c r="T105" s="5">
        <v>0.49</v>
      </c>
      <c r="U105" s="2" t="s">
        <v>432</v>
      </c>
      <c r="V105" s="4">
        <v>1297.0999999999999</v>
      </c>
      <c r="W105" s="3">
        <v>14.64</v>
      </c>
      <c r="X105" s="3">
        <v>399.4</v>
      </c>
      <c r="Y105" s="3">
        <v>3.55</v>
      </c>
    </row>
    <row r="106" spans="1:25" x14ac:dyDescent="0.3">
      <c r="A106" s="2" t="s">
        <v>870</v>
      </c>
      <c r="B106" s="2" t="s">
        <v>438</v>
      </c>
      <c r="C106" s="3">
        <v>66.025999999999996</v>
      </c>
      <c r="D106" s="5">
        <v>0.35899999999999999</v>
      </c>
      <c r="E106" s="3">
        <v>3.94</v>
      </c>
      <c r="F106" s="5">
        <v>0.59599999999999997</v>
      </c>
      <c r="G106" s="3">
        <v>4.702</v>
      </c>
      <c r="H106" s="5">
        <v>0.69</v>
      </c>
      <c r="I106" s="3">
        <v>1.1932</v>
      </c>
      <c r="J106" s="3">
        <v>1.1887000000000001</v>
      </c>
      <c r="K106" s="4">
        <v>1799.6</v>
      </c>
      <c r="L106" s="3">
        <v>8.9499999999999993</v>
      </c>
      <c r="M106" s="3">
        <v>309.3</v>
      </c>
      <c r="N106" s="3">
        <v>20.399999999999999</v>
      </c>
      <c r="O106" s="3">
        <v>236.2</v>
      </c>
      <c r="P106" s="3">
        <v>90.62</v>
      </c>
      <c r="Q106" s="3">
        <v>6.34</v>
      </c>
      <c r="R106" s="3">
        <v>25.83</v>
      </c>
      <c r="S106" s="5">
        <v>0.746</v>
      </c>
      <c r="T106" s="5">
        <v>0.8</v>
      </c>
      <c r="U106" s="2" t="s">
        <v>436</v>
      </c>
      <c r="V106" s="4">
        <v>1295.7</v>
      </c>
      <c r="W106" s="3">
        <v>14.42</v>
      </c>
      <c r="X106" s="3">
        <v>397.7</v>
      </c>
      <c r="Y106" s="3">
        <v>3.35</v>
      </c>
    </row>
    <row r="107" spans="1:25" x14ac:dyDescent="0.3">
      <c r="A107" s="2" t="s">
        <v>871</v>
      </c>
      <c r="B107" s="2" t="s">
        <v>442</v>
      </c>
      <c r="C107" s="3">
        <v>65.575999999999993</v>
      </c>
      <c r="D107" s="5">
        <v>0.28299999999999997</v>
      </c>
      <c r="E107" s="3">
        <v>4.3070000000000004</v>
      </c>
      <c r="F107" s="5">
        <v>0.58199999999999996</v>
      </c>
      <c r="G107" s="3">
        <v>5.0990000000000002</v>
      </c>
      <c r="H107" s="5">
        <v>0.63100000000000001</v>
      </c>
      <c r="I107" s="3">
        <v>1.1839</v>
      </c>
      <c r="J107" s="3">
        <v>1.1720999999999999</v>
      </c>
      <c r="K107" s="4">
        <v>1730.2</v>
      </c>
      <c r="L107" s="3">
        <v>9.1300000000000008</v>
      </c>
      <c r="M107" s="3">
        <v>308</v>
      </c>
      <c r="N107" s="3">
        <v>31.1</v>
      </c>
      <c r="O107" s="3">
        <v>259.2</v>
      </c>
      <c r="P107" s="3">
        <v>91.84</v>
      </c>
      <c r="Q107" s="3">
        <v>5.36</v>
      </c>
      <c r="R107" s="3">
        <v>25.76</v>
      </c>
      <c r="S107" s="5">
        <v>0.81799999999999995</v>
      </c>
      <c r="T107" s="5">
        <v>0.95</v>
      </c>
      <c r="U107" s="2" t="s">
        <v>440</v>
      </c>
      <c r="V107" s="4">
        <v>1296</v>
      </c>
      <c r="W107" s="3">
        <v>14.24</v>
      </c>
      <c r="X107" s="3">
        <v>400</v>
      </c>
      <c r="Y107" s="3">
        <v>3.33</v>
      </c>
    </row>
    <row r="108" spans="1:25" x14ac:dyDescent="0.3">
      <c r="A108" s="2" t="s">
        <v>872</v>
      </c>
      <c r="B108" s="2" t="s">
        <v>446</v>
      </c>
      <c r="C108" s="3">
        <v>65.42</v>
      </c>
      <c r="D108" s="5">
        <v>0.45300000000000001</v>
      </c>
      <c r="E108" s="3">
        <v>4.0860000000000003</v>
      </c>
      <c r="F108" s="5">
        <v>0.56200000000000006</v>
      </c>
      <c r="G108" s="3">
        <v>4.8019999999999996</v>
      </c>
      <c r="H108" s="5">
        <v>0.68300000000000005</v>
      </c>
      <c r="I108" s="3">
        <v>1.1752</v>
      </c>
      <c r="J108" s="3">
        <v>1.1798999999999999</v>
      </c>
      <c r="K108" s="4">
        <v>1696.3</v>
      </c>
      <c r="L108" s="3">
        <v>8.8800000000000008</v>
      </c>
      <c r="M108" s="3">
        <v>313.5</v>
      </c>
      <c r="N108" s="3">
        <v>30.8</v>
      </c>
      <c r="O108" s="3">
        <v>246.2</v>
      </c>
      <c r="P108" s="3">
        <v>92.99</v>
      </c>
      <c r="Q108" s="3">
        <v>5.38</v>
      </c>
      <c r="R108" s="3">
        <v>26.34</v>
      </c>
      <c r="S108" s="5">
        <v>0.70599999999999996</v>
      </c>
      <c r="T108" s="5">
        <v>0.09</v>
      </c>
      <c r="U108" s="2" t="s">
        <v>444</v>
      </c>
      <c r="V108" s="4">
        <v>1280.5999999999999</v>
      </c>
      <c r="W108" s="3">
        <v>14.22</v>
      </c>
      <c r="X108" s="3">
        <v>394.3</v>
      </c>
      <c r="Y108" s="3">
        <v>3.56</v>
      </c>
    </row>
    <row r="109" spans="1:25" x14ac:dyDescent="0.3">
      <c r="A109" s="2" t="s">
        <v>873</v>
      </c>
      <c r="B109" s="2" t="s">
        <v>450</v>
      </c>
      <c r="C109" s="3">
        <v>66.093999999999994</v>
      </c>
      <c r="D109" s="5">
        <v>0.41199999999999998</v>
      </c>
      <c r="E109" s="3">
        <v>4.157</v>
      </c>
      <c r="F109" s="5">
        <v>0.58899999999999997</v>
      </c>
      <c r="G109" s="3">
        <v>4.8470000000000004</v>
      </c>
      <c r="H109" s="5">
        <v>0.79400000000000004</v>
      </c>
      <c r="I109" s="3">
        <v>1.1659999999999999</v>
      </c>
      <c r="J109" s="3">
        <v>1.1884999999999999</v>
      </c>
      <c r="K109" s="4">
        <v>1809.8</v>
      </c>
      <c r="L109" s="3">
        <v>8.9600000000000009</v>
      </c>
      <c r="M109" s="3">
        <v>293.2</v>
      </c>
      <c r="N109" s="3">
        <v>29.8</v>
      </c>
      <c r="O109" s="3">
        <v>239.8</v>
      </c>
      <c r="P109" s="3">
        <v>91.37</v>
      </c>
      <c r="Q109" s="3">
        <v>6.15</v>
      </c>
      <c r="R109" s="3">
        <v>28.62</v>
      </c>
      <c r="S109" s="5">
        <v>0.86499999999999999</v>
      </c>
      <c r="T109" s="3">
        <v>1.92</v>
      </c>
      <c r="U109" s="2" t="s">
        <v>448</v>
      </c>
      <c r="V109" s="4">
        <v>1256.7</v>
      </c>
      <c r="W109" s="3">
        <v>14.27</v>
      </c>
      <c r="X109" s="3">
        <v>401.7</v>
      </c>
      <c r="Y109" s="3">
        <v>3.44</v>
      </c>
    </row>
    <row r="110" spans="1:25" x14ac:dyDescent="0.3">
      <c r="A110" s="2" t="s">
        <v>874</v>
      </c>
      <c r="B110" s="2" t="s">
        <v>454</v>
      </c>
      <c r="C110" s="3">
        <v>65.509</v>
      </c>
      <c r="D110" s="5">
        <v>0.33</v>
      </c>
      <c r="E110" s="3">
        <v>4.2939999999999996</v>
      </c>
      <c r="F110" s="5">
        <v>0.68899999999999995</v>
      </c>
      <c r="G110" s="3">
        <v>4.9349999999999996</v>
      </c>
      <c r="H110" s="5">
        <v>0.745</v>
      </c>
      <c r="I110" s="3">
        <v>1.1492</v>
      </c>
      <c r="J110" s="3">
        <v>1.1396999999999999</v>
      </c>
      <c r="K110" s="4">
        <v>1888</v>
      </c>
      <c r="L110" s="3">
        <v>8.9499999999999993</v>
      </c>
      <c r="M110" s="3">
        <v>304.7</v>
      </c>
      <c r="N110" s="3">
        <v>23.8</v>
      </c>
      <c r="O110" s="3">
        <v>229.7</v>
      </c>
      <c r="P110" s="3">
        <v>92.42</v>
      </c>
      <c r="Q110" s="3">
        <v>6.12</v>
      </c>
      <c r="R110" s="3">
        <v>28.43</v>
      </c>
      <c r="S110" s="5">
        <v>0.755</v>
      </c>
      <c r="T110" s="5">
        <v>0.34</v>
      </c>
      <c r="U110" s="2" t="s">
        <v>452</v>
      </c>
      <c r="V110" s="4">
        <v>1273.9000000000001</v>
      </c>
      <c r="W110" s="3">
        <v>14.55</v>
      </c>
      <c r="X110" s="3">
        <v>395.7</v>
      </c>
      <c r="Y110" s="3">
        <v>3.42</v>
      </c>
    </row>
    <row r="111" spans="1:25" x14ac:dyDescent="0.3">
      <c r="A111" s="2" t="s">
        <v>875</v>
      </c>
      <c r="B111" s="2" t="s">
        <v>458</v>
      </c>
      <c r="C111" s="3">
        <v>65.759</v>
      </c>
      <c r="D111" s="5">
        <v>0.28100000000000003</v>
      </c>
      <c r="E111" s="3">
        <v>4.4489999999999998</v>
      </c>
      <c r="F111" s="5">
        <v>0.59499999999999997</v>
      </c>
      <c r="G111" s="3">
        <v>5.1660000000000004</v>
      </c>
      <c r="H111" s="5">
        <v>0.754</v>
      </c>
      <c r="I111" s="3">
        <v>1.161</v>
      </c>
      <c r="J111" s="3">
        <v>1.1734</v>
      </c>
      <c r="K111" s="4">
        <v>1818.2</v>
      </c>
      <c r="L111" s="3">
        <v>8.9600000000000009</v>
      </c>
      <c r="M111" s="3">
        <v>294.60000000000002</v>
      </c>
      <c r="N111" s="3">
        <v>29</v>
      </c>
      <c r="O111" s="3">
        <v>248</v>
      </c>
      <c r="P111" s="3">
        <v>91.58</v>
      </c>
      <c r="Q111" s="3">
        <v>6.17</v>
      </c>
      <c r="R111" s="3">
        <v>25.94</v>
      </c>
      <c r="S111" s="5">
        <v>0.66300000000000003</v>
      </c>
      <c r="T111" s="3">
        <v>1.34</v>
      </c>
      <c r="U111" s="2" t="s">
        <v>456</v>
      </c>
      <c r="V111" s="4">
        <v>1287.5</v>
      </c>
      <c r="W111" s="3">
        <v>14.45</v>
      </c>
      <c r="X111" s="3">
        <v>397.8</v>
      </c>
      <c r="Y111" s="3">
        <v>3.56</v>
      </c>
    </row>
    <row r="112" spans="1:25" x14ac:dyDescent="0.3">
      <c r="A112" s="2" t="s">
        <v>876</v>
      </c>
      <c r="B112" s="2" t="s">
        <v>462</v>
      </c>
      <c r="C112" s="3">
        <v>65.680000000000007</v>
      </c>
      <c r="D112" s="5">
        <v>0.39900000000000002</v>
      </c>
      <c r="E112" s="3">
        <v>4.33</v>
      </c>
      <c r="F112" s="5">
        <v>0.63100000000000001</v>
      </c>
      <c r="G112" s="3">
        <v>5.15</v>
      </c>
      <c r="H112" s="5">
        <v>0.80700000000000005</v>
      </c>
      <c r="I112" s="3">
        <v>1.1893</v>
      </c>
      <c r="J112" s="3">
        <v>1.2007000000000001</v>
      </c>
      <c r="K112" s="4">
        <v>1812.1</v>
      </c>
      <c r="L112" s="3">
        <v>9.24</v>
      </c>
      <c r="M112" s="3">
        <v>313.89999999999998</v>
      </c>
      <c r="N112" s="3">
        <v>28.2</v>
      </c>
      <c r="O112" s="3">
        <v>256.2</v>
      </c>
      <c r="P112" s="3">
        <v>93.01</v>
      </c>
      <c r="Q112" s="3">
        <v>5.95</v>
      </c>
      <c r="R112" s="3">
        <v>25.37</v>
      </c>
      <c r="S112" s="5">
        <v>0.53700000000000003</v>
      </c>
      <c r="T112" s="6">
        <v>0</v>
      </c>
      <c r="U112" s="2" t="s">
        <v>460</v>
      </c>
      <c r="V112" s="4">
        <v>1287.0999999999999</v>
      </c>
      <c r="W112" s="3">
        <v>14.05</v>
      </c>
      <c r="X112" s="3">
        <v>393.9</v>
      </c>
      <c r="Y112" s="3">
        <v>3.43</v>
      </c>
    </row>
    <row r="113" spans="1:25" x14ac:dyDescent="0.3">
      <c r="A113" s="2" t="s">
        <v>877</v>
      </c>
      <c r="B113" s="2" t="s">
        <v>466</v>
      </c>
      <c r="C113" s="3">
        <v>65.483000000000004</v>
      </c>
      <c r="D113" s="5">
        <v>0.317</v>
      </c>
      <c r="E113" s="3">
        <v>4.2670000000000003</v>
      </c>
      <c r="F113" s="5">
        <v>0.55600000000000005</v>
      </c>
      <c r="G113" s="3">
        <v>5.016</v>
      </c>
      <c r="H113" s="5">
        <v>0.75700000000000001</v>
      </c>
      <c r="I113" s="3">
        <v>1.1757</v>
      </c>
      <c r="J113" s="3">
        <v>1.1971000000000001</v>
      </c>
      <c r="K113" s="4">
        <v>1786.5</v>
      </c>
      <c r="L113" s="3">
        <v>8.82</v>
      </c>
      <c r="M113" s="3">
        <v>290.8</v>
      </c>
      <c r="N113" s="3">
        <v>27.5</v>
      </c>
      <c r="O113" s="3">
        <v>232.6</v>
      </c>
      <c r="P113" s="3">
        <v>92.81</v>
      </c>
      <c r="Q113" s="3">
        <v>5.59</v>
      </c>
      <c r="R113" s="3">
        <v>26.84</v>
      </c>
      <c r="S113" s="5">
        <v>0.60799999999999998</v>
      </c>
      <c r="T113" s="3">
        <v>1.23</v>
      </c>
      <c r="U113" s="2" t="s">
        <v>464</v>
      </c>
      <c r="V113" s="4">
        <v>1293.5</v>
      </c>
      <c r="W113" s="3">
        <v>14.51</v>
      </c>
      <c r="X113" s="3">
        <v>402.1</v>
      </c>
      <c r="Y113" s="3">
        <v>3.44</v>
      </c>
    </row>
    <row r="114" spans="1:25" x14ac:dyDescent="0.3">
      <c r="A114" s="2" t="s">
        <v>878</v>
      </c>
      <c r="B114" s="2" t="s">
        <v>470</v>
      </c>
      <c r="C114" s="3">
        <v>65.775999999999996</v>
      </c>
      <c r="D114" s="5">
        <v>0.27200000000000002</v>
      </c>
      <c r="E114" s="3">
        <v>4.1710000000000003</v>
      </c>
      <c r="F114" s="5">
        <v>0.59599999999999997</v>
      </c>
      <c r="G114" s="3">
        <v>4.8630000000000004</v>
      </c>
      <c r="H114" s="5">
        <v>0.66500000000000004</v>
      </c>
      <c r="I114" s="3">
        <v>1.1658999999999999</v>
      </c>
      <c r="J114" s="3">
        <v>1.1597</v>
      </c>
      <c r="K114" s="4">
        <v>1813.5</v>
      </c>
      <c r="L114" s="3">
        <v>9.0399999999999991</v>
      </c>
      <c r="M114" s="3">
        <v>298.3</v>
      </c>
      <c r="N114" s="3">
        <v>21.8</v>
      </c>
      <c r="O114" s="3">
        <v>247.5</v>
      </c>
      <c r="P114" s="3">
        <v>92.17</v>
      </c>
      <c r="Q114" s="3">
        <v>6.16</v>
      </c>
      <c r="R114" s="3">
        <v>25.98</v>
      </c>
      <c r="S114" s="5">
        <v>0.85699999999999998</v>
      </c>
      <c r="T114" s="5">
        <v>0.72</v>
      </c>
      <c r="U114" s="2" t="s">
        <v>468</v>
      </c>
      <c r="V114" s="4">
        <v>1270.7</v>
      </c>
      <c r="W114" s="3">
        <v>14.54</v>
      </c>
      <c r="X114" s="3">
        <v>399.9</v>
      </c>
      <c r="Y114" s="3">
        <v>3.37</v>
      </c>
    </row>
    <row r="115" spans="1:25" x14ac:dyDescent="0.3">
      <c r="A115" s="2" t="s">
        <v>879</v>
      </c>
      <c r="B115" s="2" t="s">
        <v>474</v>
      </c>
      <c r="C115" s="3">
        <v>65.459000000000003</v>
      </c>
      <c r="D115" s="5">
        <v>0.36099999999999999</v>
      </c>
      <c r="E115" s="3">
        <v>4.141</v>
      </c>
      <c r="F115" s="5">
        <v>0.56499999999999995</v>
      </c>
      <c r="G115" s="3">
        <v>4.7489999999999997</v>
      </c>
      <c r="H115" s="5">
        <v>0.79400000000000004</v>
      </c>
      <c r="I115" s="3">
        <v>1.1466000000000001</v>
      </c>
      <c r="J115" s="3">
        <v>1.1777</v>
      </c>
      <c r="K115" s="4">
        <v>1743</v>
      </c>
      <c r="L115" s="3">
        <v>9.3800000000000008</v>
      </c>
      <c r="M115" s="3">
        <v>306.39999999999998</v>
      </c>
      <c r="N115" s="3">
        <v>26.3</v>
      </c>
      <c r="O115" s="3">
        <v>256.60000000000002</v>
      </c>
      <c r="P115" s="3">
        <v>92.97</v>
      </c>
      <c r="Q115" s="3">
        <v>6.04</v>
      </c>
      <c r="R115" s="3">
        <v>24.69</v>
      </c>
      <c r="S115" s="5">
        <v>0.78600000000000003</v>
      </c>
      <c r="T115" s="6">
        <v>0</v>
      </c>
      <c r="U115" s="2" t="s">
        <v>472</v>
      </c>
      <c r="V115" s="4">
        <v>1293.9000000000001</v>
      </c>
      <c r="W115" s="3">
        <v>14.18</v>
      </c>
      <c r="X115" s="3">
        <v>402.9</v>
      </c>
      <c r="Y115" s="3">
        <v>3.35</v>
      </c>
    </row>
    <row r="116" spans="1:25" x14ac:dyDescent="0.3">
      <c r="A116" s="2" t="s">
        <v>880</v>
      </c>
      <c r="B116" s="2" t="s">
        <v>478</v>
      </c>
      <c r="C116" s="3">
        <v>66.081000000000003</v>
      </c>
      <c r="D116" s="5">
        <v>0.32300000000000001</v>
      </c>
      <c r="E116" s="3">
        <v>4.07</v>
      </c>
      <c r="F116" s="5">
        <v>0.59799999999999998</v>
      </c>
      <c r="G116" s="3">
        <v>4.5730000000000004</v>
      </c>
      <c r="H116" s="5">
        <v>0.73099999999999998</v>
      </c>
      <c r="I116" s="3">
        <v>1.1235999999999999</v>
      </c>
      <c r="J116" s="3">
        <v>1.1364000000000001</v>
      </c>
      <c r="K116" s="4">
        <v>1814</v>
      </c>
      <c r="L116" s="3">
        <v>9.06</v>
      </c>
      <c r="M116" s="3">
        <v>306.10000000000002</v>
      </c>
      <c r="N116" s="3">
        <v>33.1</v>
      </c>
      <c r="O116" s="3">
        <v>247.3</v>
      </c>
      <c r="P116" s="3">
        <v>91.69</v>
      </c>
      <c r="Q116" s="3">
        <v>5.26</v>
      </c>
      <c r="R116" s="3">
        <v>26.58</v>
      </c>
      <c r="S116" s="5">
        <v>0.74</v>
      </c>
      <c r="T116" s="5">
        <v>0.66</v>
      </c>
      <c r="U116" s="2" t="s">
        <v>476</v>
      </c>
      <c r="V116" s="4">
        <v>1283.8</v>
      </c>
      <c r="W116" s="3">
        <v>14.71</v>
      </c>
      <c r="X116" s="3">
        <v>401.9</v>
      </c>
      <c r="Y116" s="3">
        <v>3.37</v>
      </c>
    </row>
    <row r="117" spans="1:25" x14ac:dyDescent="0.3">
      <c r="A117" s="2" t="s">
        <v>881</v>
      </c>
      <c r="B117" s="2" t="s">
        <v>482</v>
      </c>
      <c r="C117" s="3">
        <v>65.927000000000007</v>
      </c>
      <c r="D117" s="5">
        <v>0.42699999999999999</v>
      </c>
      <c r="E117" s="3">
        <v>4.141</v>
      </c>
      <c r="F117" s="5">
        <v>0.624</v>
      </c>
      <c r="G117" s="3">
        <v>4.8529999999999998</v>
      </c>
      <c r="H117" s="5">
        <v>0.57899999999999996</v>
      </c>
      <c r="I117" s="3">
        <v>1.1718999999999999</v>
      </c>
      <c r="J117" s="3">
        <v>1.1399999999999999</v>
      </c>
      <c r="K117" s="4">
        <v>1736.1</v>
      </c>
      <c r="L117" s="3">
        <v>8.8800000000000008</v>
      </c>
      <c r="M117" s="3">
        <v>310.7</v>
      </c>
      <c r="N117" s="3">
        <v>31.4</v>
      </c>
      <c r="O117" s="3">
        <v>242.8</v>
      </c>
      <c r="P117" s="3">
        <v>92.3</v>
      </c>
      <c r="Q117" s="3">
        <v>5.53</v>
      </c>
      <c r="R117" s="3">
        <v>26.64</v>
      </c>
      <c r="S117" s="5">
        <v>0.69899999999999995</v>
      </c>
      <c r="T117" s="5">
        <v>0.64</v>
      </c>
      <c r="U117" s="2" t="s">
        <v>480</v>
      </c>
      <c r="V117" s="4">
        <v>1270.8</v>
      </c>
      <c r="W117" s="3">
        <v>14.7</v>
      </c>
      <c r="X117" s="3">
        <v>402.7</v>
      </c>
      <c r="Y117" s="3">
        <v>3.45</v>
      </c>
    </row>
    <row r="118" spans="1:25" x14ac:dyDescent="0.3">
      <c r="A118" s="2" t="s">
        <v>882</v>
      </c>
      <c r="B118" s="2" t="s">
        <v>486</v>
      </c>
      <c r="C118" s="3">
        <v>65.744</v>
      </c>
      <c r="D118" s="5">
        <v>0.34300000000000003</v>
      </c>
      <c r="E118" s="3">
        <v>4.3559999999999999</v>
      </c>
      <c r="F118" s="5">
        <v>0.67800000000000005</v>
      </c>
      <c r="G118" s="3">
        <v>5.0949999999999998</v>
      </c>
      <c r="H118" s="5">
        <v>0.83199999999999996</v>
      </c>
      <c r="I118" s="3">
        <v>1.1698</v>
      </c>
      <c r="J118" s="3">
        <v>1.1774</v>
      </c>
      <c r="K118" s="4">
        <v>1667.2</v>
      </c>
      <c r="L118" s="3">
        <v>9.48</v>
      </c>
      <c r="M118" s="3">
        <v>299.10000000000002</v>
      </c>
      <c r="N118" s="3">
        <v>23.3</v>
      </c>
      <c r="O118" s="3">
        <v>239</v>
      </c>
      <c r="P118" s="3">
        <v>91.6</v>
      </c>
      <c r="Q118" s="3">
        <v>5.73</v>
      </c>
      <c r="R118" s="3">
        <v>24.74</v>
      </c>
      <c r="S118" s="5">
        <v>0.72499999999999998</v>
      </c>
      <c r="T118" s="5">
        <v>0.55000000000000004</v>
      </c>
      <c r="U118" s="2" t="s">
        <v>484</v>
      </c>
      <c r="V118" s="4">
        <v>1287.0999999999999</v>
      </c>
      <c r="W118" s="3">
        <v>14.66</v>
      </c>
      <c r="X118" s="3">
        <v>399.5</v>
      </c>
      <c r="Y118" s="3">
        <v>3.42</v>
      </c>
    </row>
    <row r="119" spans="1:25" x14ac:dyDescent="0.3">
      <c r="A119" s="2" t="s">
        <v>883</v>
      </c>
      <c r="B119" s="2" t="s">
        <v>490</v>
      </c>
      <c r="C119" s="3">
        <v>65.766000000000005</v>
      </c>
      <c r="D119" s="5">
        <v>0.40799999999999997</v>
      </c>
      <c r="E119" s="3">
        <v>4.3959999999999999</v>
      </c>
      <c r="F119" s="5">
        <v>0.67600000000000005</v>
      </c>
      <c r="G119" s="3">
        <v>5.2619999999999996</v>
      </c>
      <c r="H119" s="5">
        <v>0.60299999999999998</v>
      </c>
      <c r="I119" s="3">
        <v>1.1972</v>
      </c>
      <c r="J119" s="3">
        <v>1.1564000000000001</v>
      </c>
      <c r="K119" s="4">
        <v>1702.5</v>
      </c>
      <c r="L119" s="3">
        <v>9.4</v>
      </c>
      <c r="M119" s="3">
        <v>331</v>
      </c>
      <c r="N119" s="3">
        <v>27.1</v>
      </c>
      <c r="O119" s="3">
        <v>289.2</v>
      </c>
      <c r="P119" s="3">
        <v>94.88</v>
      </c>
      <c r="Q119" s="3">
        <v>5.57</v>
      </c>
      <c r="R119" s="3">
        <v>26.08</v>
      </c>
      <c r="S119" s="5">
        <v>0.65400000000000003</v>
      </c>
      <c r="T119" s="3">
        <v>1.1499999999999999</v>
      </c>
      <c r="U119" s="2" t="s">
        <v>488</v>
      </c>
      <c r="V119" s="4">
        <v>1280.3</v>
      </c>
      <c r="W119" s="3">
        <v>13.25</v>
      </c>
      <c r="X119" s="3">
        <v>399.6</v>
      </c>
      <c r="Y119" s="3">
        <v>3.39</v>
      </c>
    </row>
    <row r="120" spans="1:25" x14ac:dyDescent="0.3">
      <c r="A120" s="2" t="s">
        <v>884</v>
      </c>
      <c r="B120" s="2" t="s">
        <v>494</v>
      </c>
      <c r="C120" s="3">
        <v>65.863</v>
      </c>
      <c r="D120" s="5">
        <v>0.36</v>
      </c>
      <c r="E120" s="3">
        <v>4.4530000000000003</v>
      </c>
      <c r="F120" s="5">
        <v>0.63500000000000001</v>
      </c>
      <c r="G120" s="3">
        <v>5.0810000000000004</v>
      </c>
      <c r="H120" s="5">
        <v>0.82</v>
      </c>
      <c r="I120" s="3">
        <v>1.141</v>
      </c>
      <c r="J120" s="3">
        <v>1.1597999999999999</v>
      </c>
      <c r="K120" s="4">
        <v>1869.9</v>
      </c>
      <c r="L120" s="3">
        <v>9.19</v>
      </c>
      <c r="M120" s="3">
        <v>292.10000000000002</v>
      </c>
      <c r="N120" s="3">
        <v>30.3</v>
      </c>
      <c r="O120" s="3">
        <v>228.1</v>
      </c>
      <c r="P120" s="3">
        <v>92.48</v>
      </c>
      <c r="Q120" s="3">
        <v>6.42</v>
      </c>
      <c r="R120" s="3">
        <v>26.44</v>
      </c>
      <c r="S120" s="5">
        <v>0.73299999999999998</v>
      </c>
      <c r="T120" s="6">
        <v>0</v>
      </c>
      <c r="U120" s="2" t="s">
        <v>492</v>
      </c>
      <c r="V120" s="4">
        <v>1279.8</v>
      </c>
      <c r="W120" s="3">
        <v>14.3</v>
      </c>
      <c r="X120" s="3">
        <v>404</v>
      </c>
      <c r="Y120" s="3">
        <v>3.39</v>
      </c>
    </row>
    <row r="121" spans="1:25" x14ac:dyDescent="0.3">
      <c r="A121" s="2" t="s">
        <v>885</v>
      </c>
      <c r="B121" s="2" t="s">
        <v>498</v>
      </c>
      <c r="C121" s="3">
        <v>65.516999999999996</v>
      </c>
      <c r="D121" s="5">
        <v>0.36399999999999999</v>
      </c>
      <c r="E121" s="3">
        <v>4.2960000000000003</v>
      </c>
      <c r="F121" s="5">
        <v>0.73599999999999999</v>
      </c>
      <c r="G121" s="3">
        <v>5.0140000000000002</v>
      </c>
      <c r="H121" s="5">
        <v>0.76</v>
      </c>
      <c r="I121" s="3">
        <v>1.167</v>
      </c>
      <c r="J121" s="3">
        <v>1.1475</v>
      </c>
      <c r="K121" s="4">
        <v>1842.1</v>
      </c>
      <c r="L121" s="3">
        <v>8.42</v>
      </c>
      <c r="M121" s="3">
        <v>305.8</v>
      </c>
      <c r="N121" s="3">
        <v>34.4</v>
      </c>
      <c r="O121" s="3">
        <v>253.2</v>
      </c>
      <c r="P121" s="3">
        <v>92.09</v>
      </c>
      <c r="Q121" s="3">
        <v>5.08</v>
      </c>
      <c r="R121" s="3">
        <v>26.55</v>
      </c>
      <c r="S121" s="5">
        <v>0.65900000000000003</v>
      </c>
      <c r="T121" s="6">
        <v>0</v>
      </c>
      <c r="U121" s="2" t="s">
        <v>496</v>
      </c>
      <c r="V121" s="4">
        <v>1272.3</v>
      </c>
      <c r="W121" s="3">
        <v>15.26</v>
      </c>
      <c r="X121" s="3">
        <v>401.5</v>
      </c>
      <c r="Y121" s="3">
        <v>3.61</v>
      </c>
    </row>
    <row r="122" spans="1:25" x14ac:dyDescent="0.3">
      <c r="A122" s="2" t="s">
        <v>886</v>
      </c>
      <c r="B122" s="2" t="s">
        <v>503</v>
      </c>
      <c r="C122" s="3">
        <v>68.311999999999998</v>
      </c>
      <c r="D122" s="5">
        <v>0.376</v>
      </c>
      <c r="E122" s="3">
        <v>3.927</v>
      </c>
      <c r="F122" s="5">
        <v>0.53500000000000003</v>
      </c>
      <c r="G122" s="3">
        <v>3.8580000000000001</v>
      </c>
      <c r="H122" s="5">
        <v>0.56299999999999994</v>
      </c>
      <c r="I122" s="5">
        <v>0.98260000000000003</v>
      </c>
      <c r="J122" s="5">
        <v>0.9909</v>
      </c>
      <c r="K122" s="4">
        <v>1675.2</v>
      </c>
      <c r="L122" s="3">
        <v>9</v>
      </c>
      <c r="M122" s="3">
        <v>299.8</v>
      </c>
      <c r="N122" s="3">
        <v>29.8</v>
      </c>
      <c r="O122" s="3">
        <v>242.8</v>
      </c>
      <c r="P122" s="3">
        <v>90.94</v>
      </c>
      <c r="Q122" s="3">
        <v>5.65</v>
      </c>
      <c r="R122" s="3">
        <v>26.15</v>
      </c>
      <c r="S122" s="5">
        <v>0.621</v>
      </c>
      <c r="T122" s="3">
        <v>2.5299999999999998</v>
      </c>
      <c r="U122" s="2" t="s">
        <v>500</v>
      </c>
      <c r="V122" s="4">
        <v>1316.1</v>
      </c>
      <c r="W122" s="3">
        <v>14.08</v>
      </c>
      <c r="X122" s="3">
        <v>439.6</v>
      </c>
      <c r="Y122" s="3">
        <v>3.15</v>
      </c>
    </row>
    <row r="123" spans="1:25" x14ac:dyDescent="0.3">
      <c r="A123" s="2" t="s">
        <v>887</v>
      </c>
      <c r="B123" s="2" t="s">
        <v>507</v>
      </c>
      <c r="C123" s="3">
        <v>68.319000000000003</v>
      </c>
      <c r="D123" s="5">
        <v>0.34799999999999998</v>
      </c>
      <c r="E123" s="3">
        <v>4.0250000000000004</v>
      </c>
      <c r="F123" s="5">
        <v>0.51300000000000001</v>
      </c>
      <c r="G123" s="3">
        <v>4.0960000000000001</v>
      </c>
      <c r="H123" s="5">
        <v>0.77700000000000002</v>
      </c>
      <c r="I123" s="3">
        <v>1.0177</v>
      </c>
      <c r="J123" s="3">
        <v>1.0739000000000001</v>
      </c>
      <c r="K123" s="4">
        <v>1714.5</v>
      </c>
      <c r="L123" s="3">
        <v>9.1300000000000008</v>
      </c>
      <c r="M123" s="3">
        <v>296.7</v>
      </c>
      <c r="N123" s="3">
        <v>22.9</v>
      </c>
      <c r="O123" s="3">
        <v>216.5</v>
      </c>
      <c r="P123" s="3">
        <v>91.4</v>
      </c>
      <c r="Q123" s="3">
        <v>5.0599999999999996</v>
      </c>
      <c r="R123" s="3">
        <v>24.71</v>
      </c>
      <c r="S123" s="5">
        <v>0.81499999999999995</v>
      </c>
      <c r="T123" s="3">
        <v>1.35</v>
      </c>
      <c r="U123" s="2" t="s">
        <v>505</v>
      </c>
      <c r="V123" s="4">
        <v>1326.2</v>
      </c>
      <c r="W123" s="3">
        <v>13.99</v>
      </c>
      <c r="X123" s="3">
        <v>427.8</v>
      </c>
      <c r="Y123" s="3">
        <v>3.02</v>
      </c>
    </row>
    <row r="124" spans="1:25" x14ac:dyDescent="0.3">
      <c r="A124" s="2" t="s">
        <v>888</v>
      </c>
      <c r="B124" s="2" t="s">
        <v>511</v>
      </c>
      <c r="C124" s="3">
        <v>68.322999999999993</v>
      </c>
      <c r="D124" s="5">
        <v>0.31900000000000001</v>
      </c>
      <c r="E124" s="3">
        <v>3.6789999999999998</v>
      </c>
      <c r="F124" s="5">
        <v>0.58299999999999996</v>
      </c>
      <c r="G124" s="3">
        <v>3.6230000000000002</v>
      </c>
      <c r="H124" s="5">
        <v>0.71499999999999997</v>
      </c>
      <c r="I124" s="5">
        <v>0.9849</v>
      </c>
      <c r="J124" s="3">
        <v>1.0179</v>
      </c>
      <c r="K124" s="4">
        <v>1702.3</v>
      </c>
      <c r="L124" s="3">
        <v>9.26</v>
      </c>
      <c r="M124" s="3">
        <v>296.8</v>
      </c>
      <c r="N124" s="3">
        <v>28.5</v>
      </c>
      <c r="O124" s="3">
        <v>232.5</v>
      </c>
      <c r="P124" s="3">
        <v>92.18</v>
      </c>
      <c r="Q124" s="3">
        <v>5.51</v>
      </c>
      <c r="R124" s="3">
        <v>23.93</v>
      </c>
      <c r="S124" s="5">
        <v>0.61699999999999999</v>
      </c>
      <c r="T124" s="3">
        <v>1.9</v>
      </c>
      <c r="U124" s="2" t="s">
        <v>509</v>
      </c>
      <c r="V124" s="4">
        <v>1329.5</v>
      </c>
      <c r="W124" s="3">
        <v>14.28</v>
      </c>
      <c r="X124" s="3">
        <v>433.1</v>
      </c>
      <c r="Y124" s="3">
        <v>3.1</v>
      </c>
    </row>
    <row r="125" spans="1:25" x14ac:dyDescent="0.3">
      <c r="A125" s="2" t="s">
        <v>889</v>
      </c>
      <c r="B125" s="2" t="s">
        <v>515</v>
      </c>
      <c r="C125" s="3">
        <v>67.850999999999999</v>
      </c>
      <c r="D125" s="5">
        <v>0.28299999999999997</v>
      </c>
      <c r="E125" s="3">
        <v>3.6539999999999999</v>
      </c>
      <c r="F125" s="5">
        <v>0.52400000000000002</v>
      </c>
      <c r="G125" s="3">
        <v>3.569</v>
      </c>
      <c r="H125" s="5">
        <v>0.73499999999999999</v>
      </c>
      <c r="I125" s="5">
        <v>0.97670000000000001</v>
      </c>
      <c r="J125" s="3">
        <v>1.0302</v>
      </c>
      <c r="K125" s="4">
        <v>1543.6</v>
      </c>
      <c r="L125" s="3">
        <v>8.23</v>
      </c>
      <c r="M125" s="3">
        <v>286.8</v>
      </c>
      <c r="N125" s="3">
        <v>27.6</v>
      </c>
      <c r="O125" s="3">
        <v>223</v>
      </c>
      <c r="P125" s="3">
        <v>90.21</v>
      </c>
      <c r="Q125" s="3">
        <v>6.14</v>
      </c>
      <c r="R125" s="3">
        <v>22.44</v>
      </c>
      <c r="S125" s="5">
        <v>0.86899999999999999</v>
      </c>
      <c r="T125" s="3">
        <v>2.89</v>
      </c>
      <c r="U125" s="2" t="s">
        <v>513</v>
      </c>
      <c r="V125" s="4">
        <v>1328.2</v>
      </c>
      <c r="W125" s="3">
        <v>13.96</v>
      </c>
      <c r="X125" s="3">
        <v>436.9</v>
      </c>
      <c r="Y125" s="3">
        <v>3.08</v>
      </c>
    </row>
    <row r="126" spans="1:25" x14ac:dyDescent="0.3">
      <c r="A126" s="2" t="s">
        <v>890</v>
      </c>
      <c r="B126" s="2" t="s">
        <v>519</v>
      </c>
      <c r="C126" s="3">
        <v>67.858999999999995</v>
      </c>
      <c r="D126" s="5">
        <v>0.35199999999999998</v>
      </c>
      <c r="E126" s="3">
        <v>3.7669999999999999</v>
      </c>
      <c r="F126" s="5">
        <v>0.56499999999999995</v>
      </c>
      <c r="G126" s="3">
        <v>3.6579999999999999</v>
      </c>
      <c r="H126" s="5">
        <v>0.77300000000000002</v>
      </c>
      <c r="I126" s="5">
        <v>0.97109999999999996</v>
      </c>
      <c r="J126" s="3">
        <v>1.0227999999999999</v>
      </c>
      <c r="K126" s="4">
        <v>1592.6</v>
      </c>
      <c r="L126" s="3">
        <v>8.68</v>
      </c>
      <c r="M126" s="3">
        <v>305.2</v>
      </c>
      <c r="N126" s="3">
        <v>22</v>
      </c>
      <c r="O126" s="3">
        <v>237.5</v>
      </c>
      <c r="P126" s="3">
        <v>92.93</v>
      </c>
      <c r="Q126" s="3">
        <v>6.08</v>
      </c>
      <c r="R126" s="3">
        <v>23.95</v>
      </c>
      <c r="S126" s="5">
        <v>0.58799999999999997</v>
      </c>
      <c r="T126" s="5">
        <v>0.75</v>
      </c>
      <c r="U126" s="2" t="s">
        <v>517</v>
      </c>
      <c r="V126" s="4">
        <v>1320.9</v>
      </c>
      <c r="W126" s="3">
        <v>13.83</v>
      </c>
      <c r="X126" s="3">
        <v>422.8</v>
      </c>
      <c r="Y126" s="3">
        <v>3.13</v>
      </c>
    </row>
    <row r="127" spans="1:25" x14ac:dyDescent="0.3">
      <c r="A127" s="2" t="s">
        <v>891</v>
      </c>
      <c r="B127" s="2" t="s">
        <v>523</v>
      </c>
      <c r="C127" s="3">
        <v>67.807000000000002</v>
      </c>
      <c r="D127" s="5">
        <v>0.372</v>
      </c>
      <c r="E127" s="3">
        <v>3.6280000000000001</v>
      </c>
      <c r="F127" s="5">
        <v>0.55500000000000005</v>
      </c>
      <c r="G127" s="3">
        <v>3.5670000000000002</v>
      </c>
      <c r="H127" s="5">
        <v>0.76400000000000001</v>
      </c>
      <c r="I127" s="5">
        <v>0.98319999999999996</v>
      </c>
      <c r="J127" s="3">
        <v>1.0356000000000001</v>
      </c>
      <c r="K127" s="4">
        <v>1716</v>
      </c>
      <c r="L127" s="3">
        <v>8.9600000000000009</v>
      </c>
      <c r="M127" s="3">
        <v>310.3</v>
      </c>
      <c r="N127" s="3">
        <v>29.6</v>
      </c>
      <c r="O127" s="3">
        <v>243</v>
      </c>
      <c r="P127" s="3">
        <v>92.4</v>
      </c>
      <c r="Q127" s="3">
        <v>5.74</v>
      </c>
      <c r="R127" s="3">
        <v>24.66</v>
      </c>
      <c r="S127" s="5">
        <v>0.69199999999999995</v>
      </c>
      <c r="T127" s="3">
        <v>1.89</v>
      </c>
      <c r="U127" s="2" t="s">
        <v>521</v>
      </c>
      <c r="V127" s="4">
        <v>1319.9</v>
      </c>
      <c r="W127" s="3">
        <v>14.34</v>
      </c>
      <c r="X127" s="3">
        <v>430.9</v>
      </c>
      <c r="Y127" s="3">
        <v>3.1</v>
      </c>
    </row>
    <row r="128" spans="1:25" x14ac:dyDescent="0.3">
      <c r="A128" s="2" t="s">
        <v>892</v>
      </c>
      <c r="B128" s="2" t="s">
        <v>527</v>
      </c>
      <c r="C128" s="3">
        <v>67.834000000000003</v>
      </c>
      <c r="D128" s="5">
        <v>0.33800000000000002</v>
      </c>
      <c r="E128" s="3">
        <v>3.968</v>
      </c>
      <c r="F128" s="5">
        <v>0.52100000000000002</v>
      </c>
      <c r="G128" s="3">
        <v>3.9380000000000002</v>
      </c>
      <c r="H128" s="5">
        <v>0.61299999999999999</v>
      </c>
      <c r="I128" s="5">
        <v>0.99239999999999995</v>
      </c>
      <c r="J128" s="3">
        <v>1.0139</v>
      </c>
      <c r="K128" s="4">
        <v>1712.5</v>
      </c>
      <c r="L128" s="3">
        <v>9.5</v>
      </c>
      <c r="M128" s="3">
        <v>298.5</v>
      </c>
      <c r="N128" s="3">
        <v>34.4</v>
      </c>
      <c r="O128" s="3">
        <v>228.9</v>
      </c>
      <c r="P128" s="3">
        <v>92.67</v>
      </c>
      <c r="Q128" s="3">
        <v>5.09</v>
      </c>
      <c r="R128" s="3">
        <v>21.92</v>
      </c>
      <c r="S128" s="5">
        <v>0.66700000000000004</v>
      </c>
      <c r="T128" s="5">
        <v>0.62</v>
      </c>
      <c r="U128" s="2" t="s">
        <v>525</v>
      </c>
      <c r="V128" s="4">
        <v>1335.9</v>
      </c>
      <c r="W128" s="3">
        <v>14.15</v>
      </c>
      <c r="X128" s="3">
        <v>433.3</v>
      </c>
      <c r="Y128" s="3">
        <v>3.09</v>
      </c>
    </row>
    <row r="129" spans="1:25" x14ac:dyDescent="0.3">
      <c r="A129" s="2" t="s">
        <v>893</v>
      </c>
      <c r="B129" s="2" t="s">
        <v>531</v>
      </c>
      <c r="C129" s="3">
        <v>67.896000000000001</v>
      </c>
      <c r="D129" s="5">
        <v>0.32700000000000001</v>
      </c>
      <c r="E129" s="3">
        <v>3.8130000000000002</v>
      </c>
      <c r="F129" s="5">
        <v>0.55400000000000005</v>
      </c>
      <c r="G129" s="3">
        <v>3.613</v>
      </c>
      <c r="H129" s="5">
        <v>0.86899999999999999</v>
      </c>
      <c r="I129" s="5">
        <v>0.9476</v>
      </c>
      <c r="J129" s="3">
        <v>1.0264</v>
      </c>
      <c r="K129" s="4">
        <v>1612.8</v>
      </c>
      <c r="L129" s="3">
        <v>9.42</v>
      </c>
      <c r="M129" s="3">
        <v>303.39999999999998</v>
      </c>
      <c r="N129" s="3">
        <v>25.1</v>
      </c>
      <c r="O129" s="3">
        <v>252.8</v>
      </c>
      <c r="P129" s="3">
        <v>92</v>
      </c>
      <c r="Q129" s="3">
        <v>5.38</v>
      </c>
      <c r="R129" s="3">
        <v>23.63</v>
      </c>
      <c r="S129" s="5">
        <v>0.48699999999999999</v>
      </c>
      <c r="T129" s="3">
        <v>1.25</v>
      </c>
      <c r="U129" s="2" t="s">
        <v>529</v>
      </c>
      <c r="V129" s="4">
        <v>1318.7</v>
      </c>
      <c r="W129" s="3">
        <v>14.66</v>
      </c>
      <c r="X129" s="3">
        <v>434</v>
      </c>
      <c r="Y129" s="3">
        <v>3.03</v>
      </c>
    </row>
    <row r="130" spans="1:25" x14ac:dyDescent="0.3">
      <c r="A130" s="2" t="s">
        <v>894</v>
      </c>
      <c r="B130" s="2" t="s">
        <v>535</v>
      </c>
      <c r="C130" s="3">
        <v>68.566000000000003</v>
      </c>
      <c r="D130" s="5">
        <v>0.48</v>
      </c>
      <c r="E130" s="3">
        <v>3.8279999999999998</v>
      </c>
      <c r="F130" s="5">
        <v>0.56399999999999995</v>
      </c>
      <c r="G130" s="3">
        <v>3.7370000000000001</v>
      </c>
      <c r="H130" s="5">
        <v>0.67500000000000004</v>
      </c>
      <c r="I130" s="5">
        <v>0.97619999999999996</v>
      </c>
      <c r="J130" s="3">
        <v>1.0045999999999999</v>
      </c>
      <c r="K130" s="4">
        <v>1611.5</v>
      </c>
      <c r="L130" s="3">
        <v>8.84</v>
      </c>
      <c r="M130" s="3">
        <v>300.2</v>
      </c>
      <c r="N130" s="3">
        <v>35</v>
      </c>
      <c r="O130" s="3">
        <v>229</v>
      </c>
      <c r="P130" s="3">
        <v>92.44</v>
      </c>
      <c r="Q130" s="3">
        <v>5.59</v>
      </c>
      <c r="R130" s="3">
        <v>21.72</v>
      </c>
      <c r="S130" s="5">
        <v>0.66600000000000004</v>
      </c>
      <c r="T130" s="3">
        <v>1.55</v>
      </c>
      <c r="U130" s="2" t="s">
        <v>533</v>
      </c>
      <c r="V130" s="4">
        <v>1335.6</v>
      </c>
      <c r="W130" s="3">
        <v>14.21</v>
      </c>
      <c r="X130" s="3">
        <v>433.8</v>
      </c>
      <c r="Y130" s="3">
        <v>3.06</v>
      </c>
    </row>
    <row r="131" spans="1:25" x14ac:dyDescent="0.3">
      <c r="A131" s="2" t="s">
        <v>895</v>
      </c>
      <c r="B131" s="2" t="s">
        <v>539</v>
      </c>
      <c r="C131" s="3">
        <v>67.861000000000004</v>
      </c>
      <c r="D131" s="5">
        <v>0.32100000000000001</v>
      </c>
      <c r="E131" s="3">
        <v>3.9910000000000001</v>
      </c>
      <c r="F131" s="5">
        <v>0.499</v>
      </c>
      <c r="G131" s="3">
        <v>3.8519999999999999</v>
      </c>
      <c r="H131" s="5">
        <v>0.82699999999999996</v>
      </c>
      <c r="I131" s="5">
        <v>0.96530000000000005</v>
      </c>
      <c r="J131" s="3">
        <v>1.0422</v>
      </c>
      <c r="K131" s="4">
        <v>1619.9</v>
      </c>
      <c r="L131" s="3">
        <v>8.98</v>
      </c>
      <c r="M131" s="3">
        <v>307.2</v>
      </c>
      <c r="N131" s="3">
        <v>28.7</v>
      </c>
      <c r="O131" s="3">
        <v>244.3</v>
      </c>
      <c r="P131" s="3">
        <v>92.21</v>
      </c>
      <c r="Q131" s="3">
        <v>6.25</v>
      </c>
      <c r="R131" s="3">
        <v>20.82</v>
      </c>
      <c r="S131" s="5">
        <v>0.57399999999999995</v>
      </c>
      <c r="T131" s="3">
        <v>1.37</v>
      </c>
      <c r="U131" s="2" t="s">
        <v>537</v>
      </c>
      <c r="V131" s="4">
        <v>1327.2</v>
      </c>
      <c r="W131" s="3">
        <v>13.88</v>
      </c>
      <c r="X131" s="3">
        <v>424.7</v>
      </c>
      <c r="Y131" s="3">
        <v>3.08</v>
      </c>
    </row>
    <row r="132" spans="1:25" x14ac:dyDescent="0.3">
      <c r="A132" s="2" t="s">
        <v>896</v>
      </c>
      <c r="B132" s="2" t="s">
        <v>543</v>
      </c>
      <c r="C132" s="3">
        <v>68.144999999999996</v>
      </c>
      <c r="D132" s="5">
        <v>0.36799999999999999</v>
      </c>
      <c r="E132" s="3">
        <v>3.6520000000000001</v>
      </c>
      <c r="F132" s="5">
        <v>0.50700000000000001</v>
      </c>
      <c r="G132" s="3">
        <v>3.431</v>
      </c>
      <c r="H132" s="5">
        <v>0.63</v>
      </c>
      <c r="I132" s="5">
        <v>0.93940000000000001</v>
      </c>
      <c r="J132" s="5">
        <v>0.97640000000000005</v>
      </c>
      <c r="K132" s="4">
        <v>1763.4</v>
      </c>
      <c r="L132" s="3">
        <v>9.39</v>
      </c>
      <c r="M132" s="3">
        <v>292.2</v>
      </c>
      <c r="N132" s="3">
        <v>29.8</v>
      </c>
      <c r="O132" s="3">
        <v>224.4</v>
      </c>
      <c r="P132" s="3">
        <v>90.78</v>
      </c>
      <c r="Q132" s="3">
        <v>6.09</v>
      </c>
      <c r="R132" s="3">
        <v>26.7</v>
      </c>
      <c r="S132" s="5">
        <v>0.55800000000000005</v>
      </c>
      <c r="T132" s="3">
        <v>1.75</v>
      </c>
      <c r="U132" s="2" t="s">
        <v>541</v>
      </c>
      <c r="V132" s="4">
        <v>1330.2</v>
      </c>
      <c r="W132" s="3">
        <v>14.12</v>
      </c>
      <c r="X132" s="3">
        <v>434.5</v>
      </c>
      <c r="Y132" s="3">
        <v>3.1</v>
      </c>
    </row>
    <row r="133" spans="1:25" x14ac:dyDescent="0.3">
      <c r="A133" s="2" t="s">
        <v>897</v>
      </c>
      <c r="B133" s="2" t="s">
        <v>547</v>
      </c>
      <c r="C133" s="3">
        <v>67.855999999999995</v>
      </c>
      <c r="D133" s="5">
        <v>0.47299999999999998</v>
      </c>
      <c r="E133" s="3">
        <v>3.8370000000000002</v>
      </c>
      <c r="F133" s="5">
        <v>0.55800000000000005</v>
      </c>
      <c r="G133" s="3">
        <v>3.879</v>
      </c>
      <c r="H133" s="5">
        <v>0.66500000000000004</v>
      </c>
      <c r="I133" s="3">
        <v>1.0109999999999999</v>
      </c>
      <c r="J133" s="3">
        <v>1.0339</v>
      </c>
      <c r="K133" s="4">
        <v>1726.8</v>
      </c>
      <c r="L133" s="3">
        <v>8.2899999999999991</v>
      </c>
      <c r="M133" s="3">
        <v>295.89999999999998</v>
      </c>
      <c r="N133" s="3">
        <v>26.1</v>
      </c>
      <c r="O133" s="3">
        <v>254.7</v>
      </c>
      <c r="P133" s="3">
        <v>91.64</v>
      </c>
      <c r="Q133" s="3">
        <v>5.63</v>
      </c>
      <c r="R133" s="3">
        <v>25.18</v>
      </c>
      <c r="S133" s="5">
        <v>0.42199999999999999</v>
      </c>
      <c r="T133" s="3">
        <v>1.68</v>
      </c>
      <c r="U133" s="2" t="s">
        <v>545</v>
      </c>
      <c r="V133" s="4">
        <v>1316.4</v>
      </c>
      <c r="W133" s="3">
        <v>13.81</v>
      </c>
      <c r="X133" s="3">
        <v>430.3</v>
      </c>
      <c r="Y133" s="3">
        <v>3.03</v>
      </c>
    </row>
    <row r="134" spans="1:25" x14ac:dyDescent="0.3">
      <c r="A134" s="2" t="s">
        <v>898</v>
      </c>
      <c r="B134" s="2" t="s">
        <v>551</v>
      </c>
      <c r="C134" s="3">
        <v>68.257000000000005</v>
      </c>
      <c r="D134" s="5">
        <v>0.443</v>
      </c>
      <c r="E134" s="3">
        <v>4.085</v>
      </c>
      <c r="F134" s="5">
        <v>0.57599999999999996</v>
      </c>
      <c r="G134" s="3">
        <v>3.956</v>
      </c>
      <c r="H134" s="5">
        <v>0.626</v>
      </c>
      <c r="I134" s="5">
        <v>0.96850000000000003</v>
      </c>
      <c r="J134" s="5">
        <v>0.98309999999999997</v>
      </c>
      <c r="K134" s="4">
        <v>1620.3</v>
      </c>
      <c r="L134" s="3">
        <v>9.0299999999999994</v>
      </c>
      <c r="M134" s="3">
        <v>300.8</v>
      </c>
      <c r="N134" s="3">
        <v>32.6</v>
      </c>
      <c r="O134" s="3">
        <v>235.6</v>
      </c>
      <c r="P134" s="3">
        <v>92.27</v>
      </c>
      <c r="Q134" s="3">
        <v>6.63</v>
      </c>
      <c r="R134" s="3">
        <v>23.41</v>
      </c>
      <c r="S134" s="5">
        <v>0.56299999999999994</v>
      </c>
      <c r="T134" s="3">
        <v>1.0900000000000001</v>
      </c>
      <c r="U134" s="2" t="s">
        <v>549</v>
      </c>
      <c r="V134" s="4">
        <v>1318.3</v>
      </c>
      <c r="W134" s="3">
        <v>13.93</v>
      </c>
      <c r="X134" s="3">
        <v>431.5</v>
      </c>
      <c r="Y134" s="3">
        <v>2.99</v>
      </c>
    </row>
    <row r="135" spans="1:25" x14ac:dyDescent="0.3">
      <c r="A135" s="2" t="s">
        <v>899</v>
      </c>
      <c r="B135" s="2" t="s">
        <v>555</v>
      </c>
      <c r="C135" s="3">
        <v>67.930000000000007</v>
      </c>
      <c r="D135" s="5">
        <v>0.35099999999999998</v>
      </c>
      <c r="E135" s="3">
        <v>3.802</v>
      </c>
      <c r="F135" s="5">
        <v>0.61599999999999999</v>
      </c>
      <c r="G135" s="3">
        <v>3.7</v>
      </c>
      <c r="H135" s="5">
        <v>0.67200000000000004</v>
      </c>
      <c r="I135" s="5">
        <v>0.97319999999999995</v>
      </c>
      <c r="J135" s="5">
        <v>0.98970000000000002</v>
      </c>
      <c r="K135" s="4">
        <v>1666.8</v>
      </c>
      <c r="L135" s="3">
        <v>9.35</v>
      </c>
      <c r="M135" s="3">
        <v>292.3</v>
      </c>
      <c r="N135" s="3">
        <v>31.4</v>
      </c>
      <c r="O135" s="3">
        <v>247.8</v>
      </c>
      <c r="P135" s="3">
        <v>89.97</v>
      </c>
      <c r="Q135" s="3">
        <v>5.87</v>
      </c>
      <c r="R135" s="3">
        <v>22.57</v>
      </c>
      <c r="S135" s="5">
        <v>0.60799999999999998</v>
      </c>
      <c r="T135" s="3">
        <v>2.4900000000000002</v>
      </c>
      <c r="U135" s="2" t="s">
        <v>553</v>
      </c>
      <c r="V135" s="4">
        <v>1332.4</v>
      </c>
      <c r="W135" s="3">
        <v>13.64</v>
      </c>
      <c r="X135" s="3">
        <v>432</v>
      </c>
      <c r="Y135" s="3">
        <v>3.27</v>
      </c>
    </row>
    <row r="136" spans="1:25" x14ac:dyDescent="0.3">
      <c r="A136" s="2" t="s">
        <v>900</v>
      </c>
      <c r="B136" s="2" t="s">
        <v>559</v>
      </c>
      <c r="C136" s="3">
        <v>68.072000000000003</v>
      </c>
      <c r="D136" s="5">
        <v>0.27700000000000002</v>
      </c>
      <c r="E136" s="3">
        <v>3.867</v>
      </c>
      <c r="F136" s="5">
        <v>0.65500000000000003</v>
      </c>
      <c r="G136" s="3">
        <v>3.9020000000000001</v>
      </c>
      <c r="H136" s="5">
        <v>0.76500000000000001</v>
      </c>
      <c r="I136" s="3">
        <v>1.0091000000000001</v>
      </c>
      <c r="J136" s="3">
        <v>1.0323</v>
      </c>
      <c r="K136" s="4">
        <v>1759.3</v>
      </c>
      <c r="L136" s="3">
        <v>8.85</v>
      </c>
      <c r="M136" s="3">
        <v>296.60000000000002</v>
      </c>
      <c r="N136" s="3">
        <v>23.1</v>
      </c>
      <c r="O136" s="3">
        <v>222.5</v>
      </c>
      <c r="P136" s="3">
        <v>92.07</v>
      </c>
      <c r="Q136" s="3">
        <v>5.76</v>
      </c>
      <c r="R136" s="3">
        <v>24.75</v>
      </c>
      <c r="S136" s="5">
        <v>0.67</v>
      </c>
      <c r="T136" s="3">
        <v>2.08</v>
      </c>
      <c r="U136" s="2" t="s">
        <v>557</v>
      </c>
      <c r="V136" s="4">
        <v>1338.2</v>
      </c>
      <c r="W136" s="3">
        <v>13.69</v>
      </c>
      <c r="X136" s="3">
        <v>429.2</v>
      </c>
      <c r="Y136" s="3">
        <v>3.22</v>
      </c>
    </row>
    <row r="137" spans="1:25" x14ac:dyDescent="0.3">
      <c r="A137" s="2" t="s">
        <v>901</v>
      </c>
      <c r="B137" s="2" t="s">
        <v>563</v>
      </c>
      <c r="C137" s="3">
        <v>67.777000000000001</v>
      </c>
      <c r="D137" s="5">
        <v>0.30299999999999999</v>
      </c>
      <c r="E137" s="3">
        <v>3.8069999999999999</v>
      </c>
      <c r="F137" s="5">
        <v>0.56000000000000005</v>
      </c>
      <c r="G137" s="3">
        <v>3.8039999999999998</v>
      </c>
      <c r="H137" s="5">
        <v>0.752</v>
      </c>
      <c r="I137" s="5">
        <v>0.99929999999999997</v>
      </c>
      <c r="J137" s="3">
        <v>1.0434000000000001</v>
      </c>
      <c r="K137" s="4">
        <v>1685.5</v>
      </c>
      <c r="L137" s="3">
        <v>8.61</v>
      </c>
      <c r="M137" s="3">
        <v>321.8</v>
      </c>
      <c r="N137" s="3">
        <v>19.2</v>
      </c>
      <c r="O137" s="3">
        <v>274.3</v>
      </c>
      <c r="P137" s="3">
        <v>93.25</v>
      </c>
      <c r="Q137" s="3">
        <v>4.88</v>
      </c>
      <c r="R137" s="3">
        <v>23.63</v>
      </c>
      <c r="S137" s="5">
        <v>0.56899999999999995</v>
      </c>
      <c r="T137" s="3">
        <v>2.09</v>
      </c>
      <c r="U137" s="2" t="s">
        <v>561</v>
      </c>
      <c r="V137" s="4">
        <v>1321.8</v>
      </c>
      <c r="W137" s="3">
        <v>13.79</v>
      </c>
      <c r="X137" s="3">
        <v>429.1</v>
      </c>
      <c r="Y137" s="3">
        <v>3.05</v>
      </c>
    </row>
    <row r="138" spans="1:25" x14ac:dyDescent="0.3">
      <c r="A138" s="2" t="s">
        <v>902</v>
      </c>
      <c r="B138" s="2" t="s">
        <v>567</v>
      </c>
      <c r="C138" s="3">
        <v>68.286000000000001</v>
      </c>
      <c r="D138" s="5">
        <v>0.35399999999999998</v>
      </c>
      <c r="E138" s="3">
        <v>3.9790000000000001</v>
      </c>
      <c r="F138" s="5">
        <v>0.55200000000000005</v>
      </c>
      <c r="G138" s="3">
        <v>3.706</v>
      </c>
      <c r="H138" s="5">
        <v>0.71499999999999997</v>
      </c>
      <c r="I138" s="5">
        <v>0.93130000000000002</v>
      </c>
      <c r="J138" s="5">
        <v>0.97560000000000002</v>
      </c>
      <c r="K138" s="4">
        <v>1664.6</v>
      </c>
      <c r="L138" s="3">
        <v>9.43</v>
      </c>
      <c r="M138" s="3">
        <v>298.60000000000002</v>
      </c>
      <c r="N138" s="3">
        <v>27.2</v>
      </c>
      <c r="O138" s="3">
        <v>237.5</v>
      </c>
      <c r="P138" s="3">
        <v>89.78</v>
      </c>
      <c r="Q138" s="3">
        <v>5.82</v>
      </c>
      <c r="R138" s="3">
        <v>24.43</v>
      </c>
      <c r="S138" s="5">
        <v>0.504</v>
      </c>
      <c r="T138" s="3">
        <v>2.72</v>
      </c>
      <c r="U138" s="2" t="s">
        <v>565</v>
      </c>
      <c r="V138" s="4">
        <v>1335.5</v>
      </c>
      <c r="W138" s="3">
        <v>13.8</v>
      </c>
      <c r="X138" s="3">
        <v>435.1</v>
      </c>
      <c r="Y138" s="3">
        <v>2.91</v>
      </c>
    </row>
    <row r="139" spans="1:25" x14ac:dyDescent="0.3">
      <c r="A139" s="2" t="s">
        <v>903</v>
      </c>
      <c r="B139" s="2" t="s">
        <v>571</v>
      </c>
      <c r="C139" s="3">
        <v>67.878</v>
      </c>
      <c r="D139" s="5">
        <v>0.33600000000000002</v>
      </c>
      <c r="E139" s="3">
        <v>3.5539999999999998</v>
      </c>
      <c r="F139" s="5">
        <v>0.64800000000000002</v>
      </c>
      <c r="G139" s="3">
        <v>3.569</v>
      </c>
      <c r="H139" s="5">
        <v>0.84699999999999998</v>
      </c>
      <c r="I139" s="3">
        <v>1.004</v>
      </c>
      <c r="J139" s="3">
        <v>1.0508</v>
      </c>
      <c r="K139" s="4">
        <v>1637.3</v>
      </c>
      <c r="L139" s="3">
        <v>9.64</v>
      </c>
      <c r="M139" s="3">
        <v>317.89999999999998</v>
      </c>
      <c r="N139" s="3">
        <v>33.6</v>
      </c>
      <c r="O139" s="3">
        <v>249.1</v>
      </c>
      <c r="P139" s="3">
        <v>92.92</v>
      </c>
      <c r="Q139" s="3">
        <v>4.63</v>
      </c>
      <c r="R139" s="3">
        <v>22.98</v>
      </c>
      <c r="S139" s="5">
        <v>0.33500000000000002</v>
      </c>
      <c r="T139" s="3">
        <v>2.29</v>
      </c>
      <c r="U139" s="2" t="s">
        <v>569</v>
      </c>
      <c r="V139" s="4">
        <v>1319.3</v>
      </c>
      <c r="W139" s="3">
        <v>14</v>
      </c>
      <c r="X139" s="3">
        <v>432.3</v>
      </c>
      <c r="Y139" s="3">
        <v>2.96</v>
      </c>
    </row>
    <row r="140" spans="1:25" x14ac:dyDescent="0.3">
      <c r="A140" s="2" t="s">
        <v>904</v>
      </c>
      <c r="B140" s="2" t="s">
        <v>575</v>
      </c>
      <c r="C140" s="3">
        <v>67.88</v>
      </c>
      <c r="D140" s="5">
        <v>0.29199999999999998</v>
      </c>
      <c r="E140" s="3">
        <v>3.8050000000000002</v>
      </c>
      <c r="F140" s="5">
        <v>0.58699999999999997</v>
      </c>
      <c r="G140" s="3">
        <v>3.7109999999999999</v>
      </c>
      <c r="H140" s="5">
        <v>0.70899999999999996</v>
      </c>
      <c r="I140" s="5">
        <v>0.97519999999999996</v>
      </c>
      <c r="J140" s="3">
        <v>1.0063</v>
      </c>
      <c r="K140" s="4">
        <v>1799.5</v>
      </c>
      <c r="L140" s="3">
        <v>9.6199999999999992</v>
      </c>
      <c r="M140" s="3">
        <v>314.2</v>
      </c>
      <c r="N140" s="3">
        <v>34</v>
      </c>
      <c r="O140" s="3">
        <v>260.89999999999998</v>
      </c>
      <c r="P140" s="3">
        <v>93.13</v>
      </c>
      <c r="Q140" s="3">
        <v>5.75</v>
      </c>
      <c r="R140" s="3">
        <v>24.94</v>
      </c>
      <c r="S140" s="5">
        <v>0.65</v>
      </c>
      <c r="T140" s="3">
        <v>1.25</v>
      </c>
      <c r="U140" s="2" t="s">
        <v>573</v>
      </c>
      <c r="V140" s="4">
        <v>1321</v>
      </c>
      <c r="W140" s="3">
        <v>13.95</v>
      </c>
      <c r="X140" s="3">
        <v>427.2</v>
      </c>
      <c r="Y140" s="3">
        <v>3.09</v>
      </c>
    </row>
    <row r="141" spans="1:25" x14ac:dyDescent="0.3">
      <c r="A141" s="2" t="s">
        <v>905</v>
      </c>
      <c r="B141" s="2" t="s">
        <v>579</v>
      </c>
      <c r="C141" s="3">
        <v>67.960999999999999</v>
      </c>
      <c r="D141" s="5">
        <v>0.35499999999999998</v>
      </c>
      <c r="E141" s="3">
        <v>4.0960000000000001</v>
      </c>
      <c r="F141" s="5">
        <v>0.67200000000000004</v>
      </c>
      <c r="G141" s="3">
        <v>4.0810000000000004</v>
      </c>
      <c r="H141" s="5">
        <v>0.70099999999999996</v>
      </c>
      <c r="I141" s="5">
        <v>0.99639999999999995</v>
      </c>
      <c r="J141" s="3">
        <v>1.0031000000000001</v>
      </c>
      <c r="K141" s="4">
        <v>1697.6</v>
      </c>
      <c r="L141" s="3">
        <v>9.2899999999999991</v>
      </c>
      <c r="M141" s="3">
        <v>302.60000000000002</v>
      </c>
      <c r="N141" s="3">
        <v>23.6</v>
      </c>
      <c r="O141" s="3">
        <v>246</v>
      </c>
      <c r="P141" s="3">
        <v>93.03</v>
      </c>
      <c r="Q141" s="3">
        <v>5.36</v>
      </c>
      <c r="R141" s="3">
        <v>24.08</v>
      </c>
      <c r="S141" s="5">
        <v>0.49</v>
      </c>
      <c r="T141" s="3">
        <v>1.29</v>
      </c>
      <c r="U141" s="2" t="s">
        <v>577</v>
      </c>
      <c r="V141" s="4">
        <v>1326.2</v>
      </c>
      <c r="W141" s="3">
        <v>13.98</v>
      </c>
      <c r="X141" s="3">
        <v>425.3</v>
      </c>
      <c r="Y141" s="3">
        <v>2.97</v>
      </c>
    </row>
    <row r="142" spans="1:25" x14ac:dyDescent="0.3">
      <c r="A142" s="2" t="s">
        <v>906</v>
      </c>
      <c r="B142" s="2" t="s">
        <v>583</v>
      </c>
      <c r="C142" s="3">
        <v>68.349000000000004</v>
      </c>
      <c r="D142" s="5">
        <v>0.33900000000000002</v>
      </c>
      <c r="E142" s="3">
        <v>3.6960000000000002</v>
      </c>
      <c r="F142" s="5">
        <v>0.64300000000000002</v>
      </c>
      <c r="G142" s="3">
        <v>3.625</v>
      </c>
      <c r="H142" s="5">
        <v>0.70699999999999996</v>
      </c>
      <c r="I142" s="5">
        <v>0.98080000000000001</v>
      </c>
      <c r="J142" s="5">
        <v>0.99829999999999997</v>
      </c>
      <c r="K142" s="4">
        <v>1756.2</v>
      </c>
      <c r="L142" s="3">
        <v>9.41</v>
      </c>
      <c r="M142" s="3">
        <v>314.10000000000002</v>
      </c>
      <c r="N142" s="3">
        <v>25.2</v>
      </c>
      <c r="O142" s="3">
        <v>243.9</v>
      </c>
      <c r="P142" s="3">
        <v>93.66</v>
      </c>
      <c r="Q142" s="3">
        <v>6.24</v>
      </c>
      <c r="R142" s="3">
        <v>25.09</v>
      </c>
      <c r="S142" s="5">
        <v>0.54500000000000004</v>
      </c>
      <c r="T142" s="3">
        <v>3.02</v>
      </c>
      <c r="U142" s="2" t="s">
        <v>581</v>
      </c>
      <c r="V142" s="4">
        <v>1310.5</v>
      </c>
      <c r="W142" s="3">
        <v>13.99</v>
      </c>
      <c r="X142" s="3">
        <v>436.1</v>
      </c>
      <c r="Y142" s="3">
        <v>3.19</v>
      </c>
    </row>
    <row r="143" spans="1:25" x14ac:dyDescent="0.3">
      <c r="A143" s="2" t="s">
        <v>907</v>
      </c>
      <c r="B143" s="2" t="s">
        <v>587</v>
      </c>
      <c r="C143" s="3">
        <v>68.415000000000006</v>
      </c>
      <c r="D143" s="5">
        <v>0.30499999999999999</v>
      </c>
      <c r="E143" s="3">
        <v>3.6339999999999999</v>
      </c>
      <c r="F143" s="5">
        <v>0.58499999999999996</v>
      </c>
      <c r="G143" s="3">
        <v>3.823</v>
      </c>
      <c r="H143" s="5">
        <v>0.78300000000000003</v>
      </c>
      <c r="I143" s="3">
        <v>1.052</v>
      </c>
      <c r="J143" s="3">
        <v>1.0915999999999999</v>
      </c>
      <c r="K143" s="4">
        <v>1681.1</v>
      </c>
      <c r="L143" s="3">
        <v>8.75</v>
      </c>
      <c r="M143" s="3">
        <v>310.3</v>
      </c>
      <c r="N143" s="3">
        <v>30.8</v>
      </c>
      <c r="O143" s="3">
        <v>244.8</v>
      </c>
      <c r="P143" s="3">
        <v>92.45</v>
      </c>
      <c r="Q143" s="3">
        <v>5.58</v>
      </c>
      <c r="R143" s="3">
        <v>23.66</v>
      </c>
      <c r="S143" s="5">
        <v>0.55600000000000005</v>
      </c>
      <c r="T143" s="3">
        <v>1.22</v>
      </c>
      <c r="U143" s="2" t="s">
        <v>585</v>
      </c>
      <c r="V143" s="4">
        <v>1322.9</v>
      </c>
      <c r="W143" s="3">
        <v>14.49</v>
      </c>
      <c r="X143" s="3">
        <v>437.1</v>
      </c>
      <c r="Y143" s="3">
        <v>2.99</v>
      </c>
    </row>
    <row r="144" spans="1:25" x14ac:dyDescent="0.3">
      <c r="A144" s="2" t="s">
        <v>908</v>
      </c>
      <c r="B144" s="2" t="s">
        <v>591</v>
      </c>
      <c r="C144" s="3">
        <v>68.137</v>
      </c>
      <c r="D144" s="5">
        <v>0.316</v>
      </c>
      <c r="E144" s="3">
        <v>3.839</v>
      </c>
      <c r="F144" s="5">
        <v>0.61699999999999999</v>
      </c>
      <c r="G144" s="3">
        <v>3.6219999999999999</v>
      </c>
      <c r="H144" s="5">
        <v>0.74199999999999999</v>
      </c>
      <c r="I144" s="5">
        <v>0.94350000000000001</v>
      </c>
      <c r="J144" s="5">
        <v>0.97940000000000005</v>
      </c>
      <c r="K144" s="4">
        <v>1753.1</v>
      </c>
      <c r="L144" s="3">
        <v>9.4600000000000009</v>
      </c>
      <c r="M144" s="3">
        <v>291.5</v>
      </c>
      <c r="N144" s="3">
        <v>28.7</v>
      </c>
      <c r="O144" s="3">
        <v>236.7</v>
      </c>
      <c r="P144" s="3">
        <v>93.95</v>
      </c>
      <c r="Q144" s="3">
        <v>6.17</v>
      </c>
      <c r="R144" s="3">
        <v>26.77</v>
      </c>
      <c r="S144" s="5">
        <v>0.69299999999999995</v>
      </c>
      <c r="T144" s="3">
        <v>2.3199999999999998</v>
      </c>
      <c r="U144" s="2" t="s">
        <v>589</v>
      </c>
      <c r="V144" s="4">
        <v>1312.8</v>
      </c>
      <c r="W144" s="3">
        <v>13.63</v>
      </c>
      <c r="X144" s="3">
        <v>427.8</v>
      </c>
      <c r="Y144" s="3">
        <v>3.1</v>
      </c>
    </row>
    <row r="145" spans="1:25" x14ac:dyDescent="0.3">
      <c r="A145" s="2" t="s">
        <v>909</v>
      </c>
      <c r="B145" s="2" t="s">
        <v>595</v>
      </c>
      <c r="C145" s="3">
        <v>68.334999999999994</v>
      </c>
      <c r="D145" s="5">
        <v>0.47599999999999998</v>
      </c>
      <c r="E145" s="3">
        <v>3.645</v>
      </c>
      <c r="F145" s="5">
        <v>0.57399999999999995</v>
      </c>
      <c r="G145" s="3">
        <v>3.476</v>
      </c>
      <c r="H145" s="5">
        <v>0.67900000000000005</v>
      </c>
      <c r="I145" s="5">
        <v>0.9536</v>
      </c>
      <c r="J145" s="5">
        <v>0.98460000000000003</v>
      </c>
      <c r="K145" s="4">
        <v>1702.5</v>
      </c>
      <c r="L145" s="3">
        <v>8.99</v>
      </c>
      <c r="M145" s="3">
        <v>278.2</v>
      </c>
      <c r="N145" s="3">
        <v>36.700000000000003</v>
      </c>
      <c r="O145" s="3">
        <v>216.2</v>
      </c>
      <c r="P145" s="3">
        <v>91.85</v>
      </c>
      <c r="Q145" s="3">
        <v>6.44</v>
      </c>
      <c r="R145" s="3">
        <v>23.55</v>
      </c>
      <c r="S145" s="5">
        <v>0.746</v>
      </c>
      <c r="T145" s="3">
        <v>1.7</v>
      </c>
      <c r="U145" s="2" t="s">
        <v>593</v>
      </c>
      <c r="V145" s="4">
        <v>1328.8</v>
      </c>
      <c r="W145" s="3">
        <v>14.23</v>
      </c>
      <c r="X145" s="3">
        <v>428.8</v>
      </c>
      <c r="Y145" s="3">
        <v>3.14</v>
      </c>
    </row>
    <row r="146" spans="1:25" x14ac:dyDescent="0.3">
      <c r="A146" s="2" t="s">
        <v>910</v>
      </c>
      <c r="B146" s="2" t="s">
        <v>599</v>
      </c>
      <c r="C146" s="3">
        <v>67.956999999999994</v>
      </c>
      <c r="D146" s="5">
        <v>0.436</v>
      </c>
      <c r="E146" s="3">
        <v>3.9340000000000002</v>
      </c>
      <c r="F146" s="5">
        <v>0.52500000000000002</v>
      </c>
      <c r="G146" s="3">
        <v>3.8839999999999999</v>
      </c>
      <c r="H146" s="5">
        <v>0.622</v>
      </c>
      <c r="I146" s="5">
        <v>0.98709999999999998</v>
      </c>
      <c r="J146" s="3">
        <v>1.0104</v>
      </c>
      <c r="K146" s="4">
        <v>1632.7</v>
      </c>
      <c r="L146" s="3">
        <v>9.44</v>
      </c>
      <c r="M146" s="3">
        <v>305.89999999999998</v>
      </c>
      <c r="N146" s="3">
        <v>20.7</v>
      </c>
      <c r="O146" s="3">
        <v>255</v>
      </c>
      <c r="P146" s="3">
        <v>92.51</v>
      </c>
      <c r="Q146" s="3">
        <v>6.15</v>
      </c>
      <c r="R146" s="3">
        <v>23.2</v>
      </c>
      <c r="S146" s="5">
        <v>0.53900000000000003</v>
      </c>
      <c r="T146" s="3">
        <v>1.63</v>
      </c>
      <c r="U146" s="2" t="s">
        <v>597</v>
      </c>
      <c r="V146" s="4">
        <v>1319.4</v>
      </c>
      <c r="W146" s="3">
        <v>14.29</v>
      </c>
      <c r="X146" s="3">
        <v>432.7</v>
      </c>
      <c r="Y146" s="3">
        <v>3.27</v>
      </c>
    </row>
    <row r="147" spans="1:25" x14ac:dyDescent="0.3">
      <c r="A147" s="2" t="s">
        <v>911</v>
      </c>
      <c r="B147" s="2" t="s">
        <v>603</v>
      </c>
      <c r="C147" s="3">
        <v>68.103999999999999</v>
      </c>
      <c r="D147" s="5">
        <v>0.313</v>
      </c>
      <c r="E147" s="3">
        <v>4.1310000000000002</v>
      </c>
      <c r="F147" s="5">
        <v>0.64100000000000001</v>
      </c>
      <c r="G147" s="3">
        <v>4.0339999999999998</v>
      </c>
      <c r="H147" s="5">
        <v>0.79300000000000004</v>
      </c>
      <c r="I147" s="5">
        <v>0.97640000000000005</v>
      </c>
      <c r="J147" s="3">
        <v>1.0115000000000001</v>
      </c>
      <c r="K147" s="4">
        <v>1718.1</v>
      </c>
      <c r="L147" s="3">
        <v>9.33</v>
      </c>
      <c r="M147" s="3">
        <v>317.10000000000002</v>
      </c>
      <c r="N147" s="3">
        <v>30.5</v>
      </c>
      <c r="O147" s="3">
        <v>272.39999999999998</v>
      </c>
      <c r="P147" s="3">
        <v>92.15</v>
      </c>
      <c r="Q147" s="3">
        <v>5.21</v>
      </c>
      <c r="R147" s="3">
        <v>24.61</v>
      </c>
      <c r="S147" s="5">
        <v>0.54600000000000004</v>
      </c>
      <c r="T147" s="3">
        <v>1.57</v>
      </c>
      <c r="U147" s="2" t="s">
        <v>601</v>
      </c>
      <c r="V147" s="4">
        <v>1327.8</v>
      </c>
      <c r="W147" s="3">
        <v>14.27</v>
      </c>
      <c r="X147" s="3">
        <v>420.6</v>
      </c>
      <c r="Y147" s="3">
        <v>3.24</v>
      </c>
    </row>
    <row r="148" spans="1:25" x14ac:dyDescent="0.3">
      <c r="A148" s="2" t="s">
        <v>912</v>
      </c>
      <c r="B148" s="2" t="s">
        <v>607</v>
      </c>
      <c r="C148" s="3">
        <v>67.902000000000001</v>
      </c>
      <c r="D148" s="5">
        <v>0.36499999999999999</v>
      </c>
      <c r="E148" s="3">
        <v>3.8460000000000001</v>
      </c>
      <c r="F148" s="5">
        <v>0.58099999999999996</v>
      </c>
      <c r="G148" s="3">
        <v>3.7189999999999999</v>
      </c>
      <c r="H148" s="5">
        <v>0.60699999999999998</v>
      </c>
      <c r="I148" s="5">
        <v>0.96689999999999998</v>
      </c>
      <c r="J148" s="5">
        <v>0.97699999999999998</v>
      </c>
      <c r="K148" s="4">
        <v>1708.2</v>
      </c>
      <c r="L148" s="3">
        <v>9.01</v>
      </c>
      <c r="M148" s="3">
        <v>299.8</v>
      </c>
      <c r="N148" s="3">
        <v>26</v>
      </c>
      <c r="O148" s="3">
        <v>249.9</v>
      </c>
      <c r="P148" s="3">
        <v>90.67</v>
      </c>
      <c r="Q148" s="3">
        <v>5.22</v>
      </c>
      <c r="R148" s="3">
        <v>23.49</v>
      </c>
      <c r="S148" s="5">
        <v>0.60699999999999998</v>
      </c>
      <c r="T148" s="3">
        <v>1.83</v>
      </c>
      <c r="U148" s="2" t="s">
        <v>605</v>
      </c>
      <c r="V148" s="4">
        <v>1321.3</v>
      </c>
      <c r="W148" s="3">
        <v>14.1</v>
      </c>
      <c r="X148" s="3">
        <v>428.7</v>
      </c>
      <c r="Y148" s="3">
        <v>3.09</v>
      </c>
    </row>
    <row r="149" spans="1:25" x14ac:dyDescent="0.3">
      <c r="A149" s="2" t="s">
        <v>913</v>
      </c>
      <c r="B149" s="2" t="s">
        <v>611</v>
      </c>
      <c r="C149" s="3">
        <v>68.037999999999997</v>
      </c>
      <c r="D149" s="5">
        <v>0.26700000000000002</v>
      </c>
      <c r="E149" s="3">
        <v>3.7250000000000001</v>
      </c>
      <c r="F149" s="5">
        <v>0.47099999999999997</v>
      </c>
      <c r="G149" s="3">
        <v>3.8170000000000002</v>
      </c>
      <c r="H149" s="5">
        <v>0.69199999999999995</v>
      </c>
      <c r="I149" s="3">
        <v>1.0246999999999999</v>
      </c>
      <c r="J149" s="3">
        <v>1.0747</v>
      </c>
      <c r="K149" s="4">
        <v>1818.6</v>
      </c>
      <c r="L149" s="3">
        <v>9.2100000000000009</v>
      </c>
      <c r="M149" s="3">
        <v>320.8</v>
      </c>
      <c r="N149" s="3">
        <v>24.9</v>
      </c>
      <c r="O149" s="3">
        <v>262.39999999999998</v>
      </c>
      <c r="P149" s="3">
        <v>92.87</v>
      </c>
      <c r="Q149" s="3">
        <v>4.99</v>
      </c>
      <c r="R149" s="3">
        <v>24.93</v>
      </c>
      <c r="S149" s="5">
        <v>0.67200000000000004</v>
      </c>
      <c r="T149" s="3">
        <v>2.85</v>
      </c>
      <c r="U149" s="2" t="s">
        <v>609</v>
      </c>
      <c r="V149" s="4">
        <v>1314.5</v>
      </c>
      <c r="W149" s="3">
        <v>13.43</v>
      </c>
      <c r="X149" s="3">
        <v>440.4</v>
      </c>
      <c r="Y149" s="3">
        <v>3.05</v>
      </c>
    </row>
    <row r="150" spans="1:25" x14ac:dyDescent="0.3">
      <c r="A150" s="2" t="s">
        <v>914</v>
      </c>
      <c r="B150" s="2" t="s">
        <v>615</v>
      </c>
      <c r="C150" s="3">
        <v>67.747</v>
      </c>
      <c r="D150" s="5">
        <v>0.374</v>
      </c>
      <c r="E150" s="3">
        <v>3.7170000000000001</v>
      </c>
      <c r="F150" s="5">
        <v>0.495</v>
      </c>
      <c r="G150" s="3">
        <v>3.5910000000000002</v>
      </c>
      <c r="H150" s="5">
        <v>0.80600000000000005</v>
      </c>
      <c r="I150" s="5">
        <v>0.96630000000000005</v>
      </c>
      <c r="J150" s="3">
        <v>1.044</v>
      </c>
      <c r="K150" s="4">
        <v>1688.5</v>
      </c>
      <c r="L150" s="3">
        <v>8.76</v>
      </c>
      <c r="M150" s="3">
        <v>303.60000000000002</v>
      </c>
      <c r="N150" s="3">
        <v>39.799999999999997</v>
      </c>
      <c r="O150" s="3">
        <v>250.5</v>
      </c>
      <c r="P150" s="3">
        <v>90.79</v>
      </c>
      <c r="Q150" s="3">
        <v>5.76</v>
      </c>
      <c r="R150" s="3">
        <v>23.69</v>
      </c>
      <c r="S150" s="5">
        <v>0.86799999999999999</v>
      </c>
      <c r="T150" s="3">
        <v>2.09</v>
      </c>
      <c r="U150" s="2" t="s">
        <v>613</v>
      </c>
      <c r="V150" s="4">
        <v>1320.1</v>
      </c>
      <c r="W150" s="3">
        <v>14.12</v>
      </c>
      <c r="X150" s="3">
        <v>429.3</v>
      </c>
      <c r="Y150" s="3">
        <v>3.09</v>
      </c>
    </row>
    <row r="151" spans="1:25" x14ac:dyDescent="0.3">
      <c r="A151" s="2" t="s">
        <v>915</v>
      </c>
      <c r="B151" s="2" t="s">
        <v>619</v>
      </c>
      <c r="C151" s="3">
        <v>67.974999999999994</v>
      </c>
      <c r="D151" s="5">
        <v>0.41599999999999998</v>
      </c>
      <c r="E151" s="3">
        <v>3.5569999999999999</v>
      </c>
      <c r="F151" s="5">
        <v>0.56499999999999995</v>
      </c>
      <c r="G151" s="3">
        <v>3.4550000000000001</v>
      </c>
      <c r="H151" s="5">
        <v>0.72399999999999998</v>
      </c>
      <c r="I151" s="5">
        <v>0.97140000000000004</v>
      </c>
      <c r="J151" s="3">
        <v>1.0139</v>
      </c>
      <c r="K151" s="4">
        <v>1701.2</v>
      </c>
      <c r="L151" s="3">
        <v>9.33</v>
      </c>
      <c r="M151" s="3">
        <v>313.10000000000002</v>
      </c>
      <c r="N151" s="3">
        <v>32.700000000000003</v>
      </c>
      <c r="O151" s="3">
        <v>261.5</v>
      </c>
      <c r="P151" s="3">
        <v>91.93</v>
      </c>
      <c r="Q151" s="3">
        <v>5.71</v>
      </c>
      <c r="R151" s="3">
        <v>22.88</v>
      </c>
      <c r="S151" s="5">
        <v>0.52100000000000002</v>
      </c>
      <c r="T151" s="3">
        <v>1.94</v>
      </c>
      <c r="U151" s="2" t="s">
        <v>617</v>
      </c>
      <c r="V151" s="4">
        <v>1316.7</v>
      </c>
      <c r="W151" s="3">
        <v>14.16</v>
      </c>
      <c r="X151" s="3">
        <v>434.8</v>
      </c>
      <c r="Y151" s="3">
        <v>3.11</v>
      </c>
    </row>
    <row r="152" spans="1:25" x14ac:dyDescent="0.3">
      <c r="A152" s="2" t="s">
        <v>916</v>
      </c>
      <c r="B152" s="2" t="s">
        <v>623</v>
      </c>
      <c r="C152" s="3">
        <v>67.930000000000007</v>
      </c>
      <c r="D152" s="5">
        <v>0.316</v>
      </c>
      <c r="E152" s="3">
        <v>3.7469999999999999</v>
      </c>
      <c r="F152" s="5">
        <v>0.53400000000000003</v>
      </c>
      <c r="G152" s="3">
        <v>3.7269999999999999</v>
      </c>
      <c r="H152" s="5">
        <v>0.71199999999999997</v>
      </c>
      <c r="I152" s="5">
        <v>0.99470000000000003</v>
      </c>
      <c r="J152" s="3">
        <v>1.0371999999999999</v>
      </c>
      <c r="K152" s="4">
        <v>1708.1</v>
      </c>
      <c r="L152" s="3">
        <v>8.25</v>
      </c>
      <c r="M152" s="3">
        <v>301.5</v>
      </c>
      <c r="N152" s="3">
        <v>24.8</v>
      </c>
      <c r="O152" s="3">
        <v>259.3</v>
      </c>
      <c r="P152" s="3">
        <v>91.69</v>
      </c>
      <c r="Q152" s="3">
        <v>5.88</v>
      </c>
      <c r="R152" s="3">
        <v>24.04</v>
      </c>
      <c r="S152" s="5">
        <v>0.52500000000000002</v>
      </c>
      <c r="T152" s="3">
        <v>2.66</v>
      </c>
      <c r="U152" s="2" t="s">
        <v>621</v>
      </c>
      <c r="V152" s="4">
        <v>1310.7</v>
      </c>
      <c r="W152" s="3">
        <v>13.84</v>
      </c>
      <c r="X152" s="3">
        <v>433.4</v>
      </c>
      <c r="Y152" s="3">
        <v>3.16</v>
      </c>
    </row>
    <row r="153" spans="1:25" x14ac:dyDescent="0.3">
      <c r="A153" s="2" t="s">
        <v>917</v>
      </c>
      <c r="B153" s="2" t="s">
        <v>627</v>
      </c>
      <c r="C153" s="3">
        <v>68.167000000000002</v>
      </c>
      <c r="D153" s="5">
        <v>0.35399999999999998</v>
      </c>
      <c r="E153" s="3">
        <v>3.7240000000000002</v>
      </c>
      <c r="F153" s="5">
        <v>0.52400000000000002</v>
      </c>
      <c r="G153" s="3">
        <v>3.5339999999999998</v>
      </c>
      <c r="H153" s="5">
        <v>0.63900000000000001</v>
      </c>
      <c r="I153" s="5">
        <v>0.94899999999999995</v>
      </c>
      <c r="J153" s="5">
        <v>0.98240000000000005</v>
      </c>
      <c r="K153" s="4">
        <v>1587.2</v>
      </c>
      <c r="L153" s="3">
        <v>9.31</v>
      </c>
      <c r="M153" s="3">
        <v>307.10000000000002</v>
      </c>
      <c r="N153" s="3">
        <v>35.700000000000003</v>
      </c>
      <c r="O153" s="3">
        <v>243.4</v>
      </c>
      <c r="P153" s="3">
        <v>90.97</v>
      </c>
      <c r="Q153" s="3">
        <v>6.49</v>
      </c>
      <c r="R153" s="3">
        <v>24.15</v>
      </c>
      <c r="S153" s="5">
        <v>0.77300000000000002</v>
      </c>
      <c r="T153" s="3">
        <v>2.34</v>
      </c>
      <c r="U153" s="2" t="s">
        <v>625</v>
      </c>
      <c r="V153" s="4">
        <v>1319</v>
      </c>
      <c r="W153" s="3">
        <v>13.62</v>
      </c>
      <c r="X153" s="3">
        <v>433.6</v>
      </c>
      <c r="Y153" s="3">
        <v>3.06</v>
      </c>
    </row>
    <row r="154" spans="1:25" x14ac:dyDescent="0.3">
      <c r="A154" s="2" t="s">
        <v>918</v>
      </c>
      <c r="B154" s="2" t="s">
        <v>631</v>
      </c>
      <c r="C154" s="3">
        <v>67.816999999999993</v>
      </c>
      <c r="D154" s="5">
        <v>0.42299999999999999</v>
      </c>
      <c r="E154" s="3">
        <v>4.1180000000000003</v>
      </c>
      <c r="F154" s="5">
        <v>0.495</v>
      </c>
      <c r="G154" s="3">
        <v>4.0039999999999996</v>
      </c>
      <c r="H154" s="5">
        <v>0.66200000000000003</v>
      </c>
      <c r="I154" s="5">
        <v>0.97209999999999996</v>
      </c>
      <c r="J154" s="3">
        <v>1.0114000000000001</v>
      </c>
      <c r="K154" s="4">
        <v>1552.2</v>
      </c>
      <c r="L154" s="3">
        <v>9.7100000000000009</v>
      </c>
      <c r="M154" s="3">
        <v>305.7</v>
      </c>
      <c r="N154" s="3">
        <v>20.9</v>
      </c>
      <c r="O154" s="3">
        <v>249.3</v>
      </c>
      <c r="P154" s="3">
        <v>90.37</v>
      </c>
      <c r="Q154" s="3">
        <v>5.65</v>
      </c>
      <c r="R154" s="3">
        <v>23.59</v>
      </c>
      <c r="S154" s="5">
        <v>0.73099999999999998</v>
      </c>
      <c r="T154" s="3">
        <v>1.96</v>
      </c>
      <c r="U154" s="2" t="s">
        <v>629</v>
      </c>
      <c r="V154" s="4">
        <v>1314.3</v>
      </c>
      <c r="W154" s="3">
        <v>13.58</v>
      </c>
      <c r="X154" s="3">
        <v>429.1</v>
      </c>
      <c r="Y154" s="3">
        <v>3.08</v>
      </c>
    </row>
    <row r="155" spans="1:25" x14ac:dyDescent="0.3">
      <c r="A155" s="2" t="s">
        <v>919</v>
      </c>
      <c r="B155" s="2" t="s">
        <v>635</v>
      </c>
      <c r="C155" s="3">
        <v>68.132000000000005</v>
      </c>
      <c r="D155" s="5">
        <v>0.24099999999999999</v>
      </c>
      <c r="E155" s="3">
        <v>3.734</v>
      </c>
      <c r="F155" s="5">
        <v>0.53200000000000003</v>
      </c>
      <c r="G155" s="3">
        <v>3.56</v>
      </c>
      <c r="H155" s="5">
        <v>0.67600000000000005</v>
      </c>
      <c r="I155" s="5">
        <v>0.95330000000000004</v>
      </c>
      <c r="J155" s="5">
        <v>0.9929</v>
      </c>
      <c r="K155" s="4">
        <v>1660.5</v>
      </c>
      <c r="L155" s="3">
        <v>8.7100000000000009</v>
      </c>
      <c r="M155" s="3">
        <v>286.39999999999998</v>
      </c>
      <c r="N155" s="3">
        <v>29.7</v>
      </c>
      <c r="O155" s="3">
        <v>237.4</v>
      </c>
      <c r="P155" s="3">
        <v>90.75</v>
      </c>
      <c r="Q155" s="3">
        <v>5.91</v>
      </c>
      <c r="R155" s="3">
        <v>23.98</v>
      </c>
      <c r="S155" s="5">
        <v>0.60699999999999998</v>
      </c>
      <c r="T155" s="3">
        <v>1.8</v>
      </c>
      <c r="U155" s="2" t="s">
        <v>633</v>
      </c>
      <c r="V155" s="4">
        <v>1320</v>
      </c>
      <c r="W155" s="3">
        <v>13.73</v>
      </c>
      <c r="X155" s="3">
        <v>432.2</v>
      </c>
      <c r="Y155" s="3">
        <v>2.95</v>
      </c>
    </row>
    <row r="156" spans="1:25" x14ac:dyDescent="0.3">
      <c r="A156" s="2" t="s">
        <v>920</v>
      </c>
      <c r="B156" s="2" t="s">
        <v>639</v>
      </c>
      <c r="C156" s="3">
        <v>67.707999999999998</v>
      </c>
      <c r="D156" s="5">
        <v>0.374</v>
      </c>
      <c r="E156" s="3">
        <v>4.0069999999999997</v>
      </c>
      <c r="F156" s="5">
        <v>0.58199999999999996</v>
      </c>
      <c r="G156" s="3">
        <v>3.96</v>
      </c>
      <c r="H156" s="5">
        <v>0.81</v>
      </c>
      <c r="I156" s="5">
        <v>0.98819999999999997</v>
      </c>
      <c r="J156" s="3">
        <v>1.0395000000000001</v>
      </c>
      <c r="K156" s="4">
        <v>1659.4</v>
      </c>
      <c r="L156" s="3">
        <v>9.0399999999999991</v>
      </c>
      <c r="M156" s="3">
        <v>308</v>
      </c>
      <c r="N156" s="3">
        <v>31.6</v>
      </c>
      <c r="O156" s="3">
        <v>243.5</v>
      </c>
      <c r="P156" s="3">
        <v>93.05</v>
      </c>
      <c r="Q156" s="3">
        <v>4.99</v>
      </c>
      <c r="R156" s="3">
        <v>25.15</v>
      </c>
      <c r="S156" s="5">
        <v>0.56599999999999995</v>
      </c>
      <c r="T156" s="3">
        <v>1.84</v>
      </c>
      <c r="U156" s="2" t="s">
        <v>637</v>
      </c>
      <c r="V156" s="4">
        <v>1318.3</v>
      </c>
      <c r="W156" s="3">
        <v>13.94</v>
      </c>
      <c r="X156" s="3">
        <v>427</v>
      </c>
      <c r="Y156" s="3">
        <v>3.13</v>
      </c>
    </row>
    <row r="157" spans="1:25" x14ac:dyDescent="0.3">
      <c r="A157" s="2" t="s">
        <v>921</v>
      </c>
      <c r="B157" s="2" t="s">
        <v>643</v>
      </c>
      <c r="C157" s="3">
        <v>67.950999999999993</v>
      </c>
      <c r="D157" s="5">
        <v>0.40400000000000003</v>
      </c>
      <c r="E157" s="3">
        <v>3.5089999999999999</v>
      </c>
      <c r="F157" s="5">
        <v>0.41299999999999998</v>
      </c>
      <c r="G157" s="3">
        <v>3.5070000000000001</v>
      </c>
      <c r="H157" s="5">
        <v>0.78300000000000003</v>
      </c>
      <c r="I157" s="5">
        <v>0.99919999999999998</v>
      </c>
      <c r="J157" s="3">
        <v>1.0935999999999999</v>
      </c>
      <c r="K157" s="4">
        <v>1643.4</v>
      </c>
      <c r="L157" s="3">
        <v>9.07</v>
      </c>
      <c r="M157" s="3">
        <v>306.5</v>
      </c>
      <c r="N157" s="3">
        <v>32.299999999999997</v>
      </c>
      <c r="O157" s="3">
        <v>255.1</v>
      </c>
      <c r="P157" s="3">
        <v>92.08</v>
      </c>
      <c r="Q157" s="3">
        <v>5.4</v>
      </c>
      <c r="R157" s="3">
        <v>25.17</v>
      </c>
      <c r="S157" s="5">
        <v>0.82499999999999996</v>
      </c>
      <c r="T157" s="3">
        <v>2.0099999999999998</v>
      </c>
      <c r="U157" s="2" t="s">
        <v>641</v>
      </c>
      <c r="V157" s="4">
        <v>1319.3</v>
      </c>
      <c r="W157" s="3">
        <v>13.96</v>
      </c>
      <c r="X157" s="3">
        <v>426.6</v>
      </c>
      <c r="Y157" s="3">
        <v>3.07</v>
      </c>
    </row>
    <row r="158" spans="1:25" x14ac:dyDescent="0.3">
      <c r="A158" s="2" t="s">
        <v>922</v>
      </c>
      <c r="B158" s="2" t="s">
        <v>647</v>
      </c>
      <c r="C158" s="3">
        <v>67.742000000000004</v>
      </c>
      <c r="D158" s="5">
        <v>0.436</v>
      </c>
      <c r="E158" s="3">
        <v>3.7679999999999998</v>
      </c>
      <c r="F158" s="5">
        <v>0.48299999999999998</v>
      </c>
      <c r="G158" s="3">
        <v>3.7469999999999999</v>
      </c>
      <c r="H158" s="5">
        <v>0.80200000000000005</v>
      </c>
      <c r="I158" s="5">
        <v>0.99439999999999995</v>
      </c>
      <c r="J158" s="3">
        <v>1.0701000000000001</v>
      </c>
      <c r="K158" s="4">
        <v>1803.6</v>
      </c>
      <c r="L158" s="3">
        <v>8.66</v>
      </c>
      <c r="M158" s="3">
        <v>308.5</v>
      </c>
      <c r="N158" s="3">
        <v>26</v>
      </c>
      <c r="O158" s="3">
        <v>257.39999999999998</v>
      </c>
      <c r="P158" s="3">
        <v>93.2</v>
      </c>
      <c r="Q158" s="3">
        <v>6.06</v>
      </c>
      <c r="R158" s="3">
        <v>24.74</v>
      </c>
      <c r="S158" s="5">
        <v>0.63300000000000001</v>
      </c>
      <c r="T158" s="3">
        <v>2.5499999999999998</v>
      </c>
      <c r="U158" s="2" t="s">
        <v>645</v>
      </c>
      <c r="V158" s="4">
        <v>1299</v>
      </c>
      <c r="W158" s="3">
        <v>13.81</v>
      </c>
      <c r="X158" s="3">
        <v>429.2</v>
      </c>
      <c r="Y158" s="3">
        <v>3.09</v>
      </c>
    </row>
    <row r="159" spans="1:25" x14ac:dyDescent="0.3">
      <c r="A159" s="2" t="s">
        <v>923</v>
      </c>
      <c r="B159" s="2" t="s">
        <v>651</v>
      </c>
      <c r="C159" s="3">
        <v>68.019000000000005</v>
      </c>
      <c r="D159" s="5">
        <v>0.378</v>
      </c>
      <c r="E159" s="3">
        <v>4.0430000000000001</v>
      </c>
      <c r="F159" s="5">
        <v>0.57399999999999995</v>
      </c>
      <c r="G159" s="3">
        <v>3.8380000000000001</v>
      </c>
      <c r="H159" s="5">
        <v>0.50900000000000001</v>
      </c>
      <c r="I159" s="5">
        <v>0.94920000000000004</v>
      </c>
      <c r="J159" s="5">
        <v>0.94140000000000001</v>
      </c>
      <c r="K159" s="4">
        <v>1643.7</v>
      </c>
      <c r="L159" s="3">
        <v>8.7899999999999991</v>
      </c>
      <c r="M159" s="3">
        <v>298.7</v>
      </c>
      <c r="N159" s="3">
        <v>27.7</v>
      </c>
      <c r="O159" s="3">
        <v>244.3</v>
      </c>
      <c r="P159" s="3">
        <v>89.79</v>
      </c>
      <c r="Q159" s="3">
        <v>5.32</v>
      </c>
      <c r="R159" s="3">
        <v>25.01</v>
      </c>
      <c r="S159" s="5">
        <v>0.69299999999999995</v>
      </c>
      <c r="T159" s="3">
        <v>2.63</v>
      </c>
      <c r="U159" s="2" t="s">
        <v>649</v>
      </c>
      <c r="V159" s="4">
        <v>1313.9</v>
      </c>
      <c r="W159" s="3">
        <v>13.98</v>
      </c>
      <c r="X159" s="3">
        <v>442.5</v>
      </c>
      <c r="Y159" s="3">
        <v>3.13</v>
      </c>
    </row>
    <row r="160" spans="1:25" x14ac:dyDescent="0.3">
      <c r="A160" s="2" t="s">
        <v>924</v>
      </c>
      <c r="B160" s="2" t="s">
        <v>655</v>
      </c>
      <c r="C160" s="3">
        <v>68.489000000000004</v>
      </c>
      <c r="D160" s="5">
        <v>0.36299999999999999</v>
      </c>
      <c r="E160" s="3">
        <v>3.742</v>
      </c>
      <c r="F160" s="5">
        <v>0.69299999999999995</v>
      </c>
      <c r="G160" s="3">
        <v>3.5430000000000001</v>
      </c>
      <c r="H160" s="5">
        <v>0.57599999999999996</v>
      </c>
      <c r="I160" s="5">
        <v>0.94679999999999997</v>
      </c>
      <c r="J160" s="5">
        <v>0.92879999999999996</v>
      </c>
      <c r="K160" s="4">
        <v>1693.1</v>
      </c>
      <c r="L160" s="3">
        <v>9.3000000000000007</v>
      </c>
      <c r="M160" s="3">
        <v>295.2</v>
      </c>
      <c r="N160" s="3">
        <v>29.9</v>
      </c>
      <c r="O160" s="3">
        <v>243.1</v>
      </c>
      <c r="P160" s="3">
        <v>91.79</v>
      </c>
      <c r="Q160" s="3">
        <v>5.85</v>
      </c>
      <c r="R160" s="3">
        <v>23.27</v>
      </c>
      <c r="S160" s="5">
        <v>0.55300000000000005</v>
      </c>
      <c r="T160" s="3">
        <v>2.27</v>
      </c>
      <c r="U160" s="2" t="s">
        <v>653</v>
      </c>
      <c r="V160" s="4">
        <v>1332.9</v>
      </c>
      <c r="W160" s="3">
        <v>13.56</v>
      </c>
      <c r="X160" s="3">
        <v>434.5</v>
      </c>
      <c r="Y160" s="3">
        <v>3.06</v>
      </c>
    </row>
    <row r="161" spans="1:25" x14ac:dyDescent="0.3">
      <c r="A161" s="2" t="s">
        <v>925</v>
      </c>
      <c r="B161" s="2" t="s">
        <v>659</v>
      </c>
      <c r="C161" s="3">
        <v>67.906999999999996</v>
      </c>
      <c r="D161" s="5">
        <v>0.36699999999999999</v>
      </c>
      <c r="E161" s="3">
        <v>3.504</v>
      </c>
      <c r="F161" s="5">
        <v>0.49099999999999999</v>
      </c>
      <c r="G161" s="3">
        <v>3.4129999999999998</v>
      </c>
      <c r="H161" s="5">
        <v>0.81599999999999995</v>
      </c>
      <c r="I161" s="5">
        <v>0.97399999999999998</v>
      </c>
      <c r="J161" s="3">
        <v>1.0585</v>
      </c>
      <c r="K161" s="4">
        <v>1678.1</v>
      </c>
      <c r="L161" s="3">
        <v>8.7200000000000006</v>
      </c>
      <c r="M161" s="3">
        <v>298</v>
      </c>
      <c r="N161" s="3">
        <v>25.6</v>
      </c>
      <c r="O161" s="3">
        <v>244</v>
      </c>
      <c r="P161" s="3">
        <v>91.65</v>
      </c>
      <c r="Q161" s="3">
        <v>6.65</v>
      </c>
      <c r="R161" s="3">
        <v>24.16</v>
      </c>
      <c r="S161" s="5">
        <v>0.66900000000000004</v>
      </c>
      <c r="T161" s="3">
        <v>1.89</v>
      </c>
      <c r="U161" s="2" t="s">
        <v>657</v>
      </c>
      <c r="V161" s="4">
        <v>1319.1</v>
      </c>
      <c r="W161" s="3">
        <v>13.94</v>
      </c>
      <c r="X161" s="3">
        <v>428.5</v>
      </c>
      <c r="Y161" s="3">
        <v>3.06</v>
      </c>
    </row>
    <row r="162" spans="1:25" x14ac:dyDescent="0.3">
      <c r="A162" s="2" t="s">
        <v>926</v>
      </c>
      <c r="B162" s="2" t="s">
        <v>663</v>
      </c>
      <c r="C162" s="3">
        <v>67.988</v>
      </c>
      <c r="D162" s="5">
        <v>0.39200000000000002</v>
      </c>
      <c r="E162" s="3">
        <v>3.629</v>
      </c>
      <c r="F162" s="5">
        <v>0.61499999999999999</v>
      </c>
      <c r="G162" s="3">
        <v>3.6219999999999999</v>
      </c>
      <c r="H162" s="5">
        <v>0.628</v>
      </c>
      <c r="I162" s="5">
        <v>0.998</v>
      </c>
      <c r="J162" s="3">
        <v>1.0013000000000001</v>
      </c>
      <c r="K162" s="4">
        <v>1600.9</v>
      </c>
      <c r="L162" s="3">
        <v>8.5500000000000007</v>
      </c>
      <c r="M162" s="3">
        <v>304.89999999999998</v>
      </c>
      <c r="N162" s="3">
        <v>21.1</v>
      </c>
      <c r="O162" s="3">
        <v>261.39999999999998</v>
      </c>
      <c r="P162" s="3">
        <v>92.16</v>
      </c>
      <c r="Q162" s="3">
        <v>5.54</v>
      </c>
      <c r="R162" s="3">
        <v>23.72</v>
      </c>
      <c r="S162" s="5">
        <v>0.747</v>
      </c>
      <c r="T162" s="3">
        <v>1.31</v>
      </c>
      <c r="U162" s="2" t="s">
        <v>661</v>
      </c>
      <c r="V162" s="4">
        <v>1298.4000000000001</v>
      </c>
      <c r="W162" s="3">
        <v>14.07</v>
      </c>
      <c r="X162" s="3">
        <v>428.9</v>
      </c>
      <c r="Y162" s="3">
        <v>3.14</v>
      </c>
    </row>
    <row r="163" spans="1:25" x14ac:dyDescent="0.3">
      <c r="A163" s="2" t="s">
        <v>927</v>
      </c>
      <c r="B163" s="2" t="s">
        <v>667</v>
      </c>
      <c r="C163" s="3">
        <v>68.021000000000001</v>
      </c>
      <c r="D163" s="5">
        <v>0.41499999999999998</v>
      </c>
      <c r="E163" s="3">
        <v>3.5859999999999999</v>
      </c>
      <c r="F163" s="5">
        <v>0.51</v>
      </c>
      <c r="G163" s="3">
        <v>3.383</v>
      </c>
      <c r="H163" s="5">
        <v>0.64500000000000002</v>
      </c>
      <c r="I163" s="5">
        <v>0.94340000000000002</v>
      </c>
      <c r="J163" s="5">
        <v>0.98329999999999995</v>
      </c>
      <c r="K163" s="4">
        <v>1536.9</v>
      </c>
      <c r="L163" s="3">
        <v>8.93</v>
      </c>
      <c r="M163" s="3">
        <v>296.3</v>
      </c>
      <c r="N163" s="3">
        <v>29</v>
      </c>
      <c r="O163" s="3">
        <v>236.4</v>
      </c>
      <c r="P163" s="3">
        <v>90.7</v>
      </c>
      <c r="Q163" s="3">
        <v>5.55</v>
      </c>
      <c r="R163" s="3">
        <v>24.62</v>
      </c>
      <c r="S163" s="5">
        <v>0.55100000000000005</v>
      </c>
      <c r="T163" s="3">
        <v>2.39</v>
      </c>
      <c r="U163" s="2" t="s">
        <v>665</v>
      </c>
      <c r="V163" s="4">
        <v>1303.2</v>
      </c>
      <c r="W163" s="3">
        <v>14.31</v>
      </c>
      <c r="X163" s="3">
        <v>432.6</v>
      </c>
      <c r="Y163" s="3">
        <v>3.01</v>
      </c>
    </row>
    <row r="164" spans="1:25" x14ac:dyDescent="0.3">
      <c r="A164" s="2" t="s">
        <v>928</v>
      </c>
      <c r="B164" s="2" t="s">
        <v>671</v>
      </c>
      <c r="C164" s="3">
        <v>67.795000000000002</v>
      </c>
      <c r="D164" s="5">
        <v>0.35799999999999998</v>
      </c>
      <c r="E164" s="3">
        <v>4.0110000000000001</v>
      </c>
      <c r="F164" s="5">
        <v>0.502</v>
      </c>
      <c r="G164" s="3">
        <v>3.887</v>
      </c>
      <c r="H164" s="5">
        <v>0.79800000000000004</v>
      </c>
      <c r="I164" s="5">
        <v>0.96930000000000005</v>
      </c>
      <c r="J164" s="3">
        <v>1.0384</v>
      </c>
      <c r="K164" s="4">
        <v>1640.5</v>
      </c>
      <c r="L164" s="3">
        <v>8.85</v>
      </c>
      <c r="M164" s="3">
        <v>301.7</v>
      </c>
      <c r="N164" s="3">
        <v>23.3</v>
      </c>
      <c r="O164" s="3">
        <v>235.2</v>
      </c>
      <c r="P164" s="3">
        <v>92.89</v>
      </c>
      <c r="Q164" s="3">
        <v>5.79</v>
      </c>
      <c r="R164" s="3">
        <v>24.25</v>
      </c>
      <c r="S164" s="5">
        <v>0.625</v>
      </c>
      <c r="T164" s="3">
        <v>2.27</v>
      </c>
      <c r="U164" s="2" t="s">
        <v>669</v>
      </c>
      <c r="V164" s="4">
        <v>1313.5</v>
      </c>
      <c r="W164" s="3">
        <v>14.24</v>
      </c>
      <c r="X164" s="3">
        <v>440.2</v>
      </c>
      <c r="Y164" s="3">
        <v>3.01</v>
      </c>
    </row>
    <row r="165" spans="1:25" x14ac:dyDescent="0.3">
      <c r="A165" s="2" t="s">
        <v>929</v>
      </c>
      <c r="B165" s="2" t="s">
        <v>675</v>
      </c>
      <c r="C165" s="3">
        <v>68.332999999999998</v>
      </c>
      <c r="D165" s="5">
        <v>0.28599999999999998</v>
      </c>
      <c r="E165" s="3">
        <v>3.7410000000000001</v>
      </c>
      <c r="F165" s="5">
        <v>0.57799999999999996</v>
      </c>
      <c r="G165" s="3">
        <v>3.5009999999999999</v>
      </c>
      <c r="H165" s="5">
        <v>0.71399999999999997</v>
      </c>
      <c r="I165" s="5">
        <v>0.93569999999999998</v>
      </c>
      <c r="J165" s="5">
        <v>0.9758</v>
      </c>
      <c r="K165" s="4">
        <v>1685.5</v>
      </c>
      <c r="L165" s="3">
        <v>8.6300000000000008</v>
      </c>
      <c r="M165" s="3">
        <v>296.8</v>
      </c>
      <c r="N165" s="3">
        <v>31</v>
      </c>
      <c r="O165" s="3">
        <v>230.7</v>
      </c>
      <c r="P165" s="3">
        <v>92</v>
      </c>
      <c r="Q165" s="3">
        <v>6.49</v>
      </c>
      <c r="R165" s="3">
        <v>24.7</v>
      </c>
      <c r="S165" s="5">
        <v>0.59899999999999998</v>
      </c>
      <c r="T165" s="3">
        <v>1.48</v>
      </c>
      <c r="U165" s="2" t="s">
        <v>673</v>
      </c>
      <c r="V165" s="4">
        <v>1315.7</v>
      </c>
      <c r="W165" s="3">
        <v>13.64</v>
      </c>
      <c r="X165" s="3">
        <v>425.8</v>
      </c>
      <c r="Y165" s="3">
        <v>3.1</v>
      </c>
    </row>
    <row r="166" spans="1:25" x14ac:dyDescent="0.3">
      <c r="A166" s="2" t="s">
        <v>930</v>
      </c>
      <c r="B166" s="2" t="s">
        <v>679</v>
      </c>
      <c r="C166" s="3">
        <v>68.206999999999994</v>
      </c>
      <c r="D166" s="5">
        <v>0.36599999999999999</v>
      </c>
      <c r="E166" s="3">
        <v>3.9</v>
      </c>
      <c r="F166" s="5">
        <v>0.499</v>
      </c>
      <c r="G166" s="3">
        <v>3.6859999999999999</v>
      </c>
      <c r="H166" s="5">
        <v>0.84199999999999997</v>
      </c>
      <c r="I166" s="5">
        <v>0.94530000000000003</v>
      </c>
      <c r="J166" s="3">
        <v>1.0295000000000001</v>
      </c>
      <c r="K166" s="4">
        <v>1622.7</v>
      </c>
      <c r="L166" s="3">
        <v>9.3000000000000007</v>
      </c>
      <c r="M166" s="3">
        <v>309.2</v>
      </c>
      <c r="N166" s="3">
        <v>25.4</v>
      </c>
      <c r="O166" s="3">
        <v>258.2</v>
      </c>
      <c r="P166" s="3">
        <v>93.54</v>
      </c>
      <c r="Q166" s="3">
        <v>5.79</v>
      </c>
      <c r="R166" s="3">
        <v>22.94</v>
      </c>
      <c r="S166" s="5">
        <v>0.65</v>
      </c>
      <c r="T166" s="5">
        <v>0.68</v>
      </c>
      <c r="U166" s="2" t="s">
        <v>677</v>
      </c>
      <c r="V166" s="4">
        <v>1324</v>
      </c>
      <c r="W166" s="3">
        <v>14.34</v>
      </c>
      <c r="X166" s="3">
        <v>429.9</v>
      </c>
      <c r="Y166" s="3">
        <v>3.05</v>
      </c>
    </row>
    <row r="167" spans="1:25" x14ac:dyDescent="0.3">
      <c r="A167" s="2" t="s">
        <v>931</v>
      </c>
      <c r="B167" s="2" t="s">
        <v>683</v>
      </c>
      <c r="C167" s="3">
        <v>67.884</v>
      </c>
      <c r="D167" s="5">
        <v>0.21199999999999999</v>
      </c>
      <c r="E167" s="3">
        <v>3.7770000000000001</v>
      </c>
      <c r="F167" s="5">
        <v>0.59699999999999998</v>
      </c>
      <c r="G167" s="3">
        <v>3.7490000000000001</v>
      </c>
      <c r="H167" s="5">
        <v>0.78400000000000003</v>
      </c>
      <c r="I167" s="5">
        <v>0.99250000000000005</v>
      </c>
      <c r="J167" s="3">
        <v>1.0361</v>
      </c>
      <c r="K167" s="4">
        <v>1770</v>
      </c>
      <c r="L167" s="3">
        <v>8.75</v>
      </c>
      <c r="M167" s="3">
        <v>288.89999999999998</v>
      </c>
      <c r="N167" s="3">
        <v>24.7</v>
      </c>
      <c r="O167" s="3">
        <v>218.7</v>
      </c>
      <c r="P167" s="3">
        <v>90.81</v>
      </c>
      <c r="Q167" s="3">
        <v>5.67</v>
      </c>
      <c r="R167" s="3">
        <v>26.31</v>
      </c>
      <c r="S167" s="5">
        <v>0.77400000000000002</v>
      </c>
      <c r="T167" s="3">
        <v>1.71</v>
      </c>
      <c r="U167" s="2" t="s">
        <v>681</v>
      </c>
      <c r="V167" s="4">
        <v>1304.4000000000001</v>
      </c>
      <c r="W167" s="3">
        <v>13.8</v>
      </c>
      <c r="X167" s="3">
        <v>429.9</v>
      </c>
      <c r="Y167" s="3">
        <v>3.19</v>
      </c>
    </row>
    <row r="168" spans="1:25" x14ac:dyDescent="0.3">
      <c r="A168" s="2" t="s">
        <v>932</v>
      </c>
      <c r="B168" s="2" t="s">
        <v>687</v>
      </c>
      <c r="C168" s="3">
        <v>67.897999999999996</v>
      </c>
      <c r="D168" s="5">
        <v>0.38500000000000001</v>
      </c>
      <c r="E168" s="3">
        <v>4.0190000000000001</v>
      </c>
      <c r="F168" s="5">
        <v>0.53500000000000003</v>
      </c>
      <c r="G168" s="3">
        <v>4.08</v>
      </c>
      <c r="H168" s="5">
        <v>0.67</v>
      </c>
      <c r="I168" s="3">
        <v>1.0152000000000001</v>
      </c>
      <c r="J168" s="3">
        <v>1.0428999999999999</v>
      </c>
      <c r="K168" s="4">
        <v>1600.5</v>
      </c>
      <c r="L168" s="3">
        <v>9.42</v>
      </c>
      <c r="M168" s="3">
        <v>297.89999999999998</v>
      </c>
      <c r="N168" s="3">
        <v>22</v>
      </c>
      <c r="O168" s="3">
        <v>247.5</v>
      </c>
      <c r="P168" s="3">
        <v>91.37</v>
      </c>
      <c r="Q168" s="3">
        <v>5.55</v>
      </c>
      <c r="R168" s="3">
        <v>23.35</v>
      </c>
      <c r="S168" s="5">
        <v>0.42299999999999999</v>
      </c>
      <c r="T168" s="5">
        <v>0.86</v>
      </c>
      <c r="U168" s="2" t="s">
        <v>685</v>
      </c>
      <c r="V168" s="4">
        <v>1319.9</v>
      </c>
      <c r="W168" s="3">
        <v>14.06</v>
      </c>
      <c r="X168" s="3">
        <v>426.7</v>
      </c>
      <c r="Y168" s="3">
        <v>3.23</v>
      </c>
    </row>
    <row r="169" spans="1:25" x14ac:dyDescent="0.3">
      <c r="A169" s="2" t="s">
        <v>933</v>
      </c>
      <c r="B169" s="2" t="s">
        <v>691</v>
      </c>
      <c r="C169" s="3">
        <v>68.188000000000002</v>
      </c>
      <c r="D169" s="5">
        <v>0.33600000000000002</v>
      </c>
      <c r="E169" s="3">
        <v>4.1050000000000004</v>
      </c>
      <c r="F169" s="5">
        <v>0.53400000000000003</v>
      </c>
      <c r="G169" s="3">
        <v>4.0739999999999998</v>
      </c>
      <c r="H169" s="5">
        <v>0.70699999999999996</v>
      </c>
      <c r="I169" s="5">
        <v>0.99239999999999995</v>
      </c>
      <c r="J169" s="3">
        <v>1.0305</v>
      </c>
      <c r="K169" s="4">
        <v>1698.2</v>
      </c>
      <c r="L169" s="3">
        <v>9.1300000000000008</v>
      </c>
      <c r="M169" s="3">
        <v>306.89999999999998</v>
      </c>
      <c r="N169" s="3">
        <v>23.8</v>
      </c>
      <c r="O169" s="3">
        <v>248.6</v>
      </c>
      <c r="P169" s="3">
        <v>91.43</v>
      </c>
      <c r="Q169" s="3">
        <v>5.84</v>
      </c>
      <c r="R169" s="3">
        <v>27.64</v>
      </c>
      <c r="S169" s="5">
        <v>0.751</v>
      </c>
      <c r="T169" s="3">
        <v>1.31</v>
      </c>
      <c r="U169" s="2" t="s">
        <v>689</v>
      </c>
      <c r="V169" s="4">
        <v>1303.9000000000001</v>
      </c>
      <c r="W169" s="3">
        <v>14.3</v>
      </c>
      <c r="X169" s="3">
        <v>432.4</v>
      </c>
      <c r="Y169" s="3">
        <v>3.19</v>
      </c>
    </row>
    <row r="170" spans="1:25" x14ac:dyDescent="0.3">
      <c r="A170" s="2" t="s">
        <v>934</v>
      </c>
      <c r="B170" s="2" t="s">
        <v>695</v>
      </c>
      <c r="C170" s="3">
        <v>67.989000000000004</v>
      </c>
      <c r="D170" s="5">
        <v>0.36</v>
      </c>
      <c r="E170" s="3">
        <v>3.98</v>
      </c>
      <c r="F170" s="5">
        <v>0.57999999999999996</v>
      </c>
      <c r="G170" s="3">
        <v>3.9369999999999998</v>
      </c>
      <c r="H170" s="5">
        <v>0.78800000000000003</v>
      </c>
      <c r="I170" s="5">
        <v>0.98939999999999995</v>
      </c>
      <c r="J170" s="3">
        <v>1.0364</v>
      </c>
      <c r="K170" s="4">
        <v>1732.8</v>
      </c>
      <c r="L170" s="3">
        <v>9.39</v>
      </c>
      <c r="M170" s="3">
        <v>300.8</v>
      </c>
      <c r="N170" s="3">
        <v>27.3</v>
      </c>
      <c r="O170" s="3">
        <v>246</v>
      </c>
      <c r="P170" s="3">
        <v>91.26</v>
      </c>
      <c r="Q170" s="3">
        <v>6.05</v>
      </c>
      <c r="R170" s="3">
        <v>23.87</v>
      </c>
      <c r="S170" s="5">
        <v>0.61399999999999999</v>
      </c>
      <c r="T170" s="3">
        <v>2.86</v>
      </c>
      <c r="U170" s="2" t="s">
        <v>693</v>
      </c>
      <c r="V170" s="4">
        <v>1331</v>
      </c>
      <c r="W170" s="3">
        <v>13.48</v>
      </c>
      <c r="X170" s="3">
        <v>431.3</v>
      </c>
      <c r="Y170" s="3">
        <v>3.05</v>
      </c>
    </row>
    <row r="171" spans="1:25" x14ac:dyDescent="0.3">
      <c r="A171" s="2" t="s">
        <v>935</v>
      </c>
      <c r="B171" s="2" t="s">
        <v>699</v>
      </c>
      <c r="C171" s="3">
        <v>68.168000000000006</v>
      </c>
      <c r="D171" s="5">
        <v>0.39400000000000002</v>
      </c>
      <c r="E171" s="3">
        <v>3.7930000000000001</v>
      </c>
      <c r="F171" s="5">
        <v>0.66100000000000003</v>
      </c>
      <c r="G171" s="3">
        <v>3.6579999999999999</v>
      </c>
      <c r="H171" s="5">
        <v>0.78300000000000003</v>
      </c>
      <c r="I171" s="5">
        <v>0.96430000000000005</v>
      </c>
      <c r="J171" s="5">
        <v>0.99709999999999999</v>
      </c>
      <c r="K171" s="4">
        <v>1765.1</v>
      </c>
      <c r="L171" s="3">
        <v>8.9499999999999993</v>
      </c>
      <c r="M171" s="3">
        <v>300.7</v>
      </c>
      <c r="N171" s="3">
        <v>29.3</v>
      </c>
      <c r="O171" s="3">
        <v>243.6</v>
      </c>
      <c r="P171" s="3">
        <v>92.03</v>
      </c>
      <c r="Q171" s="3">
        <v>5.65</v>
      </c>
      <c r="R171" s="3">
        <v>25.13</v>
      </c>
      <c r="S171" s="5">
        <v>0.629</v>
      </c>
      <c r="T171" s="3">
        <v>1.77</v>
      </c>
      <c r="U171" s="2" t="s">
        <v>697</v>
      </c>
      <c r="V171" s="4">
        <v>1315.5</v>
      </c>
      <c r="W171" s="3">
        <v>13.9</v>
      </c>
      <c r="X171" s="3">
        <v>427.9</v>
      </c>
      <c r="Y171" s="3">
        <v>3.03</v>
      </c>
    </row>
    <row r="172" spans="1:25" x14ac:dyDescent="0.3">
      <c r="A172" s="2" t="s">
        <v>936</v>
      </c>
      <c r="B172" s="2" t="s">
        <v>703</v>
      </c>
      <c r="C172" s="3">
        <v>68.183000000000007</v>
      </c>
      <c r="D172" s="5">
        <v>0.42499999999999999</v>
      </c>
      <c r="E172" s="3">
        <v>3.9420000000000002</v>
      </c>
      <c r="F172" s="5">
        <v>0.502</v>
      </c>
      <c r="G172" s="3">
        <v>3.972</v>
      </c>
      <c r="H172" s="5">
        <v>0.80700000000000005</v>
      </c>
      <c r="I172" s="3">
        <v>1.0075000000000001</v>
      </c>
      <c r="J172" s="3">
        <v>1.0750999999999999</v>
      </c>
      <c r="K172" s="4">
        <v>1648.4</v>
      </c>
      <c r="L172" s="3">
        <v>9.1300000000000008</v>
      </c>
      <c r="M172" s="3">
        <v>304.7</v>
      </c>
      <c r="N172" s="3">
        <v>23.4</v>
      </c>
      <c r="O172" s="3">
        <v>240.9</v>
      </c>
      <c r="P172" s="3">
        <v>91.31</v>
      </c>
      <c r="Q172" s="3">
        <v>5.44</v>
      </c>
      <c r="R172" s="3">
        <v>23.47</v>
      </c>
      <c r="S172" s="5">
        <v>0.52300000000000002</v>
      </c>
      <c r="T172" s="3">
        <v>2.46</v>
      </c>
      <c r="U172" s="2" t="s">
        <v>701</v>
      </c>
      <c r="V172" s="4">
        <v>1334</v>
      </c>
      <c r="W172" s="3">
        <v>13.76</v>
      </c>
      <c r="X172" s="3">
        <v>427.7</v>
      </c>
      <c r="Y172" s="3">
        <v>3.23</v>
      </c>
    </row>
    <row r="173" spans="1:25" x14ac:dyDescent="0.3">
      <c r="A173" s="2" t="s">
        <v>937</v>
      </c>
      <c r="B173" s="2" t="s">
        <v>707</v>
      </c>
      <c r="C173" s="3">
        <v>68.222999999999999</v>
      </c>
      <c r="D173" s="5">
        <v>0.42299999999999999</v>
      </c>
      <c r="E173" s="3">
        <v>4.0679999999999996</v>
      </c>
      <c r="F173" s="5">
        <v>0.65900000000000003</v>
      </c>
      <c r="G173" s="3">
        <v>4.1180000000000003</v>
      </c>
      <c r="H173" s="5">
        <v>0.80100000000000005</v>
      </c>
      <c r="I173" s="3">
        <v>1.0124</v>
      </c>
      <c r="J173" s="3">
        <v>1.0406</v>
      </c>
      <c r="K173" s="4">
        <v>1701.4</v>
      </c>
      <c r="L173" s="3">
        <v>9.25</v>
      </c>
      <c r="M173" s="3">
        <v>320.2</v>
      </c>
      <c r="N173" s="3">
        <v>26.2</v>
      </c>
      <c r="O173" s="3">
        <v>253.2</v>
      </c>
      <c r="P173" s="3">
        <v>92.42</v>
      </c>
      <c r="Q173" s="3">
        <v>4.93</v>
      </c>
      <c r="R173" s="3">
        <v>25.11</v>
      </c>
      <c r="S173" s="5">
        <v>0.53400000000000003</v>
      </c>
      <c r="T173" s="3">
        <v>1.95</v>
      </c>
      <c r="U173" s="2" t="s">
        <v>705</v>
      </c>
      <c r="V173" s="4">
        <v>1314.7</v>
      </c>
      <c r="W173" s="3">
        <v>14.11</v>
      </c>
      <c r="X173" s="3">
        <v>426.3</v>
      </c>
      <c r="Y173" s="3">
        <v>3.2</v>
      </c>
    </row>
    <row r="174" spans="1:25" x14ac:dyDescent="0.3">
      <c r="A174" s="2" t="s">
        <v>938</v>
      </c>
      <c r="B174" s="2" t="s">
        <v>711</v>
      </c>
      <c r="C174" s="3">
        <v>68.287999999999997</v>
      </c>
      <c r="D174" s="5">
        <v>0.42699999999999999</v>
      </c>
      <c r="E174" s="3">
        <v>4.0069999999999997</v>
      </c>
      <c r="F174" s="5">
        <v>0.52300000000000002</v>
      </c>
      <c r="G174" s="3">
        <v>3.8650000000000002</v>
      </c>
      <c r="H174" s="5">
        <v>0.72099999999999997</v>
      </c>
      <c r="I174" s="5">
        <v>0.96479999999999999</v>
      </c>
      <c r="J174" s="3">
        <v>1.0126999999999999</v>
      </c>
      <c r="K174" s="4">
        <v>1664.4</v>
      </c>
      <c r="L174" s="3">
        <v>8.77</v>
      </c>
      <c r="M174" s="3">
        <v>303.8</v>
      </c>
      <c r="N174" s="3">
        <v>27.8</v>
      </c>
      <c r="O174" s="3">
        <v>233.3</v>
      </c>
      <c r="P174" s="3">
        <v>92.44</v>
      </c>
      <c r="Q174" s="3">
        <v>5.43</v>
      </c>
      <c r="R174" s="3">
        <v>23.48</v>
      </c>
      <c r="S174" s="5">
        <v>0.72</v>
      </c>
      <c r="T174" s="3">
        <v>2.25</v>
      </c>
      <c r="U174" s="2" t="s">
        <v>709</v>
      </c>
      <c r="V174" s="4">
        <v>1322.2</v>
      </c>
      <c r="W174" s="3">
        <v>13.56</v>
      </c>
      <c r="X174" s="3">
        <v>432.3</v>
      </c>
      <c r="Y174" s="3">
        <v>3.04</v>
      </c>
    </row>
    <row r="175" spans="1:25" x14ac:dyDescent="0.3">
      <c r="A175" s="2" t="s">
        <v>939</v>
      </c>
      <c r="B175" s="2" t="s">
        <v>715</v>
      </c>
      <c r="C175" s="3">
        <v>68.102000000000004</v>
      </c>
      <c r="D175" s="5">
        <v>0.32500000000000001</v>
      </c>
      <c r="E175" s="3">
        <v>4.26</v>
      </c>
      <c r="F175" s="5">
        <v>0.53300000000000003</v>
      </c>
      <c r="G175" s="3">
        <v>4.2309999999999999</v>
      </c>
      <c r="H175" s="5">
        <v>0.73599999999999999</v>
      </c>
      <c r="I175" s="5">
        <v>0.99329999999999996</v>
      </c>
      <c r="J175" s="3">
        <v>1.0365</v>
      </c>
      <c r="K175" s="4">
        <v>1679.7</v>
      </c>
      <c r="L175" s="3">
        <v>8.84</v>
      </c>
      <c r="M175" s="3">
        <v>313.89999999999998</v>
      </c>
      <c r="N175" s="3">
        <v>29.6</v>
      </c>
      <c r="O175" s="3">
        <v>254.3</v>
      </c>
      <c r="P175" s="3">
        <v>93.79</v>
      </c>
      <c r="Q175" s="3">
        <v>7.21</v>
      </c>
      <c r="R175" s="3">
        <v>24.39</v>
      </c>
      <c r="S175" s="5">
        <v>0.39700000000000002</v>
      </c>
      <c r="T175" s="3">
        <v>2.2200000000000002</v>
      </c>
      <c r="U175" s="2" t="s">
        <v>713</v>
      </c>
      <c r="V175" s="4">
        <v>1321</v>
      </c>
      <c r="W175" s="3">
        <v>14.17</v>
      </c>
      <c r="X175" s="3">
        <v>424.4</v>
      </c>
      <c r="Y175" s="3">
        <v>3.14</v>
      </c>
    </row>
    <row r="176" spans="1:25" x14ac:dyDescent="0.3">
      <c r="A176" s="2" t="s">
        <v>940</v>
      </c>
      <c r="B176" s="2" t="s">
        <v>719</v>
      </c>
      <c r="C176" s="3">
        <v>67.858000000000004</v>
      </c>
      <c r="D176" s="5">
        <v>0.41</v>
      </c>
      <c r="E176" s="3">
        <v>4.0149999999999997</v>
      </c>
      <c r="F176" s="5">
        <v>0.61199999999999999</v>
      </c>
      <c r="G176" s="3">
        <v>3.85</v>
      </c>
      <c r="H176" s="5">
        <v>0.76200000000000001</v>
      </c>
      <c r="I176" s="5">
        <v>0.95889999999999997</v>
      </c>
      <c r="J176" s="5">
        <v>0.99670000000000003</v>
      </c>
      <c r="K176" s="4">
        <v>1601.3</v>
      </c>
      <c r="L176" s="3">
        <v>8.74</v>
      </c>
      <c r="M176" s="3">
        <v>295.2</v>
      </c>
      <c r="N176" s="3">
        <v>22.5</v>
      </c>
      <c r="O176" s="3">
        <v>252.1</v>
      </c>
      <c r="P176" s="3">
        <v>90.64</v>
      </c>
      <c r="Q176" s="3">
        <v>5.73</v>
      </c>
      <c r="R176" s="3">
        <v>23.54</v>
      </c>
      <c r="S176" s="5">
        <v>0.57899999999999996</v>
      </c>
      <c r="T176" s="3">
        <v>2.13</v>
      </c>
      <c r="U176" s="2" t="s">
        <v>717</v>
      </c>
      <c r="V176" s="4">
        <v>1339.4</v>
      </c>
      <c r="W176" s="3">
        <v>13.61</v>
      </c>
      <c r="X176" s="3">
        <v>433.4</v>
      </c>
      <c r="Y176" s="3">
        <v>3</v>
      </c>
    </row>
    <row r="177" spans="1:25" x14ac:dyDescent="0.3">
      <c r="A177" s="2" t="s">
        <v>941</v>
      </c>
      <c r="B177" s="2" t="s">
        <v>723</v>
      </c>
      <c r="C177" s="3">
        <v>68.507999999999996</v>
      </c>
      <c r="D177" s="5">
        <v>0.33200000000000002</v>
      </c>
      <c r="E177" s="3">
        <v>3.605</v>
      </c>
      <c r="F177" s="5">
        <v>0.58499999999999996</v>
      </c>
      <c r="G177" s="3">
        <v>3.4039999999999999</v>
      </c>
      <c r="H177" s="5">
        <v>0.77300000000000002</v>
      </c>
      <c r="I177" s="5">
        <v>0.94410000000000005</v>
      </c>
      <c r="J177" s="5">
        <v>0.99680000000000002</v>
      </c>
      <c r="K177" s="4">
        <v>1616.3</v>
      </c>
      <c r="L177" s="3">
        <v>9.2200000000000006</v>
      </c>
      <c r="M177" s="3">
        <v>295.2</v>
      </c>
      <c r="N177" s="3">
        <v>27.3</v>
      </c>
      <c r="O177" s="3">
        <v>243</v>
      </c>
      <c r="P177" s="3">
        <v>90.69</v>
      </c>
      <c r="Q177" s="3">
        <v>6.44</v>
      </c>
      <c r="R177" s="3">
        <v>23.01</v>
      </c>
      <c r="S177" s="5">
        <v>0.69799999999999995</v>
      </c>
      <c r="T177" s="3">
        <v>1.85</v>
      </c>
      <c r="U177" s="2" t="s">
        <v>721</v>
      </c>
      <c r="V177" s="4">
        <v>1335</v>
      </c>
      <c r="W177" s="3">
        <v>13.96</v>
      </c>
      <c r="X177" s="3">
        <v>428.1</v>
      </c>
      <c r="Y177" s="3">
        <v>3.19</v>
      </c>
    </row>
    <row r="178" spans="1:25" x14ac:dyDescent="0.3">
      <c r="A178" s="2" t="s">
        <v>942</v>
      </c>
      <c r="B178" s="2" t="s">
        <v>727</v>
      </c>
      <c r="C178" s="3">
        <v>67.688999999999993</v>
      </c>
      <c r="D178" s="5">
        <v>0.28100000000000003</v>
      </c>
      <c r="E178" s="3">
        <v>3.992</v>
      </c>
      <c r="F178" s="5">
        <v>0.48699999999999999</v>
      </c>
      <c r="G178" s="3">
        <v>3.89</v>
      </c>
      <c r="H178" s="5">
        <v>0.69599999999999995</v>
      </c>
      <c r="I178" s="5">
        <v>0.97440000000000004</v>
      </c>
      <c r="J178" s="3">
        <v>1.0237000000000001</v>
      </c>
      <c r="K178" s="4">
        <v>1636.4</v>
      </c>
      <c r="L178" s="3">
        <v>9</v>
      </c>
      <c r="M178" s="3">
        <v>306.10000000000002</v>
      </c>
      <c r="N178" s="3">
        <v>26.5</v>
      </c>
      <c r="O178" s="3">
        <v>228</v>
      </c>
      <c r="P178" s="3">
        <v>92.39</v>
      </c>
      <c r="Q178" s="3">
        <v>5.9</v>
      </c>
      <c r="R178" s="3">
        <v>21.64</v>
      </c>
      <c r="S178" s="5">
        <v>0.58099999999999996</v>
      </c>
      <c r="T178" s="3">
        <v>2.04</v>
      </c>
      <c r="U178" s="2" t="s">
        <v>725</v>
      </c>
      <c r="V178" s="4">
        <v>1333.5</v>
      </c>
      <c r="W178" s="3">
        <v>14.08</v>
      </c>
      <c r="X178" s="3">
        <v>424.7</v>
      </c>
      <c r="Y178" s="3">
        <v>3.26</v>
      </c>
    </row>
    <row r="179" spans="1:25" x14ac:dyDescent="0.3">
      <c r="A179" s="2" t="s">
        <v>943</v>
      </c>
      <c r="B179" s="2" t="s">
        <v>731</v>
      </c>
      <c r="C179" s="3">
        <v>68.105999999999995</v>
      </c>
      <c r="D179" s="5">
        <v>0.379</v>
      </c>
      <c r="E179" s="3">
        <v>4.1479999999999997</v>
      </c>
      <c r="F179" s="5">
        <v>0.501</v>
      </c>
      <c r="G179" s="3">
        <v>3.96</v>
      </c>
      <c r="H179" s="5">
        <v>0.49</v>
      </c>
      <c r="I179" s="5">
        <v>0.9546</v>
      </c>
      <c r="J179" s="5">
        <v>0.95720000000000005</v>
      </c>
      <c r="K179" s="4">
        <v>1601</v>
      </c>
      <c r="L179" s="3">
        <v>8.6999999999999993</v>
      </c>
      <c r="M179" s="3">
        <v>296.60000000000002</v>
      </c>
      <c r="N179" s="3">
        <v>24.5</v>
      </c>
      <c r="O179" s="3">
        <v>232.4</v>
      </c>
      <c r="P179" s="3">
        <v>91.86</v>
      </c>
      <c r="Q179" s="3">
        <v>5.99</v>
      </c>
      <c r="R179" s="3">
        <v>22.73</v>
      </c>
      <c r="S179" s="5">
        <v>0.47899999999999998</v>
      </c>
      <c r="T179" s="3">
        <v>2.54</v>
      </c>
      <c r="U179" s="2" t="s">
        <v>729</v>
      </c>
      <c r="V179" s="4">
        <v>1327.9</v>
      </c>
      <c r="W179" s="3">
        <v>13.59</v>
      </c>
      <c r="X179" s="3">
        <v>433.9</v>
      </c>
      <c r="Y179" s="3">
        <v>3.26</v>
      </c>
    </row>
    <row r="180" spans="1:25" x14ac:dyDescent="0.3">
      <c r="A180" s="2" t="s">
        <v>944</v>
      </c>
      <c r="B180" s="2" t="s">
        <v>735</v>
      </c>
      <c r="C180" s="3">
        <v>68.554000000000002</v>
      </c>
      <c r="D180" s="5">
        <v>0.32600000000000001</v>
      </c>
      <c r="E180" s="3">
        <v>3.8319999999999999</v>
      </c>
      <c r="F180" s="5">
        <v>0.54600000000000004</v>
      </c>
      <c r="G180" s="3">
        <v>3.6829999999999998</v>
      </c>
      <c r="H180" s="5">
        <v>0.63700000000000001</v>
      </c>
      <c r="I180" s="5">
        <v>0.96089999999999998</v>
      </c>
      <c r="J180" s="5">
        <v>0.98680000000000001</v>
      </c>
      <c r="K180" s="4">
        <v>1592.3</v>
      </c>
      <c r="L180" s="3">
        <v>8.98</v>
      </c>
      <c r="M180" s="3">
        <v>291.8</v>
      </c>
      <c r="N180" s="3">
        <v>26.1</v>
      </c>
      <c r="O180" s="3">
        <v>212.1</v>
      </c>
      <c r="P180" s="3">
        <v>92.66</v>
      </c>
      <c r="Q180" s="3">
        <v>5.99</v>
      </c>
      <c r="R180" s="3">
        <v>22.67</v>
      </c>
      <c r="S180" s="5">
        <v>0.57199999999999995</v>
      </c>
      <c r="T180" s="3">
        <v>2.82</v>
      </c>
      <c r="U180" s="2" t="s">
        <v>733</v>
      </c>
      <c r="V180" s="4">
        <v>1337.5</v>
      </c>
      <c r="W180" s="3">
        <v>13.45</v>
      </c>
      <c r="X180" s="3">
        <v>435.9</v>
      </c>
      <c r="Y180" s="3">
        <v>3.04</v>
      </c>
    </row>
    <row r="181" spans="1:25" x14ac:dyDescent="0.3">
      <c r="A181" s="2" t="s">
        <v>945</v>
      </c>
      <c r="B181" s="2" t="s">
        <v>739</v>
      </c>
      <c r="C181" s="3">
        <v>68.144999999999996</v>
      </c>
      <c r="D181" s="5">
        <v>0.40600000000000003</v>
      </c>
      <c r="E181" s="3">
        <v>3.7909999999999999</v>
      </c>
      <c r="F181" s="5">
        <v>0.55300000000000005</v>
      </c>
      <c r="G181" s="3">
        <v>3.6309999999999998</v>
      </c>
      <c r="H181" s="5">
        <v>0.73199999999999998</v>
      </c>
      <c r="I181" s="5">
        <v>0.95760000000000001</v>
      </c>
      <c r="J181" s="3">
        <v>1.0042</v>
      </c>
      <c r="K181" s="4">
        <v>1677.1</v>
      </c>
      <c r="L181" s="3">
        <v>8.74</v>
      </c>
      <c r="M181" s="3">
        <v>301.39999999999998</v>
      </c>
      <c r="N181" s="3">
        <v>28.1</v>
      </c>
      <c r="O181" s="3">
        <v>243.6</v>
      </c>
      <c r="P181" s="3">
        <v>93.38</v>
      </c>
      <c r="Q181" s="3">
        <v>5.96</v>
      </c>
      <c r="R181" s="3">
        <v>23.78</v>
      </c>
      <c r="S181" s="5">
        <v>0.36499999999999999</v>
      </c>
      <c r="T181" s="3">
        <v>1.52</v>
      </c>
      <c r="U181" s="2" t="s">
        <v>737</v>
      </c>
      <c r="V181" s="4">
        <v>1327.2</v>
      </c>
      <c r="W181" s="3">
        <v>13.98</v>
      </c>
      <c r="X181" s="3">
        <v>430.3</v>
      </c>
      <c r="Y181" s="3">
        <v>3.08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"/>
  <sheetViews>
    <sheetView zoomScale="55" zoomScaleNormal="55" workbookViewId="0">
      <selection activeCell="B14" sqref="B14"/>
    </sheetView>
  </sheetViews>
  <sheetFormatPr defaultRowHeight="14.4" x14ac:dyDescent="0.3"/>
  <cols>
    <col min="1" max="1" width="150" customWidth="1"/>
    <col min="2" max="2" width="13" customWidth="1"/>
    <col min="3" max="3" width="17" customWidth="1"/>
    <col min="4" max="4" width="15" customWidth="1"/>
    <col min="5" max="5" width="20" customWidth="1"/>
    <col min="6" max="6" width="19" customWidth="1"/>
    <col min="7" max="7" width="20" customWidth="1"/>
    <col min="8" max="8" width="24" customWidth="1"/>
    <col min="9" max="9" width="20" customWidth="1"/>
    <col min="10" max="10" width="21" customWidth="1"/>
    <col min="11" max="11" width="17" customWidth="1"/>
  </cols>
  <sheetData>
    <row r="1" spans="1:11" ht="28.05" customHeight="1" x14ac:dyDescent="0.3">
      <c r="A1" s="22" t="s">
        <v>946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22.05" customHeight="1" x14ac:dyDescent="0.3">
      <c r="A2" s="20" t="s">
        <v>947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2.05" customHeight="1" x14ac:dyDescent="0.3">
      <c r="A3" t="s">
        <v>1019</v>
      </c>
      <c r="B3" t="s">
        <v>1020</v>
      </c>
      <c r="C3" t="s">
        <v>1021</v>
      </c>
      <c r="D3" t="s">
        <v>1022</v>
      </c>
    </row>
    <row r="4" spans="1:11" ht="22.05" customHeight="1" x14ac:dyDescent="0.3">
      <c r="A4" s="10" t="s">
        <v>1033</v>
      </c>
      <c r="B4" s="11">
        <v>4.5000000000000003E-5</v>
      </c>
      <c r="C4" t="s">
        <v>1028</v>
      </c>
    </row>
    <row r="5" spans="1:11" ht="22.05" customHeight="1" x14ac:dyDescent="0.3">
      <c r="A5" t="s">
        <v>1034</v>
      </c>
      <c r="B5">
        <v>0.9</v>
      </c>
      <c r="C5" t="s">
        <v>1029</v>
      </c>
    </row>
    <row r="6" spans="1:11" ht="22.05" customHeight="1" x14ac:dyDescent="0.3">
      <c r="A6" t="s">
        <v>1023</v>
      </c>
      <c r="B6">
        <v>0.4</v>
      </c>
      <c r="C6" t="s">
        <v>1030</v>
      </c>
    </row>
    <row r="7" spans="1:11" ht="22.05" customHeight="1" x14ac:dyDescent="0.3">
      <c r="A7" t="s">
        <v>1024</v>
      </c>
      <c r="B7">
        <v>0.85</v>
      </c>
      <c r="C7" t="s">
        <v>1030</v>
      </c>
    </row>
    <row r="8" spans="1:11" ht="22.05" customHeight="1" x14ac:dyDescent="0.3">
      <c r="A8" t="s">
        <v>1025</v>
      </c>
      <c r="B8">
        <v>1.2500000000000001E-2</v>
      </c>
      <c r="C8" t="s">
        <v>1031</v>
      </c>
    </row>
    <row r="9" spans="1:11" ht="22.05" customHeight="1" x14ac:dyDescent="0.3">
      <c r="A9" t="s">
        <v>1026</v>
      </c>
      <c r="B9">
        <v>1.8</v>
      </c>
      <c r="C9" t="s">
        <v>1032</v>
      </c>
    </row>
    <row r="10" spans="1:11" ht="22.05" customHeight="1" x14ac:dyDescent="0.3">
      <c r="A10" t="s">
        <v>1027</v>
      </c>
      <c r="B10">
        <v>0.35</v>
      </c>
      <c r="C10" t="s">
        <v>1031</v>
      </c>
    </row>
    <row r="11" spans="1:11" ht="22.05" customHeight="1" x14ac:dyDescent="0.3"/>
    <row r="12" spans="1:11" ht="22.05" customHeight="1" x14ac:dyDescent="0.3"/>
    <row r="13" spans="1:11" ht="22.05" customHeight="1" x14ac:dyDescent="0.3">
      <c r="A13" t="s">
        <v>1035</v>
      </c>
      <c r="B13" t="e">
        <f>((150*μg*(1-ε)^2)/(ϕ^2*dp^2*ε^3)*vs+(1.75*ρg*(1-ε))/(ϕ*dp*ε^3)*vs^2)*L/1000</f>
        <v>#VALUE!</v>
      </c>
      <c r="C13" t="s">
        <v>1036</v>
      </c>
    </row>
    <row r="14" spans="1:11" ht="22.05" customHeight="1" x14ac:dyDescent="0.3">
      <c r="A14" t="s">
        <v>1037</v>
      </c>
      <c r="B14" t="e">
        <f>((150*μg*(1-ε)^2)/(ϕ^2*dp^2*ε^3)*vs)*L/1000</f>
        <v>#VALUE!</v>
      </c>
      <c r="C14" t="s">
        <v>1036</v>
      </c>
    </row>
    <row r="15" spans="1:11" ht="22.05" customHeight="1" x14ac:dyDescent="0.3">
      <c r="A15" t="s">
        <v>1038</v>
      </c>
      <c r="B15" s="12" t="e">
        <f>((1.75*ρg*(1-ε))/(ϕ*dp*ε^3)*vs^2)*L/1000</f>
        <v>#VALUE!</v>
      </c>
      <c r="C15" t="s">
        <v>1036</v>
      </c>
    </row>
    <row r="16" spans="1:11" ht="22.05" customHeight="1" x14ac:dyDescent="0.3">
      <c r="A16" t="s">
        <v>1039</v>
      </c>
      <c r="B16" t="e">
        <f>B13-(B14+B15)</f>
        <v>#VALUE!</v>
      </c>
      <c r="C16" t="s">
        <v>1040</v>
      </c>
    </row>
    <row r="17" spans="1:12" ht="22.05" customHeight="1" x14ac:dyDescent="0.3"/>
    <row r="18" spans="1:12" ht="22.05" customHeight="1" x14ac:dyDescent="0.3"/>
    <row r="20" spans="1:12" x14ac:dyDescent="0.3">
      <c r="A20" t="e">
        <f>B13</f>
        <v>#VALUE!</v>
      </c>
      <c r="B20">
        <v>0.3</v>
      </c>
      <c r="C20">
        <v>0.32</v>
      </c>
      <c r="D20">
        <v>0.34</v>
      </c>
      <c r="E20">
        <v>0.36</v>
      </c>
      <c r="F20">
        <v>0.38</v>
      </c>
      <c r="G20">
        <v>0.4</v>
      </c>
      <c r="H20">
        <v>0.42</v>
      </c>
      <c r="I20">
        <v>0.44</v>
      </c>
      <c r="J20">
        <v>0.46</v>
      </c>
      <c r="K20">
        <v>0.48</v>
      </c>
      <c r="L20">
        <v>0.5</v>
      </c>
    </row>
    <row r="21" spans="1:12" x14ac:dyDescent="0.3">
      <c r="A21">
        <v>0.5</v>
      </c>
      <c r="B21" t="e">
        <f t="dataTable" ref="B21:L33" dt2D="1" dtr="1" r1="B6" r2="B9"/>
        <v>#VALUE!</v>
      </c>
      <c r="C21" t="e">
        <v>#VALUE!</v>
      </c>
      <c r="D21" t="e">
        <v>#VALUE!</v>
      </c>
      <c r="E21" t="e">
        <v>#VALUE!</v>
      </c>
      <c r="F21" t="e">
        <v>#VALUE!</v>
      </c>
      <c r="G21" t="e">
        <v>#VALUE!</v>
      </c>
      <c r="H21" t="e">
        <v>#VALUE!</v>
      </c>
      <c r="I21" t="e">
        <v>#VALUE!</v>
      </c>
      <c r="J21" t="e">
        <v>#VALUE!</v>
      </c>
      <c r="K21" t="e">
        <v>#VALUE!</v>
      </c>
      <c r="L21" t="e">
        <v>#VALUE!</v>
      </c>
    </row>
    <row r="22" spans="1:12" x14ac:dyDescent="0.3">
      <c r="A22">
        <v>0.75</v>
      </c>
      <c r="B22" t="e">
        <v>#VALUE!</v>
      </c>
      <c r="C22" t="e">
        <v>#VALUE!</v>
      </c>
      <c r="D22" t="e">
        <v>#VALUE!</v>
      </c>
      <c r="E22" t="e">
        <v>#VALUE!</v>
      </c>
      <c r="F22" t="e">
        <v>#VALUE!</v>
      </c>
      <c r="G22" t="e">
        <v>#VALUE!</v>
      </c>
      <c r="H22" t="e">
        <v>#VALUE!</v>
      </c>
      <c r="I22" t="e">
        <v>#VALUE!</v>
      </c>
      <c r="J22" t="e">
        <v>#VALUE!</v>
      </c>
      <c r="K22" t="e">
        <v>#VALUE!</v>
      </c>
      <c r="L22" t="e">
        <v>#VALUE!</v>
      </c>
    </row>
    <row r="23" spans="1:12" x14ac:dyDescent="0.3">
      <c r="A23">
        <v>1</v>
      </c>
      <c r="B23" t="e">
        <v>#VALUE!</v>
      </c>
      <c r="C23" t="e">
        <v>#VALUE!</v>
      </c>
      <c r="D23" t="e">
        <v>#VALUE!</v>
      </c>
      <c r="E23" t="e">
        <v>#VALUE!</v>
      </c>
      <c r="F23" t="e">
        <v>#VALUE!</v>
      </c>
      <c r="G23" t="e">
        <v>#VALUE!</v>
      </c>
      <c r="H23" t="e">
        <v>#VALUE!</v>
      </c>
      <c r="I23" t="e">
        <v>#VALUE!</v>
      </c>
      <c r="J23" t="e">
        <v>#VALUE!</v>
      </c>
      <c r="K23" t="e">
        <v>#VALUE!</v>
      </c>
      <c r="L23" t="e">
        <v>#VALUE!</v>
      </c>
    </row>
    <row r="24" spans="1:12" x14ac:dyDescent="0.3">
      <c r="A24">
        <v>1.25</v>
      </c>
      <c r="B24" t="e">
        <v>#VALUE!</v>
      </c>
      <c r="C24" t="e">
        <v>#VALUE!</v>
      </c>
      <c r="D24" t="e">
        <v>#VALUE!</v>
      </c>
      <c r="E24" t="e">
        <v>#VALUE!</v>
      </c>
      <c r="F24" t="e">
        <v>#VALUE!</v>
      </c>
      <c r="G24" t="e">
        <v>#VALUE!</v>
      </c>
      <c r="H24" t="e">
        <v>#VALUE!</v>
      </c>
      <c r="I24" t="e">
        <v>#VALUE!</v>
      </c>
      <c r="J24" t="e">
        <v>#VALUE!</v>
      </c>
      <c r="K24" t="e">
        <v>#VALUE!</v>
      </c>
      <c r="L24" t="e">
        <v>#VALUE!</v>
      </c>
    </row>
    <row r="25" spans="1:12" x14ac:dyDescent="0.3">
      <c r="A25">
        <v>1.5</v>
      </c>
      <c r="B25" t="e">
        <v>#VALUE!</v>
      </c>
      <c r="C25" t="e">
        <v>#VALUE!</v>
      </c>
      <c r="D25" t="e">
        <v>#VALUE!</v>
      </c>
      <c r="E25" t="e">
        <v>#VALUE!</v>
      </c>
      <c r="F25" t="e">
        <v>#VALUE!</v>
      </c>
      <c r="G25" t="e">
        <v>#VALUE!</v>
      </c>
      <c r="H25" t="e">
        <v>#VALUE!</v>
      </c>
      <c r="I25" t="e">
        <v>#VALUE!</v>
      </c>
      <c r="J25" t="e">
        <v>#VALUE!</v>
      </c>
      <c r="K25" t="e">
        <v>#VALUE!</v>
      </c>
      <c r="L25" t="e">
        <v>#VALUE!</v>
      </c>
    </row>
    <row r="26" spans="1:12" x14ac:dyDescent="0.3">
      <c r="A26">
        <v>1.75</v>
      </c>
      <c r="B26" t="e">
        <v>#VALUE!</v>
      </c>
      <c r="C26" t="e">
        <v>#VALUE!</v>
      </c>
      <c r="D26" t="e">
        <v>#VALUE!</v>
      </c>
      <c r="E26" t="e">
        <v>#VALUE!</v>
      </c>
      <c r="F26" t="e">
        <v>#VALUE!</v>
      </c>
      <c r="G26" t="e">
        <v>#VALUE!</v>
      </c>
      <c r="H26" t="e">
        <v>#VALUE!</v>
      </c>
      <c r="I26" t="e">
        <v>#VALUE!</v>
      </c>
      <c r="J26" t="e">
        <v>#VALUE!</v>
      </c>
      <c r="K26" t="e">
        <v>#VALUE!</v>
      </c>
      <c r="L26" t="e">
        <v>#VALUE!</v>
      </c>
    </row>
    <row r="27" spans="1:12" x14ac:dyDescent="0.3">
      <c r="A27">
        <v>2</v>
      </c>
      <c r="B27" t="e">
        <v>#VALUE!</v>
      </c>
      <c r="C27" t="e">
        <v>#VALUE!</v>
      </c>
      <c r="D27" t="e">
        <v>#VALUE!</v>
      </c>
      <c r="E27" t="e">
        <v>#VALUE!</v>
      </c>
      <c r="F27" t="e">
        <v>#VALUE!</v>
      </c>
      <c r="G27" t="e">
        <v>#VALUE!</v>
      </c>
      <c r="H27" t="e">
        <v>#VALUE!</v>
      </c>
      <c r="I27" t="e">
        <v>#VALUE!</v>
      </c>
      <c r="J27" t="e">
        <v>#VALUE!</v>
      </c>
      <c r="K27" t="e">
        <v>#VALUE!</v>
      </c>
      <c r="L27" t="e">
        <v>#VALUE!</v>
      </c>
    </row>
    <row r="28" spans="1:12" x14ac:dyDescent="0.3">
      <c r="A28">
        <v>2.25</v>
      </c>
      <c r="B28" t="e">
        <v>#VALUE!</v>
      </c>
      <c r="C28" t="e">
        <v>#VALUE!</v>
      </c>
      <c r="D28" t="e">
        <v>#VALUE!</v>
      </c>
      <c r="E28" t="e">
        <v>#VALUE!</v>
      </c>
      <c r="F28" t="e">
        <v>#VALUE!</v>
      </c>
      <c r="G28" t="e">
        <v>#VALUE!</v>
      </c>
      <c r="H28" t="e">
        <v>#VALUE!</v>
      </c>
      <c r="I28" t="e">
        <v>#VALUE!</v>
      </c>
      <c r="J28" t="e">
        <v>#VALUE!</v>
      </c>
      <c r="K28" t="e">
        <v>#VALUE!</v>
      </c>
      <c r="L28" t="e">
        <v>#VALUE!</v>
      </c>
    </row>
    <row r="29" spans="1:12" x14ac:dyDescent="0.3">
      <c r="A29">
        <v>2.5</v>
      </c>
      <c r="B29" t="e">
        <v>#VALUE!</v>
      </c>
      <c r="C29" t="e">
        <v>#VALUE!</v>
      </c>
      <c r="D29" t="e">
        <v>#VALUE!</v>
      </c>
      <c r="E29" t="e">
        <v>#VALUE!</v>
      </c>
      <c r="F29" t="e">
        <v>#VALUE!</v>
      </c>
      <c r="G29" t="e">
        <v>#VALUE!</v>
      </c>
      <c r="H29" t="e">
        <v>#VALUE!</v>
      </c>
      <c r="I29" t="e">
        <v>#VALUE!</v>
      </c>
      <c r="J29" t="e">
        <v>#VALUE!</v>
      </c>
      <c r="K29" t="e">
        <v>#VALUE!</v>
      </c>
      <c r="L29" t="e">
        <v>#VALUE!</v>
      </c>
    </row>
    <row r="30" spans="1:12" x14ac:dyDescent="0.3">
      <c r="A30">
        <v>2.75</v>
      </c>
      <c r="B30" t="e">
        <v>#VALUE!</v>
      </c>
      <c r="C30" t="e">
        <v>#VALUE!</v>
      </c>
      <c r="D30" t="e">
        <v>#VALUE!</v>
      </c>
      <c r="E30" t="e">
        <v>#VALUE!</v>
      </c>
      <c r="F30" t="e">
        <v>#VALUE!</v>
      </c>
      <c r="G30" t="e">
        <v>#VALUE!</v>
      </c>
      <c r="H30" t="e">
        <v>#VALUE!</v>
      </c>
      <c r="I30" t="e">
        <v>#VALUE!</v>
      </c>
      <c r="J30" t="e">
        <v>#VALUE!</v>
      </c>
      <c r="K30" t="e">
        <v>#VALUE!</v>
      </c>
      <c r="L30" t="e">
        <v>#VALUE!</v>
      </c>
    </row>
    <row r="31" spans="1:12" x14ac:dyDescent="0.3">
      <c r="A31">
        <v>3</v>
      </c>
      <c r="B31" t="e">
        <v>#VALUE!</v>
      </c>
      <c r="C31" t="e">
        <v>#VALUE!</v>
      </c>
      <c r="D31" t="e">
        <v>#VALUE!</v>
      </c>
      <c r="E31" t="e">
        <v>#VALUE!</v>
      </c>
      <c r="F31" t="e">
        <v>#VALUE!</v>
      </c>
      <c r="G31" t="e">
        <v>#VALUE!</v>
      </c>
      <c r="H31" t="e">
        <v>#VALUE!</v>
      </c>
      <c r="I31" t="e">
        <v>#VALUE!</v>
      </c>
      <c r="J31" t="e">
        <v>#VALUE!</v>
      </c>
      <c r="K31" t="e">
        <v>#VALUE!</v>
      </c>
      <c r="L31" t="e">
        <v>#VALUE!</v>
      </c>
    </row>
    <row r="32" spans="1:12" x14ac:dyDescent="0.3">
      <c r="A32">
        <v>3.25</v>
      </c>
      <c r="B32" t="e">
        <v>#VALUE!</v>
      </c>
      <c r="C32" t="e">
        <v>#VALUE!</v>
      </c>
      <c r="D32" t="e">
        <v>#VALUE!</v>
      </c>
      <c r="E32" t="e">
        <v>#VALUE!</v>
      </c>
      <c r="F32" t="e">
        <v>#VALUE!</v>
      </c>
      <c r="G32" t="e">
        <v>#VALUE!</v>
      </c>
      <c r="H32" t="e">
        <v>#VALUE!</v>
      </c>
      <c r="I32" t="e">
        <v>#VALUE!</v>
      </c>
      <c r="J32" t="e">
        <v>#VALUE!</v>
      </c>
      <c r="K32" t="e">
        <v>#VALUE!</v>
      </c>
      <c r="L32" t="e">
        <v>#VALUE!</v>
      </c>
    </row>
    <row r="33" spans="1:12" x14ac:dyDescent="0.3">
      <c r="A33">
        <v>3.5</v>
      </c>
      <c r="B33" t="e">
        <v>#VALUE!</v>
      </c>
      <c r="C33" t="e">
        <v>#VALUE!</v>
      </c>
      <c r="D33" t="e">
        <v>#VALUE!</v>
      </c>
      <c r="E33" t="e">
        <v>#VALUE!</v>
      </c>
      <c r="F33" t="e">
        <v>#VALUE!</v>
      </c>
      <c r="G33" t="e">
        <v>#VALUE!</v>
      </c>
      <c r="H33" t="e">
        <v>#VALUE!</v>
      </c>
      <c r="I33" t="e">
        <v>#VALUE!</v>
      </c>
      <c r="J33" t="e">
        <v>#VALUE!</v>
      </c>
      <c r="K33" t="e">
        <v>#VALUE!</v>
      </c>
      <c r="L33" t="e">
        <v>#VALUE!</v>
      </c>
    </row>
    <row r="36" spans="1:12" ht="25.95" customHeight="1" x14ac:dyDescent="0.3">
      <c r="A36" s="7" t="s">
        <v>948</v>
      </c>
      <c r="B36" s="7" t="s">
        <v>949</v>
      </c>
      <c r="C36" s="7" t="s">
        <v>950</v>
      </c>
      <c r="D36" s="7" t="s">
        <v>951</v>
      </c>
      <c r="E36" s="7" t="s">
        <v>952</v>
      </c>
      <c r="F36" s="7" t="s">
        <v>953</v>
      </c>
      <c r="G36" s="7" t="s">
        <v>954</v>
      </c>
      <c r="H36" s="7" t="s">
        <v>955</v>
      </c>
      <c r="I36" s="7" t="s">
        <v>956</v>
      </c>
      <c r="J36" s="7" t="s">
        <v>957</v>
      </c>
      <c r="K36" s="7" t="s">
        <v>958</v>
      </c>
    </row>
    <row r="37" spans="1:12" x14ac:dyDescent="0.3">
      <c r="A37" s="2" t="s">
        <v>959</v>
      </c>
      <c r="B37" s="2">
        <v>320</v>
      </c>
      <c r="C37" s="5">
        <v>0.42</v>
      </c>
      <c r="D37" s="3">
        <v>12.5</v>
      </c>
      <c r="E37" s="5">
        <v>0.38500000000000001</v>
      </c>
      <c r="F37" s="5">
        <v>0.59499999999999997</v>
      </c>
      <c r="G37" s="6">
        <v>2.9499999999999999E-5</v>
      </c>
      <c r="H37" s="3">
        <v>1.45</v>
      </c>
      <c r="I37" s="2">
        <f t="shared" ref="I37:I48" si="0">150*((1-E37)^2/(E37^3))*(G37*H37/((D37/1000)^2))</f>
        <v>272.163132128455</v>
      </c>
      <c r="J37" s="2">
        <f t="shared" ref="J37:J48" si="1">1.75*((1-E37)/(E37^3))*(F37*(H37^2)/(D37/1000))</f>
        <v>1887.4433830632177</v>
      </c>
      <c r="K37" s="2">
        <f t="shared" ref="K37:K48" si="2">(I37+J37)*C37/1000</f>
        <v>0.90703473638050247</v>
      </c>
    </row>
    <row r="38" spans="1:12" x14ac:dyDescent="0.3">
      <c r="A38" s="2" t="s">
        <v>960</v>
      </c>
      <c r="B38" s="2">
        <v>380</v>
      </c>
      <c r="C38" s="5">
        <v>0.42</v>
      </c>
      <c r="D38" s="3">
        <v>12.5</v>
      </c>
      <c r="E38" s="5">
        <v>0.38</v>
      </c>
      <c r="F38" s="5">
        <v>0.54</v>
      </c>
      <c r="G38" s="6">
        <v>3.15E-5</v>
      </c>
      <c r="H38" s="3">
        <v>1.35</v>
      </c>
      <c r="I38" s="2">
        <f t="shared" si="0"/>
        <v>285.98821985712198</v>
      </c>
      <c r="J38" s="2">
        <f t="shared" si="1"/>
        <v>1556.7907129319144</v>
      </c>
      <c r="K38" s="2">
        <f t="shared" si="2"/>
        <v>0.7739671517713953</v>
      </c>
    </row>
    <row r="39" spans="1:12" x14ac:dyDescent="0.3">
      <c r="A39" s="2" t="s">
        <v>961</v>
      </c>
      <c r="B39" s="2">
        <v>960</v>
      </c>
      <c r="C39" s="5">
        <v>0.42</v>
      </c>
      <c r="D39" s="3">
        <v>12.5</v>
      </c>
      <c r="E39" s="5">
        <v>0.37</v>
      </c>
      <c r="F39" s="5">
        <v>0.28499999999999998</v>
      </c>
      <c r="G39" s="6">
        <v>4.6499999999999999E-5</v>
      </c>
      <c r="H39" s="3">
        <v>1.65</v>
      </c>
      <c r="I39" s="2">
        <f t="shared" si="0"/>
        <v>577.14382958561191</v>
      </c>
      <c r="J39" s="2">
        <f t="shared" si="1"/>
        <v>1351.0647444376441</v>
      </c>
      <c r="K39" s="2">
        <f t="shared" si="2"/>
        <v>0.8098476010897675</v>
      </c>
    </row>
    <row r="40" spans="1:12" x14ac:dyDescent="0.3">
      <c r="A40" s="2" t="s">
        <v>962</v>
      </c>
      <c r="B40" s="2">
        <v>1310</v>
      </c>
      <c r="C40" s="5">
        <v>0.42</v>
      </c>
      <c r="D40" s="3">
        <v>12.5</v>
      </c>
      <c r="E40" s="5">
        <v>0.36499999999999999</v>
      </c>
      <c r="F40" s="5">
        <v>0.222</v>
      </c>
      <c r="G40" s="6">
        <v>5.3499999999999999E-5</v>
      </c>
      <c r="H40" s="3">
        <v>1.8</v>
      </c>
      <c r="I40" s="2">
        <f t="shared" si="0"/>
        <v>766.59569736026958</v>
      </c>
      <c r="J40" s="2">
        <f t="shared" si="1"/>
        <v>1314.9860700175059</v>
      </c>
      <c r="K40" s="2">
        <f t="shared" si="2"/>
        <v>0.87426434229866568</v>
      </c>
    </row>
    <row r="41" spans="1:12" x14ac:dyDescent="0.3">
      <c r="A41" s="2" t="s">
        <v>963</v>
      </c>
      <c r="B41" s="2">
        <v>1245</v>
      </c>
      <c r="C41" s="5">
        <v>0.42</v>
      </c>
      <c r="D41" s="3">
        <v>12.5</v>
      </c>
      <c r="E41" s="5">
        <v>0.36499999999999999</v>
      </c>
      <c r="F41" s="5">
        <v>0.23200000000000001</v>
      </c>
      <c r="G41" s="6">
        <v>5.2200000000000002E-5</v>
      </c>
      <c r="H41" s="3">
        <v>1.5</v>
      </c>
      <c r="I41" s="2">
        <f t="shared" si="0"/>
        <v>623.30678196582664</v>
      </c>
      <c r="J41" s="2">
        <f t="shared" si="1"/>
        <v>954.31921998267433</v>
      </c>
      <c r="K41" s="2">
        <f t="shared" si="2"/>
        <v>0.66260292081837047</v>
      </c>
    </row>
    <row r="42" spans="1:12" x14ac:dyDescent="0.3">
      <c r="A42" s="2" t="s">
        <v>964</v>
      </c>
      <c r="B42" s="2">
        <v>450</v>
      </c>
      <c r="C42" s="5">
        <v>0.42</v>
      </c>
      <c r="D42" s="3">
        <v>12.5</v>
      </c>
      <c r="E42" s="5">
        <v>0.375</v>
      </c>
      <c r="F42" s="5">
        <v>0.48799999999999999</v>
      </c>
      <c r="G42" s="6">
        <v>3.3800000000000002E-5</v>
      </c>
      <c r="H42" s="3">
        <v>2.1</v>
      </c>
      <c r="I42" s="2">
        <f t="shared" si="0"/>
        <v>504.74666666666656</v>
      </c>
      <c r="J42" s="2">
        <f t="shared" si="1"/>
        <v>3570.858666666667</v>
      </c>
      <c r="K42" s="2">
        <f t="shared" si="2"/>
        <v>1.7117542399999999</v>
      </c>
    </row>
    <row r="43" spans="1:12" x14ac:dyDescent="0.3">
      <c r="A43" s="2" t="s">
        <v>965</v>
      </c>
      <c r="B43" s="2">
        <v>160</v>
      </c>
      <c r="C43" s="5">
        <v>0.42</v>
      </c>
      <c r="D43" s="3">
        <v>12.5</v>
      </c>
      <c r="E43" s="5">
        <v>0.38</v>
      </c>
      <c r="F43" s="5">
        <v>0.81499999999999995</v>
      </c>
      <c r="G43" s="6">
        <v>2.4199999999999999E-5</v>
      </c>
      <c r="H43" s="3">
        <v>2.4</v>
      </c>
      <c r="I43" s="2">
        <f t="shared" si="0"/>
        <v>390.59837294066176</v>
      </c>
      <c r="J43" s="2">
        <f t="shared" si="1"/>
        <v>7425.8988190698337</v>
      </c>
      <c r="K43" s="2">
        <f t="shared" si="2"/>
        <v>3.2829288206444081</v>
      </c>
    </row>
    <row r="44" spans="1:12" x14ac:dyDescent="0.3">
      <c r="A44" s="2" t="s">
        <v>966</v>
      </c>
      <c r="B44" s="2">
        <v>1310</v>
      </c>
      <c r="C44" s="5">
        <v>0.42</v>
      </c>
      <c r="D44" s="3">
        <v>10</v>
      </c>
      <c r="E44" s="5">
        <v>0.34</v>
      </c>
      <c r="F44" s="5">
        <v>0.222</v>
      </c>
      <c r="G44" s="6">
        <v>5.3499999999999999E-5</v>
      </c>
      <c r="H44" s="3">
        <v>1.8</v>
      </c>
      <c r="I44" s="2">
        <f t="shared" si="0"/>
        <v>1600.9164461632392</v>
      </c>
      <c r="J44" s="2">
        <f t="shared" si="1"/>
        <v>2113.6993690209638</v>
      </c>
      <c r="K44" s="2">
        <f t="shared" si="2"/>
        <v>1.5601386423773651</v>
      </c>
    </row>
    <row r="45" spans="1:12" x14ac:dyDescent="0.3">
      <c r="A45" s="2" t="s">
        <v>967</v>
      </c>
      <c r="B45" s="2">
        <v>1310</v>
      </c>
      <c r="C45" s="5">
        <v>0.42</v>
      </c>
      <c r="D45" s="3">
        <v>12.5</v>
      </c>
      <c r="E45" s="5">
        <v>0.33</v>
      </c>
      <c r="F45" s="5">
        <v>0.222</v>
      </c>
      <c r="G45" s="6">
        <v>5.3499999999999999E-5</v>
      </c>
      <c r="H45" s="3">
        <v>1.8</v>
      </c>
      <c r="I45" s="2">
        <f t="shared" si="0"/>
        <v>1154.7960931630348</v>
      </c>
      <c r="J45" s="2">
        <f t="shared" si="1"/>
        <v>1877.4094665664913</v>
      </c>
      <c r="K45" s="2">
        <f t="shared" si="2"/>
        <v>1.2735263350864008</v>
      </c>
    </row>
    <row r="46" spans="1:12" x14ac:dyDescent="0.3">
      <c r="A46" s="2" t="s">
        <v>968</v>
      </c>
      <c r="B46" s="2">
        <v>320</v>
      </c>
      <c r="C46" s="5">
        <v>0.42</v>
      </c>
      <c r="D46" s="3">
        <v>12</v>
      </c>
      <c r="E46" s="5">
        <v>0.35</v>
      </c>
      <c r="F46" s="5">
        <v>0.59499999999999997</v>
      </c>
      <c r="G46" s="6">
        <v>2.9499999999999999E-5</v>
      </c>
      <c r="H46" s="3">
        <v>1.45</v>
      </c>
      <c r="I46" s="2">
        <f t="shared" si="0"/>
        <v>439.07768464528681</v>
      </c>
      <c r="J46" s="2">
        <f t="shared" si="1"/>
        <v>2765.7886904761908</v>
      </c>
      <c r="K46" s="2">
        <f t="shared" si="2"/>
        <v>1.3460438775510206</v>
      </c>
    </row>
    <row r="47" spans="1:12" x14ac:dyDescent="0.3">
      <c r="A47" s="2" t="s">
        <v>969</v>
      </c>
      <c r="B47" s="2">
        <v>960</v>
      </c>
      <c r="C47" s="5">
        <v>0.42</v>
      </c>
      <c r="D47" s="3">
        <v>12.5</v>
      </c>
      <c r="E47" s="5">
        <v>0.37</v>
      </c>
      <c r="F47" s="5">
        <v>0.28499999999999998</v>
      </c>
      <c r="G47" s="6">
        <v>4.6499999999999999E-5</v>
      </c>
      <c r="H47" s="3">
        <v>2.1</v>
      </c>
      <c r="I47" s="2">
        <f t="shared" si="0"/>
        <v>734.54669219986965</v>
      </c>
      <c r="J47" s="2">
        <f t="shared" si="1"/>
        <v>2188.5015695023003</v>
      </c>
      <c r="K47" s="2">
        <f t="shared" si="2"/>
        <v>1.2276802699149114</v>
      </c>
    </row>
    <row r="48" spans="1:12" x14ac:dyDescent="0.3">
      <c r="A48" s="2" t="s">
        <v>970</v>
      </c>
      <c r="B48" s="2">
        <v>1310</v>
      </c>
      <c r="C48" s="5">
        <v>0.42</v>
      </c>
      <c r="D48" s="3">
        <v>14</v>
      </c>
      <c r="E48" s="5">
        <v>0.39</v>
      </c>
      <c r="F48" s="5">
        <v>0.222</v>
      </c>
      <c r="G48" s="6">
        <v>5.3499999999999999E-5</v>
      </c>
      <c r="H48" s="3">
        <v>1.8</v>
      </c>
      <c r="I48" s="2">
        <f t="shared" si="0"/>
        <v>462.30365154710029</v>
      </c>
      <c r="J48" s="2">
        <f t="shared" si="1"/>
        <v>924.57897132453343</v>
      </c>
      <c r="K48" s="2">
        <f t="shared" si="2"/>
        <v>0.58249070160608607</v>
      </c>
    </row>
  </sheetData>
  <mergeCells count="2">
    <mergeCell ref="A2:K2"/>
    <mergeCell ref="A1:K1"/>
  </mergeCells>
  <conditionalFormatting sqref="A2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L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topLeftCell="C1" workbookViewId="0">
      <selection activeCell="F6" sqref="F6"/>
    </sheetView>
  </sheetViews>
  <sheetFormatPr defaultRowHeight="14.4" x14ac:dyDescent="0.3"/>
  <cols>
    <col min="1" max="1" width="61" customWidth="1"/>
    <col min="2" max="2" width="32" customWidth="1"/>
    <col min="3" max="3" width="29" customWidth="1"/>
    <col min="4" max="4" width="21" customWidth="1"/>
    <col min="5" max="5" width="24" customWidth="1"/>
    <col min="6" max="6" width="58" customWidth="1"/>
    <col min="7" max="7" width="57" customWidth="1"/>
  </cols>
  <sheetData>
    <row r="1" spans="1:8" ht="15.6" x14ac:dyDescent="0.3">
      <c r="A1" s="25" t="s">
        <v>971</v>
      </c>
      <c r="B1" s="21"/>
      <c r="C1" s="21"/>
      <c r="D1" s="21"/>
      <c r="E1" s="21"/>
      <c r="F1" s="21"/>
      <c r="G1" s="21"/>
    </row>
    <row r="2" spans="1:8" x14ac:dyDescent="0.3">
      <c r="A2" s="8" t="s">
        <v>972</v>
      </c>
      <c r="B2" s="8" t="s">
        <v>973</v>
      </c>
      <c r="C2" s="8" t="s">
        <v>974</v>
      </c>
      <c r="D2" s="8" t="s">
        <v>975</v>
      </c>
      <c r="E2" s="8" t="s">
        <v>976</v>
      </c>
      <c r="F2" s="8" t="s">
        <v>977</v>
      </c>
      <c r="G2" s="8" t="s">
        <v>978</v>
      </c>
      <c r="H2" s="19" t="s">
        <v>1041</v>
      </c>
    </row>
    <row r="3" spans="1:8" x14ac:dyDescent="0.3">
      <c r="A3" t="s">
        <v>979</v>
      </c>
      <c r="B3" t="s">
        <v>980</v>
      </c>
      <c r="C3" t="s">
        <v>981</v>
      </c>
      <c r="D3">
        <v>300</v>
      </c>
      <c r="E3">
        <v>360</v>
      </c>
      <c r="F3" t="s">
        <v>982</v>
      </c>
      <c r="G3" t="s">
        <v>983</v>
      </c>
      <c r="H3" s="18"/>
    </row>
    <row r="4" spans="1:8" x14ac:dyDescent="0.3">
      <c r="A4" s="2" t="s">
        <v>984</v>
      </c>
      <c r="B4" s="2" t="s">
        <v>985</v>
      </c>
      <c r="C4" s="2" t="s">
        <v>986</v>
      </c>
      <c r="D4" s="2">
        <v>350</v>
      </c>
      <c r="E4" s="2">
        <v>420</v>
      </c>
      <c r="F4" s="2" t="s">
        <v>987</v>
      </c>
      <c r="G4" s="2" t="s">
        <v>988</v>
      </c>
      <c r="H4" s="2"/>
    </row>
    <row r="5" spans="1:8" x14ac:dyDescent="0.3">
      <c r="A5" s="2" t="s">
        <v>989</v>
      </c>
      <c r="B5" s="2" t="s">
        <v>990</v>
      </c>
      <c r="C5" s="2" t="s">
        <v>986</v>
      </c>
      <c r="D5" s="2">
        <v>900</v>
      </c>
      <c r="E5" s="2">
        <v>1050</v>
      </c>
      <c r="F5" s="2" t="s">
        <v>991</v>
      </c>
      <c r="G5" s="2" t="s">
        <v>992</v>
      </c>
      <c r="H5" s="2"/>
    </row>
    <row r="6" spans="1:8" x14ac:dyDescent="0.3">
      <c r="A6" s="2" t="s">
        <v>993</v>
      </c>
      <c r="B6" s="2" t="s">
        <v>994</v>
      </c>
      <c r="C6" s="2" t="s">
        <v>986</v>
      </c>
      <c r="D6" s="2">
        <v>1260</v>
      </c>
      <c r="E6" s="2">
        <v>1340</v>
      </c>
      <c r="F6" s="2" t="s">
        <v>995</v>
      </c>
      <c r="G6" s="2" t="s">
        <v>996</v>
      </c>
      <c r="H6" s="2"/>
    </row>
    <row r="7" spans="1:8" x14ac:dyDescent="0.3">
      <c r="A7" s="2" t="s">
        <v>997</v>
      </c>
      <c r="B7" s="2" t="s">
        <v>963</v>
      </c>
      <c r="C7" s="2" t="s">
        <v>986</v>
      </c>
      <c r="D7" s="2">
        <v>1180</v>
      </c>
      <c r="E7" s="2">
        <v>1260</v>
      </c>
      <c r="F7" s="2" t="s">
        <v>998</v>
      </c>
      <c r="G7" s="2" t="s">
        <v>999</v>
      </c>
      <c r="H7" s="2"/>
    </row>
    <row r="8" spans="1:8" x14ac:dyDescent="0.3">
      <c r="A8" s="13" t="s">
        <v>1000</v>
      </c>
      <c r="B8" s="13" t="s">
        <v>1001</v>
      </c>
      <c r="C8" s="13" t="s">
        <v>1002</v>
      </c>
      <c r="D8" s="13">
        <v>120</v>
      </c>
      <c r="E8" s="13">
        <v>220</v>
      </c>
      <c r="F8" s="13" t="s">
        <v>1003</v>
      </c>
      <c r="G8" s="13" t="s">
        <v>1004</v>
      </c>
      <c r="H8" s="13"/>
    </row>
    <row r="9" spans="1:8" x14ac:dyDescent="0.3">
      <c r="A9" s="2"/>
      <c r="B9" s="2"/>
      <c r="C9" s="2"/>
      <c r="D9" s="2"/>
      <c r="E9" s="2"/>
      <c r="F9" s="2"/>
      <c r="G9" s="2"/>
    </row>
    <row r="10" spans="1:8" x14ac:dyDescent="0.3">
      <c r="A10" s="2"/>
      <c r="B10" s="2"/>
      <c r="C10" s="2"/>
      <c r="D10" s="2"/>
      <c r="E10" s="2"/>
      <c r="F10" s="2"/>
      <c r="G10" s="2"/>
    </row>
    <row r="11" spans="1:8" ht="15.6" x14ac:dyDescent="0.3">
      <c r="A11" s="23" t="s">
        <v>1005</v>
      </c>
      <c r="B11" s="24"/>
      <c r="C11" s="24"/>
      <c r="D11" s="24"/>
      <c r="E11" s="24"/>
      <c r="F11" s="24"/>
      <c r="G11" s="24"/>
    </row>
    <row r="12" spans="1:8" x14ac:dyDescent="0.3">
      <c r="A12" s="9" t="s">
        <v>1006</v>
      </c>
      <c r="B12" s="9" t="s">
        <v>1007</v>
      </c>
      <c r="C12" s="9" t="s">
        <v>1008</v>
      </c>
      <c r="D12" s="9" t="s">
        <v>1009</v>
      </c>
      <c r="E12" s="9" t="s">
        <v>1010</v>
      </c>
      <c r="F12" s="9" t="s">
        <v>1011</v>
      </c>
      <c r="G12" s="9" t="s">
        <v>1012</v>
      </c>
    </row>
    <row r="13" spans="1:8" x14ac:dyDescent="0.3">
      <c r="A13" s="2" t="s">
        <v>17</v>
      </c>
      <c r="B13" s="2" t="s">
        <v>1013</v>
      </c>
      <c r="C13" s="2" t="s">
        <v>1014</v>
      </c>
      <c r="D13" s="2">
        <v>280</v>
      </c>
      <c r="E13" s="3">
        <v>93.5</v>
      </c>
      <c r="F13" s="3">
        <v>4.5</v>
      </c>
      <c r="G13" s="5">
        <v>0.8</v>
      </c>
    </row>
    <row r="14" spans="1:8" x14ac:dyDescent="0.3">
      <c r="A14" s="2" t="s">
        <v>260</v>
      </c>
      <c r="B14" s="2" t="s">
        <v>1015</v>
      </c>
      <c r="C14" s="2" t="s">
        <v>1016</v>
      </c>
      <c r="D14" s="2">
        <v>260</v>
      </c>
      <c r="E14" s="3">
        <v>92</v>
      </c>
      <c r="F14" s="3">
        <v>5.5</v>
      </c>
      <c r="G14" s="3">
        <v>1.2</v>
      </c>
    </row>
    <row r="15" spans="1:8" x14ac:dyDescent="0.3">
      <c r="A15" s="2" t="s">
        <v>501</v>
      </c>
      <c r="B15" s="2" t="s">
        <v>1017</v>
      </c>
      <c r="C15" s="2" t="s">
        <v>1018</v>
      </c>
      <c r="D15" s="2">
        <v>310</v>
      </c>
      <c r="E15" s="3">
        <v>95</v>
      </c>
      <c r="F15" s="3">
        <v>3.8</v>
      </c>
      <c r="G15" s="5">
        <v>0.65</v>
      </c>
    </row>
  </sheetData>
  <mergeCells count="2">
    <mergeCell ref="A11:G11"/>
    <mergeCell ref="A1:G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Fact_Process_Hourly</vt:lpstr>
      <vt:lpstr>Fact_QC_Samples</vt:lpstr>
      <vt:lpstr>Ergun_Equation_Lab</vt:lpstr>
      <vt:lpstr>Dim_Zones_Campaigns</vt:lpstr>
      <vt:lpstr>dp</vt:lpstr>
      <vt:lpstr>L</vt:lpstr>
      <vt:lpstr>vs</vt:lpstr>
      <vt:lpstr>ε</vt:lpstr>
      <vt:lpstr>μg</vt:lpstr>
      <vt:lpstr>ρg</vt:lpstr>
      <vt:lpstr>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Hadi</cp:lastModifiedBy>
  <dcterms:created xsi:type="dcterms:W3CDTF">2026-10-02T08:14:14Z</dcterms:created>
  <dcterms:modified xsi:type="dcterms:W3CDTF">2026-10-05T10:01:26Z</dcterms:modified>
</cp:coreProperties>
</file>