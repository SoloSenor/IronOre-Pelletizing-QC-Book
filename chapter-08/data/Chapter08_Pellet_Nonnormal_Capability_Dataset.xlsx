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long" sheetId="2" state="visible" r:id="rId2"/>
    <sheet xmlns:r="http://schemas.openxmlformats.org/officeDocument/2006/relationships" name="subgroups" sheetId="3" state="visible" r:id="rId3"/>
    <sheet xmlns:r="http://schemas.openxmlformats.org/officeDocument/2006/relationships" name="specs" sheetId="4" state="visible" r:id="rId4"/>
    <sheet xmlns:r="http://schemas.openxmlformats.org/officeDocument/2006/relationships" name="capability_calc" sheetId="5" state="visible" r:id="rId5"/>
    <sheet xmlns:r="http://schemas.openxmlformats.org/officeDocument/2006/relationships" name="chapter8_ccs_100" sheetId="6" state="visible" r:id="rId6"/>
  </sheets>
  <definedNames>
    <definedName name="_xlnm._FilterDatabase" localSheetId="0" hidden="1">'README'!$A$1:$B$15</definedName>
    <definedName name="_xlnm._FilterDatabase" localSheetId="1" hidden="1">'data_long'!$A$1:$V$481</definedName>
    <definedName name="_xlnm._FilterDatabase" localSheetId="2" hidden="1">'subgroups'!$A$1:$H$2401</definedName>
    <definedName name="_xlnm._FilterDatabase" localSheetId="3" hidden="1">'specs'!$A$1:$F$6</definedName>
    <definedName name="_xlnm._FilterDatabase" localSheetId="4" hidden="1">'capability_calc'!$A$1:$C$19</definedName>
    <definedName name="_xlnm._FilterDatabase" localSheetId="5" hidden="1">'chapter8_ccs_100'!$A$1:$B$101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data_long" displayName="T_data_long" ref="A1:V481" headerRowCount="1">
  <autoFilter ref="A1:V481"/>
  <tableColumns count="22">
    <tableColumn id="1" name="DateTime"/>
    <tableColumn id="2" name="Day"/>
    <tableColumn id="3" name="Shift"/>
    <tableColumn id="4" name="Regime"/>
    <tableColumn id="5" name="Feed_Type"/>
    <tableColumn id="6" name="Blaine"/>
    <tableColumn id="7" name="Moisture_Green"/>
    <tableColumn id="8" name="Bentonite"/>
    <tableColumn id="9" name="Basicity"/>
    <tableColumn id="10" name="Disc_Speed"/>
    <tableColumn id="11" name="Bed_Perm"/>
    <tableColumn id="12" name="Gas_Flow"/>
    <tableColumn id="13" name="Firing_Temp"/>
    <tableColumn id="14" name="Residence_Time"/>
    <tableColumn id="15" name="FeO"/>
    <tableColumn id="16" name="CCS_kg"/>
    <tableColumn id="17" name="Porosity_pct"/>
    <tableColumn id="18" name="TI_pct"/>
    <tableColumn id="19" name="Abrasion_pct"/>
    <tableColumn id="20" name="Lab_ID"/>
    <tableColumn id="21" name="Operator"/>
    <tableColumn id="22" name="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subgroups" displayName="T_subgroups" ref="A1:H801" headerRowCount="1">
  <autoFilter ref="A1:H801"/>
  <tableColumns count="8">
    <tableColumn id="1" name="Day"/>
    <tableColumn id="2" name="DateTime"/>
    <tableColumn id="3" name="Shift"/>
    <tableColumn id="4" name="Regime"/>
    <tableColumn id="5" name="subgroup_id"/>
    <tableColumn id="6" name="pellet_id"/>
    <tableColumn id="7" name="CCS_kg"/>
    <tableColumn id="8" name="Porosity_pc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chapter8_ccs_100" displayName="T_chapter8_ccs_100" ref="A1:B101" headerRowCount="1">
  <autoFilter ref="A1:B101"/>
  <tableColumns count="2">
    <tableColumn id="1" name="Observation"/>
    <tableColumn id="2" name="CCS_kg_per_pelle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28" customHeight="1">
      <c r="A1" s="1" t="inlineStr">
        <is>
          <t>فصل ۸ — قابلیت فرآیندهای غیرنرمال در تولید گندله</t>
        </is>
      </c>
      <c r="B1" s="1" t="n"/>
    </row>
    <row r="2">
      <c r="A2" s="2" t="inlineStr">
        <is>
          <t>هدف</t>
        </is>
      </c>
      <c r="B2" s="3" t="inlineStr">
        <is>
          <t>داده آموزشی شبیه‌سازی‌شده است؛ داده صنعتی یا نتیجه آزمون واقعی نیست. پیش از قابلیت، پایداری، توزیع و کیفیت اندازه‌گیری را بررسی کنید.</t>
        </is>
      </c>
    </row>
    <row r="3">
      <c r="A3" s="2" t="inlineStr">
        <is>
          <t>شیت</t>
        </is>
      </c>
      <c r="B3" s="3" t="inlineStr">
        <is>
          <t>شرح</t>
        </is>
      </c>
    </row>
    <row r="4">
      <c r="A4" s="2" t="inlineStr">
        <is>
          <t>data_long</t>
        </is>
      </c>
      <c r="B4" s="3" t="inlineStr">
        <is>
          <t>۴۸۰ ردیف: هر ردیف یک زمان نمونه‌برداری، ۲۰ روز × ۳ شیفت × ۸ نقطه زمانی. متغیرهای فرایندی و پاسخ‌های کیفیتی.</t>
        </is>
      </c>
    </row>
    <row r="5">
      <c r="A5" s="2" t="inlineStr">
        <is>
          <t>subgroups</t>
        </is>
      </c>
      <c r="B5" s="3" t="inlineStr">
        <is>
          <t>۴۸۰ ردیف بلند: ۹۶ زیرگروه × ۵ گندله؛ برای نمودارهای Xbar-R و برآورد تغییرپذیری درون‌زیرگروهی. subgroup_id و pellet_id شناسه یکتا هستند.</t>
        </is>
      </c>
    </row>
    <row r="6">
      <c r="A6" s="2" t="inlineStr">
        <is>
          <t>specs</t>
        </is>
      </c>
      <c r="B6" s="3" t="inlineStr">
        <is>
          <t>حدود مشخصات تمرینی؛ بازنگری بر اساس قرارداد و استاندارد واقعی لازم است.</t>
        </is>
      </c>
    </row>
    <row r="7">
      <c r="A7" s="2" t="inlineStr">
        <is>
          <t>capability_calc</t>
        </is>
      </c>
      <c r="B7" s="3" t="inlineStr">
        <is>
          <t>قالب فرمول‌های توصیفی، قابلیت نرمال یک‌طرفه/دوطرفه و نرخ نامنطبق مشاهده‌شده. Cp برای CCS با LSL تنها قابل تعریف نیست.</t>
        </is>
      </c>
    </row>
    <row r="8">
      <c r="A8" s="2" t="inlineStr">
        <is>
          <t>chapter8_ccs_100</t>
        </is>
      </c>
      <c r="B8" s="3" t="inlineStr">
        <is>
          <t>دقیقاً ۱۰۰ مقدار CCS جدول مثال متن (kg/pellet)، مرتب‌شده صعودی.</t>
        </is>
      </c>
    </row>
    <row r="9">
      <c r="A9" s="2" t="inlineStr">
        <is>
          <t>ستون‌ها</t>
        </is>
      </c>
      <c r="B9" s="3" t="inlineStr">
        <is>
          <t>Blaine (cm²/g)، Moisture_Green (%)، Bentonite (%)، Basicity (CaO/SiO₂)، Disc_Speed (rpm)، Bed_Perm (واحد آموزشی)، Gas_Flow (واحد آموزشی)، Firing_Temp (°C)، Residence_Time (min)، FeO (%)، CCS_kg (kg/pellet)، Porosity_pct (%)، TI_pct (%)، Abrasion_pct (%)، Lab_ID و Operator.</t>
        </is>
      </c>
    </row>
    <row r="10">
      <c r="A10" s="2" t="inlineStr">
        <is>
          <t>پرچم‌ها</t>
        </is>
      </c>
      <c r="B10" s="3" t="inlineStr">
        <is>
          <t>Flag شامل Missing، Outlier یا SpecialCause است. مقادیر پرت صرفاً آموزشی‌اند؛ حذف آن‌ها را بدون بررسی علت موجه نکنید.</t>
        </is>
      </c>
    </row>
    <row r="11">
      <c r="A11" s="2" t="inlineStr">
        <is>
          <t>طراحی داده</t>
        </is>
      </c>
      <c r="B11" s="3" t="inlineStr">
        <is>
          <t>سه رژیم خوراک/عملیات در طول دوره؛ روزهای ۱۷–۱۸ شیفت A شامل افت ویژه دمای پخت و دبی گاز. CCS چوله راست و Porosity محدود است (با یک مقدار پرت آشکار).</t>
        </is>
      </c>
    </row>
    <row r="12">
      <c r="A12" s="2" t="inlineStr">
        <is>
          <t>نکته Excel</t>
        </is>
      </c>
      <c r="B12" s="3" t="inlineStr">
        <is>
          <t>Box-Cox lambda placeholder در capability_calc به صورت LAMBDA (Excel 365) است و برای تخمین λ نیازمند Solver/تحلیل جداگانه است. مشخصات باید در همان مقیاس تبدیل شوند.</t>
        </is>
      </c>
    </row>
    <row r="13">
      <c r="A13" s="2" t="inlineStr">
        <is>
          <t>Python / Minitab</t>
        </is>
      </c>
      <c r="B13" s="3" t="inlineStr">
        <is>
          <t>در Python از scipy.stats.boxcox (داده مثبت) یا برازش توزیع و probability plot استفاده کنید؛ در Minitab تحلیل Nonnormal Capability را پس از بررسی برازش اجرا کنید. بازه اطمینان و پایداری را گزارش کنید.</t>
        </is>
      </c>
    </row>
    <row r="14">
      <c r="A14" s="2" t="inlineStr">
        <is>
          <t>تمرین‌های پیشنهادی</t>
        </is>
      </c>
      <c r="B14" s="3" t="inlineStr">
        <is>
          <t>۱) نمودار run و کنترل CCS برحسب زمان/شیفت؛ ۲) مقایسه رژیم‌ها و بررسی روزهای ۱۷–۱۸؛ ۳) هیستوگرام، Q-Q/احتمال و Anderson–Darling؛ ۴) مقایسه Cpl نرمال با درصد مشاهده‌شده زیر LSL؛ ۵) تحلیل غیرنرمال CCS و تخلخل، تبدیل/برازش و نرخ عدم انطباق؛ ۶) اتصال پاسخ‌ها به متغیرهای فرایندی.</t>
        </is>
      </c>
    </row>
    <row r="15">
      <c r="A15" s="2" t="inlineStr">
        <is>
          <t>محدودیت نمونه</t>
        </is>
      </c>
      <c r="B15" s="3" t="inlineStr">
        <is>
          <t>داده‌ها ساختگی و برای آموزش‌اند. specها illustrative هستند. مقادیر تولیدی را به‌عنوان واقعیت فرایند تفسیر نکنید.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2" customWidth="1" min="15" max="15"/>
    <col width="20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39" customWidth="1" min="22" max="22"/>
  </cols>
  <sheetData>
    <row r="1" ht="28" customHeight="1">
      <c r="A1" s="4" t="inlineStr">
        <is>
          <t>DateTime</t>
        </is>
      </c>
      <c r="B1" s="4" t="inlineStr">
        <is>
          <t>Day</t>
        </is>
      </c>
      <c r="C1" s="4" t="inlineStr">
        <is>
          <t>Shift</t>
        </is>
      </c>
      <c r="D1" s="4" t="inlineStr">
        <is>
          <t>Regime</t>
        </is>
      </c>
      <c r="E1" s="4" t="inlineStr">
        <is>
          <t>Feed_Type</t>
        </is>
      </c>
      <c r="F1" s="4" t="inlineStr">
        <is>
          <t>Blaine</t>
        </is>
      </c>
      <c r="G1" s="4" t="inlineStr">
        <is>
          <t>Moisture_Green</t>
        </is>
      </c>
      <c r="H1" s="4" t="inlineStr">
        <is>
          <t>Bentonite</t>
        </is>
      </c>
      <c r="I1" s="4" t="inlineStr">
        <is>
          <t>Basicity</t>
        </is>
      </c>
      <c r="J1" s="4" t="inlineStr">
        <is>
          <t>Disc_Speed</t>
        </is>
      </c>
      <c r="K1" s="4" t="inlineStr">
        <is>
          <t>Bed_Perm</t>
        </is>
      </c>
      <c r="L1" s="4" t="inlineStr">
        <is>
          <t>Gas_Flow</t>
        </is>
      </c>
      <c r="M1" s="4" t="inlineStr">
        <is>
          <t>Firing_Temp</t>
        </is>
      </c>
      <c r="N1" s="4" t="inlineStr">
        <is>
          <t>Residence_Time</t>
        </is>
      </c>
      <c r="O1" s="4" t="inlineStr">
        <is>
          <t>FeO</t>
        </is>
      </c>
      <c r="P1" s="4" t="inlineStr">
        <is>
          <t>CCS_kg</t>
        </is>
      </c>
      <c r="Q1" s="4" t="inlineStr">
        <is>
          <t>Porosity_pct</t>
        </is>
      </c>
      <c r="R1" s="4" t="inlineStr">
        <is>
          <t>TI_pct</t>
        </is>
      </c>
      <c r="S1" s="4" t="inlineStr">
        <is>
          <t>Abrasion_pct</t>
        </is>
      </c>
      <c r="T1" s="4" t="inlineStr">
        <is>
          <t>Lab_ID</t>
        </is>
      </c>
      <c r="U1" s="4" t="inlineStr">
        <is>
          <t>Operator</t>
        </is>
      </c>
      <c r="V1" s="4" t="inlineStr">
        <is>
          <t>Flag</t>
        </is>
      </c>
    </row>
    <row r="2">
      <c r="A2" s="7" t="n">
        <v>45446</v>
      </c>
      <c r="B2" t="n">
        <v>1</v>
      </c>
      <c r="C2" t="inlineStr">
        <is>
          <t>A</t>
        </is>
      </c>
      <c r="D2" t="inlineStr">
        <is>
          <t>R1_Basematite</t>
        </is>
      </c>
      <c r="E2" t="inlineStr">
        <is>
          <t>Hematite Conc A</t>
        </is>
      </c>
      <c r="F2" t="n">
        <v>2137.112048270561</v>
      </c>
      <c r="G2" t="n">
        <v>9.449969173332189</v>
      </c>
      <c r="H2" t="n">
        <v>0.8697573445604484</v>
      </c>
      <c r="I2" t="n">
        <v>0.4099667148969478</v>
      </c>
      <c r="J2" t="n">
        <v>13.9769099146105</v>
      </c>
      <c r="K2" t="n">
        <v>7.610709136059527</v>
      </c>
      <c r="L2" t="n">
        <v>91.93684963748628</v>
      </c>
      <c r="M2" t="n">
        <v>1290.637510048046</v>
      </c>
      <c r="N2" t="n">
        <v>23.07973685505096</v>
      </c>
      <c r="O2" t="n">
        <v>2.66</v>
      </c>
      <c r="P2" t="n">
        <v>211.7</v>
      </c>
      <c r="Q2" t="n">
        <v>26.92</v>
      </c>
      <c r="R2" t="n">
        <v>94.31</v>
      </c>
      <c r="S2" t="n">
        <v>5.7</v>
      </c>
      <c r="T2" t="inlineStr">
        <is>
          <t>L1000</t>
        </is>
      </c>
      <c r="U2" t="inlineStr">
        <is>
          <t>Mohsen</t>
        </is>
      </c>
    </row>
    <row r="3">
      <c r="A3" s="7" t="n">
        <v>45446.04166666666</v>
      </c>
      <c r="B3" t="n">
        <v>1</v>
      </c>
      <c r="C3" t="inlineStr">
        <is>
          <t>A</t>
        </is>
      </c>
      <c r="D3" t="inlineStr">
        <is>
          <t>R1_Basematite</t>
        </is>
      </c>
      <c r="E3" t="inlineStr">
        <is>
          <t>Hematite Conc A</t>
        </is>
      </c>
      <c r="F3" t="n">
        <v>2209.404297227396</v>
      </c>
      <c r="G3" t="n">
        <v>9.702782235042088</v>
      </c>
      <c r="H3" t="n">
        <v>0.760847252696536</v>
      </c>
      <c r="I3" t="n">
        <v>0.570090168697458</v>
      </c>
      <c r="J3" t="n">
        <v>13.28550589139404</v>
      </c>
      <c r="K3" t="n">
        <v>6.669476216154245</v>
      </c>
      <c r="L3" t="n">
        <v>88.57424936289787</v>
      </c>
      <c r="M3" t="n">
        <v>1296.128920476084</v>
      </c>
      <c r="N3" t="n">
        <v>22.51218816894462</v>
      </c>
      <c r="O3" t="n">
        <v>2.08</v>
      </c>
      <c r="P3" t="n">
        <v>224.7</v>
      </c>
      <c r="Q3" t="n">
        <v>28.18</v>
      </c>
      <c r="R3" t="n">
        <v>93.22</v>
      </c>
      <c r="S3" t="n">
        <v>5.58</v>
      </c>
      <c r="T3" t="inlineStr">
        <is>
          <t>L1001</t>
        </is>
      </c>
      <c r="U3" t="inlineStr">
        <is>
          <t>Alireza</t>
        </is>
      </c>
    </row>
    <row r="4">
      <c r="A4" s="7" t="n">
        <v>45446.08333333334</v>
      </c>
      <c r="B4" t="n">
        <v>1</v>
      </c>
      <c r="C4" t="inlineStr">
        <is>
          <t>A</t>
        </is>
      </c>
      <c r="D4" t="inlineStr">
        <is>
          <t>R1_Basematite</t>
        </is>
      </c>
      <c r="E4" t="inlineStr">
        <is>
          <t>Hematite Conc A</t>
        </is>
      </c>
      <c r="F4" t="n">
        <v>2205.000792458302</v>
      </c>
      <c r="G4" t="n">
        <v>9.23699516984531</v>
      </c>
      <c r="H4" t="n">
        <v>0.794228366755423</v>
      </c>
      <c r="I4" t="n">
        <v>0.5088149154176185</v>
      </c>
      <c r="J4" t="n">
        <v>14.13063795678803</v>
      </c>
      <c r="K4" t="n">
        <v>6.469896890677187</v>
      </c>
      <c r="L4" t="n">
        <v>93.53891946893188</v>
      </c>
      <c r="N4" t="n">
        <v>21.23117200904375</v>
      </c>
      <c r="O4" t="n">
        <v>2.27</v>
      </c>
      <c r="P4" t="n">
        <v>234.9</v>
      </c>
      <c r="Q4" t="n">
        <v>26.08</v>
      </c>
      <c r="R4" t="n">
        <v>94.8</v>
      </c>
      <c r="S4" t="n">
        <v>5.15</v>
      </c>
      <c r="T4" t="inlineStr">
        <is>
          <t>L1002</t>
        </is>
      </c>
      <c r="U4" t="inlineStr">
        <is>
          <t>Sara</t>
        </is>
      </c>
      <c r="V4" t="inlineStr">
        <is>
          <t>Missing</t>
        </is>
      </c>
    </row>
    <row r="5">
      <c r="A5" s="7" t="n">
        <v>45446.125</v>
      </c>
      <c r="B5" t="n">
        <v>1</v>
      </c>
      <c r="C5" t="inlineStr">
        <is>
          <t>A</t>
        </is>
      </c>
      <c r="D5" t="inlineStr">
        <is>
          <t>R1_Basematite</t>
        </is>
      </c>
      <c r="E5" t="inlineStr">
        <is>
          <t>Hematite Conc A</t>
        </is>
      </c>
      <c r="F5" t="n">
        <v>2386.708916369886</v>
      </c>
      <c r="G5" t="n">
        <v>9.577194080102673</v>
      </c>
      <c r="H5" t="n">
        <v>0.8787836546345109</v>
      </c>
      <c r="I5" t="n">
        <v>0.5069865188359903</v>
      </c>
      <c r="J5" t="n">
        <v>14.03710295027913</v>
      </c>
      <c r="K5" t="n">
        <v>7.496743897701027</v>
      </c>
      <c r="L5" t="n">
        <v>99.54942050291531</v>
      </c>
      <c r="M5" t="n">
        <v>1289.4115196708</v>
      </c>
      <c r="N5" t="n">
        <v>22.98338875413799</v>
      </c>
      <c r="O5" t="n">
        <v>2.45</v>
      </c>
      <c r="P5" t="n">
        <v>215.1</v>
      </c>
      <c r="Q5" t="n">
        <v>26.35</v>
      </c>
      <c r="R5" t="n">
        <v>93.86</v>
      </c>
      <c r="S5" t="n">
        <v>5.24</v>
      </c>
      <c r="T5" t="inlineStr">
        <is>
          <t>L1003</t>
        </is>
      </c>
      <c r="U5" t="inlineStr">
        <is>
          <t>Alireza</t>
        </is>
      </c>
    </row>
    <row r="6">
      <c r="A6" s="7" t="n">
        <v>45446.16666666666</v>
      </c>
      <c r="B6" t="n">
        <v>1</v>
      </c>
      <c r="C6" t="inlineStr">
        <is>
          <t>A</t>
        </is>
      </c>
      <c r="D6" t="inlineStr">
        <is>
          <t>R1_Basematite</t>
        </is>
      </c>
      <c r="E6" t="inlineStr">
        <is>
          <t>Hematite Conc A</t>
        </is>
      </c>
      <c r="F6" t="n">
        <v>2033.735315654593</v>
      </c>
      <c r="G6" t="n">
        <v>9.063082068087347</v>
      </c>
      <c r="H6" t="n">
        <v>0.8014651711975963</v>
      </c>
      <c r="I6" t="n">
        <v>0.4933731234469513</v>
      </c>
      <c r="J6" t="n">
        <v>13.36499365018374</v>
      </c>
      <c r="K6" t="n">
        <v>7.52458725843471</v>
      </c>
      <c r="L6" t="n">
        <v>88.08690315683917</v>
      </c>
      <c r="M6" t="n">
        <v>1288.671791439266</v>
      </c>
      <c r="N6" t="n">
        <v>23.33213900227431</v>
      </c>
      <c r="O6" t="n">
        <v>1.93</v>
      </c>
      <c r="P6" t="n">
        <v>241.7</v>
      </c>
      <c r="Q6" t="n">
        <v>24.47</v>
      </c>
      <c r="R6" t="n">
        <v>96.59999999999999</v>
      </c>
      <c r="S6" t="n">
        <v>5.3</v>
      </c>
      <c r="T6" t="inlineStr">
        <is>
          <t>L1004</t>
        </is>
      </c>
      <c r="U6" t="inlineStr">
        <is>
          <t>Mohsen</t>
        </is>
      </c>
    </row>
    <row r="7">
      <c r="A7" s="7" t="n">
        <v>45446.20833333334</v>
      </c>
      <c r="B7" t="n">
        <v>1</v>
      </c>
      <c r="C7" t="inlineStr">
        <is>
          <t>A</t>
        </is>
      </c>
      <c r="D7" t="inlineStr">
        <is>
          <t>R1_Basematite</t>
        </is>
      </c>
      <c r="E7" t="inlineStr">
        <is>
          <t>Hematite Conc A</t>
        </is>
      </c>
      <c r="F7" t="n">
        <v>2415.998504704771</v>
      </c>
      <c r="G7" t="n">
        <v>9.136601223972736</v>
      </c>
      <c r="H7" t="n">
        <v>0.831331929846803</v>
      </c>
      <c r="I7" t="n">
        <v>0.5623648897623268</v>
      </c>
      <c r="J7" t="n">
        <v>14.54757288207878</v>
      </c>
      <c r="K7" t="n">
        <v>7.076285599709563</v>
      </c>
      <c r="L7" t="n">
        <v>97.37113415799091</v>
      </c>
      <c r="M7" t="n">
        <v>1289.065932050076</v>
      </c>
      <c r="N7" t="n">
        <v>20.82939690038774</v>
      </c>
      <c r="O7" t="n">
        <v>3</v>
      </c>
      <c r="P7" t="n">
        <v>289.7</v>
      </c>
      <c r="Q7" t="n">
        <v>25.81</v>
      </c>
      <c r="R7" t="n">
        <v>96.37</v>
      </c>
      <c r="S7" t="n">
        <v>5.49</v>
      </c>
      <c r="T7" t="inlineStr">
        <is>
          <t>L1005</t>
        </is>
      </c>
      <c r="U7" t="inlineStr">
        <is>
          <t>Alireza</t>
        </is>
      </c>
    </row>
    <row r="8">
      <c r="A8" s="7" t="n">
        <v>45446.25</v>
      </c>
      <c r="B8" t="n">
        <v>1</v>
      </c>
      <c r="C8" t="inlineStr">
        <is>
          <t>A</t>
        </is>
      </c>
      <c r="D8" t="inlineStr">
        <is>
          <t>R1_Basematite</t>
        </is>
      </c>
      <c r="E8" t="inlineStr">
        <is>
          <t>Hematite Conc A</t>
        </is>
      </c>
      <c r="F8" t="n">
        <v>2277.698738942658</v>
      </c>
      <c r="G8" t="n">
        <v>9.089663002266784</v>
      </c>
      <c r="H8" t="n">
        <v>0.8472576853878675</v>
      </c>
      <c r="I8" t="n">
        <v>0.4938270316178258</v>
      </c>
      <c r="J8" t="n">
        <v>14.42412373384898</v>
      </c>
      <c r="K8" t="n">
        <v>7.578536614136895</v>
      </c>
      <c r="L8" t="n">
        <v>93.8393845365471</v>
      </c>
      <c r="M8" t="n">
        <v>1294.205556245586</v>
      </c>
      <c r="N8" t="n">
        <v>22.17872157750711</v>
      </c>
      <c r="O8" t="n">
        <v>2.02</v>
      </c>
      <c r="P8" t="n">
        <v>253.7</v>
      </c>
      <c r="Q8" t="n">
        <v>26.21</v>
      </c>
      <c r="R8" t="n">
        <v>95.67</v>
      </c>
      <c r="S8" t="n">
        <v>5.43</v>
      </c>
      <c r="T8" t="inlineStr">
        <is>
          <t>L1006</t>
        </is>
      </c>
      <c r="U8" t="inlineStr">
        <is>
          <t>Sara</t>
        </is>
      </c>
    </row>
    <row r="9">
      <c r="A9" s="7" t="n">
        <v>45446.29166666666</v>
      </c>
      <c r="B9" t="n">
        <v>1</v>
      </c>
      <c r="C9" t="inlineStr">
        <is>
          <t>A</t>
        </is>
      </c>
      <c r="D9" t="inlineStr">
        <is>
          <t>R1_Basematite</t>
        </is>
      </c>
      <c r="E9" t="inlineStr">
        <is>
          <t>Hematite Conc A</t>
        </is>
      </c>
      <c r="F9" t="n">
        <v>2610.848033287396</v>
      </c>
      <c r="G9" t="n">
        <v>9.639306069820512</v>
      </c>
      <c r="H9" t="n">
        <v>0.9232408688250203</v>
      </c>
      <c r="I9" t="n">
        <v>0.5528255048149289</v>
      </c>
      <c r="J9" t="n">
        <v>14.25375475917769</v>
      </c>
      <c r="K9" t="n">
        <v>8.797740723403752</v>
      </c>
      <c r="L9" t="n">
        <v>90.11611818203701</v>
      </c>
      <c r="M9" t="n">
        <v>1295.053686298797</v>
      </c>
      <c r="N9" t="n">
        <v>23.13121124265653</v>
      </c>
      <c r="O9" t="n">
        <v>2.29</v>
      </c>
      <c r="P9" t="n">
        <v>404.5</v>
      </c>
      <c r="Q9" t="n">
        <v>27.49</v>
      </c>
      <c r="R9" t="n">
        <v>94.15000000000001</v>
      </c>
      <c r="S9" t="n">
        <v>6.01</v>
      </c>
      <c r="T9" t="inlineStr">
        <is>
          <t>L1007</t>
        </is>
      </c>
      <c r="U9" t="inlineStr">
        <is>
          <t>Alireza</t>
        </is>
      </c>
    </row>
    <row r="10">
      <c r="A10" s="7" t="n">
        <v>45446.33333333334</v>
      </c>
      <c r="B10" t="n">
        <v>1</v>
      </c>
      <c r="C10" t="inlineStr">
        <is>
          <t>B</t>
        </is>
      </c>
      <c r="D10" t="inlineStr">
        <is>
          <t>R1_Basematite</t>
        </is>
      </c>
      <c r="E10" t="inlineStr">
        <is>
          <t>Hematite Conc A</t>
        </is>
      </c>
      <c r="F10" t="n">
        <v>2622.232502764262</v>
      </c>
      <c r="G10" t="n">
        <v>9.235625739017843</v>
      </c>
      <c r="H10" t="n">
        <v>0.801258881029665</v>
      </c>
      <c r="I10" t="n">
        <v>0.6317294222444954</v>
      </c>
      <c r="J10" t="n">
        <v>13.64822415763533</v>
      </c>
      <c r="K10" t="n">
        <v>7.190373333509369</v>
      </c>
      <c r="L10" t="n">
        <v>110.8735355197559</v>
      </c>
      <c r="M10" t="n">
        <v>1304.885793977945</v>
      </c>
      <c r="N10" t="n">
        <v>23.94627619729608</v>
      </c>
      <c r="O10" t="n">
        <v>2.07</v>
      </c>
      <c r="P10" t="n">
        <v>299.5</v>
      </c>
      <c r="Q10" t="n">
        <v>23.64</v>
      </c>
      <c r="R10" t="n">
        <v>96.55</v>
      </c>
      <c r="S10" t="n">
        <v>5.25</v>
      </c>
      <c r="T10" t="inlineStr">
        <is>
          <t>L1008</t>
        </is>
      </c>
      <c r="U10" t="inlineStr">
        <is>
          <t>Reza</t>
        </is>
      </c>
    </row>
    <row r="11">
      <c r="A11" s="7" t="n">
        <v>45446.375</v>
      </c>
      <c r="B11" t="n">
        <v>1</v>
      </c>
      <c r="C11" t="inlineStr">
        <is>
          <t>B</t>
        </is>
      </c>
      <c r="D11" t="inlineStr">
        <is>
          <t>R1_Basematite</t>
        </is>
      </c>
      <c r="E11" t="inlineStr">
        <is>
          <t>Hematite Conc A</t>
        </is>
      </c>
      <c r="F11" t="n">
        <v>2700.606481245035</v>
      </c>
      <c r="G11" t="n">
        <v>9.770866413364187</v>
      </c>
      <c r="H11" t="n">
        <v>0.8090925960788458</v>
      </c>
      <c r="I11" t="n">
        <v>0.5089813465606235</v>
      </c>
      <c r="J11" t="n">
        <v>13.66469499884408</v>
      </c>
      <c r="K11" t="n">
        <v>7.920948552997697</v>
      </c>
      <c r="L11" t="n">
        <v>95.94591337926094</v>
      </c>
      <c r="M11" t="n">
        <v>1265.037912727027</v>
      </c>
      <c r="N11" t="n">
        <v>22.67593533478907</v>
      </c>
      <c r="O11" t="n">
        <v>2.4</v>
      </c>
      <c r="P11" t="n">
        <v>242.2</v>
      </c>
      <c r="Q11" t="n">
        <v>27.64</v>
      </c>
      <c r="R11" t="n">
        <v>94.93000000000001</v>
      </c>
      <c r="S11" t="n">
        <v>5.66</v>
      </c>
      <c r="T11" t="inlineStr">
        <is>
          <t>L1009</t>
        </is>
      </c>
      <c r="U11" t="inlineStr">
        <is>
          <t>Sara</t>
        </is>
      </c>
    </row>
    <row r="12">
      <c r="A12" s="7" t="n">
        <v>45446.41666666666</v>
      </c>
      <c r="B12" t="n">
        <v>1</v>
      </c>
      <c r="C12" t="inlineStr">
        <is>
          <t>B</t>
        </is>
      </c>
      <c r="D12" t="inlineStr">
        <is>
          <t>R1_Basematite</t>
        </is>
      </c>
      <c r="E12" t="inlineStr">
        <is>
          <t>Hematite Conc A</t>
        </is>
      </c>
      <c r="F12" t="n">
        <v>2588.144620357048</v>
      </c>
      <c r="G12" t="n">
        <v>8.985224590070679</v>
      </c>
      <c r="H12" t="n">
        <v>0.7991221132578508</v>
      </c>
      <c r="I12" t="n">
        <v>0.5499714871739267</v>
      </c>
      <c r="J12" t="n">
        <v>13.1419676355537</v>
      </c>
      <c r="K12" t="n">
        <v>6.952189248509952</v>
      </c>
      <c r="L12" t="n">
        <v>97.07509301659499</v>
      </c>
      <c r="M12" t="n">
        <v>1290.555988867646</v>
      </c>
      <c r="N12" t="n">
        <v>20.45061939208151</v>
      </c>
      <c r="O12" t="n">
        <v>2.03</v>
      </c>
      <c r="P12" t="n">
        <v>212.6</v>
      </c>
      <c r="Q12" t="n">
        <v>25.82</v>
      </c>
      <c r="R12" t="n">
        <v>94.19</v>
      </c>
      <c r="S12" t="n">
        <v>5.72</v>
      </c>
      <c r="T12" t="inlineStr">
        <is>
          <t>L1010</t>
        </is>
      </c>
      <c r="U12" t="inlineStr">
        <is>
          <t>Mohsen</t>
        </is>
      </c>
    </row>
    <row r="13">
      <c r="A13" s="7" t="n">
        <v>45446.45833333334</v>
      </c>
      <c r="B13" t="n">
        <v>1</v>
      </c>
      <c r="C13" t="inlineStr">
        <is>
          <t>B</t>
        </is>
      </c>
      <c r="D13" t="inlineStr">
        <is>
          <t>R1_Basematite</t>
        </is>
      </c>
      <c r="E13" t="inlineStr">
        <is>
          <t>Hematite Conc A</t>
        </is>
      </c>
      <c r="F13" t="n">
        <v>2440.454639823692</v>
      </c>
      <c r="G13" t="n">
        <v>9.477392757200096</v>
      </c>
      <c r="H13" t="n">
        <v>0.7321871654725062</v>
      </c>
      <c r="I13" t="n">
        <v>0.5147076455710037</v>
      </c>
      <c r="J13" t="n">
        <v>12.7504149508804</v>
      </c>
      <c r="K13" t="n">
        <v>6.499098522339583</v>
      </c>
      <c r="L13" t="n">
        <v>85.27268061727013</v>
      </c>
      <c r="M13" t="n">
        <v>1280.877126272143</v>
      </c>
      <c r="N13" t="n">
        <v>21.45526905234237</v>
      </c>
      <c r="O13" t="n">
        <v>2.38</v>
      </c>
      <c r="P13" t="n">
        <v>284.4</v>
      </c>
      <c r="Q13" t="n">
        <v>25.99</v>
      </c>
      <c r="R13" t="n">
        <v>96.58</v>
      </c>
      <c r="S13" t="n">
        <v>5.23</v>
      </c>
      <c r="T13" t="inlineStr">
        <is>
          <t>L1011</t>
        </is>
      </c>
      <c r="U13" t="inlineStr">
        <is>
          <t>Mohsen</t>
        </is>
      </c>
    </row>
    <row r="14">
      <c r="A14" s="7" t="n">
        <v>45446.5</v>
      </c>
      <c r="B14" t="n">
        <v>1</v>
      </c>
      <c r="C14" t="inlineStr">
        <is>
          <t>B</t>
        </is>
      </c>
      <c r="D14" t="inlineStr">
        <is>
          <t>R1_Basematite</t>
        </is>
      </c>
      <c r="E14" t="inlineStr">
        <is>
          <t>Hematite Conc A</t>
        </is>
      </c>
      <c r="F14" t="n">
        <v>2604.762918009904</v>
      </c>
      <c r="G14" t="n">
        <v>8.938398006315047</v>
      </c>
      <c r="H14" t="n">
        <v>0.8613379649751883</v>
      </c>
      <c r="I14" t="n">
        <v>0.4786660747073768</v>
      </c>
      <c r="J14" t="n">
        <v>13.76723516003509</v>
      </c>
      <c r="K14" t="n">
        <v>6.683456238699129</v>
      </c>
      <c r="L14" t="n">
        <v>110.5037406968993</v>
      </c>
      <c r="M14" t="n">
        <v>1287.99938640736</v>
      </c>
      <c r="N14" t="n">
        <v>21.04850062520069</v>
      </c>
      <c r="O14" t="n">
        <v>2.69</v>
      </c>
      <c r="P14" t="n">
        <v>289.2</v>
      </c>
      <c r="Q14" t="n">
        <v>24.86</v>
      </c>
      <c r="R14" t="n">
        <v>95.91</v>
      </c>
      <c r="S14" t="n">
        <v>5.17</v>
      </c>
      <c r="T14" t="inlineStr">
        <is>
          <t>L1012</t>
        </is>
      </c>
      <c r="U14" t="inlineStr">
        <is>
          <t>Sara</t>
        </is>
      </c>
    </row>
    <row r="15">
      <c r="A15" s="7" t="n">
        <v>45446.54166666666</v>
      </c>
      <c r="B15" t="n">
        <v>1</v>
      </c>
      <c r="C15" t="inlineStr">
        <is>
          <t>B</t>
        </is>
      </c>
      <c r="D15" t="inlineStr">
        <is>
          <t>R1_Basematite</t>
        </is>
      </c>
      <c r="E15" t="inlineStr">
        <is>
          <t>Hematite Conc A</t>
        </is>
      </c>
      <c r="F15" t="n">
        <v>2720.986608149092</v>
      </c>
      <c r="G15" t="n">
        <v>9.735982438637453</v>
      </c>
      <c r="H15" t="n">
        <v>0.7027879437331976</v>
      </c>
      <c r="I15" t="n">
        <v>0.5735368396599517</v>
      </c>
      <c r="J15" t="n">
        <v>14.42349236647391</v>
      </c>
      <c r="K15" t="n">
        <v>6.401306591597848</v>
      </c>
      <c r="L15" t="n">
        <v>96.79890289009774</v>
      </c>
      <c r="M15" t="n">
        <v>1292.780001283953</v>
      </c>
      <c r="N15" t="n">
        <v>22.49716245002445</v>
      </c>
      <c r="O15" t="n">
        <v>2.64</v>
      </c>
      <c r="P15" t="n">
        <v>290.7</v>
      </c>
      <c r="Q15" t="n">
        <v>27.47</v>
      </c>
      <c r="R15" t="n">
        <v>94.69</v>
      </c>
      <c r="S15" t="n">
        <v>6.02</v>
      </c>
      <c r="T15" t="inlineStr">
        <is>
          <t>L1013</t>
        </is>
      </c>
      <c r="U15" t="inlineStr">
        <is>
          <t>Alireza</t>
        </is>
      </c>
    </row>
    <row r="16">
      <c r="A16" s="7" t="n">
        <v>45446.58333333334</v>
      </c>
      <c r="B16" t="n">
        <v>1</v>
      </c>
      <c r="C16" t="inlineStr">
        <is>
          <t>B</t>
        </is>
      </c>
      <c r="D16" t="inlineStr">
        <is>
          <t>R1_Basematite</t>
        </is>
      </c>
      <c r="E16" t="inlineStr">
        <is>
          <t>Hematite Conc A</t>
        </is>
      </c>
      <c r="F16" t="n">
        <v>2332.352983984931</v>
      </c>
      <c r="G16" t="n">
        <v>9.100761210749761</v>
      </c>
      <c r="H16" t="n">
        <v>0.7907417905947715</v>
      </c>
      <c r="I16" t="n">
        <v>0.6057463128962677</v>
      </c>
      <c r="J16" t="n">
        <v>13.8371826657798</v>
      </c>
      <c r="K16" t="n">
        <v>7.73211078804258</v>
      </c>
      <c r="L16" t="n">
        <v>96.67298972849542</v>
      </c>
      <c r="M16" t="n">
        <v>1298.858983750742</v>
      </c>
      <c r="N16" t="n">
        <v>20.97876196487492</v>
      </c>
      <c r="O16" t="n">
        <v>2.06</v>
      </c>
      <c r="P16" t="n">
        <v>251.7</v>
      </c>
      <c r="Q16" t="n">
        <v>27.26</v>
      </c>
      <c r="R16" t="n">
        <v>95</v>
      </c>
      <c r="S16" t="n">
        <v>5.35</v>
      </c>
      <c r="T16" t="inlineStr">
        <is>
          <t>L1014</t>
        </is>
      </c>
      <c r="U16" t="inlineStr">
        <is>
          <t>Sara</t>
        </is>
      </c>
    </row>
    <row r="17">
      <c r="A17" s="7" t="n">
        <v>45446.625</v>
      </c>
      <c r="B17" t="n">
        <v>1</v>
      </c>
      <c r="C17" t="inlineStr">
        <is>
          <t>B</t>
        </is>
      </c>
      <c r="D17" t="inlineStr">
        <is>
          <t>R1_Basematite</t>
        </is>
      </c>
      <c r="E17" t="inlineStr">
        <is>
          <t>Hematite Conc A</t>
        </is>
      </c>
      <c r="F17" t="n">
        <v>2559.863206249433</v>
      </c>
      <c r="G17" t="n">
        <v>9.503049148944388</v>
      </c>
      <c r="H17" t="n">
        <v>0.9386181297885514</v>
      </c>
      <c r="I17" t="n">
        <v>0.5109224914709344</v>
      </c>
      <c r="J17" t="n">
        <v>14.34044546987517</v>
      </c>
      <c r="K17" t="n">
        <v>7.328339755684985</v>
      </c>
      <c r="L17" t="n">
        <v>102.3383473195475</v>
      </c>
      <c r="M17" t="n">
        <v>1306.795873367446</v>
      </c>
      <c r="N17" t="n">
        <v>22.54339371145623</v>
      </c>
      <c r="O17" t="n">
        <v>2.22</v>
      </c>
      <c r="P17" t="n">
        <v>362.2</v>
      </c>
      <c r="Q17" t="n">
        <v>24.75</v>
      </c>
      <c r="R17" t="n">
        <v>97.11</v>
      </c>
      <c r="S17" t="n">
        <v>5.4</v>
      </c>
      <c r="T17" t="inlineStr">
        <is>
          <t>L1015</t>
        </is>
      </c>
      <c r="U17" t="inlineStr">
        <is>
          <t>Sara</t>
        </is>
      </c>
    </row>
    <row r="18">
      <c r="A18" s="7" t="n">
        <v>45446.66666666666</v>
      </c>
      <c r="B18" t="n">
        <v>1</v>
      </c>
      <c r="C18" t="inlineStr">
        <is>
          <t>C</t>
        </is>
      </c>
      <c r="D18" t="inlineStr">
        <is>
          <t>R1_Basematite</t>
        </is>
      </c>
      <c r="E18" t="inlineStr">
        <is>
          <t>Hematite Conc A</t>
        </is>
      </c>
      <c r="G18" t="n">
        <v>9.102739787652332</v>
      </c>
      <c r="H18" t="n">
        <v>0.848160551028657</v>
      </c>
      <c r="I18" t="n">
        <v>0.54693417400997</v>
      </c>
      <c r="J18" t="n">
        <v>13.65318935617034</v>
      </c>
      <c r="K18" t="n">
        <v>7.431154499709799</v>
      </c>
      <c r="L18" t="n">
        <v>94.60304534314892</v>
      </c>
      <c r="M18" t="n">
        <v>1287.070290644574</v>
      </c>
      <c r="N18" t="n">
        <v>22.71749121190695</v>
      </c>
      <c r="O18" t="n">
        <v>1.82</v>
      </c>
      <c r="P18" t="n">
        <v>289.6</v>
      </c>
      <c r="Q18" t="n">
        <v>27.09</v>
      </c>
      <c r="R18" t="n">
        <v>95.2</v>
      </c>
      <c r="S18" t="n">
        <v>5.99</v>
      </c>
      <c r="T18" t="inlineStr">
        <is>
          <t>L1016</t>
        </is>
      </c>
      <c r="U18" t="inlineStr">
        <is>
          <t>Mohsen</t>
        </is>
      </c>
      <c r="V18" t="inlineStr">
        <is>
          <t>Missing</t>
        </is>
      </c>
    </row>
    <row r="19">
      <c r="A19" s="7" t="n">
        <v>45446.70833333334</v>
      </c>
      <c r="B19" t="n">
        <v>1</v>
      </c>
      <c r="C19" t="inlineStr">
        <is>
          <t>C</t>
        </is>
      </c>
      <c r="D19" t="inlineStr">
        <is>
          <t>R1_Basematite</t>
        </is>
      </c>
      <c r="E19" t="inlineStr">
        <is>
          <t>Hematite Conc A</t>
        </is>
      </c>
      <c r="F19" t="n">
        <v>2709.203010574743</v>
      </c>
      <c r="G19" t="n">
        <v>9.075615795369202</v>
      </c>
      <c r="H19" t="n">
        <v>0.6886374802646906</v>
      </c>
      <c r="I19" t="n">
        <v>0.5371515147692368</v>
      </c>
      <c r="J19" t="n">
        <v>13.71603493014555</v>
      </c>
      <c r="K19" t="n">
        <v>7.502556873149858</v>
      </c>
      <c r="L19" t="n">
        <v>95.64394330602896</v>
      </c>
      <c r="M19" t="n">
        <v>1278.522966948417</v>
      </c>
      <c r="N19" t="n">
        <v>22.71067114106396</v>
      </c>
      <c r="O19" t="n">
        <v>2.44</v>
      </c>
      <c r="Q19" t="n">
        <v>26.46</v>
      </c>
      <c r="R19" t="n">
        <v>94.92</v>
      </c>
      <c r="S19" t="n">
        <v>5.59</v>
      </c>
      <c r="T19" t="inlineStr">
        <is>
          <t>L1017</t>
        </is>
      </c>
      <c r="U19" t="inlineStr">
        <is>
          <t>Reza</t>
        </is>
      </c>
      <c r="V19" t="inlineStr">
        <is>
          <t>Missing</t>
        </is>
      </c>
    </row>
    <row r="20">
      <c r="A20" s="7" t="n">
        <v>45446.75</v>
      </c>
      <c r="B20" t="n">
        <v>1</v>
      </c>
      <c r="C20" t="inlineStr">
        <is>
          <t>C</t>
        </is>
      </c>
      <c r="D20" t="inlineStr">
        <is>
          <t>R1_Basematite</t>
        </is>
      </c>
      <c r="E20" t="inlineStr">
        <is>
          <t>Hematite Conc A</t>
        </is>
      </c>
      <c r="F20" t="n">
        <v>2299.358896382568</v>
      </c>
      <c r="G20" t="n">
        <v>9.427852749496648</v>
      </c>
      <c r="H20" t="n">
        <v>0.7769851453244464</v>
      </c>
      <c r="I20" t="n">
        <v>0.5070998795001088</v>
      </c>
      <c r="J20" t="n">
        <v>13.73047195826654</v>
      </c>
      <c r="K20" t="n">
        <v>6.854099255545741</v>
      </c>
      <c r="L20" t="n">
        <v>87.7004368356252</v>
      </c>
      <c r="M20" t="n">
        <v>1285.797867372052</v>
      </c>
      <c r="N20" t="n">
        <v>21.95358616761292</v>
      </c>
      <c r="O20" t="n">
        <v>2.3</v>
      </c>
      <c r="P20" t="n">
        <v>220.8</v>
      </c>
      <c r="Q20" t="n">
        <v>26.22</v>
      </c>
      <c r="R20" t="n">
        <v>95.45999999999999</v>
      </c>
      <c r="S20" t="n">
        <v>5.91</v>
      </c>
      <c r="T20" t="inlineStr">
        <is>
          <t>L1018</t>
        </is>
      </c>
      <c r="U20" t="inlineStr">
        <is>
          <t>Alireza</t>
        </is>
      </c>
    </row>
    <row r="21">
      <c r="A21" s="7" t="n">
        <v>45446.79166666666</v>
      </c>
      <c r="B21" t="n">
        <v>1</v>
      </c>
      <c r="C21" t="inlineStr">
        <is>
          <t>C</t>
        </is>
      </c>
      <c r="D21" t="inlineStr">
        <is>
          <t>R1_Basematite</t>
        </is>
      </c>
      <c r="E21" t="inlineStr">
        <is>
          <t>Hematite Conc A</t>
        </is>
      </c>
      <c r="F21" t="n">
        <v>2395.721610278205</v>
      </c>
      <c r="G21" t="n">
        <v>8.742925474983279</v>
      </c>
      <c r="H21" t="n">
        <v>0.9640008129487421</v>
      </c>
      <c r="I21" t="n">
        <v>0.5854719664074295</v>
      </c>
      <c r="J21" t="n">
        <v>14.71999440180783</v>
      </c>
      <c r="K21" t="n">
        <v>7.263160515087142</v>
      </c>
      <c r="L21" t="n">
        <v>91.83932895978066</v>
      </c>
      <c r="M21" t="n">
        <v>1298.811287062055</v>
      </c>
      <c r="N21" t="n">
        <v>20.13966269492833</v>
      </c>
      <c r="O21" t="n">
        <v>2.13</v>
      </c>
      <c r="P21" t="n">
        <v>280.6</v>
      </c>
      <c r="Q21" t="n">
        <v>24.94</v>
      </c>
      <c r="R21" t="n">
        <v>95.92</v>
      </c>
      <c r="S21" t="n">
        <v>4.89</v>
      </c>
      <c r="T21" t="inlineStr">
        <is>
          <t>L1019</t>
        </is>
      </c>
      <c r="U21" t="inlineStr">
        <is>
          <t>Mohsen</t>
        </is>
      </c>
    </row>
    <row r="22">
      <c r="A22" s="7" t="n">
        <v>45446.83333333334</v>
      </c>
      <c r="B22" t="n">
        <v>1</v>
      </c>
      <c r="C22" t="inlineStr">
        <is>
          <t>C</t>
        </is>
      </c>
      <c r="D22" t="inlineStr">
        <is>
          <t>R1_Basematite</t>
        </is>
      </c>
      <c r="E22" t="inlineStr">
        <is>
          <t>Hematite Conc A</t>
        </is>
      </c>
      <c r="F22" t="n">
        <v>2515.220946770499</v>
      </c>
      <c r="G22" t="n">
        <v>8.925963135152028</v>
      </c>
      <c r="H22" t="n">
        <v>0.827227805625591</v>
      </c>
      <c r="I22" t="n">
        <v>0.4438418291471734</v>
      </c>
      <c r="J22" t="n">
        <v>13.30097373079182</v>
      </c>
      <c r="K22" t="n">
        <v>6.966672773070918</v>
      </c>
      <c r="L22" t="n">
        <v>91.85917294089946</v>
      </c>
      <c r="M22" t="n">
        <v>1300.56201059608</v>
      </c>
      <c r="N22" t="n">
        <v>25.94973340996636</v>
      </c>
      <c r="O22" t="n">
        <v>2.55</v>
      </c>
      <c r="Q22" t="n">
        <v>26.39</v>
      </c>
      <c r="R22" t="n">
        <v>95.56</v>
      </c>
      <c r="S22" t="n">
        <v>5.66</v>
      </c>
      <c r="T22" t="inlineStr">
        <is>
          <t>L1020</t>
        </is>
      </c>
      <c r="U22" t="inlineStr">
        <is>
          <t>Reza</t>
        </is>
      </c>
      <c r="V22" t="inlineStr">
        <is>
          <t>Missing</t>
        </is>
      </c>
    </row>
    <row r="23">
      <c r="A23" s="7" t="n">
        <v>45446.875</v>
      </c>
      <c r="B23" t="n">
        <v>1</v>
      </c>
      <c r="C23" t="inlineStr">
        <is>
          <t>C</t>
        </is>
      </c>
      <c r="D23" t="inlineStr">
        <is>
          <t>R1_Basematite</t>
        </is>
      </c>
      <c r="E23" t="inlineStr">
        <is>
          <t>Hematite Conc A</t>
        </is>
      </c>
      <c r="F23" t="n">
        <v>2496.45984806378</v>
      </c>
      <c r="G23" t="n">
        <v>9.871969087469582</v>
      </c>
      <c r="H23" t="n">
        <v>0.9768943500059371</v>
      </c>
      <c r="I23" t="n">
        <v>0.6186623378149761</v>
      </c>
      <c r="J23" t="n">
        <v>13.57679192831583</v>
      </c>
      <c r="K23" t="n">
        <v>7.016834781943172</v>
      </c>
      <c r="L23" t="n">
        <v>100.718806173021</v>
      </c>
      <c r="M23" t="n">
        <v>1302.894199676331</v>
      </c>
      <c r="N23" t="n">
        <v>23.65029713687519</v>
      </c>
      <c r="O23" t="n">
        <v>2.26</v>
      </c>
      <c r="P23" t="n">
        <v>354.1</v>
      </c>
      <c r="Q23" t="n">
        <v>26.08</v>
      </c>
      <c r="R23" t="n">
        <v>96.06</v>
      </c>
      <c r="S23" t="n">
        <v>5.06</v>
      </c>
      <c r="T23" t="inlineStr">
        <is>
          <t>L1021</t>
        </is>
      </c>
      <c r="U23" t="inlineStr">
        <is>
          <t>Reza</t>
        </is>
      </c>
    </row>
    <row r="24">
      <c r="A24" s="7" t="n">
        <v>45446.91666666666</v>
      </c>
      <c r="B24" t="n">
        <v>1</v>
      </c>
      <c r="C24" t="inlineStr">
        <is>
          <t>C</t>
        </is>
      </c>
      <c r="D24" t="inlineStr">
        <is>
          <t>R1_Basematite</t>
        </is>
      </c>
      <c r="E24" t="inlineStr">
        <is>
          <t>Hematite Conc A</t>
        </is>
      </c>
      <c r="F24" t="n">
        <v>2154.899366759423</v>
      </c>
      <c r="G24" t="n">
        <v>9.055773894694353</v>
      </c>
      <c r="H24" t="n">
        <v>0.8079074723223025</v>
      </c>
      <c r="I24" t="n">
        <v>0.5168058508310155</v>
      </c>
      <c r="J24" t="n">
        <v>14.44857041043419</v>
      </c>
      <c r="K24" t="n">
        <v>6.649869363934492</v>
      </c>
      <c r="L24" t="n">
        <v>104.577269679727</v>
      </c>
      <c r="M24" t="n">
        <v>1290.861076892509</v>
      </c>
      <c r="N24" t="n">
        <v>22.12726223977356</v>
      </c>
      <c r="O24" t="n">
        <v>2.39</v>
      </c>
      <c r="P24" t="n">
        <v>253.1</v>
      </c>
      <c r="Q24" t="n">
        <v>25.26</v>
      </c>
      <c r="R24" t="n">
        <v>95.51000000000001</v>
      </c>
      <c r="S24" t="n">
        <v>5.12</v>
      </c>
      <c r="T24" t="inlineStr">
        <is>
          <t>L1022</t>
        </is>
      </c>
      <c r="U24" t="inlineStr">
        <is>
          <t>Sara</t>
        </is>
      </c>
    </row>
    <row r="25">
      <c r="A25" s="7" t="n">
        <v>45446.95833333334</v>
      </c>
      <c r="B25" t="n">
        <v>1</v>
      </c>
      <c r="C25" t="inlineStr">
        <is>
          <t>C</t>
        </is>
      </c>
      <c r="D25" t="inlineStr">
        <is>
          <t>R1_Basematite</t>
        </is>
      </c>
      <c r="E25" t="inlineStr">
        <is>
          <t>Hematite Conc A</t>
        </is>
      </c>
      <c r="F25" t="n">
        <v>2514.82794180273</v>
      </c>
      <c r="G25" t="n">
        <v>9.628407708751817</v>
      </c>
      <c r="H25" t="n">
        <v>0.675589650817964</v>
      </c>
      <c r="I25" t="n">
        <v>0.6320211611986208</v>
      </c>
      <c r="J25" t="n">
        <v>14.58050617574138</v>
      </c>
      <c r="K25" t="n">
        <v>6.403859555408057</v>
      </c>
      <c r="L25" t="n">
        <v>88.16465440489284</v>
      </c>
      <c r="M25" t="n">
        <v>1296.751803577293</v>
      </c>
      <c r="N25" t="n">
        <v>22.67674806468533</v>
      </c>
      <c r="O25" t="n">
        <v>2.37</v>
      </c>
      <c r="P25" t="n">
        <v>288.8</v>
      </c>
      <c r="Q25" t="n">
        <v>27.99</v>
      </c>
      <c r="R25" t="n">
        <v>95.17</v>
      </c>
      <c r="S25" t="n">
        <v>5.61</v>
      </c>
      <c r="T25" t="inlineStr">
        <is>
          <t>L1023</t>
        </is>
      </c>
      <c r="U25" t="inlineStr">
        <is>
          <t>Mohsen</t>
        </is>
      </c>
    </row>
    <row r="26">
      <c r="A26" s="7" t="n">
        <v>45447</v>
      </c>
      <c r="B26" t="n">
        <v>2</v>
      </c>
      <c r="C26" t="inlineStr">
        <is>
          <t>A</t>
        </is>
      </c>
      <c r="D26" t="inlineStr">
        <is>
          <t>R1_Basematite</t>
        </is>
      </c>
      <c r="E26" t="inlineStr">
        <is>
          <t>Hematite Conc A</t>
        </is>
      </c>
      <c r="F26" t="n">
        <v>2428.670414086945</v>
      </c>
      <c r="G26" t="n">
        <v>9.041935918196787</v>
      </c>
      <c r="H26" t="n">
        <v>0.8653233247931374</v>
      </c>
      <c r="I26" t="n">
        <v>0.5688312341217339</v>
      </c>
      <c r="J26" t="n">
        <v>14.36351529074224</v>
      </c>
      <c r="K26" t="n">
        <v>7.198307825545461</v>
      </c>
      <c r="L26" t="n">
        <v>100.9531493809429</v>
      </c>
      <c r="M26" t="n">
        <v>1301.923506761947</v>
      </c>
      <c r="N26" t="n">
        <v>22.10804608429076</v>
      </c>
      <c r="O26" t="n">
        <v>2.26</v>
      </c>
      <c r="P26" t="n">
        <v>296.8</v>
      </c>
      <c r="Q26" t="n">
        <v>25.49</v>
      </c>
      <c r="R26" t="n">
        <v>95.45</v>
      </c>
      <c r="S26" t="n">
        <v>5.04</v>
      </c>
      <c r="T26" t="inlineStr">
        <is>
          <t>L1024</t>
        </is>
      </c>
      <c r="U26" t="inlineStr">
        <is>
          <t>Reza</t>
        </is>
      </c>
    </row>
    <row r="27">
      <c r="A27" s="7" t="n">
        <v>45447.04166666666</v>
      </c>
      <c r="B27" t="n">
        <v>2</v>
      </c>
      <c r="C27" t="inlineStr">
        <is>
          <t>A</t>
        </is>
      </c>
      <c r="D27" t="inlineStr">
        <is>
          <t>R1_Basematite</t>
        </is>
      </c>
      <c r="E27" t="inlineStr">
        <is>
          <t>Hematite Conc A</t>
        </is>
      </c>
      <c r="F27" t="n">
        <v>2406.845387143719</v>
      </c>
      <c r="G27" t="n">
        <v>8.768855909708225</v>
      </c>
      <c r="H27" t="n">
        <v>0.8301433005765869</v>
      </c>
      <c r="I27" t="n">
        <v>0.539712089926207</v>
      </c>
      <c r="J27" t="n">
        <v>15.57124862891226</v>
      </c>
      <c r="K27" t="n">
        <v>6.790808200623532</v>
      </c>
      <c r="L27" t="n">
        <v>99.49077378889966</v>
      </c>
      <c r="M27" t="n">
        <v>1303.966242132077</v>
      </c>
      <c r="N27" t="n">
        <v>21.67997349738051</v>
      </c>
      <c r="O27" t="n">
        <v>2.39</v>
      </c>
      <c r="P27" t="n">
        <v>243.5</v>
      </c>
      <c r="Q27" t="n">
        <v>26.82</v>
      </c>
      <c r="R27" t="n">
        <v>96.39</v>
      </c>
      <c r="S27" t="n">
        <v>5.85</v>
      </c>
      <c r="T27" t="inlineStr">
        <is>
          <t>L1025</t>
        </is>
      </c>
      <c r="U27" t="inlineStr">
        <is>
          <t>Reza</t>
        </is>
      </c>
    </row>
    <row r="28">
      <c r="A28" s="7" t="n">
        <v>45447.08333333334</v>
      </c>
      <c r="B28" t="n">
        <v>2</v>
      </c>
      <c r="C28" t="inlineStr">
        <is>
          <t>A</t>
        </is>
      </c>
      <c r="D28" t="inlineStr">
        <is>
          <t>R1_Basematite</t>
        </is>
      </c>
      <c r="E28" t="inlineStr">
        <is>
          <t>Hematite Conc A</t>
        </is>
      </c>
      <c r="F28" t="n">
        <v>2422.045700839587</v>
      </c>
      <c r="G28" t="n">
        <v>9.198103702121173</v>
      </c>
      <c r="H28" t="n">
        <v>0.8662716431625056</v>
      </c>
      <c r="I28" t="n">
        <v>0.4594383407553264</v>
      </c>
      <c r="J28" t="n">
        <v>13.9229847070336</v>
      </c>
      <c r="K28" t="n">
        <v>6.835913077764676</v>
      </c>
      <c r="L28" t="n">
        <v>95.84008107064706</v>
      </c>
      <c r="M28" t="n">
        <v>1284.221917489376</v>
      </c>
      <c r="N28" t="n">
        <v>20.11274173424552</v>
      </c>
      <c r="O28" t="n">
        <v>2.45</v>
      </c>
      <c r="P28" t="n">
        <v>247</v>
      </c>
      <c r="Q28" t="n">
        <v>25.89</v>
      </c>
      <c r="R28" t="n">
        <v>96.18000000000001</v>
      </c>
      <c r="S28" t="n">
        <v>4.93</v>
      </c>
      <c r="T28" t="inlineStr">
        <is>
          <t>L1026</t>
        </is>
      </c>
      <c r="U28" t="inlineStr">
        <is>
          <t>Alireza</t>
        </is>
      </c>
    </row>
    <row r="29">
      <c r="A29" s="7" t="n">
        <v>45447.125</v>
      </c>
      <c r="B29" t="n">
        <v>2</v>
      </c>
      <c r="C29" t="inlineStr">
        <is>
          <t>A</t>
        </is>
      </c>
      <c r="D29" t="inlineStr">
        <is>
          <t>R1_Basematite</t>
        </is>
      </c>
      <c r="E29" t="inlineStr">
        <is>
          <t>Hematite Conc A</t>
        </is>
      </c>
      <c r="F29" t="n">
        <v>2489.414906914079</v>
      </c>
      <c r="G29" t="n">
        <v>9.645467395843982</v>
      </c>
      <c r="H29" t="n">
        <v>0.7727471935707267</v>
      </c>
      <c r="I29" t="n">
        <v>0.4773761432670505</v>
      </c>
      <c r="J29" t="n">
        <v>14.00896844309662</v>
      </c>
      <c r="K29" t="n">
        <v>7.687911462971602</v>
      </c>
      <c r="L29" t="n">
        <v>94.95794643726924</v>
      </c>
      <c r="M29" t="n">
        <v>1280.654219259211</v>
      </c>
      <c r="N29" t="n">
        <v>22.84755205404285</v>
      </c>
      <c r="O29" t="n">
        <v>2.56</v>
      </c>
      <c r="P29" t="n">
        <v>260.7</v>
      </c>
      <c r="Q29" t="n">
        <v>27.99</v>
      </c>
      <c r="R29" t="n">
        <v>93.59</v>
      </c>
      <c r="S29" t="n">
        <v>5.86</v>
      </c>
      <c r="T29" t="inlineStr">
        <is>
          <t>L1027</t>
        </is>
      </c>
      <c r="U29" t="inlineStr">
        <is>
          <t>Reza</t>
        </is>
      </c>
    </row>
    <row r="30">
      <c r="A30" s="7" t="n">
        <v>45447.16666666666</v>
      </c>
      <c r="B30" t="n">
        <v>2</v>
      </c>
      <c r="C30" t="inlineStr">
        <is>
          <t>A</t>
        </is>
      </c>
      <c r="D30" t="inlineStr">
        <is>
          <t>R1_Basematite</t>
        </is>
      </c>
      <c r="E30" t="inlineStr">
        <is>
          <t>Hematite Conc A</t>
        </is>
      </c>
      <c r="F30" t="n">
        <v>2123.048780938165</v>
      </c>
      <c r="G30" t="n">
        <v>9.333347050091838</v>
      </c>
      <c r="H30" t="n">
        <v>0.7711952117846673</v>
      </c>
      <c r="I30" t="n">
        <v>0.5770799739272222</v>
      </c>
      <c r="J30" t="n">
        <v>13.65622081483281</v>
      </c>
      <c r="K30" t="n">
        <v>7.278756311218291</v>
      </c>
      <c r="L30" t="n">
        <v>96.98611249348384</v>
      </c>
      <c r="M30" t="n">
        <v>1271.518168304372</v>
      </c>
      <c r="N30" t="n">
        <v>23.31051785490423</v>
      </c>
      <c r="O30" t="n">
        <v>2.42</v>
      </c>
      <c r="P30" t="n">
        <v>241.9</v>
      </c>
      <c r="Q30" t="n">
        <v>28.05</v>
      </c>
      <c r="R30" t="n">
        <v>94.34</v>
      </c>
      <c r="S30" t="n">
        <v>6.43</v>
      </c>
      <c r="T30" t="inlineStr">
        <is>
          <t>L1028</t>
        </is>
      </c>
      <c r="U30" t="inlineStr">
        <is>
          <t>Sara</t>
        </is>
      </c>
    </row>
    <row r="31">
      <c r="A31" s="7" t="n">
        <v>45447.20833333334</v>
      </c>
      <c r="B31" t="n">
        <v>2</v>
      </c>
      <c r="C31" t="inlineStr">
        <is>
          <t>A</t>
        </is>
      </c>
      <c r="D31" t="inlineStr">
        <is>
          <t>R1_Basematite</t>
        </is>
      </c>
      <c r="E31" t="inlineStr">
        <is>
          <t>Hematite Conc A</t>
        </is>
      </c>
      <c r="F31" t="n">
        <v>2729.443982239436</v>
      </c>
      <c r="G31" t="n">
        <v>9.238864339981458</v>
      </c>
      <c r="H31" t="n">
        <v>0.80482973715006</v>
      </c>
      <c r="I31" t="n">
        <v>0.5063117870606353</v>
      </c>
      <c r="J31" t="n">
        <v>13.8100209542608</v>
      </c>
      <c r="K31" t="n">
        <v>7.189152273485826</v>
      </c>
      <c r="L31" t="n">
        <v>94.16282445694934</v>
      </c>
      <c r="M31" t="n">
        <v>1275.649752481394</v>
      </c>
      <c r="N31" t="n">
        <v>21.71696918199274</v>
      </c>
      <c r="O31" t="n">
        <v>2.53</v>
      </c>
      <c r="P31" t="n">
        <v>244</v>
      </c>
      <c r="Q31" t="n">
        <v>26.99</v>
      </c>
      <c r="R31" t="n">
        <v>95.33</v>
      </c>
      <c r="S31" t="n">
        <v>6</v>
      </c>
      <c r="T31" t="inlineStr">
        <is>
          <t>L1029</t>
        </is>
      </c>
      <c r="U31" t="inlineStr">
        <is>
          <t>Reza</t>
        </is>
      </c>
    </row>
    <row r="32">
      <c r="A32" s="7" t="n">
        <v>45447.25</v>
      </c>
      <c r="B32" t="n">
        <v>2</v>
      </c>
      <c r="C32" t="inlineStr">
        <is>
          <t>A</t>
        </is>
      </c>
      <c r="D32" t="inlineStr">
        <is>
          <t>R1_Basematite</t>
        </is>
      </c>
      <c r="E32" t="inlineStr">
        <is>
          <t>Hematite Conc A</t>
        </is>
      </c>
      <c r="F32" t="n">
        <v>2294.940498808058</v>
      </c>
      <c r="G32" t="n">
        <v>9.64116754950089</v>
      </c>
      <c r="H32" t="n">
        <v>0.7716215816335137</v>
      </c>
      <c r="I32" t="n">
        <v>0.5875021721770211</v>
      </c>
      <c r="J32" t="n">
        <v>15.06059595761337</v>
      </c>
      <c r="K32" t="n">
        <v>7.091144958893082</v>
      </c>
      <c r="L32" t="n">
        <v>107.1000402961832</v>
      </c>
      <c r="M32" t="n">
        <v>1290.043318568692</v>
      </c>
      <c r="N32" t="n">
        <v>21.09124586761532</v>
      </c>
      <c r="O32" t="n">
        <v>2.41</v>
      </c>
      <c r="P32" t="n">
        <v>287.6</v>
      </c>
      <c r="Q32" t="n">
        <v>25.14</v>
      </c>
      <c r="R32" t="n">
        <v>96.75</v>
      </c>
      <c r="S32" t="n">
        <v>5.13</v>
      </c>
      <c r="T32" t="inlineStr">
        <is>
          <t>L1030</t>
        </is>
      </c>
      <c r="U32" t="inlineStr">
        <is>
          <t>Alireza</t>
        </is>
      </c>
    </row>
    <row r="33">
      <c r="A33" s="7" t="n">
        <v>45447.29166666666</v>
      </c>
      <c r="B33" t="n">
        <v>2</v>
      </c>
      <c r="C33" t="inlineStr">
        <is>
          <t>A</t>
        </is>
      </c>
      <c r="D33" t="inlineStr">
        <is>
          <t>R1_Basematite</t>
        </is>
      </c>
      <c r="E33" t="inlineStr">
        <is>
          <t>Hematite Conc A</t>
        </is>
      </c>
      <c r="F33" t="n">
        <v>2046.553785526288</v>
      </c>
      <c r="G33" t="n">
        <v>9.075881936312333</v>
      </c>
      <c r="H33" t="n">
        <v>0.9062604065176453</v>
      </c>
      <c r="I33" t="n">
        <v>0.4786354406466439</v>
      </c>
      <c r="J33" t="n">
        <v>14.6387980841643</v>
      </c>
      <c r="K33" t="n">
        <v>7.151130290924474</v>
      </c>
      <c r="L33" t="n">
        <v>86.94223575977108</v>
      </c>
      <c r="M33" t="n">
        <v>1286.669767955334</v>
      </c>
      <c r="N33" t="n">
        <v>23.49058603558676</v>
      </c>
      <c r="O33" t="n">
        <v>2.24</v>
      </c>
      <c r="P33" t="n">
        <v>263.2</v>
      </c>
      <c r="Q33" t="n">
        <v>23.62</v>
      </c>
      <c r="R33" t="n">
        <v>97.17</v>
      </c>
      <c r="S33" t="n">
        <v>4.89</v>
      </c>
      <c r="T33" t="inlineStr">
        <is>
          <t>L1031</t>
        </is>
      </c>
      <c r="U33" t="inlineStr">
        <is>
          <t>Sara</t>
        </is>
      </c>
    </row>
    <row r="34">
      <c r="A34" s="7" t="n">
        <v>45447.33333333334</v>
      </c>
      <c r="B34" t="n">
        <v>2</v>
      </c>
      <c r="C34" t="inlineStr">
        <is>
          <t>B</t>
        </is>
      </c>
      <c r="D34" t="inlineStr">
        <is>
          <t>R1_Basematite</t>
        </is>
      </c>
      <c r="E34" t="inlineStr">
        <is>
          <t>Hematite Conc A</t>
        </is>
      </c>
      <c r="F34" t="n">
        <v>2435.244591109728</v>
      </c>
      <c r="G34" t="n">
        <v>9.594380829624962</v>
      </c>
      <c r="H34" t="n">
        <v>0.9246338762942103</v>
      </c>
      <c r="I34" t="n">
        <v>0.5966332416907468</v>
      </c>
      <c r="J34" t="n">
        <v>13.80282783071646</v>
      </c>
      <c r="K34" t="n">
        <v>7.718981575995773</v>
      </c>
      <c r="L34" t="n">
        <v>96.33092971627532</v>
      </c>
      <c r="M34" t="n">
        <v>1292.665530120155</v>
      </c>
      <c r="N34" t="n">
        <v>22.34630750139656</v>
      </c>
      <c r="O34" t="n">
        <v>2.86</v>
      </c>
      <c r="P34" t="n">
        <v>303.1</v>
      </c>
      <c r="Q34" t="n">
        <v>25.15</v>
      </c>
      <c r="R34" t="n">
        <v>95.88</v>
      </c>
      <c r="S34" t="n">
        <v>5.32</v>
      </c>
      <c r="T34" t="inlineStr">
        <is>
          <t>L1032</t>
        </is>
      </c>
      <c r="U34" t="inlineStr">
        <is>
          <t>Mohsen</t>
        </is>
      </c>
    </row>
    <row r="35">
      <c r="A35" s="7" t="n">
        <v>45447.375</v>
      </c>
      <c r="B35" t="n">
        <v>2</v>
      </c>
      <c r="C35" t="inlineStr">
        <is>
          <t>B</t>
        </is>
      </c>
      <c r="D35" t="inlineStr">
        <is>
          <t>R1_Basematite</t>
        </is>
      </c>
      <c r="E35" t="inlineStr">
        <is>
          <t>Hematite Conc A</t>
        </is>
      </c>
      <c r="F35" t="n">
        <v>2712.346475154395</v>
      </c>
      <c r="G35" t="n">
        <v>9.450301294254585</v>
      </c>
      <c r="H35" t="n">
        <v>0.8310792155995019</v>
      </c>
      <c r="I35" t="n">
        <v>0.5417194511558533</v>
      </c>
      <c r="J35" t="n">
        <v>14.79775863799893</v>
      </c>
      <c r="K35" t="n">
        <v>7.025175235234808</v>
      </c>
      <c r="L35" t="n">
        <v>102.1994636485301</v>
      </c>
      <c r="M35" t="n">
        <v>1297.363390026293</v>
      </c>
      <c r="N35" t="n">
        <v>20.41635693252817</v>
      </c>
      <c r="O35" t="n">
        <v>2.48</v>
      </c>
      <c r="P35" t="n">
        <v>280.2</v>
      </c>
      <c r="Q35" t="n">
        <v>26.12</v>
      </c>
      <c r="R35" t="n">
        <v>95.68000000000001</v>
      </c>
      <c r="S35" t="n">
        <v>5.13</v>
      </c>
      <c r="T35" t="inlineStr">
        <is>
          <t>L1033</t>
        </is>
      </c>
      <c r="U35" t="inlineStr">
        <is>
          <t>Reza</t>
        </is>
      </c>
    </row>
    <row r="36">
      <c r="A36" s="7" t="n">
        <v>45447.41666666666</v>
      </c>
      <c r="B36" t="n">
        <v>2</v>
      </c>
      <c r="C36" t="inlineStr">
        <is>
          <t>B</t>
        </is>
      </c>
      <c r="D36" t="inlineStr">
        <is>
          <t>R1_Basematite</t>
        </is>
      </c>
      <c r="E36" t="inlineStr">
        <is>
          <t>Hematite Conc A</t>
        </is>
      </c>
      <c r="F36" t="n">
        <v>2356.651825201417</v>
      </c>
      <c r="G36" t="n">
        <v>8.981194698800856</v>
      </c>
      <c r="H36" t="n">
        <v>0.912416688849867</v>
      </c>
      <c r="I36" t="n">
        <v>0.5625980766981659</v>
      </c>
      <c r="J36" t="n">
        <v>13.44696029232123</v>
      </c>
      <c r="K36" t="n">
        <v>8.059622263692031</v>
      </c>
      <c r="L36" t="n">
        <v>99.10542107229716</v>
      </c>
      <c r="M36" t="n">
        <v>1276.186763639001</v>
      </c>
      <c r="N36" t="n">
        <v>21.75480322940553</v>
      </c>
      <c r="O36" t="n">
        <v>2.55</v>
      </c>
      <c r="P36" t="n">
        <v>306.6</v>
      </c>
      <c r="Q36" t="n">
        <v>25.92</v>
      </c>
      <c r="R36" t="n">
        <v>95.14</v>
      </c>
      <c r="S36" t="n">
        <v>5.4</v>
      </c>
      <c r="T36" t="inlineStr">
        <is>
          <t>L1034</t>
        </is>
      </c>
      <c r="U36" t="inlineStr">
        <is>
          <t>Alireza</t>
        </is>
      </c>
    </row>
    <row r="37">
      <c r="A37" s="7" t="n">
        <v>45447.45833333334</v>
      </c>
      <c r="B37" t="n">
        <v>2</v>
      </c>
      <c r="C37" t="inlineStr">
        <is>
          <t>B</t>
        </is>
      </c>
      <c r="D37" t="inlineStr">
        <is>
          <t>R1_Basematite</t>
        </is>
      </c>
      <c r="E37" t="inlineStr">
        <is>
          <t>Hematite Conc A</t>
        </is>
      </c>
      <c r="F37" t="n">
        <v>2729.22961176302</v>
      </c>
      <c r="G37" t="n">
        <v>9.663521456328461</v>
      </c>
      <c r="H37" t="n">
        <v>0.7974508528394759</v>
      </c>
      <c r="I37" t="n">
        <v>0.4982039365050076</v>
      </c>
      <c r="J37" t="n">
        <v>15.108187098881</v>
      </c>
      <c r="K37" t="n">
        <v>7.918197881608402</v>
      </c>
      <c r="L37" t="n">
        <v>96.67073023652004</v>
      </c>
      <c r="M37" t="n">
        <v>1294.571364769211</v>
      </c>
      <c r="N37" t="n">
        <v>22.28946368491484</v>
      </c>
      <c r="O37" t="n">
        <v>2.17</v>
      </c>
      <c r="P37" t="n">
        <v>287.6</v>
      </c>
      <c r="Q37" t="n">
        <v>26.01</v>
      </c>
      <c r="R37" t="n">
        <v>94.37</v>
      </c>
      <c r="S37" t="n">
        <v>5.62</v>
      </c>
      <c r="T37" t="inlineStr">
        <is>
          <t>L1035</t>
        </is>
      </c>
      <c r="U37" t="inlineStr">
        <is>
          <t>Sara</t>
        </is>
      </c>
    </row>
    <row r="38">
      <c r="A38" s="7" t="n">
        <v>45447.5</v>
      </c>
      <c r="B38" t="n">
        <v>2</v>
      </c>
      <c r="C38" t="inlineStr">
        <is>
          <t>B</t>
        </is>
      </c>
      <c r="D38" t="inlineStr">
        <is>
          <t>R1_Basematite</t>
        </is>
      </c>
      <c r="E38" t="inlineStr">
        <is>
          <t>Hematite Conc A</t>
        </is>
      </c>
      <c r="F38" t="n">
        <v>2730.249560185144</v>
      </c>
      <c r="G38" t="n">
        <v>9.732317887638231</v>
      </c>
      <c r="H38" t="n">
        <v>0.8244121341462181</v>
      </c>
      <c r="I38" t="n">
        <v>0.5210139109030313</v>
      </c>
      <c r="J38" t="n">
        <v>13.7786948054074</v>
      </c>
      <c r="K38" t="n">
        <v>6.558148676929973</v>
      </c>
      <c r="L38" t="n">
        <v>102.6567412946499</v>
      </c>
      <c r="M38" t="n">
        <v>1295.717005216501</v>
      </c>
      <c r="N38" t="n">
        <v>23.34224478845909</v>
      </c>
      <c r="O38" t="n">
        <v>2.49</v>
      </c>
      <c r="P38" t="n">
        <v>299.1</v>
      </c>
      <c r="Q38" t="n">
        <v>24.86</v>
      </c>
      <c r="R38" t="n">
        <v>97.52</v>
      </c>
      <c r="S38" t="n">
        <v>5.62</v>
      </c>
      <c r="T38" t="inlineStr">
        <is>
          <t>L1036</t>
        </is>
      </c>
      <c r="U38" t="inlineStr">
        <is>
          <t>Reza</t>
        </is>
      </c>
    </row>
    <row r="39">
      <c r="A39" s="7" t="n">
        <v>45447.54166666666</v>
      </c>
      <c r="B39" t="n">
        <v>2</v>
      </c>
      <c r="C39" t="inlineStr">
        <is>
          <t>B</t>
        </is>
      </c>
      <c r="D39" t="inlineStr">
        <is>
          <t>R1_Basematite</t>
        </is>
      </c>
      <c r="E39" t="inlineStr">
        <is>
          <t>Hematite Conc A</t>
        </is>
      </c>
      <c r="F39" t="n">
        <v>2294.708254919952</v>
      </c>
      <c r="G39" t="n">
        <v>9.253669016243874</v>
      </c>
      <c r="H39" t="n">
        <v>0.7290966232742042</v>
      </c>
      <c r="I39" t="n">
        <v>0.5675604402079304</v>
      </c>
      <c r="J39" t="n">
        <v>14.49779071824675</v>
      </c>
      <c r="K39" t="n">
        <v>7.026364204343794</v>
      </c>
      <c r="L39" t="n">
        <v>98.99958987737686</v>
      </c>
      <c r="M39" t="n">
        <v>1300.073531496022</v>
      </c>
      <c r="N39" t="n">
        <v>23.03996537222896</v>
      </c>
      <c r="O39" t="n">
        <v>2.28</v>
      </c>
      <c r="P39" t="n">
        <v>247.9</v>
      </c>
      <c r="Q39" t="n">
        <v>27.13</v>
      </c>
      <c r="R39" t="n">
        <v>94.84999999999999</v>
      </c>
      <c r="S39" t="n">
        <v>5.66</v>
      </c>
      <c r="T39" t="inlineStr">
        <is>
          <t>L1037</t>
        </is>
      </c>
      <c r="U39" t="inlineStr">
        <is>
          <t>Reza</t>
        </is>
      </c>
    </row>
    <row r="40">
      <c r="A40" s="7" t="n">
        <v>45447.58333333334</v>
      </c>
      <c r="B40" t="n">
        <v>2</v>
      </c>
      <c r="C40" t="inlineStr">
        <is>
          <t>B</t>
        </is>
      </c>
      <c r="D40" t="inlineStr">
        <is>
          <t>R1_Basematite</t>
        </is>
      </c>
      <c r="E40" t="inlineStr">
        <is>
          <t>Hematite Conc A</t>
        </is>
      </c>
      <c r="F40" t="n">
        <v>2006.278253250076</v>
      </c>
      <c r="G40" t="n">
        <v>9.380322076252222</v>
      </c>
      <c r="H40" t="n">
        <v>0.9342961733536161</v>
      </c>
      <c r="I40" t="n">
        <v>0.5502484831562126</v>
      </c>
      <c r="J40" t="n">
        <v>13.22119864535279</v>
      </c>
      <c r="K40" t="n">
        <v>7.670575560054385</v>
      </c>
      <c r="L40" t="n">
        <v>103.6787778790846</v>
      </c>
      <c r="M40" t="n">
        <v>1261.942208717831</v>
      </c>
      <c r="N40" t="n">
        <v>21.94335447550758</v>
      </c>
      <c r="O40" t="n">
        <v>2.59</v>
      </c>
      <c r="P40" t="n">
        <v>292.7</v>
      </c>
      <c r="Q40" t="n">
        <v>24.78</v>
      </c>
      <c r="R40" t="n">
        <v>96.69</v>
      </c>
      <c r="S40" t="n">
        <v>5.71</v>
      </c>
      <c r="T40" t="inlineStr">
        <is>
          <t>L1038</t>
        </is>
      </c>
      <c r="U40" t="inlineStr">
        <is>
          <t>Alireza</t>
        </is>
      </c>
    </row>
    <row r="41">
      <c r="A41" s="7" t="n">
        <v>45447.625</v>
      </c>
      <c r="B41" t="n">
        <v>2</v>
      </c>
      <c r="C41" t="inlineStr">
        <is>
          <t>B</t>
        </is>
      </c>
      <c r="D41" t="inlineStr">
        <is>
          <t>R1_Basematite</t>
        </is>
      </c>
      <c r="E41" t="inlineStr">
        <is>
          <t>Hematite Conc A</t>
        </is>
      </c>
      <c r="F41" t="n">
        <v>2227.667103774587</v>
      </c>
      <c r="G41" t="n">
        <v>9.239951944132459</v>
      </c>
      <c r="H41" t="n">
        <v>0.8087523620093698</v>
      </c>
      <c r="I41" t="n">
        <v>0.4938173502947579</v>
      </c>
      <c r="J41" t="n">
        <v>14.11021579664321</v>
      </c>
      <c r="K41" t="n">
        <v>6.812398758789892</v>
      </c>
      <c r="L41" t="n">
        <v>101.5657837365068</v>
      </c>
      <c r="M41" t="n">
        <v>1301.176607989377</v>
      </c>
      <c r="N41" t="n">
        <v>25.10359488231999</v>
      </c>
      <c r="O41" t="n">
        <v>2.04</v>
      </c>
      <c r="P41" t="n">
        <v>283.8</v>
      </c>
      <c r="Q41" t="n">
        <v>26.39</v>
      </c>
      <c r="R41" t="n">
        <v>96.19</v>
      </c>
      <c r="S41" t="n">
        <v>5.73</v>
      </c>
      <c r="T41" t="inlineStr">
        <is>
          <t>L1039</t>
        </is>
      </c>
      <c r="U41" t="inlineStr">
        <is>
          <t>Alireza</t>
        </is>
      </c>
    </row>
    <row r="42">
      <c r="A42" s="7" t="n">
        <v>45447.66666666666</v>
      </c>
      <c r="B42" t="n">
        <v>2</v>
      </c>
      <c r="C42" t="inlineStr">
        <is>
          <t>C</t>
        </is>
      </c>
      <c r="D42" t="inlineStr">
        <is>
          <t>R1_Basematite</t>
        </is>
      </c>
      <c r="E42" t="inlineStr">
        <is>
          <t>Hematite Conc A</t>
        </is>
      </c>
      <c r="F42" t="n">
        <v>2663.737800059776</v>
      </c>
      <c r="G42" t="n">
        <v>8.944849361723122</v>
      </c>
      <c r="H42" t="n">
        <v>0.9347673178044119</v>
      </c>
      <c r="I42" t="n">
        <v>0.5523280893796426</v>
      </c>
      <c r="J42" t="n">
        <v>13.76119487935339</v>
      </c>
      <c r="K42" t="n">
        <v>6.384104232353136</v>
      </c>
      <c r="L42" t="n">
        <v>96.66747742355309</v>
      </c>
      <c r="M42" t="n">
        <v>1286.601331679965</v>
      </c>
      <c r="N42" t="n">
        <v>20.89879135295549</v>
      </c>
      <c r="O42" t="n">
        <v>2.4</v>
      </c>
      <c r="P42" t="n">
        <v>300.1</v>
      </c>
      <c r="R42" t="n">
        <v>94.81999999999999</v>
      </c>
      <c r="S42" t="n">
        <v>5.41</v>
      </c>
      <c r="T42" t="inlineStr">
        <is>
          <t>L1040</t>
        </is>
      </c>
      <c r="U42" t="inlineStr">
        <is>
          <t>Sara</t>
        </is>
      </c>
      <c r="V42" t="inlineStr">
        <is>
          <t>Missing</t>
        </is>
      </c>
    </row>
    <row r="43">
      <c r="A43" s="7" t="n">
        <v>45447.70833333334</v>
      </c>
      <c r="B43" t="n">
        <v>2</v>
      </c>
      <c r="C43" t="inlineStr">
        <is>
          <t>C</t>
        </is>
      </c>
      <c r="D43" t="inlineStr">
        <is>
          <t>R1_Basematite</t>
        </is>
      </c>
      <c r="E43" t="inlineStr">
        <is>
          <t>Hematite Conc A</t>
        </is>
      </c>
      <c r="F43" t="n">
        <v>2302.981008748237</v>
      </c>
      <c r="G43" t="n">
        <v>9.613697719654057</v>
      </c>
      <c r="H43" t="n">
        <v>0.9344749783740924</v>
      </c>
      <c r="I43" t="n">
        <v>0.4677317751079063</v>
      </c>
      <c r="J43" t="n">
        <v>13.87050340908549</v>
      </c>
      <c r="K43" t="n">
        <v>7.342070682907694</v>
      </c>
      <c r="L43" t="n">
        <v>97.2691952207938</v>
      </c>
      <c r="M43" t="n">
        <v>1262.27295403567</v>
      </c>
      <c r="N43" t="n">
        <v>20.98269550618352</v>
      </c>
      <c r="O43" t="n">
        <v>3.23</v>
      </c>
      <c r="P43" t="n">
        <v>238.5</v>
      </c>
      <c r="Q43" t="n">
        <v>26.47</v>
      </c>
      <c r="R43" t="n">
        <v>94.84</v>
      </c>
      <c r="S43" t="n">
        <v>5.92</v>
      </c>
      <c r="T43" t="inlineStr">
        <is>
          <t>L1041</t>
        </is>
      </c>
      <c r="U43" t="inlineStr">
        <is>
          <t>Alireza</t>
        </is>
      </c>
    </row>
    <row r="44">
      <c r="A44" s="7" t="n">
        <v>45447.75</v>
      </c>
      <c r="B44" t="n">
        <v>2</v>
      </c>
      <c r="C44" t="inlineStr">
        <is>
          <t>C</t>
        </is>
      </c>
      <c r="D44" t="inlineStr">
        <is>
          <t>R1_Basematite</t>
        </is>
      </c>
      <c r="E44" t="inlineStr">
        <is>
          <t>Hematite Conc A</t>
        </is>
      </c>
      <c r="F44" t="n">
        <v>2178.078051754903</v>
      </c>
      <c r="G44" t="n">
        <v>8.983375768893197</v>
      </c>
      <c r="H44" t="n">
        <v>0.8838951916324677</v>
      </c>
      <c r="I44" t="n">
        <v>0.6428428517892462</v>
      </c>
      <c r="J44" t="n">
        <v>13.94379885887613</v>
      </c>
      <c r="K44" t="n">
        <v>7.90370616112802</v>
      </c>
      <c r="L44" t="n">
        <v>98.72542555024275</v>
      </c>
      <c r="M44" t="n">
        <v>1277.169873047725</v>
      </c>
      <c r="N44" t="n">
        <v>20.63778758520521</v>
      </c>
      <c r="O44" t="n">
        <v>2.24</v>
      </c>
      <c r="P44" t="n">
        <v>276.6</v>
      </c>
      <c r="Q44" t="n">
        <v>27.74</v>
      </c>
      <c r="R44" t="n">
        <v>93.56999999999999</v>
      </c>
      <c r="S44" t="n">
        <v>5.56</v>
      </c>
      <c r="T44" t="inlineStr">
        <is>
          <t>L1042</t>
        </is>
      </c>
      <c r="U44" t="inlineStr">
        <is>
          <t>Mohsen</t>
        </is>
      </c>
    </row>
    <row r="45">
      <c r="A45" s="7" t="n">
        <v>45447.79166666666</v>
      </c>
      <c r="B45" t="n">
        <v>2</v>
      </c>
      <c r="C45" t="inlineStr">
        <is>
          <t>C</t>
        </is>
      </c>
      <c r="D45" t="inlineStr">
        <is>
          <t>R1_Basematite</t>
        </is>
      </c>
      <c r="E45" t="inlineStr">
        <is>
          <t>Hematite Conc A</t>
        </is>
      </c>
      <c r="F45" t="n">
        <v>2209.214958670289</v>
      </c>
      <c r="G45" t="n">
        <v>9.519800011934498</v>
      </c>
      <c r="H45" t="n">
        <v>0.8639221644950028</v>
      </c>
      <c r="I45" t="n">
        <v>0.5701033907796712</v>
      </c>
      <c r="J45" t="n">
        <v>12.9940564470554</v>
      </c>
      <c r="K45" t="n">
        <v>6.368981172287258</v>
      </c>
      <c r="L45" t="n">
        <v>87.50449777509402</v>
      </c>
      <c r="M45" t="n">
        <v>1302.59000743516</v>
      </c>
      <c r="N45" t="n">
        <v>23.84530633220052</v>
      </c>
      <c r="O45" t="n">
        <v>2.29</v>
      </c>
      <c r="P45" t="n">
        <v>270</v>
      </c>
      <c r="Q45" t="n">
        <v>25.47</v>
      </c>
      <c r="R45" t="n">
        <v>95.39</v>
      </c>
      <c r="S45" t="n">
        <v>4.98</v>
      </c>
      <c r="T45" t="inlineStr">
        <is>
          <t>L1043</t>
        </is>
      </c>
      <c r="U45" t="inlineStr">
        <is>
          <t>Alireza</t>
        </is>
      </c>
    </row>
    <row r="46">
      <c r="A46" s="7" t="n">
        <v>45447.83333333334</v>
      </c>
      <c r="B46" t="n">
        <v>2</v>
      </c>
      <c r="C46" t="inlineStr">
        <is>
          <t>C</t>
        </is>
      </c>
      <c r="D46" t="inlineStr">
        <is>
          <t>R1_Basematite</t>
        </is>
      </c>
      <c r="E46" t="inlineStr">
        <is>
          <t>Hematite Conc A</t>
        </is>
      </c>
      <c r="F46" t="n">
        <v>2450.032425959653</v>
      </c>
      <c r="G46" t="n">
        <v>9.148971852773709</v>
      </c>
      <c r="H46" t="n">
        <v>0.7756035584214371</v>
      </c>
      <c r="I46" t="n">
        <v>0.5166539457173254</v>
      </c>
      <c r="J46" t="n">
        <v>13.01445281608403</v>
      </c>
      <c r="K46" t="n">
        <v>7.728005456557515</v>
      </c>
      <c r="L46" t="n">
        <v>94.29402231952653</v>
      </c>
      <c r="M46" t="n">
        <v>1292.972671892843</v>
      </c>
      <c r="N46" t="n">
        <v>24.36969359777304</v>
      </c>
      <c r="O46" t="n">
        <v>2.61</v>
      </c>
      <c r="P46" t="n">
        <v>254.5</v>
      </c>
      <c r="Q46" t="n">
        <v>26.29</v>
      </c>
      <c r="R46" t="n">
        <v>94.56</v>
      </c>
      <c r="S46" t="n">
        <v>5.66</v>
      </c>
      <c r="T46" t="inlineStr">
        <is>
          <t>L1044</t>
        </is>
      </c>
      <c r="U46" t="inlineStr">
        <is>
          <t>Reza</t>
        </is>
      </c>
    </row>
    <row r="47">
      <c r="A47" s="7" t="n">
        <v>45447.875</v>
      </c>
      <c r="B47" t="n">
        <v>2</v>
      </c>
      <c r="C47" t="inlineStr">
        <is>
          <t>C</t>
        </is>
      </c>
      <c r="D47" t="inlineStr">
        <is>
          <t>R1_Basematite</t>
        </is>
      </c>
      <c r="E47" t="inlineStr">
        <is>
          <t>Hematite Conc A</t>
        </is>
      </c>
      <c r="F47" t="n">
        <v>2445.300472928744</v>
      </c>
      <c r="G47" t="n">
        <v>8.975040537341593</v>
      </c>
      <c r="H47" t="n">
        <v>0.9087295444712277</v>
      </c>
      <c r="I47" t="n">
        <v>0.5264416451118213</v>
      </c>
      <c r="J47" t="n">
        <v>14.83724131774606</v>
      </c>
      <c r="K47" t="n">
        <v>6.517744259903346</v>
      </c>
      <c r="L47" t="n">
        <v>100.5773376946223</v>
      </c>
      <c r="M47" t="n">
        <v>1292.447103742284</v>
      </c>
      <c r="N47" t="n">
        <v>23.62742577858111</v>
      </c>
      <c r="O47" t="n">
        <v>2.48</v>
      </c>
      <c r="P47" t="n">
        <v>304.6</v>
      </c>
      <c r="Q47" t="n">
        <v>26.56</v>
      </c>
      <c r="R47" t="n">
        <v>95.2</v>
      </c>
      <c r="S47" t="n">
        <v>5.61</v>
      </c>
      <c r="T47" t="inlineStr">
        <is>
          <t>L1045</t>
        </is>
      </c>
      <c r="U47" t="inlineStr">
        <is>
          <t>Sara</t>
        </is>
      </c>
    </row>
    <row r="48">
      <c r="A48" s="7" t="n">
        <v>45447.91666666666</v>
      </c>
      <c r="B48" t="n">
        <v>2</v>
      </c>
      <c r="C48" t="inlineStr">
        <is>
          <t>C</t>
        </is>
      </c>
      <c r="D48" t="inlineStr">
        <is>
          <t>R1_Basematite</t>
        </is>
      </c>
      <c r="E48" t="inlineStr">
        <is>
          <t>Hematite Conc A</t>
        </is>
      </c>
      <c r="F48" t="n">
        <v>2606.96808468375</v>
      </c>
      <c r="G48" t="n">
        <v>9.548789662114979</v>
      </c>
      <c r="H48" t="n">
        <v>0.891807887808954</v>
      </c>
      <c r="I48" t="n">
        <v>0.4902994340919197</v>
      </c>
      <c r="J48" t="n">
        <v>13.30091469677578</v>
      </c>
      <c r="K48" t="n">
        <v>6.749208705525256</v>
      </c>
      <c r="L48" t="n">
        <v>93.47138912428132</v>
      </c>
      <c r="M48" t="n">
        <v>1300.443267423951</v>
      </c>
      <c r="N48" t="n">
        <v>22.66813847496354</v>
      </c>
      <c r="O48" t="n">
        <v>2.45</v>
      </c>
      <c r="P48" t="n">
        <v>372.8</v>
      </c>
      <c r="Q48" t="n">
        <v>25.88</v>
      </c>
      <c r="R48" t="n">
        <v>95.29000000000001</v>
      </c>
      <c r="S48" t="n">
        <v>5.46</v>
      </c>
      <c r="T48" t="inlineStr">
        <is>
          <t>L1046</t>
        </is>
      </c>
      <c r="U48" t="inlineStr">
        <is>
          <t>Alireza</t>
        </is>
      </c>
    </row>
    <row r="49">
      <c r="A49" s="7" t="n">
        <v>45447.95833333334</v>
      </c>
      <c r="B49" t="n">
        <v>2</v>
      </c>
      <c r="C49" t="inlineStr">
        <is>
          <t>C</t>
        </is>
      </c>
      <c r="D49" t="inlineStr">
        <is>
          <t>R1_Basematite</t>
        </is>
      </c>
      <c r="E49" t="inlineStr">
        <is>
          <t>Hematite Conc A</t>
        </is>
      </c>
      <c r="F49" t="n">
        <v>2628.028994684038</v>
      </c>
      <c r="G49" t="n">
        <v>9.41552312176219</v>
      </c>
      <c r="H49" t="n">
        <v>0.9264667618924999</v>
      </c>
      <c r="I49" t="n">
        <v>0.5458062608293668</v>
      </c>
      <c r="J49" t="n">
        <v>12.6622729727125</v>
      </c>
      <c r="K49" t="n">
        <v>7.399800358218269</v>
      </c>
      <c r="L49" t="n">
        <v>96.75638152175634</v>
      </c>
      <c r="M49" t="n">
        <v>1306.210643745061</v>
      </c>
      <c r="N49" t="n">
        <v>23.25218822413333</v>
      </c>
      <c r="O49" t="n">
        <v>2.56</v>
      </c>
      <c r="P49" t="n">
        <v>151.5446427784166</v>
      </c>
      <c r="Q49" t="n">
        <v>26.05</v>
      </c>
      <c r="R49" t="n">
        <v>95.23</v>
      </c>
      <c r="S49" t="n">
        <v>5.66</v>
      </c>
      <c r="T49" t="inlineStr">
        <is>
          <t>L1047</t>
        </is>
      </c>
      <c r="U49" t="inlineStr">
        <is>
          <t>Mohsen</t>
        </is>
      </c>
      <c r="V49" t="inlineStr">
        <is>
          <t>Outlier: suspected lab error</t>
        </is>
      </c>
    </row>
    <row r="50">
      <c r="A50" s="7" t="n">
        <v>45448</v>
      </c>
      <c r="B50" t="n">
        <v>3</v>
      </c>
      <c r="C50" t="inlineStr">
        <is>
          <t>A</t>
        </is>
      </c>
      <c r="D50" t="inlineStr">
        <is>
          <t>R1_Basematite</t>
        </is>
      </c>
      <c r="E50" t="inlineStr">
        <is>
          <t>Hematite Conc A</t>
        </is>
      </c>
      <c r="F50" t="n">
        <v>2282.195175950766</v>
      </c>
      <c r="G50" t="n">
        <v>9.979377807115915</v>
      </c>
      <c r="H50" t="n">
        <v>0.8737550931086822</v>
      </c>
      <c r="I50" t="n">
        <v>0.403948108371997</v>
      </c>
      <c r="J50" t="n">
        <v>14.27041637818398</v>
      </c>
      <c r="K50" t="n">
        <v>7.003407780214356</v>
      </c>
      <c r="L50" t="n">
        <v>95.7561060393528</v>
      </c>
      <c r="M50" t="n">
        <v>1288.406721450425</v>
      </c>
      <c r="N50" t="n">
        <v>21.66298901683097</v>
      </c>
      <c r="O50" t="n">
        <v>2.48</v>
      </c>
      <c r="P50" t="n">
        <v>215.5</v>
      </c>
      <c r="Q50" t="n">
        <v>25.41</v>
      </c>
      <c r="R50" t="n">
        <v>95.95</v>
      </c>
      <c r="S50" t="n">
        <v>5.22</v>
      </c>
      <c r="T50" t="inlineStr">
        <is>
          <t>L1048</t>
        </is>
      </c>
      <c r="U50" t="inlineStr">
        <is>
          <t>Alireza</t>
        </is>
      </c>
    </row>
    <row r="51">
      <c r="A51" s="7" t="n">
        <v>45448.04166666666</v>
      </c>
      <c r="B51" t="n">
        <v>3</v>
      </c>
      <c r="C51" t="inlineStr">
        <is>
          <t>A</t>
        </is>
      </c>
      <c r="D51" t="inlineStr">
        <is>
          <t>R1_Basematite</t>
        </is>
      </c>
      <c r="E51" t="inlineStr">
        <is>
          <t>Hematite Conc A</t>
        </is>
      </c>
      <c r="F51" t="n">
        <v>2421.783434230994</v>
      </c>
      <c r="G51" t="n">
        <v>9.308795110398016</v>
      </c>
      <c r="H51" t="n">
        <v>0.7636574210134102</v>
      </c>
      <c r="I51" t="n">
        <v>0.5401447547531192</v>
      </c>
      <c r="J51" t="n">
        <v>14.00463657769188</v>
      </c>
      <c r="K51" t="n">
        <v>6.906141269182765</v>
      </c>
      <c r="L51" t="n">
        <v>97.04702510857274</v>
      </c>
      <c r="M51" t="n">
        <v>1268.827159116533</v>
      </c>
      <c r="N51" t="n">
        <v>21.92651861328837</v>
      </c>
      <c r="O51" t="n">
        <v>2.61</v>
      </c>
      <c r="P51" t="n">
        <v>239.8</v>
      </c>
      <c r="Q51" t="n">
        <v>26.85</v>
      </c>
      <c r="R51" t="n">
        <v>94.67</v>
      </c>
      <c r="S51" t="n">
        <v>5.5</v>
      </c>
      <c r="T51" t="inlineStr">
        <is>
          <t>L1049</t>
        </is>
      </c>
      <c r="U51" t="inlineStr">
        <is>
          <t>Mohsen</t>
        </is>
      </c>
    </row>
    <row r="52">
      <c r="A52" s="7" t="n">
        <v>45448.08333333334</v>
      </c>
      <c r="B52" t="n">
        <v>3</v>
      </c>
      <c r="C52" t="inlineStr">
        <is>
          <t>A</t>
        </is>
      </c>
      <c r="D52" t="inlineStr">
        <is>
          <t>R1_Basematite</t>
        </is>
      </c>
      <c r="E52" t="inlineStr">
        <is>
          <t>Hematite Conc A</t>
        </is>
      </c>
      <c r="F52" t="n">
        <v>2245.891763618306</v>
      </c>
      <c r="G52" t="n">
        <v>9.385720218486579</v>
      </c>
      <c r="H52" t="n">
        <v>0.7701098167250346</v>
      </c>
      <c r="I52" t="n">
        <v>0.6259445383871931</v>
      </c>
      <c r="J52" t="n">
        <v>14.10077746987649</v>
      </c>
      <c r="K52" t="n">
        <v>6.98115311689702</v>
      </c>
      <c r="L52" t="n">
        <v>88.87334335565588</v>
      </c>
      <c r="M52" t="n">
        <v>1289.013261570478</v>
      </c>
      <c r="N52" t="n">
        <v>24.132993321429</v>
      </c>
      <c r="O52" t="n">
        <v>2.44</v>
      </c>
      <c r="P52" t="n">
        <v>254.7</v>
      </c>
      <c r="Q52" t="n">
        <v>27.08</v>
      </c>
      <c r="R52" t="n">
        <v>94.23</v>
      </c>
      <c r="S52" t="n">
        <v>5.74</v>
      </c>
      <c r="T52" t="inlineStr">
        <is>
          <t>L1050</t>
        </is>
      </c>
      <c r="U52" t="inlineStr">
        <is>
          <t>Reza</t>
        </is>
      </c>
    </row>
    <row r="53">
      <c r="A53" s="7" t="n">
        <v>45448.125</v>
      </c>
      <c r="B53" t="n">
        <v>3</v>
      </c>
      <c r="C53" t="inlineStr">
        <is>
          <t>A</t>
        </is>
      </c>
      <c r="D53" t="inlineStr">
        <is>
          <t>R1_Basematite</t>
        </is>
      </c>
      <c r="E53" t="inlineStr">
        <is>
          <t>Hematite Conc A</t>
        </is>
      </c>
      <c r="F53" t="n">
        <v>2462.940320971111</v>
      </c>
      <c r="G53" t="n">
        <v>9.373946213505215</v>
      </c>
      <c r="H53" t="n">
        <v>0.915446246664689</v>
      </c>
      <c r="I53" t="n">
        <v>0.4359117042822532</v>
      </c>
      <c r="J53" t="n">
        <v>13.73077531939802</v>
      </c>
      <c r="K53" t="n">
        <v>6.241394713711689</v>
      </c>
      <c r="L53" t="n">
        <v>96.073743420003</v>
      </c>
      <c r="M53" t="n">
        <v>1304.470253699493</v>
      </c>
      <c r="N53" t="n">
        <v>21.93801231544273</v>
      </c>
      <c r="O53" t="n">
        <v>2.63</v>
      </c>
      <c r="P53" t="n">
        <v>237.5</v>
      </c>
      <c r="Q53" t="n">
        <v>24.72</v>
      </c>
      <c r="R53" t="n">
        <v>95.86</v>
      </c>
      <c r="S53" t="n">
        <v>4.94</v>
      </c>
      <c r="T53" t="inlineStr">
        <is>
          <t>L1051</t>
        </is>
      </c>
      <c r="U53" t="inlineStr">
        <is>
          <t>Sara</t>
        </is>
      </c>
    </row>
    <row r="54">
      <c r="A54" s="7" t="n">
        <v>45448.16666666666</v>
      </c>
      <c r="B54" t="n">
        <v>3</v>
      </c>
      <c r="C54" t="inlineStr">
        <is>
          <t>A</t>
        </is>
      </c>
      <c r="D54" t="inlineStr">
        <is>
          <t>R1_Basematite</t>
        </is>
      </c>
      <c r="E54" t="inlineStr">
        <is>
          <t>Hematite Conc A</t>
        </is>
      </c>
      <c r="F54" t="n">
        <v>2242.890592043948</v>
      </c>
      <c r="G54" t="n">
        <v>9.246181757167175</v>
      </c>
      <c r="H54" t="n">
        <v>0.9649584915195258</v>
      </c>
      <c r="I54" t="n">
        <v>0.5495056879745277</v>
      </c>
      <c r="J54" t="n">
        <v>14.41155254500591</v>
      </c>
      <c r="K54" t="n">
        <v>7.903096710527574</v>
      </c>
      <c r="L54" t="n">
        <v>100.499908866856</v>
      </c>
      <c r="M54" t="n">
        <v>1279.771102131484</v>
      </c>
      <c r="N54" t="n">
        <v>20.78551091128681</v>
      </c>
      <c r="O54" t="n">
        <v>2.68</v>
      </c>
      <c r="P54" t="n">
        <v>311.1</v>
      </c>
      <c r="Q54" t="n">
        <v>26.19</v>
      </c>
      <c r="R54" t="n">
        <v>96.43000000000001</v>
      </c>
      <c r="S54" t="n">
        <v>5.16</v>
      </c>
      <c r="T54" t="inlineStr">
        <is>
          <t>L1052</t>
        </is>
      </c>
      <c r="U54" t="inlineStr">
        <is>
          <t>Sara</t>
        </is>
      </c>
    </row>
    <row r="55">
      <c r="A55" s="7" t="n">
        <v>45448.20833333334</v>
      </c>
      <c r="B55" t="n">
        <v>3</v>
      </c>
      <c r="C55" t="inlineStr">
        <is>
          <t>A</t>
        </is>
      </c>
      <c r="D55" t="inlineStr">
        <is>
          <t>R1_Basematite</t>
        </is>
      </c>
      <c r="E55" t="inlineStr">
        <is>
          <t>Hematite Conc A</t>
        </is>
      </c>
      <c r="F55" t="n">
        <v>2233.954720018517</v>
      </c>
      <c r="G55" t="n">
        <v>9.794413243686044</v>
      </c>
      <c r="H55" t="n">
        <v>0.8320206941215881</v>
      </c>
      <c r="I55" t="n">
        <v>0.5133701072622644</v>
      </c>
      <c r="J55" t="n">
        <v>14.55477207448927</v>
      </c>
      <c r="K55" t="n">
        <v>6.947367122784041</v>
      </c>
      <c r="L55" t="n">
        <v>84.08679046433139</v>
      </c>
      <c r="M55" t="n">
        <v>1286.748307261538</v>
      </c>
      <c r="N55" t="n">
        <v>21.17435858773606</v>
      </c>
      <c r="O55" t="n">
        <v>2.48</v>
      </c>
      <c r="Q55" t="n">
        <v>28.98</v>
      </c>
      <c r="R55" t="n">
        <v>92.73999999999999</v>
      </c>
      <c r="S55" t="n">
        <v>6.39</v>
      </c>
      <c r="T55" t="inlineStr">
        <is>
          <t>L1053</t>
        </is>
      </c>
      <c r="U55" t="inlineStr">
        <is>
          <t>Mohsen</t>
        </is>
      </c>
      <c r="V55" t="inlineStr">
        <is>
          <t>Missing</t>
        </is>
      </c>
    </row>
    <row r="56">
      <c r="A56" s="7" t="n">
        <v>45448.25</v>
      </c>
      <c r="B56" t="n">
        <v>3</v>
      </c>
      <c r="C56" t="inlineStr">
        <is>
          <t>A</t>
        </is>
      </c>
      <c r="D56" t="inlineStr">
        <is>
          <t>R1_Basematite</t>
        </is>
      </c>
      <c r="E56" t="inlineStr">
        <is>
          <t>Hematite Conc A</t>
        </is>
      </c>
      <c r="F56" t="n">
        <v>2832.215948111475</v>
      </c>
      <c r="G56" t="n">
        <v>9.860176995396218</v>
      </c>
      <c r="H56" t="n">
        <v>0.8450695684164097</v>
      </c>
      <c r="I56" t="n">
        <v>0.5325349936784043</v>
      </c>
      <c r="J56" t="n">
        <v>13.87265831049918</v>
      </c>
      <c r="K56" t="n">
        <v>6.635651661168621</v>
      </c>
      <c r="L56" t="n">
        <v>81.47361098630849</v>
      </c>
      <c r="M56" t="n">
        <v>1277.562468589212</v>
      </c>
      <c r="N56" t="n">
        <v>21.23181085201943</v>
      </c>
      <c r="O56" t="n">
        <v>2.2</v>
      </c>
      <c r="P56" t="n">
        <v>247.5</v>
      </c>
      <c r="Q56" t="n">
        <v>26.58</v>
      </c>
      <c r="R56" t="n">
        <v>94.76000000000001</v>
      </c>
      <c r="S56" t="n">
        <v>5.71</v>
      </c>
      <c r="T56" t="inlineStr">
        <is>
          <t>L1054</t>
        </is>
      </c>
      <c r="U56" t="inlineStr">
        <is>
          <t>Mohsen</t>
        </is>
      </c>
    </row>
    <row r="57">
      <c r="A57" s="7" t="n">
        <v>45448.29166666666</v>
      </c>
      <c r="B57" t="n">
        <v>3</v>
      </c>
      <c r="C57" t="inlineStr">
        <is>
          <t>A</t>
        </is>
      </c>
      <c r="D57" t="inlineStr">
        <is>
          <t>R1_Basematite</t>
        </is>
      </c>
      <c r="E57" t="inlineStr">
        <is>
          <t>Hematite Conc A</t>
        </is>
      </c>
      <c r="F57" t="n">
        <v>2455.829999916594</v>
      </c>
      <c r="G57" t="n">
        <v>9.572346944289501</v>
      </c>
      <c r="H57" t="n">
        <v>0.8725721649423648</v>
      </c>
      <c r="I57" t="n">
        <v>0.4825554517952598</v>
      </c>
      <c r="J57" t="n">
        <v>14.24969541118619</v>
      </c>
      <c r="K57" t="n">
        <v>6.586824702688402</v>
      </c>
      <c r="L57" t="n">
        <v>93.69060842850352</v>
      </c>
      <c r="M57" t="n">
        <v>1292.779688741415</v>
      </c>
      <c r="N57" t="n">
        <v>21.78668673769253</v>
      </c>
      <c r="O57" t="n">
        <v>2.5</v>
      </c>
      <c r="P57" t="n">
        <v>275.6</v>
      </c>
      <c r="Q57" t="n">
        <v>25.98</v>
      </c>
      <c r="R57" t="n">
        <v>95.8</v>
      </c>
      <c r="S57" t="n">
        <v>5.42</v>
      </c>
      <c r="T57" t="inlineStr">
        <is>
          <t>L1055</t>
        </is>
      </c>
      <c r="U57" t="inlineStr">
        <is>
          <t>Alireza</t>
        </is>
      </c>
    </row>
    <row r="58">
      <c r="A58" s="7" t="n">
        <v>45448.33333333334</v>
      </c>
      <c r="B58" t="n">
        <v>3</v>
      </c>
      <c r="C58" t="inlineStr">
        <is>
          <t>B</t>
        </is>
      </c>
      <c r="D58" t="inlineStr">
        <is>
          <t>R1_Basematite</t>
        </is>
      </c>
      <c r="E58" t="inlineStr">
        <is>
          <t>Hematite Conc A</t>
        </is>
      </c>
      <c r="F58" t="n">
        <v>2565.77215022666</v>
      </c>
      <c r="G58" t="n">
        <v>8.981906816946971</v>
      </c>
      <c r="H58" t="n">
        <v>0.8646370448262103</v>
      </c>
      <c r="I58" t="n">
        <v>0.5904944624278938</v>
      </c>
      <c r="J58" t="n">
        <v>12.83248918704757</v>
      </c>
      <c r="K58" t="n">
        <v>7.43821222626018</v>
      </c>
      <c r="L58" t="n">
        <v>95.3156406095862</v>
      </c>
      <c r="M58" t="n">
        <v>1268.610010498185</v>
      </c>
      <c r="N58" t="n">
        <v>24.1797569339366</v>
      </c>
      <c r="O58" t="n">
        <v>2.69</v>
      </c>
      <c r="P58" t="n">
        <v>350.9</v>
      </c>
      <c r="Q58" t="n">
        <v>27.36</v>
      </c>
      <c r="R58" t="n">
        <v>94.59999999999999</v>
      </c>
      <c r="S58" t="n">
        <v>5.89</v>
      </c>
      <c r="T58" t="inlineStr">
        <is>
          <t>L1056</t>
        </is>
      </c>
      <c r="U58" t="inlineStr">
        <is>
          <t>Mohsen</t>
        </is>
      </c>
    </row>
    <row r="59">
      <c r="A59" s="7" t="n">
        <v>45448.375</v>
      </c>
      <c r="B59" t="n">
        <v>3</v>
      </c>
      <c r="C59" t="inlineStr">
        <is>
          <t>B</t>
        </is>
      </c>
      <c r="D59" t="inlineStr">
        <is>
          <t>R1_Basematite</t>
        </is>
      </c>
      <c r="E59" t="inlineStr">
        <is>
          <t>Hematite Conc A</t>
        </is>
      </c>
      <c r="F59" t="n">
        <v>2906.857708157513</v>
      </c>
      <c r="G59" t="n">
        <v>9.493037213396027</v>
      </c>
      <c r="H59" t="n">
        <v>0.8708782246465601</v>
      </c>
      <c r="I59" t="n">
        <v>0.4766159866928822</v>
      </c>
      <c r="J59" t="n">
        <v>13.84422432112014</v>
      </c>
      <c r="K59" t="n">
        <v>7.311579934220919</v>
      </c>
      <c r="L59" t="n">
        <v>97.06564617990121</v>
      </c>
      <c r="M59" t="n">
        <v>1298.860151417109</v>
      </c>
      <c r="N59" t="n">
        <v>23.36081561941374</v>
      </c>
      <c r="O59" t="n">
        <v>2.36</v>
      </c>
      <c r="P59" t="n">
        <v>302</v>
      </c>
      <c r="Q59" t="n">
        <v>25.11</v>
      </c>
      <c r="R59" t="n">
        <v>96.98</v>
      </c>
      <c r="S59" t="n">
        <v>5.31</v>
      </c>
      <c r="T59" t="inlineStr">
        <is>
          <t>L1057</t>
        </is>
      </c>
      <c r="U59" t="inlineStr">
        <is>
          <t>Reza</t>
        </is>
      </c>
    </row>
    <row r="60">
      <c r="A60" s="7" t="n">
        <v>45448.41666666666</v>
      </c>
      <c r="B60" t="n">
        <v>3</v>
      </c>
      <c r="C60" t="inlineStr">
        <is>
          <t>B</t>
        </is>
      </c>
      <c r="D60" t="inlineStr">
        <is>
          <t>R1_Basematite</t>
        </is>
      </c>
      <c r="E60" t="inlineStr">
        <is>
          <t>Hematite Conc A</t>
        </is>
      </c>
      <c r="F60" t="n">
        <v>2591.450988264301</v>
      </c>
      <c r="G60" t="n">
        <v>9.356120892206821</v>
      </c>
      <c r="H60" t="n">
        <v>0.8317094401661618</v>
      </c>
      <c r="I60" t="n">
        <v>0.5902304889970257</v>
      </c>
      <c r="J60" t="n">
        <v>13.45576003502759</v>
      </c>
      <c r="K60" t="n">
        <v>6.274981799887792</v>
      </c>
      <c r="L60" t="n">
        <v>100.6629846008253</v>
      </c>
      <c r="M60" t="n">
        <v>1297.741119012214</v>
      </c>
      <c r="N60" t="n">
        <v>24.18211069576407</v>
      </c>
      <c r="O60" t="n">
        <v>2.27</v>
      </c>
      <c r="P60" t="n">
        <v>372.9</v>
      </c>
      <c r="Q60" t="n">
        <v>26.7</v>
      </c>
      <c r="R60" t="n">
        <v>95.28</v>
      </c>
      <c r="S60" t="n">
        <v>5.13</v>
      </c>
      <c r="T60" t="inlineStr">
        <is>
          <t>L1058</t>
        </is>
      </c>
      <c r="U60" t="inlineStr">
        <is>
          <t>Mohsen</t>
        </is>
      </c>
    </row>
    <row r="61">
      <c r="A61" s="7" t="n">
        <v>45448.45833333334</v>
      </c>
      <c r="B61" t="n">
        <v>3</v>
      </c>
      <c r="C61" t="inlineStr">
        <is>
          <t>B</t>
        </is>
      </c>
      <c r="D61" t="inlineStr">
        <is>
          <t>R1_Basematite</t>
        </is>
      </c>
      <c r="E61" t="inlineStr">
        <is>
          <t>Hematite Conc A</t>
        </is>
      </c>
      <c r="F61" t="n">
        <v>2429.454331652237</v>
      </c>
      <c r="G61" t="n">
        <v>9.178716916388041</v>
      </c>
      <c r="H61" t="n">
        <v>0.8631523390637417</v>
      </c>
      <c r="I61" t="n">
        <v>0.5954500406388599</v>
      </c>
      <c r="J61" t="n">
        <v>13.31324698386558</v>
      </c>
      <c r="K61" t="n">
        <v>6.91185424966467</v>
      </c>
      <c r="L61" t="n">
        <v>89.64837849811272</v>
      </c>
      <c r="M61" t="n">
        <v>1310.033651474354</v>
      </c>
      <c r="N61" t="n">
        <v>21.95204236607368</v>
      </c>
      <c r="O61" t="n">
        <v>2.27</v>
      </c>
      <c r="P61" t="n">
        <v>362.6</v>
      </c>
      <c r="Q61" t="n">
        <v>25.36</v>
      </c>
      <c r="R61" t="n">
        <v>95.95</v>
      </c>
      <c r="S61" t="n">
        <v>5.43</v>
      </c>
      <c r="T61" t="inlineStr">
        <is>
          <t>L1059</t>
        </is>
      </c>
      <c r="U61" t="inlineStr">
        <is>
          <t>Mohsen</t>
        </is>
      </c>
    </row>
    <row r="62">
      <c r="A62" s="7" t="n">
        <v>45448.5</v>
      </c>
      <c r="B62" t="n">
        <v>3</v>
      </c>
      <c r="C62" t="inlineStr">
        <is>
          <t>B</t>
        </is>
      </c>
      <c r="D62" t="inlineStr">
        <is>
          <t>R1_Basematite</t>
        </is>
      </c>
      <c r="E62" t="inlineStr">
        <is>
          <t>Hematite Conc A</t>
        </is>
      </c>
      <c r="F62" t="n">
        <v>2459.826191277995</v>
      </c>
      <c r="G62" t="n">
        <v>8.793331427894451</v>
      </c>
      <c r="H62" t="n">
        <v>0.8095149535515296</v>
      </c>
      <c r="I62" t="n">
        <v>0.552825245339174</v>
      </c>
      <c r="J62" t="n">
        <v>14.57441197520765</v>
      </c>
      <c r="K62" t="n">
        <v>6.428820359668521</v>
      </c>
      <c r="L62" t="n">
        <v>97.22875559796671</v>
      </c>
      <c r="M62" t="n">
        <v>1294.18850910276</v>
      </c>
      <c r="N62" t="n">
        <v>20.78538737039302</v>
      </c>
      <c r="O62" t="n">
        <v>2.45</v>
      </c>
      <c r="P62" t="n">
        <v>244</v>
      </c>
      <c r="Q62" t="n">
        <v>26.34</v>
      </c>
      <c r="R62" t="n">
        <v>96.34999999999999</v>
      </c>
      <c r="S62" t="n">
        <v>5.4</v>
      </c>
      <c r="T62" t="inlineStr">
        <is>
          <t>L1060</t>
        </is>
      </c>
      <c r="U62" t="inlineStr">
        <is>
          <t>Mohsen</t>
        </is>
      </c>
    </row>
    <row r="63">
      <c r="A63" s="7" t="n">
        <v>45448.54166666666</v>
      </c>
      <c r="B63" t="n">
        <v>3</v>
      </c>
      <c r="C63" t="inlineStr">
        <is>
          <t>B</t>
        </is>
      </c>
      <c r="D63" t="inlineStr">
        <is>
          <t>R1_Basematite</t>
        </is>
      </c>
      <c r="E63" t="inlineStr">
        <is>
          <t>Hematite Conc A</t>
        </is>
      </c>
      <c r="F63" t="n">
        <v>2315.991445916604</v>
      </c>
      <c r="G63" t="n">
        <v>9.645730800943298</v>
      </c>
      <c r="H63" t="n">
        <v>0.8414965961594324</v>
      </c>
      <c r="I63" t="n">
        <v>0.5718348042687051</v>
      </c>
      <c r="J63" t="n">
        <v>12.70802511294025</v>
      </c>
      <c r="K63" t="n">
        <v>7.357356555201203</v>
      </c>
      <c r="L63" t="n">
        <v>99.50564865318721</v>
      </c>
      <c r="M63" t="n">
        <v>1284.335078820563</v>
      </c>
      <c r="N63" t="n">
        <v>22.57627423234543</v>
      </c>
      <c r="O63" t="n">
        <v>2.43</v>
      </c>
      <c r="P63" t="n">
        <v>278.9</v>
      </c>
      <c r="Q63" t="n">
        <v>28.21</v>
      </c>
      <c r="R63" t="n">
        <v>94.22</v>
      </c>
      <c r="S63" t="n">
        <v>5.83</v>
      </c>
      <c r="T63" t="inlineStr">
        <is>
          <t>L1061</t>
        </is>
      </c>
      <c r="U63" t="inlineStr">
        <is>
          <t>Mohsen</t>
        </is>
      </c>
    </row>
    <row r="64">
      <c r="A64" s="7" t="n">
        <v>45448.58333333334</v>
      </c>
      <c r="B64" t="n">
        <v>3</v>
      </c>
      <c r="C64" t="inlineStr">
        <is>
          <t>B</t>
        </is>
      </c>
      <c r="D64" t="inlineStr">
        <is>
          <t>R1_Basematite</t>
        </is>
      </c>
      <c r="E64" t="inlineStr">
        <is>
          <t>Hematite Conc A</t>
        </is>
      </c>
      <c r="F64" t="n">
        <v>2646.980919368617</v>
      </c>
      <c r="G64" t="n">
        <v>9.756357174579749</v>
      </c>
      <c r="H64" t="n">
        <v>0.896172933912415</v>
      </c>
      <c r="I64" t="n">
        <v>0.4442471509317018</v>
      </c>
      <c r="J64" t="n">
        <v>14.1443034788926</v>
      </c>
      <c r="K64" t="n">
        <v>6.831672332152132</v>
      </c>
      <c r="L64" t="n">
        <v>98.53339374176258</v>
      </c>
      <c r="M64" t="n">
        <v>1288.747946806875</v>
      </c>
      <c r="N64" t="n">
        <v>23.2750801215274</v>
      </c>
      <c r="O64" t="n">
        <v>2.52</v>
      </c>
      <c r="P64" t="n">
        <v>254.9</v>
      </c>
      <c r="Q64" t="n">
        <v>24.8</v>
      </c>
      <c r="R64" t="n">
        <v>96.45999999999999</v>
      </c>
      <c r="S64" t="n">
        <v>4.3</v>
      </c>
      <c r="T64" t="inlineStr">
        <is>
          <t>L1062</t>
        </is>
      </c>
      <c r="U64" t="inlineStr">
        <is>
          <t>Sara</t>
        </is>
      </c>
    </row>
    <row r="65">
      <c r="A65" s="7" t="n">
        <v>45448.625</v>
      </c>
      <c r="B65" t="n">
        <v>3</v>
      </c>
      <c r="C65" t="inlineStr">
        <is>
          <t>B</t>
        </is>
      </c>
      <c r="D65" t="inlineStr">
        <is>
          <t>R1_Basematite</t>
        </is>
      </c>
      <c r="E65" t="inlineStr">
        <is>
          <t>Hematite Conc A</t>
        </is>
      </c>
      <c r="F65" t="n">
        <v>2390.549836618161</v>
      </c>
      <c r="G65" t="n">
        <v>9.445547204786807</v>
      </c>
      <c r="H65" t="n">
        <v>0.8526770967715305</v>
      </c>
      <c r="I65" t="n">
        <v>0.509480246992263</v>
      </c>
      <c r="J65" t="n">
        <v>13.16506724169802</v>
      </c>
      <c r="K65" t="n">
        <v>7.463722953707153</v>
      </c>
      <c r="L65" t="n">
        <v>89.90527475012888</v>
      </c>
      <c r="M65" t="n">
        <v>1295.549657879204</v>
      </c>
      <c r="N65" t="n">
        <v>21.65394610742035</v>
      </c>
      <c r="O65" t="n">
        <v>2.14</v>
      </c>
      <c r="P65" t="n">
        <v>260.3</v>
      </c>
      <c r="Q65" t="n">
        <v>26.64</v>
      </c>
      <c r="R65" t="n">
        <v>95.62</v>
      </c>
      <c r="S65" t="n">
        <v>5.55</v>
      </c>
      <c r="T65" t="inlineStr">
        <is>
          <t>L1063</t>
        </is>
      </c>
      <c r="U65" t="inlineStr">
        <is>
          <t>Alireza</t>
        </is>
      </c>
    </row>
    <row r="66">
      <c r="A66" s="7" t="n">
        <v>45448.66666666666</v>
      </c>
      <c r="B66" t="n">
        <v>3</v>
      </c>
      <c r="C66" t="inlineStr">
        <is>
          <t>C</t>
        </is>
      </c>
      <c r="D66" t="inlineStr">
        <is>
          <t>R1_Basematite</t>
        </is>
      </c>
      <c r="E66" t="inlineStr">
        <is>
          <t>Hematite Conc A</t>
        </is>
      </c>
      <c r="F66" t="n">
        <v>2767.294194607909</v>
      </c>
      <c r="G66" t="n">
        <v>9.496047912355969</v>
      </c>
      <c r="H66" t="n">
        <v>0.8046692467991984</v>
      </c>
      <c r="I66" t="n">
        <v>0.4174116810900821</v>
      </c>
      <c r="J66" t="n">
        <v>14.66237472560906</v>
      </c>
      <c r="K66" t="n">
        <v>7.4899072372748</v>
      </c>
      <c r="L66" t="n">
        <v>90.97023677562137</v>
      </c>
      <c r="M66" t="n">
        <v>1291.433251685096</v>
      </c>
      <c r="N66" t="n">
        <v>20.01000886669058</v>
      </c>
      <c r="O66" t="n">
        <v>2.21</v>
      </c>
      <c r="P66" t="n">
        <v>210.5</v>
      </c>
      <c r="Q66" t="n">
        <v>26.96</v>
      </c>
      <c r="R66" t="n">
        <v>95.08</v>
      </c>
      <c r="S66" t="n">
        <v>5.94</v>
      </c>
      <c r="T66" t="inlineStr">
        <is>
          <t>L1064</t>
        </is>
      </c>
      <c r="U66" t="inlineStr">
        <is>
          <t>Sara</t>
        </is>
      </c>
    </row>
    <row r="67">
      <c r="A67" s="7" t="n">
        <v>45448.70833333334</v>
      </c>
      <c r="B67" t="n">
        <v>3</v>
      </c>
      <c r="C67" t="inlineStr">
        <is>
          <t>C</t>
        </is>
      </c>
      <c r="D67" t="inlineStr">
        <is>
          <t>R1_Basematite</t>
        </is>
      </c>
      <c r="E67" t="inlineStr">
        <is>
          <t>Hematite Conc A</t>
        </is>
      </c>
      <c r="F67" t="n">
        <v>2387.943462540327</v>
      </c>
      <c r="G67" t="n">
        <v>9.951960148652299</v>
      </c>
      <c r="H67" t="n">
        <v>0.8691167554277835</v>
      </c>
      <c r="I67" t="n">
        <v>0.5739867390137923</v>
      </c>
      <c r="J67" t="n">
        <v>14.07862662589557</v>
      </c>
      <c r="K67" t="n">
        <v>7.717134983758601</v>
      </c>
      <c r="L67" t="n">
        <v>94.37055012151967</v>
      </c>
      <c r="M67" t="n">
        <v>1315.150837681947</v>
      </c>
      <c r="N67" t="n">
        <v>22.39211792039777</v>
      </c>
      <c r="O67" t="n">
        <v>2.11</v>
      </c>
      <c r="P67" t="n">
        <v>323.8</v>
      </c>
      <c r="Q67" t="n">
        <v>26.07</v>
      </c>
      <c r="R67" t="n">
        <v>97.04000000000001</v>
      </c>
      <c r="S67" t="n">
        <v>4.85</v>
      </c>
      <c r="T67" t="inlineStr">
        <is>
          <t>L1065</t>
        </is>
      </c>
      <c r="U67" t="inlineStr">
        <is>
          <t>Alireza</t>
        </is>
      </c>
    </row>
    <row r="68">
      <c r="A68" s="7" t="n">
        <v>45448.75</v>
      </c>
      <c r="B68" t="n">
        <v>3</v>
      </c>
      <c r="C68" t="inlineStr">
        <is>
          <t>C</t>
        </is>
      </c>
      <c r="D68" t="inlineStr">
        <is>
          <t>R1_Basematite</t>
        </is>
      </c>
      <c r="E68" t="inlineStr">
        <is>
          <t>Hematite Conc A</t>
        </is>
      </c>
      <c r="F68" t="n">
        <v>2386.347872253716</v>
      </c>
      <c r="G68" t="n">
        <v>10.0139885393059</v>
      </c>
      <c r="H68" t="n">
        <v>0.7712830461104702</v>
      </c>
      <c r="I68" t="n">
        <v>0.6004916604899484</v>
      </c>
      <c r="J68" t="n">
        <v>14.54167923979691</v>
      </c>
      <c r="K68" t="n">
        <v>6.974106066950197</v>
      </c>
      <c r="L68" t="n">
        <v>97.52745040273686</v>
      </c>
      <c r="M68" t="n">
        <v>1313.846513086947</v>
      </c>
      <c r="N68" t="n">
        <v>23.04539927389025</v>
      </c>
      <c r="O68" t="n">
        <v>2.08</v>
      </c>
      <c r="P68" t="n">
        <v>285.5</v>
      </c>
      <c r="Q68" t="n">
        <v>26.87</v>
      </c>
      <c r="R68" t="n">
        <v>94.62</v>
      </c>
      <c r="S68" t="n">
        <v>5.29</v>
      </c>
      <c r="T68" t="inlineStr">
        <is>
          <t>L1066</t>
        </is>
      </c>
      <c r="U68" t="inlineStr">
        <is>
          <t>Reza</t>
        </is>
      </c>
    </row>
    <row r="69">
      <c r="A69" s="7" t="n">
        <v>45448.79166666666</v>
      </c>
      <c r="B69" t="n">
        <v>3</v>
      </c>
      <c r="C69" t="inlineStr">
        <is>
          <t>C</t>
        </is>
      </c>
      <c r="D69" t="inlineStr">
        <is>
          <t>R1_Basematite</t>
        </is>
      </c>
      <c r="E69" t="inlineStr">
        <is>
          <t>Hematite Conc A</t>
        </is>
      </c>
      <c r="F69" t="n">
        <v>2374.512067955382</v>
      </c>
      <c r="G69" t="n">
        <v>9.414557961991321</v>
      </c>
      <c r="H69" t="n">
        <v>0.8024665491762832</v>
      </c>
      <c r="I69" t="n">
        <v>0.4674237998384708</v>
      </c>
      <c r="J69" t="n">
        <v>13.83769694421283</v>
      </c>
      <c r="K69" t="n">
        <v>6.930122575633436</v>
      </c>
      <c r="L69" t="n">
        <v>95.24235394603133</v>
      </c>
      <c r="M69" t="n">
        <v>1284.380271121379</v>
      </c>
      <c r="N69" t="n">
        <v>21.44245156403271</v>
      </c>
      <c r="O69" t="n">
        <v>2.38</v>
      </c>
      <c r="P69" t="n">
        <v>231.4</v>
      </c>
      <c r="Q69" t="n">
        <v>28.63</v>
      </c>
      <c r="R69" t="n">
        <v>94</v>
      </c>
      <c r="S69" t="n">
        <v>6.02</v>
      </c>
      <c r="T69" t="inlineStr">
        <is>
          <t>L1067</t>
        </is>
      </c>
      <c r="U69" t="inlineStr">
        <is>
          <t>Reza</t>
        </is>
      </c>
    </row>
    <row r="70">
      <c r="A70" s="7" t="n">
        <v>45448.83333333334</v>
      </c>
      <c r="B70" t="n">
        <v>3</v>
      </c>
      <c r="C70" t="inlineStr">
        <is>
          <t>C</t>
        </is>
      </c>
      <c r="D70" t="inlineStr">
        <is>
          <t>R1_Basematite</t>
        </is>
      </c>
      <c r="E70" t="inlineStr">
        <is>
          <t>Hematite Conc A</t>
        </is>
      </c>
      <c r="F70" t="n">
        <v>2562.624898352173</v>
      </c>
      <c r="G70" t="n">
        <v>8.338518696789075</v>
      </c>
      <c r="H70" t="n">
        <v>0.774880640504346</v>
      </c>
      <c r="I70" t="n">
        <v>0.5531457478406774</v>
      </c>
      <c r="J70" t="n">
        <v>13.12642008194339</v>
      </c>
      <c r="K70" t="n">
        <v>7.251602880815106</v>
      </c>
      <c r="L70" t="n">
        <v>88.55180466383675</v>
      </c>
      <c r="M70" t="n">
        <v>1291.346623083387</v>
      </c>
      <c r="N70" t="n">
        <v>20.17467443467904</v>
      </c>
      <c r="O70" t="n">
        <v>2.75</v>
      </c>
      <c r="P70" t="n">
        <v>269.2</v>
      </c>
      <c r="Q70" t="n">
        <v>27.93</v>
      </c>
      <c r="R70" t="n">
        <v>95.29000000000001</v>
      </c>
      <c r="S70" t="n">
        <v>5.73</v>
      </c>
      <c r="T70" t="inlineStr">
        <is>
          <t>L1068</t>
        </is>
      </c>
      <c r="U70" t="inlineStr">
        <is>
          <t>Mohsen</t>
        </is>
      </c>
    </row>
    <row r="71">
      <c r="A71" s="7" t="n">
        <v>45448.875</v>
      </c>
      <c r="B71" t="n">
        <v>3</v>
      </c>
      <c r="C71" t="inlineStr">
        <is>
          <t>C</t>
        </is>
      </c>
      <c r="D71" t="inlineStr">
        <is>
          <t>R1_Basematite</t>
        </is>
      </c>
      <c r="E71" t="inlineStr">
        <is>
          <t>Hematite Conc A</t>
        </is>
      </c>
      <c r="F71" t="n">
        <v>2483.648492497172</v>
      </c>
      <c r="G71" t="n">
        <v>9.586144961329092</v>
      </c>
      <c r="H71" t="n">
        <v>0.868030756668107</v>
      </c>
      <c r="I71" t="n">
        <v>0.5310967090310358</v>
      </c>
      <c r="J71" t="n">
        <v>15.4509608439399</v>
      </c>
      <c r="K71" t="n">
        <v>7.647977880374852</v>
      </c>
      <c r="L71" t="n">
        <v>101.7017971855241</v>
      </c>
      <c r="M71" t="n">
        <v>1272.596851607222</v>
      </c>
      <c r="N71" t="n">
        <v>22.59920335994167</v>
      </c>
      <c r="O71" t="n">
        <v>2.72</v>
      </c>
      <c r="P71" t="n">
        <v>264</v>
      </c>
      <c r="Q71" t="n">
        <v>27.47</v>
      </c>
      <c r="R71" t="n">
        <v>93.68000000000001</v>
      </c>
      <c r="S71" t="n">
        <v>6.74</v>
      </c>
      <c r="T71" t="inlineStr">
        <is>
          <t>L1069</t>
        </is>
      </c>
      <c r="U71" t="inlineStr">
        <is>
          <t>Reza</t>
        </is>
      </c>
    </row>
    <row r="72">
      <c r="A72" s="7" t="n">
        <v>45448.91666666666</v>
      </c>
      <c r="B72" t="n">
        <v>3</v>
      </c>
      <c r="C72" t="inlineStr">
        <is>
          <t>C</t>
        </is>
      </c>
      <c r="D72" t="inlineStr">
        <is>
          <t>R1_Basematite</t>
        </is>
      </c>
      <c r="E72" t="inlineStr">
        <is>
          <t>Hematite Conc A</t>
        </is>
      </c>
      <c r="F72" t="n">
        <v>2696.857833328013</v>
      </c>
      <c r="G72" t="n">
        <v>9.390126081710985</v>
      </c>
      <c r="H72" t="n">
        <v>0.8931453075162048</v>
      </c>
      <c r="I72" t="n">
        <v>0.4473934886731464</v>
      </c>
      <c r="J72" t="n">
        <v>13.89518336660166</v>
      </c>
      <c r="K72" t="n">
        <v>6.982228550994291</v>
      </c>
      <c r="L72" t="n">
        <v>103.4024962162025</v>
      </c>
      <c r="M72" t="n">
        <v>1292.214169229287</v>
      </c>
      <c r="N72" t="n">
        <v>23.6778191485526</v>
      </c>
      <c r="O72" t="n">
        <v>2.51</v>
      </c>
      <c r="P72" t="n">
        <v>329.7</v>
      </c>
      <c r="Q72" t="n">
        <v>26.04</v>
      </c>
      <c r="R72" t="n">
        <v>95.37</v>
      </c>
      <c r="S72" t="n">
        <v>5.47</v>
      </c>
      <c r="T72" t="inlineStr">
        <is>
          <t>L1070</t>
        </is>
      </c>
      <c r="U72" t="inlineStr">
        <is>
          <t>Alireza</t>
        </is>
      </c>
    </row>
    <row r="73">
      <c r="A73" s="7" t="n">
        <v>45448.95833333334</v>
      </c>
      <c r="B73" t="n">
        <v>3</v>
      </c>
      <c r="C73" t="inlineStr">
        <is>
          <t>C</t>
        </is>
      </c>
      <c r="D73" t="inlineStr">
        <is>
          <t>R1_Basematite</t>
        </is>
      </c>
      <c r="E73" t="inlineStr">
        <is>
          <t>Hematite Conc A</t>
        </is>
      </c>
      <c r="F73" t="n">
        <v>2350.3970679273</v>
      </c>
      <c r="G73" t="n">
        <v>9.576402909232378</v>
      </c>
      <c r="H73" t="n">
        <v>0.822356187195261</v>
      </c>
      <c r="I73" t="n">
        <v>0.5252905561258236</v>
      </c>
      <c r="J73" t="n">
        <v>13.31810714267707</v>
      </c>
      <c r="K73" t="n">
        <v>6.944705731068867</v>
      </c>
      <c r="L73" t="n">
        <v>107.8236621106469</v>
      </c>
      <c r="M73" t="n">
        <v>1301.854013179565</v>
      </c>
      <c r="N73" t="n">
        <v>20.89272099249215</v>
      </c>
      <c r="O73" t="n">
        <v>2.1</v>
      </c>
      <c r="P73" t="n">
        <v>259.5</v>
      </c>
      <c r="Q73" t="n">
        <v>25.54</v>
      </c>
      <c r="R73" t="n">
        <v>96.14</v>
      </c>
      <c r="S73" t="n">
        <v>5.33</v>
      </c>
      <c r="T73" t="inlineStr">
        <is>
          <t>L1071</t>
        </is>
      </c>
      <c r="U73" t="inlineStr">
        <is>
          <t>Reza</t>
        </is>
      </c>
    </row>
    <row r="74">
      <c r="A74" s="7" t="n">
        <v>45449</v>
      </c>
      <c r="B74" t="n">
        <v>4</v>
      </c>
      <c r="C74" t="inlineStr">
        <is>
          <t>A</t>
        </is>
      </c>
      <c r="D74" t="inlineStr">
        <is>
          <t>R1_Basematite</t>
        </is>
      </c>
      <c r="E74" t="inlineStr">
        <is>
          <t>Hematite Conc A</t>
        </is>
      </c>
      <c r="F74" t="n">
        <v>2502.242866017751</v>
      </c>
      <c r="G74" t="n">
        <v>9.155734259245571</v>
      </c>
      <c r="H74" t="n">
        <v>0.7854020672433224</v>
      </c>
      <c r="I74" t="n">
        <v>0.547349788313775</v>
      </c>
      <c r="J74" t="n">
        <v>14.66309030081769</v>
      </c>
      <c r="K74" t="n">
        <v>7.671157407826924</v>
      </c>
      <c r="L74" t="n">
        <v>92.59156541790368</v>
      </c>
      <c r="M74" t="n">
        <v>1283.689580318629</v>
      </c>
      <c r="N74" t="n">
        <v>22.64012727589545</v>
      </c>
      <c r="O74" t="n">
        <v>2.26</v>
      </c>
      <c r="P74" t="n">
        <v>277.1</v>
      </c>
      <c r="Q74" t="n">
        <v>26.55</v>
      </c>
      <c r="R74" t="n">
        <v>95.11</v>
      </c>
      <c r="S74" t="n">
        <v>5.37</v>
      </c>
      <c r="T74" t="inlineStr">
        <is>
          <t>L1072</t>
        </is>
      </c>
      <c r="U74" t="inlineStr">
        <is>
          <t>Mohsen</t>
        </is>
      </c>
    </row>
    <row r="75">
      <c r="A75" s="7" t="n">
        <v>45449.04166666666</v>
      </c>
      <c r="B75" t="n">
        <v>4</v>
      </c>
      <c r="C75" t="inlineStr">
        <is>
          <t>A</t>
        </is>
      </c>
      <c r="D75" t="inlineStr">
        <is>
          <t>R1_Basematite</t>
        </is>
      </c>
      <c r="E75" t="inlineStr">
        <is>
          <t>Hematite Conc A</t>
        </is>
      </c>
      <c r="F75" t="n">
        <v>2798.833112221119</v>
      </c>
      <c r="G75" t="n">
        <v>8.986065654898919</v>
      </c>
      <c r="H75" t="n">
        <v>0.8809307340624012</v>
      </c>
      <c r="I75" t="n">
        <v>0.5934226495241451</v>
      </c>
      <c r="J75" t="n">
        <v>15.26985951427682</v>
      </c>
      <c r="K75" t="n">
        <v>6.266293531995482</v>
      </c>
      <c r="L75" t="n">
        <v>94.45823042096477</v>
      </c>
      <c r="M75" t="n">
        <v>1264.448731618592</v>
      </c>
      <c r="N75" t="n">
        <v>22.70545296073696</v>
      </c>
      <c r="O75" t="n">
        <v>3.43</v>
      </c>
      <c r="P75" t="n">
        <v>343</v>
      </c>
      <c r="Q75" t="n">
        <v>25.9</v>
      </c>
      <c r="R75" t="n">
        <v>95.2</v>
      </c>
      <c r="S75" t="n">
        <v>5.21</v>
      </c>
      <c r="T75" t="inlineStr">
        <is>
          <t>L1073</t>
        </is>
      </c>
      <c r="U75" t="inlineStr">
        <is>
          <t>Sara</t>
        </is>
      </c>
    </row>
    <row r="76">
      <c r="A76" s="7" t="n">
        <v>45449.08333333334</v>
      </c>
      <c r="B76" t="n">
        <v>4</v>
      </c>
      <c r="C76" t="inlineStr">
        <is>
          <t>A</t>
        </is>
      </c>
      <c r="D76" t="inlineStr">
        <is>
          <t>R1_Basematite</t>
        </is>
      </c>
      <c r="E76" t="inlineStr">
        <is>
          <t>Hematite Conc A</t>
        </is>
      </c>
      <c r="F76" t="n">
        <v>2406.731296348263</v>
      </c>
      <c r="G76" t="n">
        <v>9.514443221373414</v>
      </c>
      <c r="H76" t="n">
        <v>0.865491171301399</v>
      </c>
      <c r="I76" t="n">
        <v>0.538141736693434</v>
      </c>
      <c r="J76" t="n">
        <v>14.01863289240491</v>
      </c>
      <c r="K76" t="n">
        <v>7.924507258121011</v>
      </c>
      <c r="L76" t="n">
        <v>98.42152526448137</v>
      </c>
      <c r="M76" t="n">
        <v>1300.887255082171</v>
      </c>
      <c r="N76" t="n">
        <v>21.75411588548036</v>
      </c>
      <c r="O76" t="n">
        <v>2.11</v>
      </c>
      <c r="P76" t="n">
        <v>286.3</v>
      </c>
      <c r="Q76" t="n">
        <v>26.77</v>
      </c>
      <c r="R76" t="n">
        <v>94.52</v>
      </c>
      <c r="S76" t="n">
        <v>5.61</v>
      </c>
      <c r="T76" t="inlineStr">
        <is>
          <t>L1074</t>
        </is>
      </c>
      <c r="U76" t="inlineStr">
        <is>
          <t>Mohsen</t>
        </is>
      </c>
    </row>
    <row r="77">
      <c r="A77" s="7" t="n">
        <v>45449.125</v>
      </c>
      <c r="B77" t="n">
        <v>4</v>
      </c>
      <c r="C77" t="inlineStr">
        <is>
          <t>A</t>
        </is>
      </c>
      <c r="D77" t="inlineStr">
        <is>
          <t>R1_Basematite</t>
        </is>
      </c>
      <c r="E77" t="inlineStr">
        <is>
          <t>Hematite Conc A</t>
        </is>
      </c>
      <c r="F77" t="n">
        <v>2545.870302926505</v>
      </c>
      <c r="G77" t="n">
        <v>9.231158277060468</v>
      </c>
      <c r="H77" t="n">
        <v>0.7378227174665697</v>
      </c>
      <c r="I77" t="n">
        <v>0.576587563425852</v>
      </c>
      <c r="J77" t="n">
        <v>13.72118460860633</v>
      </c>
      <c r="K77" t="n">
        <v>7.122721080369</v>
      </c>
      <c r="L77" t="n">
        <v>87.29412197059339</v>
      </c>
      <c r="M77" t="n">
        <v>1276.879853043795</v>
      </c>
      <c r="N77" t="n">
        <v>22.90412050004526</v>
      </c>
      <c r="O77" t="n">
        <v>2.24</v>
      </c>
      <c r="Q77" t="n">
        <v>26.55</v>
      </c>
      <c r="R77" t="n">
        <v>94.98999999999999</v>
      </c>
      <c r="S77" t="n">
        <v>5.72</v>
      </c>
      <c r="T77" t="inlineStr">
        <is>
          <t>L1075</t>
        </is>
      </c>
      <c r="U77" t="inlineStr">
        <is>
          <t>Alireza</t>
        </is>
      </c>
      <c r="V77" t="inlineStr">
        <is>
          <t>Missing</t>
        </is>
      </c>
    </row>
    <row r="78">
      <c r="A78" s="7" t="n">
        <v>45449.16666666666</v>
      </c>
      <c r="B78" t="n">
        <v>4</v>
      </c>
      <c r="C78" t="inlineStr">
        <is>
          <t>A</t>
        </is>
      </c>
      <c r="D78" t="inlineStr">
        <is>
          <t>R1_Basematite</t>
        </is>
      </c>
      <c r="E78" t="inlineStr">
        <is>
          <t>Hematite Conc A</t>
        </is>
      </c>
      <c r="F78" t="n">
        <v>2732.938803229721</v>
      </c>
      <c r="G78" t="n">
        <v>9.371444017897289</v>
      </c>
      <c r="H78" t="n">
        <v>0.9156739122337304</v>
      </c>
      <c r="I78" t="n">
        <v>0.641471526543103</v>
      </c>
      <c r="J78" t="n">
        <v>14.40833556307987</v>
      </c>
      <c r="K78" t="n">
        <v>7.356554420494543</v>
      </c>
      <c r="L78" t="n">
        <v>89.30081621136883</v>
      </c>
      <c r="M78" t="n">
        <v>1304.781407180883</v>
      </c>
      <c r="N78" t="n">
        <v>20.87335844660402</v>
      </c>
      <c r="O78" t="n">
        <v>2.11</v>
      </c>
      <c r="P78" t="n">
        <v>349.9</v>
      </c>
      <c r="Q78" t="n">
        <v>26.23</v>
      </c>
      <c r="R78" t="n">
        <v>95.45</v>
      </c>
      <c r="S78" t="n">
        <v>4.85</v>
      </c>
      <c r="T78" t="inlineStr">
        <is>
          <t>L1076</t>
        </is>
      </c>
      <c r="U78" t="inlineStr">
        <is>
          <t>Mohsen</t>
        </is>
      </c>
    </row>
    <row r="79">
      <c r="A79" s="7" t="n">
        <v>45449.20833333334</v>
      </c>
      <c r="B79" t="n">
        <v>4</v>
      </c>
      <c r="C79" t="inlineStr">
        <is>
          <t>A</t>
        </is>
      </c>
      <c r="D79" t="inlineStr">
        <is>
          <t>R1_Basematite</t>
        </is>
      </c>
      <c r="E79" t="inlineStr">
        <is>
          <t>Hematite Conc A</t>
        </is>
      </c>
      <c r="F79" t="n">
        <v>2549.620240383857</v>
      </c>
      <c r="G79" t="n">
        <v>9.480806506983626</v>
      </c>
      <c r="H79" t="n">
        <v>0.9123986716358039</v>
      </c>
      <c r="I79" t="n">
        <v>0.602241348760725</v>
      </c>
      <c r="J79" t="n">
        <v>14.54507194215384</v>
      </c>
      <c r="K79" t="n">
        <v>7.742006052993186</v>
      </c>
      <c r="L79" t="n">
        <v>88.16477557421389</v>
      </c>
      <c r="M79" t="n">
        <v>1266.007575223994</v>
      </c>
      <c r="N79" t="n">
        <v>22.72605411245299</v>
      </c>
      <c r="O79" t="n">
        <v>2.88</v>
      </c>
      <c r="P79" t="n">
        <v>396.1</v>
      </c>
      <c r="Q79" t="n">
        <v>26.44</v>
      </c>
      <c r="R79" t="n">
        <v>94.43000000000001</v>
      </c>
      <c r="S79" t="n">
        <v>5.75</v>
      </c>
      <c r="T79" t="inlineStr">
        <is>
          <t>L1077</t>
        </is>
      </c>
      <c r="U79" t="inlineStr">
        <is>
          <t>Mohsen</t>
        </is>
      </c>
    </row>
    <row r="80">
      <c r="A80" s="7" t="n">
        <v>45449.25</v>
      </c>
      <c r="B80" t="n">
        <v>4</v>
      </c>
      <c r="C80" t="inlineStr">
        <is>
          <t>A</t>
        </is>
      </c>
      <c r="D80" t="inlineStr">
        <is>
          <t>R1_Basematite</t>
        </is>
      </c>
      <c r="E80" t="inlineStr">
        <is>
          <t>Hematite Conc A</t>
        </is>
      </c>
      <c r="F80" t="n">
        <v>2335.789069740907</v>
      </c>
      <c r="G80" t="n">
        <v>9.370461540812595</v>
      </c>
      <c r="H80" t="n">
        <v>0.8294137594637808</v>
      </c>
      <c r="I80" t="n">
        <v>0.5060178549905758</v>
      </c>
      <c r="J80" t="n">
        <v>14.59424527302124</v>
      </c>
      <c r="K80" t="n">
        <v>6.766614311964942</v>
      </c>
      <c r="L80" t="n">
        <v>101.3043611967783</v>
      </c>
      <c r="M80" t="n">
        <v>1297.210645547269</v>
      </c>
      <c r="N80" t="n">
        <v>20.8652629469599</v>
      </c>
      <c r="O80" t="n">
        <v>2.75</v>
      </c>
      <c r="P80" t="n">
        <v>222.2</v>
      </c>
      <c r="Q80" t="n">
        <v>24.66</v>
      </c>
      <c r="R80" t="n">
        <v>96.56</v>
      </c>
      <c r="S80" t="n">
        <v>5.44</v>
      </c>
      <c r="T80" t="inlineStr">
        <is>
          <t>L1078</t>
        </is>
      </c>
      <c r="U80" t="inlineStr">
        <is>
          <t>Reza</t>
        </is>
      </c>
    </row>
    <row r="81">
      <c r="A81" s="7" t="n">
        <v>45449.29166666666</v>
      </c>
      <c r="B81" t="n">
        <v>4</v>
      </c>
      <c r="C81" t="inlineStr">
        <is>
          <t>A</t>
        </is>
      </c>
      <c r="D81" t="inlineStr">
        <is>
          <t>R1_Basematite</t>
        </is>
      </c>
      <c r="E81" t="inlineStr">
        <is>
          <t>Hematite Conc A</t>
        </is>
      </c>
      <c r="F81" t="n">
        <v>2078.776996730167</v>
      </c>
      <c r="G81" t="n">
        <v>8.830914649916803</v>
      </c>
      <c r="H81" t="n">
        <v>0.8423773717280011</v>
      </c>
      <c r="I81" t="n">
        <v>0.5725070814035551</v>
      </c>
      <c r="J81" t="n">
        <v>13.83493470563463</v>
      </c>
      <c r="K81" t="n">
        <v>7.318084383398202</v>
      </c>
      <c r="L81" t="n">
        <v>97.67461198765297</v>
      </c>
      <c r="M81" t="n">
        <v>1309.018515596018</v>
      </c>
      <c r="N81" t="n">
        <v>21.3241964434096</v>
      </c>
      <c r="O81" t="n">
        <v>2.5</v>
      </c>
      <c r="P81" t="n">
        <v>337.1</v>
      </c>
      <c r="Q81" t="n">
        <v>26.1</v>
      </c>
      <c r="R81" t="n">
        <v>95.3</v>
      </c>
      <c r="S81" t="n">
        <v>4.95</v>
      </c>
      <c r="T81" t="inlineStr">
        <is>
          <t>L1079</t>
        </is>
      </c>
      <c r="U81" t="inlineStr">
        <is>
          <t>Reza</t>
        </is>
      </c>
    </row>
    <row r="82">
      <c r="A82" s="7" t="n">
        <v>45449.33333333334</v>
      </c>
      <c r="B82" t="n">
        <v>4</v>
      </c>
      <c r="C82" t="inlineStr">
        <is>
          <t>B</t>
        </is>
      </c>
      <c r="D82" t="inlineStr">
        <is>
          <t>R1_Basematite</t>
        </is>
      </c>
      <c r="E82" t="inlineStr">
        <is>
          <t>Hematite Conc A</t>
        </is>
      </c>
      <c r="F82" t="n">
        <v>2880.769456009988</v>
      </c>
      <c r="G82" t="n">
        <v>9.533965607495556</v>
      </c>
      <c r="H82" t="n">
        <v>0.8399106473187664</v>
      </c>
      <c r="I82" t="n">
        <v>0.6316748757226613</v>
      </c>
      <c r="J82" t="n">
        <v>14.00871195808112</v>
      </c>
      <c r="K82" t="n">
        <v>7.794242426580085</v>
      </c>
      <c r="L82" t="n">
        <v>91.37982309161333</v>
      </c>
      <c r="M82" t="n">
        <v>1294.376366944694</v>
      </c>
      <c r="N82" t="n">
        <v>23.97459783238376</v>
      </c>
      <c r="O82" t="n">
        <v>2.43</v>
      </c>
      <c r="P82" t="n">
        <v>418.4</v>
      </c>
      <c r="Q82" t="n">
        <v>26.75</v>
      </c>
      <c r="R82" t="n">
        <v>95.25</v>
      </c>
      <c r="S82" t="n">
        <v>5.44</v>
      </c>
      <c r="T82" t="inlineStr">
        <is>
          <t>L1080</t>
        </is>
      </c>
      <c r="U82" t="inlineStr">
        <is>
          <t>Reza</t>
        </is>
      </c>
    </row>
    <row r="83">
      <c r="A83" s="7" t="n">
        <v>45449.375</v>
      </c>
      <c r="B83" t="n">
        <v>4</v>
      </c>
      <c r="C83" t="inlineStr">
        <is>
          <t>B</t>
        </is>
      </c>
      <c r="D83" t="inlineStr">
        <is>
          <t>R1_Basematite</t>
        </is>
      </c>
      <c r="E83" t="inlineStr">
        <is>
          <t>Hematite Conc A</t>
        </is>
      </c>
      <c r="F83" t="n">
        <v>2527.456570783466</v>
      </c>
      <c r="G83" t="n">
        <v>9.16153905092323</v>
      </c>
      <c r="H83" t="n">
        <v>0.8133904438134039</v>
      </c>
      <c r="I83" t="n">
        <v>0.6849366503460697</v>
      </c>
      <c r="J83" t="n">
        <v>14.29714818367525</v>
      </c>
      <c r="K83" t="n">
        <v>7.351300363581358</v>
      </c>
      <c r="L83" t="n">
        <v>86.52192537311717</v>
      </c>
      <c r="M83" t="n">
        <v>1286.283239383886</v>
      </c>
      <c r="N83" t="n">
        <v>22.24617871555735</v>
      </c>
      <c r="O83" t="n">
        <v>1.91</v>
      </c>
      <c r="P83" t="n">
        <v>366.1</v>
      </c>
      <c r="Q83" t="n">
        <v>27.33</v>
      </c>
      <c r="R83" t="n">
        <v>94.22</v>
      </c>
      <c r="S83" t="n">
        <v>6.34</v>
      </c>
      <c r="T83" t="inlineStr">
        <is>
          <t>L1081</t>
        </is>
      </c>
      <c r="U83" t="inlineStr">
        <is>
          <t>Sara</t>
        </is>
      </c>
    </row>
    <row r="84">
      <c r="A84" s="7" t="n">
        <v>45449.41666666666</v>
      </c>
      <c r="B84" t="n">
        <v>4</v>
      </c>
      <c r="C84" t="inlineStr">
        <is>
          <t>B</t>
        </is>
      </c>
      <c r="D84" t="inlineStr">
        <is>
          <t>R1_Basematite</t>
        </is>
      </c>
      <c r="E84" t="inlineStr">
        <is>
          <t>Hematite Conc A</t>
        </is>
      </c>
      <c r="F84" t="n">
        <v>2676.895199769266</v>
      </c>
      <c r="G84" t="n">
        <v>9.257739560169258</v>
      </c>
      <c r="H84" t="n">
        <v>0.8770127495522804</v>
      </c>
      <c r="I84" t="n">
        <v>0.5871690720495673</v>
      </c>
      <c r="J84" t="n">
        <v>15.22584389632223</v>
      </c>
      <c r="K84" t="n">
        <v>7.582284936633285</v>
      </c>
      <c r="L84" t="n">
        <v>92.26335003846131</v>
      </c>
      <c r="M84" t="n">
        <v>1291.316727183788</v>
      </c>
      <c r="N84" t="n">
        <v>20.23365777040111</v>
      </c>
      <c r="O84" t="n">
        <v>2.16</v>
      </c>
      <c r="P84" t="n">
        <v>342.5</v>
      </c>
      <c r="Q84" t="n">
        <v>24.99</v>
      </c>
      <c r="R84" t="n">
        <v>96.59999999999999</v>
      </c>
      <c r="S84" t="n">
        <v>5.22</v>
      </c>
      <c r="T84" t="inlineStr">
        <is>
          <t>L1082</t>
        </is>
      </c>
      <c r="U84" t="inlineStr">
        <is>
          <t>Alireza</t>
        </is>
      </c>
    </row>
    <row r="85">
      <c r="A85" s="7" t="n">
        <v>45449.45833333334</v>
      </c>
      <c r="B85" t="n">
        <v>4</v>
      </c>
      <c r="C85" t="inlineStr">
        <is>
          <t>B</t>
        </is>
      </c>
      <c r="D85" t="inlineStr">
        <is>
          <t>R1_Basematite</t>
        </is>
      </c>
      <c r="E85" t="inlineStr">
        <is>
          <t>Hematite Conc A</t>
        </is>
      </c>
      <c r="F85" t="n">
        <v>2364.263561155105</v>
      </c>
      <c r="G85" t="n">
        <v>9.478974446696974</v>
      </c>
      <c r="H85" t="n">
        <v>0.7957037778576855</v>
      </c>
      <c r="I85" t="n">
        <v>0.6078601849829709</v>
      </c>
      <c r="J85" t="n">
        <v>14.79924375314095</v>
      </c>
      <c r="K85" t="n">
        <v>6.858188663070469</v>
      </c>
      <c r="L85" t="n">
        <v>102.0662673945899</v>
      </c>
      <c r="M85" t="n">
        <v>1269.039687135862</v>
      </c>
      <c r="N85" t="n">
        <v>23.71228449240878</v>
      </c>
      <c r="O85" t="n">
        <v>2.58</v>
      </c>
      <c r="P85" t="n">
        <v>286</v>
      </c>
      <c r="Q85" t="n">
        <v>28.08</v>
      </c>
      <c r="R85" t="n">
        <v>93.09999999999999</v>
      </c>
      <c r="S85" t="n">
        <v>6.45</v>
      </c>
      <c r="T85" t="inlineStr">
        <is>
          <t>L1083</t>
        </is>
      </c>
      <c r="U85" t="inlineStr">
        <is>
          <t>Alireza</t>
        </is>
      </c>
    </row>
    <row r="86">
      <c r="A86" s="7" t="n">
        <v>45449.5</v>
      </c>
      <c r="B86" t="n">
        <v>4</v>
      </c>
      <c r="C86" t="inlineStr">
        <is>
          <t>B</t>
        </is>
      </c>
      <c r="D86" t="inlineStr">
        <is>
          <t>R1_Basematite</t>
        </is>
      </c>
      <c r="E86" t="inlineStr">
        <is>
          <t>Hematite Conc A</t>
        </is>
      </c>
      <c r="F86" t="n">
        <v>2777.326710166965</v>
      </c>
      <c r="G86" t="n">
        <v>8.821709508176452</v>
      </c>
      <c r="H86" t="n">
        <v>0.8248525121007131</v>
      </c>
      <c r="I86" t="n">
        <v>0.5945692837144951</v>
      </c>
      <c r="J86" t="n">
        <v>13.67570761687569</v>
      </c>
      <c r="K86" t="n">
        <v>7.573806093575707</v>
      </c>
      <c r="L86" t="n">
        <v>95.3377992744535</v>
      </c>
      <c r="M86" t="n">
        <v>1279.957094662893</v>
      </c>
      <c r="N86" t="n">
        <v>22.49129830438735</v>
      </c>
      <c r="O86" t="n">
        <v>2.49</v>
      </c>
      <c r="P86" t="n">
        <v>266.5</v>
      </c>
      <c r="R86" t="n">
        <v>95.53</v>
      </c>
      <c r="S86" t="n">
        <v>5.35</v>
      </c>
      <c r="T86" t="inlineStr">
        <is>
          <t>L1084</t>
        </is>
      </c>
      <c r="U86" t="inlineStr">
        <is>
          <t>Reza</t>
        </is>
      </c>
      <c r="V86" t="inlineStr">
        <is>
          <t>Missing</t>
        </is>
      </c>
    </row>
    <row r="87">
      <c r="A87" s="7" t="n">
        <v>45449.54166666666</v>
      </c>
      <c r="B87" t="n">
        <v>4</v>
      </c>
      <c r="C87" t="inlineStr">
        <is>
          <t>B</t>
        </is>
      </c>
      <c r="D87" t="inlineStr">
        <is>
          <t>R1_Basematite</t>
        </is>
      </c>
      <c r="E87" t="inlineStr">
        <is>
          <t>Hematite Conc A</t>
        </is>
      </c>
      <c r="F87" t="n">
        <v>2543.517084834749</v>
      </c>
      <c r="G87" t="n">
        <v>9.235772533436855</v>
      </c>
      <c r="H87" t="n">
        <v>0.8559838589104319</v>
      </c>
      <c r="I87" t="n">
        <v>0.653189429195616</v>
      </c>
      <c r="J87" t="n">
        <v>14.29051391509622</v>
      </c>
      <c r="K87" t="n">
        <v>7.304302959421697</v>
      </c>
      <c r="L87" t="n">
        <v>101.5644453326896</v>
      </c>
      <c r="M87" t="n">
        <v>1300.902262443575</v>
      </c>
      <c r="N87" t="n">
        <v>19.81977391007049</v>
      </c>
      <c r="O87" t="n">
        <v>2.16</v>
      </c>
      <c r="P87" t="n">
        <v>296.4</v>
      </c>
      <c r="Q87" t="n">
        <v>24.7</v>
      </c>
      <c r="R87" t="n">
        <v>96.83</v>
      </c>
      <c r="S87" t="n">
        <v>5.16</v>
      </c>
      <c r="T87" t="inlineStr">
        <is>
          <t>L1085</t>
        </is>
      </c>
      <c r="U87" t="inlineStr">
        <is>
          <t>Mohsen</t>
        </is>
      </c>
    </row>
    <row r="88">
      <c r="A88" s="7" t="n">
        <v>45449.58333333334</v>
      </c>
      <c r="B88" t="n">
        <v>4</v>
      </c>
      <c r="C88" t="inlineStr">
        <is>
          <t>B</t>
        </is>
      </c>
      <c r="D88" t="inlineStr">
        <is>
          <t>R1_Basematite</t>
        </is>
      </c>
      <c r="E88" t="inlineStr">
        <is>
          <t>Hematite Conc A</t>
        </is>
      </c>
      <c r="F88" t="n">
        <v>2458.963539796592</v>
      </c>
      <c r="G88" t="n">
        <v>8.688624841318781</v>
      </c>
      <c r="H88" t="n">
        <v>0.7275662946792503</v>
      </c>
      <c r="I88" t="n">
        <v>0.5973227725890339</v>
      </c>
      <c r="J88" t="n">
        <v>14.53981885509275</v>
      </c>
      <c r="K88" t="n">
        <v>6.99782354005493</v>
      </c>
      <c r="L88" t="n">
        <v>94.86494756211212</v>
      </c>
      <c r="M88" t="n">
        <v>1303.292132546488</v>
      </c>
      <c r="N88" t="n">
        <v>23.54447138667471</v>
      </c>
      <c r="O88" t="n">
        <v>2.64</v>
      </c>
      <c r="P88" t="n">
        <v>293.4</v>
      </c>
      <c r="Q88" t="n">
        <v>27.51</v>
      </c>
      <c r="R88" t="n">
        <v>94.43000000000001</v>
      </c>
      <c r="S88" t="n">
        <v>5.55</v>
      </c>
      <c r="T88" t="inlineStr">
        <is>
          <t>L1086</t>
        </is>
      </c>
      <c r="U88" t="inlineStr">
        <is>
          <t>Reza</t>
        </is>
      </c>
    </row>
    <row r="89">
      <c r="A89" s="7" t="n">
        <v>45449.625</v>
      </c>
      <c r="B89" t="n">
        <v>4</v>
      </c>
      <c r="C89" t="inlineStr">
        <is>
          <t>B</t>
        </is>
      </c>
      <c r="D89" t="inlineStr">
        <is>
          <t>R1_Basematite</t>
        </is>
      </c>
      <c r="E89" t="inlineStr">
        <is>
          <t>Hematite Conc A</t>
        </is>
      </c>
      <c r="F89" t="n">
        <v>2287.672905579817</v>
      </c>
      <c r="G89" t="n">
        <v>9.13134846257643</v>
      </c>
      <c r="H89" t="n">
        <v>0.8094222240625741</v>
      </c>
      <c r="I89" t="n">
        <v>0.6048786553910217</v>
      </c>
      <c r="J89" t="n">
        <v>13.66627431333751</v>
      </c>
      <c r="K89" t="n">
        <v>6.543903146161528</v>
      </c>
      <c r="L89" t="n">
        <v>104.0343987264256</v>
      </c>
      <c r="M89" t="n">
        <v>1277.819708096104</v>
      </c>
      <c r="N89" t="n">
        <v>22.55362376177376</v>
      </c>
      <c r="O89" t="n">
        <v>2.73</v>
      </c>
      <c r="P89" t="n">
        <v>326.1</v>
      </c>
      <c r="Q89" t="n">
        <v>27.25</v>
      </c>
      <c r="R89" t="n">
        <v>94.41</v>
      </c>
      <c r="S89" t="n">
        <v>5.78</v>
      </c>
      <c r="T89" t="inlineStr">
        <is>
          <t>L1087</t>
        </is>
      </c>
      <c r="U89" t="inlineStr">
        <is>
          <t>Sara</t>
        </is>
      </c>
    </row>
    <row r="90">
      <c r="A90" s="7" t="n">
        <v>45449.66666666666</v>
      </c>
      <c r="B90" t="n">
        <v>4</v>
      </c>
      <c r="C90" t="inlineStr">
        <is>
          <t>C</t>
        </is>
      </c>
      <c r="D90" t="inlineStr">
        <is>
          <t>R1_Basematite</t>
        </is>
      </c>
      <c r="E90" t="inlineStr">
        <is>
          <t>Hematite Conc A</t>
        </is>
      </c>
      <c r="F90" t="n">
        <v>2516.273249704689</v>
      </c>
      <c r="G90" t="n">
        <v>9.443383455775798</v>
      </c>
      <c r="H90" t="n">
        <v>0.7574441140039299</v>
      </c>
      <c r="I90" t="n">
        <v>0.5043234510710622</v>
      </c>
      <c r="J90" t="n">
        <v>12.26090736846644</v>
      </c>
      <c r="K90" t="n">
        <v>7.420379035379303</v>
      </c>
      <c r="L90" t="n">
        <v>92.17638168915896</v>
      </c>
      <c r="M90" t="n">
        <v>1279.51786112688</v>
      </c>
      <c r="N90" t="n">
        <v>22.22389009578535</v>
      </c>
      <c r="O90" t="n">
        <v>2.64</v>
      </c>
      <c r="P90" t="n">
        <v>212.5</v>
      </c>
      <c r="Q90" t="n">
        <v>25.69</v>
      </c>
      <c r="R90" t="n">
        <v>95.97</v>
      </c>
      <c r="S90" t="n">
        <v>5.85</v>
      </c>
      <c r="T90" t="inlineStr">
        <is>
          <t>L1088</t>
        </is>
      </c>
      <c r="U90" t="inlineStr">
        <is>
          <t>Mohsen</t>
        </is>
      </c>
    </row>
    <row r="91">
      <c r="A91" s="7" t="n">
        <v>45449.70833333334</v>
      </c>
      <c r="B91" t="n">
        <v>4</v>
      </c>
      <c r="C91" t="inlineStr">
        <is>
          <t>C</t>
        </is>
      </c>
      <c r="D91" t="inlineStr">
        <is>
          <t>R1_Basematite</t>
        </is>
      </c>
      <c r="E91" t="inlineStr">
        <is>
          <t>Hematite Conc A</t>
        </is>
      </c>
      <c r="F91" t="n">
        <v>2362.424594162412</v>
      </c>
      <c r="G91" t="n">
        <v>9.273083126502005</v>
      </c>
      <c r="H91" t="n">
        <v>0.8123482019333372</v>
      </c>
      <c r="I91" t="n">
        <v>0.533567425546802</v>
      </c>
      <c r="J91" t="n">
        <v>14.09665374155163</v>
      </c>
      <c r="K91" t="n">
        <v>6.670513081108329</v>
      </c>
      <c r="L91" t="n">
        <v>93.9483713827278</v>
      </c>
      <c r="M91" t="n">
        <v>1301.444230300058</v>
      </c>
      <c r="N91" t="n">
        <v>21.97395026024655</v>
      </c>
      <c r="O91" t="n">
        <v>2.45</v>
      </c>
      <c r="P91" t="n">
        <v>236.6</v>
      </c>
      <c r="Q91" t="n">
        <v>28.78</v>
      </c>
      <c r="R91" t="n">
        <v>94.76000000000001</v>
      </c>
      <c r="S91" t="n">
        <v>6.48</v>
      </c>
      <c r="T91" t="inlineStr">
        <is>
          <t>L1089</t>
        </is>
      </c>
      <c r="U91" t="inlineStr">
        <is>
          <t>Reza</t>
        </is>
      </c>
    </row>
    <row r="92">
      <c r="A92" s="7" t="n">
        <v>45449.75</v>
      </c>
      <c r="B92" t="n">
        <v>4</v>
      </c>
      <c r="C92" t="inlineStr">
        <is>
          <t>C</t>
        </is>
      </c>
      <c r="D92" t="inlineStr">
        <is>
          <t>R1_Basematite</t>
        </is>
      </c>
      <c r="E92" t="inlineStr">
        <is>
          <t>Hematite Conc A</t>
        </is>
      </c>
      <c r="F92" t="n">
        <v>2409.901547713259</v>
      </c>
      <c r="G92" t="n">
        <v>9.222201139896095</v>
      </c>
      <c r="H92" t="n">
        <v>0.8082777030591066</v>
      </c>
      <c r="I92" t="n">
        <v>0.4728447059470351</v>
      </c>
      <c r="J92" t="n">
        <v>13.70206008602699</v>
      </c>
      <c r="K92" t="n">
        <v>7.367643690401906</v>
      </c>
      <c r="L92" t="n">
        <v>95.48322300928777</v>
      </c>
      <c r="M92" t="n">
        <v>1271.734456146632</v>
      </c>
      <c r="N92" t="n">
        <v>23.27978832657881</v>
      </c>
      <c r="O92" t="n">
        <v>2.71</v>
      </c>
      <c r="P92" t="n">
        <v>256</v>
      </c>
      <c r="Q92" t="n">
        <v>28.09</v>
      </c>
      <c r="R92" t="n">
        <v>94.09999999999999</v>
      </c>
      <c r="S92" t="n">
        <v>5.85</v>
      </c>
      <c r="T92" t="inlineStr">
        <is>
          <t>L1090</t>
        </is>
      </c>
      <c r="U92" t="inlineStr">
        <is>
          <t>Alireza</t>
        </is>
      </c>
    </row>
    <row r="93">
      <c r="A93" s="7" t="n">
        <v>45449.79166666666</v>
      </c>
      <c r="B93" t="n">
        <v>4</v>
      </c>
      <c r="C93" t="inlineStr">
        <is>
          <t>C</t>
        </is>
      </c>
      <c r="D93" t="inlineStr">
        <is>
          <t>R1_Basematite</t>
        </is>
      </c>
      <c r="E93" t="inlineStr">
        <is>
          <t>Hematite Conc A</t>
        </is>
      </c>
      <c r="F93" t="n">
        <v>2157.948052869389</v>
      </c>
      <c r="G93" t="n">
        <v>9.519339369456604</v>
      </c>
      <c r="H93" t="n">
        <v>0.8297398660192821</v>
      </c>
      <c r="I93" t="n">
        <v>0.5054202397906746</v>
      </c>
      <c r="J93" t="n">
        <v>14.17749373467993</v>
      </c>
      <c r="K93" t="n">
        <v>7.93769148690223</v>
      </c>
      <c r="L93" t="n">
        <v>90.86302733640851</v>
      </c>
      <c r="M93" t="n">
        <v>1304.510945301396</v>
      </c>
      <c r="N93" t="n">
        <v>21.36292646932631</v>
      </c>
      <c r="O93" t="n">
        <v>1.92</v>
      </c>
      <c r="P93" t="n">
        <v>289.4</v>
      </c>
      <c r="Q93" t="n">
        <v>25.89</v>
      </c>
      <c r="R93" t="n">
        <v>95.8</v>
      </c>
      <c r="S93" t="n">
        <v>5.84</v>
      </c>
      <c r="T93" t="inlineStr">
        <is>
          <t>L1091</t>
        </is>
      </c>
      <c r="U93" t="inlineStr">
        <is>
          <t>Sara</t>
        </is>
      </c>
    </row>
    <row r="94">
      <c r="A94" s="7" t="n">
        <v>45449.83333333334</v>
      </c>
      <c r="B94" t="n">
        <v>4</v>
      </c>
      <c r="C94" t="inlineStr">
        <is>
          <t>C</t>
        </is>
      </c>
      <c r="D94" t="inlineStr">
        <is>
          <t>R1_Basematite</t>
        </is>
      </c>
      <c r="E94" t="inlineStr">
        <is>
          <t>Hematite Conc A</t>
        </is>
      </c>
      <c r="F94" t="n">
        <v>2361.700292557254</v>
      </c>
      <c r="G94" t="n">
        <v>9.175026974577014</v>
      </c>
      <c r="H94" t="n">
        <v>0.8526106966310867</v>
      </c>
      <c r="I94" t="n">
        <v>0.5659714321581326</v>
      </c>
      <c r="J94" t="n">
        <v>14.25727592992449</v>
      </c>
      <c r="K94" t="n">
        <v>7.023039992520935</v>
      </c>
      <c r="L94" t="n">
        <v>93.47256820011799</v>
      </c>
      <c r="M94" t="n">
        <v>1292.293158545276</v>
      </c>
      <c r="N94" t="n">
        <v>22.28065893447408</v>
      </c>
      <c r="O94" t="n">
        <v>2.05</v>
      </c>
      <c r="P94" t="n">
        <v>336.1</v>
      </c>
      <c r="Q94" t="n">
        <v>25.07</v>
      </c>
      <c r="R94" t="n">
        <v>96.56</v>
      </c>
      <c r="S94" t="n">
        <v>5.33</v>
      </c>
      <c r="T94" t="inlineStr">
        <is>
          <t>L1092</t>
        </is>
      </c>
      <c r="U94" t="inlineStr">
        <is>
          <t>Mohsen</t>
        </is>
      </c>
    </row>
    <row r="95">
      <c r="A95" s="7" t="n">
        <v>45449.875</v>
      </c>
      <c r="B95" t="n">
        <v>4</v>
      </c>
      <c r="C95" t="inlineStr">
        <is>
          <t>C</t>
        </is>
      </c>
      <c r="D95" t="inlineStr">
        <is>
          <t>R1_Basematite</t>
        </is>
      </c>
      <c r="E95" t="inlineStr">
        <is>
          <t>Hematite Conc A</t>
        </is>
      </c>
      <c r="F95" t="n">
        <v>2478.778226270837</v>
      </c>
      <c r="G95" t="n">
        <v>8.755911434746178</v>
      </c>
      <c r="H95" t="n">
        <v>0.7706564762218973</v>
      </c>
      <c r="I95" t="n">
        <v>0.6065787310665134</v>
      </c>
      <c r="J95" t="n">
        <v>14.11977992430092</v>
      </c>
      <c r="K95" t="n">
        <v>7.387352958844377</v>
      </c>
      <c r="L95" t="n">
        <v>93.46814039025541</v>
      </c>
      <c r="M95" t="n">
        <v>1295.72730570835</v>
      </c>
      <c r="N95" t="n">
        <v>23.6182348583806</v>
      </c>
      <c r="O95" t="n">
        <v>2.51</v>
      </c>
      <c r="P95" t="n">
        <v>300.8</v>
      </c>
      <c r="Q95" t="n">
        <v>25.72</v>
      </c>
      <c r="R95" t="n">
        <v>94.87</v>
      </c>
      <c r="S95" t="n">
        <v>5.4</v>
      </c>
      <c r="T95" t="inlineStr">
        <is>
          <t>L1093</t>
        </is>
      </c>
      <c r="U95" t="inlineStr">
        <is>
          <t>Mohsen</t>
        </is>
      </c>
    </row>
    <row r="96">
      <c r="A96" s="7" t="n">
        <v>45449.91666666666</v>
      </c>
      <c r="B96" t="n">
        <v>4</v>
      </c>
      <c r="C96" t="inlineStr">
        <is>
          <t>C</t>
        </is>
      </c>
      <c r="D96" t="inlineStr">
        <is>
          <t>R1_Basematite</t>
        </is>
      </c>
      <c r="E96" t="inlineStr">
        <is>
          <t>Hematite Conc A</t>
        </is>
      </c>
      <c r="F96" t="n">
        <v>2224.854891199443</v>
      </c>
      <c r="G96" t="n">
        <v>9.683535536469597</v>
      </c>
      <c r="H96" t="n">
        <v>0.8621474111482754</v>
      </c>
      <c r="I96" t="n">
        <v>0.604185145397318</v>
      </c>
      <c r="J96" t="n">
        <v>14.04811637101782</v>
      </c>
      <c r="K96" t="n">
        <v>6.647239491548875</v>
      </c>
      <c r="L96" t="n">
        <v>90.35853529299874</v>
      </c>
      <c r="M96" t="n">
        <v>1290.289836758324</v>
      </c>
      <c r="N96" t="n">
        <v>20.1212971232812</v>
      </c>
      <c r="O96" t="n">
        <v>2.47</v>
      </c>
      <c r="P96" t="n">
        <v>314.6</v>
      </c>
      <c r="Q96" t="n">
        <v>26.44</v>
      </c>
      <c r="R96" t="n">
        <v>94.86</v>
      </c>
      <c r="S96" t="n">
        <v>5.63</v>
      </c>
      <c r="T96" t="inlineStr">
        <is>
          <t>L1094</t>
        </is>
      </c>
      <c r="U96" t="inlineStr">
        <is>
          <t>Sara</t>
        </is>
      </c>
    </row>
    <row r="97">
      <c r="A97" s="7" t="n">
        <v>45449.95833333334</v>
      </c>
      <c r="B97" t="n">
        <v>4</v>
      </c>
      <c r="C97" t="inlineStr">
        <is>
          <t>C</t>
        </is>
      </c>
      <c r="D97" t="inlineStr">
        <is>
          <t>R1_Basematite</t>
        </is>
      </c>
      <c r="E97" t="inlineStr">
        <is>
          <t>Hematite Conc A</t>
        </is>
      </c>
      <c r="F97" t="n">
        <v>2463.301371722007</v>
      </c>
      <c r="G97" t="n">
        <v>9.381429002969989</v>
      </c>
      <c r="H97" t="n">
        <v>0.721491155474172</v>
      </c>
      <c r="I97" t="n">
        <v>0.5748141242725625</v>
      </c>
      <c r="J97" t="n">
        <v>14.69431572088041</v>
      </c>
      <c r="K97" t="n">
        <v>7.590843100529117</v>
      </c>
      <c r="L97" t="n">
        <v>103.3074118998155</v>
      </c>
      <c r="M97" t="n">
        <v>1295.344507705299</v>
      </c>
      <c r="N97" t="n">
        <v>20.60089941194581</v>
      </c>
      <c r="O97" t="n">
        <v>2.42</v>
      </c>
      <c r="P97" t="n">
        <v>257.8</v>
      </c>
      <c r="Q97" t="n">
        <v>29.05</v>
      </c>
      <c r="R97" t="n">
        <v>93.90000000000001</v>
      </c>
      <c r="S97" t="n">
        <v>6.17</v>
      </c>
      <c r="T97" t="inlineStr">
        <is>
          <t>L1095</t>
        </is>
      </c>
      <c r="U97" t="inlineStr">
        <is>
          <t>Reza</t>
        </is>
      </c>
    </row>
    <row r="98">
      <c r="A98" s="7" t="n">
        <v>45450</v>
      </c>
      <c r="B98" t="n">
        <v>5</v>
      </c>
      <c r="C98" t="inlineStr">
        <is>
          <t>A</t>
        </is>
      </c>
      <c r="D98" t="inlineStr">
        <is>
          <t>R1_Basematite</t>
        </is>
      </c>
      <c r="E98" t="inlineStr">
        <is>
          <t>Hematite Conc A</t>
        </is>
      </c>
      <c r="F98" t="n">
        <v>2569.392898212412</v>
      </c>
      <c r="G98" t="n">
        <v>9.581850563264627</v>
      </c>
      <c r="H98" t="n">
        <v>0.9063005222908906</v>
      </c>
      <c r="I98" t="n">
        <v>0.6602688654856496</v>
      </c>
      <c r="J98" t="n">
        <v>13.76838029457071</v>
      </c>
      <c r="K98" t="n">
        <v>6.15480083945687</v>
      </c>
      <c r="L98" t="n">
        <v>97.32248689334119</v>
      </c>
      <c r="M98" t="n">
        <v>1273.491650921298</v>
      </c>
      <c r="N98" t="n">
        <v>22.19599290351601</v>
      </c>
      <c r="O98" t="n">
        <v>2.88</v>
      </c>
      <c r="P98" t="n">
        <v>406.4</v>
      </c>
      <c r="Q98" t="n">
        <v>25.82</v>
      </c>
      <c r="R98" t="n">
        <v>96.59</v>
      </c>
      <c r="S98" t="n">
        <v>5.43</v>
      </c>
      <c r="T98" t="inlineStr">
        <is>
          <t>L1096</t>
        </is>
      </c>
      <c r="U98" t="inlineStr">
        <is>
          <t>Alireza</t>
        </is>
      </c>
    </row>
    <row r="99">
      <c r="A99" s="7" t="n">
        <v>45450.04166666666</v>
      </c>
      <c r="B99" t="n">
        <v>5</v>
      </c>
      <c r="C99" t="inlineStr">
        <is>
          <t>A</t>
        </is>
      </c>
      <c r="D99" t="inlineStr">
        <is>
          <t>R1_Basematite</t>
        </is>
      </c>
      <c r="E99" t="inlineStr">
        <is>
          <t>Hematite Conc A</t>
        </is>
      </c>
      <c r="F99" t="n">
        <v>2394.783210674519</v>
      </c>
      <c r="G99" t="n">
        <v>9.161923383272228</v>
      </c>
      <c r="H99" t="n">
        <v>0.8351440287619887</v>
      </c>
      <c r="I99" t="n">
        <v>0.4868954999960129</v>
      </c>
      <c r="J99" t="n">
        <v>13.13051636994391</v>
      </c>
      <c r="K99" t="n">
        <v>7.202496241729895</v>
      </c>
      <c r="L99" t="n">
        <v>89.18447440665558</v>
      </c>
      <c r="M99" t="n">
        <v>1281.950734987634</v>
      </c>
      <c r="N99" t="n">
        <v>20.84381150592665</v>
      </c>
      <c r="O99" t="n">
        <v>2.32</v>
      </c>
      <c r="P99" t="n">
        <v>220.4</v>
      </c>
      <c r="Q99" t="n">
        <v>25.05</v>
      </c>
      <c r="R99" t="n">
        <v>96.40000000000001</v>
      </c>
      <c r="S99" t="n">
        <v>4.99</v>
      </c>
      <c r="T99" t="inlineStr">
        <is>
          <t>L1097</t>
        </is>
      </c>
      <c r="U99" t="inlineStr">
        <is>
          <t>Alireza</t>
        </is>
      </c>
    </row>
    <row r="100">
      <c r="A100" s="7" t="n">
        <v>45450.08333333334</v>
      </c>
      <c r="B100" t="n">
        <v>5</v>
      </c>
      <c r="C100" t="inlineStr">
        <is>
          <t>A</t>
        </is>
      </c>
      <c r="D100" t="inlineStr">
        <is>
          <t>R1_Basematite</t>
        </is>
      </c>
      <c r="E100" t="inlineStr">
        <is>
          <t>Hematite Conc A</t>
        </is>
      </c>
      <c r="F100" t="n">
        <v>2338.258851207271</v>
      </c>
      <c r="G100" t="n">
        <v>9.151328790516649</v>
      </c>
      <c r="H100" t="n">
        <v>0.8956875020948969</v>
      </c>
      <c r="I100" t="n">
        <v>0.5499266570299218</v>
      </c>
      <c r="J100" t="n">
        <v>12.65841898310358</v>
      </c>
      <c r="K100" t="n">
        <v>6.608500374254408</v>
      </c>
      <c r="L100" t="n">
        <v>89.62912919319152</v>
      </c>
      <c r="M100" t="n">
        <v>1307.699477795756</v>
      </c>
      <c r="N100" t="n">
        <v>21.48259866784131</v>
      </c>
      <c r="O100" t="n">
        <v>1.98</v>
      </c>
      <c r="P100" t="n">
        <v>273.7</v>
      </c>
      <c r="Q100" t="n">
        <v>24.42</v>
      </c>
      <c r="R100" t="n">
        <v>97.48</v>
      </c>
      <c r="S100" t="n">
        <v>4.48</v>
      </c>
      <c r="T100" t="inlineStr">
        <is>
          <t>L1098</t>
        </is>
      </c>
      <c r="U100" t="inlineStr">
        <is>
          <t>Sara</t>
        </is>
      </c>
    </row>
    <row r="101">
      <c r="A101" s="7" t="n">
        <v>45450.125</v>
      </c>
      <c r="B101" t="n">
        <v>5</v>
      </c>
      <c r="C101" t="inlineStr">
        <is>
          <t>A</t>
        </is>
      </c>
      <c r="D101" t="inlineStr">
        <is>
          <t>R1_Basematite</t>
        </is>
      </c>
      <c r="E101" t="inlineStr">
        <is>
          <t>Hematite Conc A</t>
        </is>
      </c>
      <c r="F101" t="n">
        <v>2338.377646230269</v>
      </c>
      <c r="G101" t="n">
        <v>9.042000065987168</v>
      </c>
      <c r="H101" t="n">
        <v>0.7065101335369082</v>
      </c>
      <c r="I101" t="n">
        <v>0.6262593930890729</v>
      </c>
      <c r="J101" t="n">
        <v>14.36678810362926</v>
      </c>
      <c r="K101" t="n">
        <v>6.698223303754216</v>
      </c>
      <c r="L101" t="n">
        <v>95.13525670570243</v>
      </c>
      <c r="M101" t="n">
        <v>1296.411714740999</v>
      </c>
      <c r="N101" t="n">
        <v>22.35694462729249</v>
      </c>
      <c r="O101" t="n">
        <v>2.39</v>
      </c>
      <c r="P101" t="n">
        <v>232.1</v>
      </c>
      <c r="Q101" t="n">
        <v>26.8</v>
      </c>
      <c r="R101" t="n">
        <v>94.8</v>
      </c>
      <c r="S101" t="n">
        <v>5.27</v>
      </c>
      <c r="T101" t="inlineStr">
        <is>
          <t>L1099</t>
        </is>
      </c>
      <c r="U101" t="inlineStr">
        <is>
          <t>Reza</t>
        </is>
      </c>
    </row>
    <row r="102">
      <c r="A102" s="7" t="n">
        <v>45450.16666666666</v>
      </c>
      <c r="B102" t="n">
        <v>5</v>
      </c>
      <c r="C102" t="inlineStr">
        <is>
          <t>A</t>
        </is>
      </c>
      <c r="D102" t="inlineStr">
        <is>
          <t>R1_Basematite</t>
        </is>
      </c>
      <c r="E102" t="inlineStr">
        <is>
          <t>Hematite Conc A</t>
        </is>
      </c>
      <c r="F102" t="n">
        <v>2619.40561507655</v>
      </c>
      <c r="G102" t="n">
        <v>8.626555190072883</v>
      </c>
      <c r="H102" t="n">
        <v>0.9364758053684117</v>
      </c>
      <c r="I102" t="n">
        <v>0.570625891255055</v>
      </c>
      <c r="J102" t="n">
        <v>13.21885967068573</v>
      </c>
      <c r="K102" t="n">
        <v>6.70395605448938</v>
      </c>
      <c r="L102" t="n">
        <v>89.51059626314853</v>
      </c>
      <c r="M102" t="n">
        <v>1272.738440190113</v>
      </c>
      <c r="N102" t="n">
        <v>20.58480472383393</v>
      </c>
      <c r="O102" t="n">
        <v>2.79</v>
      </c>
      <c r="P102" t="n">
        <v>312.6</v>
      </c>
      <c r="Q102" t="n">
        <v>23.55</v>
      </c>
      <c r="R102" t="n">
        <v>96.68000000000001</v>
      </c>
      <c r="S102" t="n">
        <v>4.86</v>
      </c>
      <c r="T102" t="inlineStr">
        <is>
          <t>L1100</t>
        </is>
      </c>
      <c r="U102" t="inlineStr">
        <is>
          <t>Alireza</t>
        </is>
      </c>
    </row>
    <row r="103">
      <c r="A103" s="7" t="n">
        <v>45450.20833333334</v>
      </c>
      <c r="B103" t="n">
        <v>5</v>
      </c>
      <c r="C103" t="inlineStr">
        <is>
          <t>A</t>
        </is>
      </c>
      <c r="D103" t="inlineStr">
        <is>
          <t>R1_Basematite</t>
        </is>
      </c>
      <c r="E103" t="inlineStr">
        <is>
          <t>Hematite Conc A</t>
        </is>
      </c>
      <c r="F103" t="n">
        <v>2173.789091846196</v>
      </c>
      <c r="G103" t="n">
        <v>9.134011694420247</v>
      </c>
      <c r="H103" t="n">
        <v>0.8194939286066991</v>
      </c>
      <c r="I103" t="n">
        <v>0.5602572488340475</v>
      </c>
      <c r="J103" t="n">
        <v>13.94319411988441</v>
      </c>
      <c r="K103" t="n">
        <v>8.00296889127187</v>
      </c>
      <c r="L103" t="n">
        <v>102.9918741889406</v>
      </c>
      <c r="M103" t="n">
        <v>1302.03578274124</v>
      </c>
      <c r="N103" t="n">
        <v>21.94935969717265</v>
      </c>
      <c r="O103" t="n">
        <v>2.31</v>
      </c>
      <c r="P103" t="n">
        <v>266.4</v>
      </c>
      <c r="Q103" t="n">
        <v>25.35</v>
      </c>
      <c r="R103" t="n">
        <v>97.47</v>
      </c>
      <c r="S103" t="n">
        <v>5.2</v>
      </c>
      <c r="T103" t="inlineStr">
        <is>
          <t>L1101</t>
        </is>
      </c>
      <c r="U103" t="inlineStr">
        <is>
          <t>Alireza</t>
        </is>
      </c>
    </row>
    <row r="104">
      <c r="A104" s="7" t="n">
        <v>45450.25</v>
      </c>
      <c r="B104" t="n">
        <v>5</v>
      </c>
      <c r="C104" t="inlineStr">
        <is>
          <t>A</t>
        </is>
      </c>
      <c r="D104" t="inlineStr">
        <is>
          <t>R1_Basematite</t>
        </is>
      </c>
      <c r="E104" t="inlineStr">
        <is>
          <t>Hematite Conc A</t>
        </is>
      </c>
      <c r="F104" t="n">
        <v>2395.918749204096</v>
      </c>
      <c r="G104" t="n">
        <v>9.085499994506755</v>
      </c>
      <c r="H104" t="n">
        <v>0.8632872201220166</v>
      </c>
      <c r="I104" t="n">
        <v>0.6009484084421923</v>
      </c>
      <c r="J104" t="n">
        <v>14.08018014208991</v>
      </c>
      <c r="K104" t="n">
        <v>6.736349696383125</v>
      </c>
      <c r="L104" t="n">
        <v>100.9645485542744</v>
      </c>
      <c r="M104" t="n">
        <v>1293.026281503947</v>
      </c>
      <c r="N104" t="n">
        <v>21.96342668585199</v>
      </c>
      <c r="O104" t="n">
        <v>2.17</v>
      </c>
      <c r="P104" t="n">
        <v>320.9</v>
      </c>
      <c r="Q104" t="n">
        <v>25.43</v>
      </c>
      <c r="R104" t="n">
        <v>95.87</v>
      </c>
      <c r="S104" t="n">
        <v>5.04</v>
      </c>
      <c r="T104" t="inlineStr">
        <is>
          <t>L1102</t>
        </is>
      </c>
      <c r="U104" t="inlineStr">
        <is>
          <t>Mohsen</t>
        </is>
      </c>
    </row>
    <row r="105">
      <c r="A105" s="7" t="n">
        <v>45450.29166666666</v>
      </c>
      <c r="B105" t="n">
        <v>5</v>
      </c>
      <c r="C105" t="inlineStr">
        <is>
          <t>A</t>
        </is>
      </c>
      <c r="D105" t="inlineStr">
        <is>
          <t>R1_Basematite</t>
        </is>
      </c>
      <c r="E105" t="inlineStr">
        <is>
          <t>Hematite Conc A</t>
        </is>
      </c>
      <c r="F105" t="n">
        <v>2374.507080652694</v>
      </c>
      <c r="G105" t="n">
        <v>9.846179869821448</v>
      </c>
      <c r="H105" t="n">
        <v>0.8475775973148481</v>
      </c>
      <c r="I105" t="n">
        <v>0.515270498727045</v>
      </c>
      <c r="J105" t="n">
        <v>14.53399305442581</v>
      </c>
      <c r="K105" t="n">
        <v>7.90822013457425</v>
      </c>
      <c r="L105" t="n">
        <v>93.07243382157122</v>
      </c>
      <c r="M105" t="n">
        <v>1311.188512347595</v>
      </c>
      <c r="N105" t="n">
        <v>23.03132131998445</v>
      </c>
      <c r="O105" t="n">
        <v>1.92</v>
      </c>
      <c r="P105" t="n">
        <v>249.1</v>
      </c>
      <c r="Q105" t="n">
        <v>26.61</v>
      </c>
      <c r="R105" t="n">
        <v>94.41</v>
      </c>
      <c r="S105" t="n">
        <v>5.18</v>
      </c>
      <c r="T105" t="inlineStr">
        <is>
          <t>L1103</t>
        </is>
      </c>
      <c r="U105" t="inlineStr">
        <is>
          <t>Mohsen</t>
        </is>
      </c>
    </row>
    <row r="106">
      <c r="A106" s="7" t="n">
        <v>45450.33333333334</v>
      </c>
      <c r="B106" t="n">
        <v>5</v>
      </c>
      <c r="C106" t="inlineStr">
        <is>
          <t>B</t>
        </is>
      </c>
      <c r="D106" t="inlineStr">
        <is>
          <t>R1_Basematite</t>
        </is>
      </c>
      <c r="E106" t="inlineStr">
        <is>
          <t>Hematite Conc A</t>
        </is>
      </c>
      <c r="F106" t="n">
        <v>2475.91946764268</v>
      </c>
      <c r="G106" t="n">
        <v>8.627297507282579</v>
      </c>
      <c r="H106" t="n">
        <v>0.835146841688444</v>
      </c>
      <c r="I106" t="n">
        <v>0.5162735234917408</v>
      </c>
      <c r="J106" t="n">
        <v>14.57763805891325</v>
      </c>
      <c r="K106" t="n">
        <v>7.146610627886574</v>
      </c>
      <c r="L106" t="n">
        <v>101.1099339770199</v>
      </c>
      <c r="M106" t="n">
        <v>1290.587630645256</v>
      </c>
      <c r="N106" t="n">
        <v>20.28518100910838</v>
      </c>
      <c r="O106" t="n">
        <v>2.78</v>
      </c>
      <c r="P106" t="n">
        <v>329.7</v>
      </c>
      <c r="Q106" t="n">
        <v>25.02</v>
      </c>
      <c r="R106" t="n">
        <v>95.98</v>
      </c>
      <c r="S106" t="n">
        <v>4.9</v>
      </c>
      <c r="T106" t="inlineStr">
        <is>
          <t>L1104</t>
        </is>
      </c>
      <c r="U106" t="inlineStr">
        <is>
          <t>Sara</t>
        </is>
      </c>
    </row>
    <row r="107">
      <c r="A107" s="7" t="n">
        <v>45450.375</v>
      </c>
      <c r="B107" t="n">
        <v>5</v>
      </c>
      <c r="C107" t="inlineStr">
        <is>
          <t>B</t>
        </is>
      </c>
      <c r="D107" t="inlineStr">
        <is>
          <t>R1_Basematite</t>
        </is>
      </c>
      <c r="E107" t="inlineStr">
        <is>
          <t>Hematite Conc A</t>
        </is>
      </c>
      <c r="F107" t="n">
        <v>2437.477384343517</v>
      </c>
      <c r="G107" t="n">
        <v>9.301050810922048</v>
      </c>
      <c r="H107" t="n">
        <v>0.8073580416640768</v>
      </c>
      <c r="I107" t="n">
        <v>0.5328235761708005</v>
      </c>
      <c r="J107" t="n">
        <v>14.08403962867736</v>
      </c>
      <c r="K107" t="n">
        <v>6.84733860988332</v>
      </c>
      <c r="L107" t="n">
        <v>90.57829578272111</v>
      </c>
      <c r="M107" t="n">
        <v>1291.430987479577</v>
      </c>
      <c r="N107" t="n">
        <v>21.71524084294569</v>
      </c>
      <c r="O107" t="n">
        <v>2.65</v>
      </c>
      <c r="P107" t="n">
        <v>245.2</v>
      </c>
      <c r="Q107" t="n">
        <v>25.15</v>
      </c>
      <c r="R107" t="n">
        <v>96.43000000000001</v>
      </c>
      <c r="S107" t="n">
        <v>4.99</v>
      </c>
      <c r="T107" t="inlineStr">
        <is>
          <t>L1105</t>
        </is>
      </c>
      <c r="U107" t="inlineStr">
        <is>
          <t>Mohsen</t>
        </is>
      </c>
    </row>
    <row r="108">
      <c r="A108" s="7" t="n">
        <v>45450.41666666666</v>
      </c>
      <c r="B108" t="n">
        <v>5</v>
      </c>
      <c r="C108" t="inlineStr">
        <is>
          <t>B</t>
        </is>
      </c>
      <c r="D108" t="inlineStr">
        <is>
          <t>R1_Basematite</t>
        </is>
      </c>
      <c r="E108" t="inlineStr">
        <is>
          <t>Hematite Conc A</t>
        </is>
      </c>
      <c r="F108" t="n">
        <v>2250.648891807662</v>
      </c>
      <c r="G108" t="n">
        <v>9.225294107756241</v>
      </c>
      <c r="H108" t="n">
        <v>0.6999067853397202</v>
      </c>
      <c r="I108" t="n">
        <v>0.6454269154677476</v>
      </c>
      <c r="J108" t="n">
        <v>14.08556157526169</v>
      </c>
      <c r="K108" t="n">
        <v>7.164086800129455</v>
      </c>
      <c r="L108" t="n">
        <v>94.79080159396638</v>
      </c>
      <c r="M108" t="n">
        <v>1270.957953188946</v>
      </c>
      <c r="N108" t="n">
        <v>20.45638929593467</v>
      </c>
      <c r="O108" t="n">
        <v>2.57</v>
      </c>
      <c r="P108" t="n">
        <v>237.6</v>
      </c>
      <c r="Q108" t="n">
        <v>27.53</v>
      </c>
      <c r="R108" t="n">
        <v>94.03</v>
      </c>
      <c r="S108" t="n">
        <v>6.15</v>
      </c>
      <c r="T108" t="inlineStr">
        <is>
          <t>L1106</t>
        </is>
      </c>
      <c r="U108" t="inlineStr">
        <is>
          <t>Reza</t>
        </is>
      </c>
    </row>
    <row r="109">
      <c r="A109" s="7" t="n">
        <v>45450.45833333334</v>
      </c>
      <c r="B109" t="n">
        <v>5</v>
      </c>
      <c r="C109" t="inlineStr">
        <is>
          <t>B</t>
        </is>
      </c>
      <c r="D109" t="inlineStr">
        <is>
          <t>R1_Basematite</t>
        </is>
      </c>
      <c r="E109" t="inlineStr">
        <is>
          <t>Hematite Conc A</t>
        </is>
      </c>
      <c r="F109" t="n">
        <v>2817.216107690686</v>
      </c>
      <c r="G109" t="n">
        <v>9.258533748686746</v>
      </c>
      <c r="H109" t="n">
        <v>0.9274258380155742</v>
      </c>
      <c r="I109" t="n">
        <v>0.4869495643047348</v>
      </c>
      <c r="J109" t="n">
        <v>15.06124079256114</v>
      </c>
      <c r="K109" t="n">
        <v>7.105471104596672</v>
      </c>
      <c r="L109" t="n">
        <v>95.75099384053826</v>
      </c>
      <c r="M109" t="n">
        <v>1304.452951486176</v>
      </c>
      <c r="N109" t="n">
        <v>20.19085860079472</v>
      </c>
      <c r="O109" t="n">
        <v>2.37</v>
      </c>
      <c r="P109" t="n">
        <v>296.9</v>
      </c>
      <c r="Q109" t="n">
        <v>25.19</v>
      </c>
      <c r="R109" t="n">
        <v>96.45</v>
      </c>
      <c r="S109" t="n">
        <v>5.77</v>
      </c>
      <c r="T109" t="inlineStr">
        <is>
          <t>L1107</t>
        </is>
      </c>
      <c r="U109" t="inlineStr">
        <is>
          <t>Mohsen</t>
        </is>
      </c>
    </row>
    <row r="110">
      <c r="A110" s="7" t="n">
        <v>45450.5</v>
      </c>
      <c r="B110" t="n">
        <v>5</v>
      </c>
      <c r="C110" t="inlineStr">
        <is>
          <t>B</t>
        </is>
      </c>
      <c r="D110" t="inlineStr">
        <is>
          <t>R1_Basematite</t>
        </is>
      </c>
      <c r="E110" t="inlineStr">
        <is>
          <t>Hematite Conc A</t>
        </is>
      </c>
      <c r="F110" t="n">
        <v>2481.970118525825</v>
      </c>
      <c r="G110" t="n">
        <v>9.231004272099005</v>
      </c>
      <c r="H110" t="n">
        <v>0.9712453992064933</v>
      </c>
      <c r="I110" t="n">
        <v>0.5209721255702456</v>
      </c>
      <c r="J110" t="n">
        <v>12.76014541953465</v>
      </c>
      <c r="K110" t="n">
        <v>7.12936285536604</v>
      </c>
      <c r="L110" t="n">
        <v>83.24311006838418</v>
      </c>
      <c r="M110" t="n">
        <v>1283.823100262051</v>
      </c>
      <c r="N110" t="n">
        <v>21.9260486022054</v>
      </c>
      <c r="O110" t="n">
        <v>2.09</v>
      </c>
      <c r="P110" t="n">
        <v>259.2</v>
      </c>
      <c r="Q110" t="n">
        <v>26.31</v>
      </c>
      <c r="R110" t="n">
        <v>95.76000000000001</v>
      </c>
      <c r="S110" t="n">
        <v>5.84</v>
      </c>
      <c r="T110" t="inlineStr">
        <is>
          <t>L1108</t>
        </is>
      </c>
      <c r="U110" t="inlineStr">
        <is>
          <t>Sara</t>
        </is>
      </c>
    </row>
    <row r="111">
      <c r="A111" s="7" t="n">
        <v>45450.54166666666</v>
      </c>
      <c r="B111" t="n">
        <v>5</v>
      </c>
      <c r="C111" t="inlineStr">
        <is>
          <t>B</t>
        </is>
      </c>
      <c r="D111" t="inlineStr">
        <is>
          <t>R1_Basematite</t>
        </is>
      </c>
      <c r="E111" t="inlineStr">
        <is>
          <t>Hematite Conc A</t>
        </is>
      </c>
      <c r="F111" t="n">
        <v>2208.43310114455</v>
      </c>
      <c r="G111" t="n">
        <v>9.358513781575629</v>
      </c>
      <c r="H111" t="n">
        <v>0.7984890019202607</v>
      </c>
      <c r="I111" t="n">
        <v>0.6665450491131653</v>
      </c>
      <c r="J111" t="n">
        <v>13.91841179294788</v>
      </c>
      <c r="K111" t="n">
        <v>7.702798903988446</v>
      </c>
      <c r="L111" t="n">
        <v>98.24017431734818</v>
      </c>
      <c r="M111" t="n">
        <v>1280.774616173426</v>
      </c>
      <c r="N111" t="n">
        <v>22.83520414471714</v>
      </c>
      <c r="O111" t="n">
        <v>2.39</v>
      </c>
      <c r="P111" t="n">
        <v>251.7</v>
      </c>
      <c r="Q111" t="n">
        <v>27.82</v>
      </c>
      <c r="R111" t="n">
        <v>95.33</v>
      </c>
      <c r="S111" t="n">
        <v>6.15</v>
      </c>
      <c r="T111" t="inlineStr">
        <is>
          <t>L1109</t>
        </is>
      </c>
      <c r="U111" t="inlineStr">
        <is>
          <t>Alireza</t>
        </is>
      </c>
    </row>
    <row r="112">
      <c r="A112" s="7" t="n">
        <v>45450.58333333334</v>
      </c>
      <c r="B112" t="n">
        <v>5</v>
      </c>
      <c r="C112" t="inlineStr">
        <is>
          <t>B</t>
        </is>
      </c>
      <c r="D112" t="inlineStr">
        <is>
          <t>R1_Basematite</t>
        </is>
      </c>
      <c r="E112" t="inlineStr">
        <is>
          <t>Hematite Conc A</t>
        </is>
      </c>
      <c r="F112" t="n">
        <v>2289.5419790294</v>
      </c>
      <c r="G112" t="n">
        <v>9.579073150403591</v>
      </c>
      <c r="H112" t="n">
        <v>0.9354639330339591</v>
      </c>
      <c r="I112" t="n">
        <v>0.5718452290496554</v>
      </c>
      <c r="J112" t="n">
        <v>13.55999070201491</v>
      </c>
      <c r="K112" t="n">
        <v>6.339116196738708</v>
      </c>
      <c r="L112" t="n">
        <v>99.32693358749097</v>
      </c>
      <c r="M112" t="n">
        <v>1289.341701145813</v>
      </c>
      <c r="N112" t="n">
        <v>22.39388894885932</v>
      </c>
      <c r="O112" t="n">
        <v>2.26</v>
      </c>
      <c r="P112" t="n">
        <v>371.7</v>
      </c>
      <c r="Q112" t="n">
        <v>26</v>
      </c>
      <c r="R112" t="n">
        <v>96.98</v>
      </c>
      <c r="S112" t="n">
        <v>5.46</v>
      </c>
      <c r="T112" t="inlineStr">
        <is>
          <t>L1110</t>
        </is>
      </c>
      <c r="U112" t="inlineStr">
        <is>
          <t>Sara</t>
        </is>
      </c>
    </row>
    <row r="113">
      <c r="A113" s="7" t="n">
        <v>45450.625</v>
      </c>
      <c r="B113" t="n">
        <v>5</v>
      </c>
      <c r="C113" t="inlineStr">
        <is>
          <t>B</t>
        </is>
      </c>
      <c r="D113" t="inlineStr">
        <is>
          <t>R1_Basematite</t>
        </is>
      </c>
      <c r="E113" t="inlineStr">
        <is>
          <t>Hematite Conc A</t>
        </is>
      </c>
      <c r="F113" t="n">
        <v>2467.56527759081</v>
      </c>
      <c r="G113" t="n">
        <v>8.701711967967471</v>
      </c>
      <c r="H113" t="n">
        <v>0.907806216309429</v>
      </c>
      <c r="I113" t="n">
        <v>0.5384985277820834</v>
      </c>
      <c r="J113" t="n">
        <v>13.96006496234373</v>
      </c>
      <c r="K113" t="n">
        <v>7.339784237635169</v>
      </c>
      <c r="L113" t="n">
        <v>91.13537461113562</v>
      </c>
      <c r="M113" t="n">
        <v>1275.052065209529</v>
      </c>
      <c r="N113" t="n">
        <v>22.91753038215576</v>
      </c>
      <c r="O113" t="n">
        <v>2.49</v>
      </c>
      <c r="P113" t="n">
        <v>301.7</v>
      </c>
      <c r="Q113" t="n">
        <v>25.73</v>
      </c>
      <c r="R113" t="n">
        <v>96.34</v>
      </c>
      <c r="S113" t="n">
        <v>5.27</v>
      </c>
      <c r="T113" t="inlineStr">
        <is>
          <t>L1111</t>
        </is>
      </c>
      <c r="U113" t="inlineStr">
        <is>
          <t>Alireza</t>
        </is>
      </c>
    </row>
    <row r="114">
      <c r="A114" s="7" t="n">
        <v>45450.66666666666</v>
      </c>
      <c r="B114" t="n">
        <v>5</v>
      </c>
      <c r="C114" t="inlineStr">
        <is>
          <t>C</t>
        </is>
      </c>
      <c r="D114" t="inlineStr">
        <is>
          <t>R1_Basematite</t>
        </is>
      </c>
      <c r="E114" t="inlineStr">
        <is>
          <t>Hematite Conc A</t>
        </is>
      </c>
      <c r="F114" t="n">
        <v>2560.334588906143</v>
      </c>
      <c r="G114" t="n">
        <v>9.568892893509922</v>
      </c>
      <c r="H114" t="n">
        <v>0.8670682751867411</v>
      </c>
      <c r="I114" t="n">
        <v>0.4575477297035561</v>
      </c>
      <c r="J114" t="n">
        <v>15.13296651149731</v>
      </c>
      <c r="K114" t="n">
        <v>7.17386420368788</v>
      </c>
      <c r="L114" t="n">
        <v>104.2083063042128</v>
      </c>
      <c r="M114" t="n">
        <v>1289.801997700427</v>
      </c>
      <c r="N114" t="n">
        <v>21.98420206275781</v>
      </c>
      <c r="O114" t="n">
        <v>2.62</v>
      </c>
      <c r="P114" t="n">
        <v>195.1</v>
      </c>
      <c r="Q114" t="n">
        <v>25.4</v>
      </c>
      <c r="R114" t="n">
        <v>96.65000000000001</v>
      </c>
      <c r="S114" t="n">
        <v>5.28</v>
      </c>
      <c r="T114" t="inlineStr">
        <is>
          <t>L1112</t>
        </is>
      </c>
      <c r="U114" t="inlineStr">
        <is>
          <t>Mohsen</t>
        </is>
      </c>
    </row>
    <row r="115">
      <c r="A115" s="7" t="n">
        <v>45450.70833333334</v>
      </c>
      <c r="B115" t="n">
        <v>5</v>
      </c>
      <c r="C115" t="inlineStr">
        <is>
          <t>C</t>
        </is>
      </c>
      <c r="D115" t="inlineStr">
        <is>
          <t>R1_Basematite</t>
        </is>
      </c>
      <c r="E115" t="inlineStr">
        <is>
          <t>Hematite Conc A</t>
        </is>
      </c>
      <c r="F115" t="n">
        <v>2208.412088375259</v>
      </c>
      <c r="G115" t="n">
        <v>9.177930047255735</v>
      </c>
      <c r="H115" t="n">
        <v>0.8332934874081968</v>
      </c>
      <c r="I115" t="n">
        <v>0.5597135696691743</v>
      </c>
      <c r="J115" t="n">
        <v>13.75102439067026</v>
      </c>
      <c r="K115" t="n">
        <v>7.390783685178487</v>
      </c>
      <c r="L115" t="n">
        <v>96.20355807889761</v>
      </c>
      <c r="M115" t="n">
        <v>1294.43892147608</v>
      </c>
      <c r="N115" t="n">
        <v>20.14566316490594</v>
      </c>
      <c r="O115" t="n">
        <v>2.25</v>
      </c>
      <c r="P115" t="n">
        <v>145.302003852341</v>
      </c>
      <c r="Q115" t="n">
        <v>27.97</v>
      </c>
      <c r="R115" t="n">
        <v>94.51000000000001</v>
      </c>
      <c r="S115" t="n">
        <v>6.02</v>
      </c>
      <c r="T115" t="inlineStr">
        <is>
          <t>L1113</t>
        </is>
      </c>
      <c r="U115" t="inlineStr">
        <is>
          <t>Alireza</t>
        </is>
      </c>
      <c r="V115" t="inlineStr">
        <is>
          <t>Outlier: suspected lab error</t>
        </is>
      </c>
    </row>
    <row r="116">
      <c r="A116" s="7" t="n">
        <v>45450.75</v>
      </c>
      <c r="B116" t="n">
        <v>5</v>
      </c>
      <c r="C116" t="inlineStr">
        <is>
          <t>C</t>
        </is>
      </c>
      <c r="D116" t="inlineStr">
        <is>
          <t>R1_Basematite</t>
        </is>
      </c>
      <c r="E116" t="inlineStr">
        <is>
          <t>Hematite Conc A</t>
        </is>
      </c>
      <c r="F116" t="n">
        <v>2578.040637338172</v>
      </c>
      <c r="G116" t="n">
        <v>8.929667181495352</v>
      </c>
      <c r="H116" t="n">
        <v>0.884752187990749</v>
      </c>
      <c r="I116" t="n">
        <v>0.5496467576442886</v>
      </c>
      <c r="J116" t="n">
        <v>13.29756030707197</v>
      </c>
      <c r="K116" t="n">
        <v>6.814127221957943</v>
      </c>
      <c r="L116" t="n">
        <v>92.22774816789757</v>
      </c>
      <c r="M116" t="n">
        <v>1289.152605270497</v>
      </c>
      <c r="N116" t="n">
        <v>24.05948490184766</v>
      </c>
      <c r="O116" t="n">
        <v>2.74</v>
      </c>
      <c r="P116" t="n">
        <v>324.2</v>
      </c>
      <c r="Q116" t="n">
        <v>26.61</v>
      </c>
      <c r="R116" t="n">
        <v>95.11</v>
      </c>
      <c r="S116" t="n">
        <v>5.1</v>
      </c>
      <c r="T116" t="inlineStr">
        <is>
          <t>L1114</t>
        </is>
      </c>
      <c r="U116" t="inlineStr">
        <is>
          <t>Reza</t>
        </is>
      </c>
    </row>
    <row r="117">
      <c r="A117" s="7" t="n">
        <v>45450.79166666666</v>
      </c>
      <c r="B117" t="n">
        <v>5</v>
      </c>
      <c r="C117" t="inlineStr">
        <is>
          <t>C</t>
        </is>
      </c>
      <c r="D117" t="inlineStr">
        <is>
          <t>R1_Basematite</t>
        </is>
      </c>
      <c r="E117" t="inlineStr">
        <is>
          <t>Hematite Conc A</t>
        </is>
      </c>
      <c r="F117" t="n">
        <v>2202.807425076137</v>
      </c>
      <c r="G117" t="n">
        <v>8.623110460911519</v>
      </c>
      <c r="H117" t="n">
        <v>0.7981044481854824</v>
      </c>
      <c r="I117" t="n">
        <v>0.5996465761947881</v>
      </c>
      <c r="J117" t="n">
        <v>13.17200221596542</v>
      </c>
      <c r="K117" t="n">
        <v>8.093937296610283</v>
      </c>
      <c r="L117" t="n">
        <v>105.5984694542029</v>
      </c>
      <c r="M117" t="n">
        <v>1297.478453748567</v>
      </c>
      <c r="N117" t="n">
        <v>21.82559769190621</v>
      </c>
      <c r="O117" t="n">
        <v>1.76</v>
      </c>
      <c r="P117" t="n">
        <v>264.5</v>
      </c>
      <c r="Q117" t="n">
        <v>25.04</v>
      </c>
      <c r="R117" t="n">
        <v>97.12</v>
      </c>
      <c r="S117" t="n">
        <v>5.09</v>
      </c>
      <c r="T117" t="inlineStr">
        <is>
          <t>L1115</t>
        </is>
      </c>
      <c r="U117" t="inlineStr">
        <is>
          <t>Reza</t>
        </is>
      </c>
    </row>
    <row r="118">
      <c r="A118" s="7" t="n">
        <v>45450.83333333334</v>
      </c>
      <c r="B118" t="n">
        <v>5</v>
      </c>
      <c r="C118" t="inlineStr">
        <is>
          <t>C</t>
        </is>
      </c>
      <c r="D118" t="inlineStr">
        <is>
          <t>R1_Basematite</t>
        </is>
      </c>
      <c r="E118" t="inlineStr">
        <is>
          <t>Hematite Conc A</t>
        </is>
      </c>
      <c r="F118" t="n">
        <v>2307.010009033347</v>
      </c>
      <c r="G118" t="n">
        <v>8.633460957251305</v>
      </c>
      <c r="H118" t="n">
        <v>0.8201971797113675</v>
      </c>
      <c r="I118" t="n">
        <v>0.5085848295179743</v>
      </c>
      <c r="J118" t="n">
        <v>14.03503407879329</v>
      </c>
      <c r="K118" t="n">
        <v>7.380686601351924</v>
      </c>
      <c r="L118" t="n">
        <v>101.2187675746427</v>
      </c>
      <c r="M118" t="n">
        <v>1304.601783511461</v>
      </c>
      <c r="N118" t="n">
        <v>24.22719047743277</v>
      </c>
      <c r="O118" t="n">
        <v>1.66</v>
      </c>
      <c r="P118" t="n">
        <v>277.6</v>
      </c>
      <c r="Q118" t="n">
        <v>26.98</v>
      </c>
      <c r="R118" t="n">
        <v>95.36</v>
      </c>
      <c r="S118" t="n">
        <v>5.74</v>
      </c>
      <c r="T118" t="inlineStr">
        <is>
          <t>L1116</t>
        </is>
      </c>
      <c r="U118" t="inlineStr">
        <is>
          <t>Sara</t>
        </is>
      </c>
    </row>
    <row r="119">
      <c r="A119" s="7" t="n">
        <v>45450.875</v>
      </c>
      <c r="B119" t="n">
        <v>5</v>
      </c>
      <c r="C119" t="inlineStr">
        <is>
          <t>C</t>
        </is>
      </c>
      <c r="D119" t="inlineStr">
        <is>
          <t>R1_Basematite</t>
        </is>
      </c>
      <c r="E119" t="inlineStr">
        <is>
          <t>Hematite Conc A</t>
        </is>
      </c>
      <c r="F119" t="n">
        <v>2603.558227262276</v>
      </c>
      <c r="G119" t="n">
        <v>9.242941834281508</v>
      </c>
      <c r="H119" t="n">
        <v>0.8063634151188145</v>
      </c>
      <c r="I119" t="n">
        <v>0.5167769145027835</v>
      </c>
      <c r="J119" t="n">
        <v>13.62174609313831</v>
      </c>
      <c r="K119" t="n">
        <v>6.726025370912928</v>
      </c>
      <c r="L119" t="n">
        <v>93.80070798262736</v>
      </c>
      <c r="M119" t="n">
        <v>1294.279909200989</v>
      </c>
      <c r="N119" t="n">
        <v>21.3810248820631</v>
      </c>
      <c r="O119" t="n">
        <v>2.64</v>
      </c>
      <c r="P119" t="n">
        <v>252.8</v>
      </c>
      <c r="Q119" t="n">
        <v>26.47</v>
      </c>
      <c r="R119" t="n">
        <v>95.70999999999999</v>
      </c>
      <c r="S119" t="n">
        <v>6.31</v>
      </c>
      <c r="T119" t="inlineStr">
        <is>
          <t>L1117</t>
        </is>
      </c>
      <c r="U119" t="inlineStr">
        <is>
          <t>Sara</t>
        </is>
      </c>
    </row>
    <row r="120">
      <c r="A120" s="7" t="n">
        <v>45450.91666666666</v>
      </c>
      <c r="B120" t="n">
        <v>5</v>
      </c>
      <c r="C120" t="inlineStr">
        <is>
          <t>C</t>
        </is>
      </c>
      <c r="D120" t="inlineStr">
        <is>
          <t>R1_Basematite</t>
        </is>
      </c>
      <c r="E120" t="inlineStr">
        <is>
          <t>Hematite Conc A</t>
        </is>
      </c>
      <c r="F120" t="n">
        <v>2756.179501273038</v>
      </c>
      <c r="G120" t="n">
        <v>8.8755726012915</v>
      </c>
      <c r="H120" t="n">
        <v>0.7917087029279579</v>
      </c>
      <c r="I120" t="n">
        <v>0.5940568790105181</v>
      </c>
      <c r="J120" t="n">
        <v>13.41915904386587</v>
      </c>
      <c r="K120" t="n">
        <v>6.970748197598247</v>
      </c>
      <c r="L120" t="n">
        <v>107.077342341912</v>
      </c>
      <c r="M120" t="n">
        <v>1277.11458400231</v>
      </c>
      <c r="N120" t="n">
        <v>20.42155944670021</v>
      </c>
      <c r="O120" t="n">
        <v>2.75</v>
      </c>
      <c r="P120" t="n">
        <v>260.8</v>
      </c>
      <c r="Q120" t="n">
        <v>25.82</v>
      </c>
      <c r="R120" t="n">
        <v>95.84999999999999</v>
      </c>
      <c r="S120" t="n">
        <v>5.25</v>
      </c>
      <c r="T120" t="inlineStr">
        <is>
          <t>L1118</t>
        </is>
      </c>
      <c r="U120" t="inlineStr">
        <is>
          <t>Mohsen</t>
        </is>
      </c>
    </row>
    <row r="121">
      <c r="A121" s="7" t="n">
        <v>45450.95833333334</v>
      </c>
      <c r="B121" t="n">
        <v>5</v>
      </c>
      <c r="C121" t="inlineStr">
        <is>
          <t>C</t>
        </is>
      </c>
      <c r="D121" t="inlineStr">
        <is>
          <t>R1_Basematite</t>
        </is>
      </c>
      <c r="E121" t="inlineStr">
        <is>
          <t>Hematite Conc A</t>
        </is>
      </c>
      <c r="F121" t="n">
        <v>2434.752583108084</v>
      </c>
      <c r="G121" t="n">
        <v>8.873551681735504</v>
      </c>
      <c r="H121" t="n">
        <v>0.8054783977699539</v>
      </c>
      <c r="I121" t="n">
        <v>0.5021484601279412</v>
      </c>
      <c r="J121" t="n">
        <v>14.76034591358074</v>
      </c>
      <c r="K121" t="n">
        <v>7.065643502392926</v>
      </c>
      <c r="L121" t="n">
        <v>106.7448696874333</v>
      </c>
      <c r="M121" t="n">
        <v>1298.811645875388</v>
      </c>
      <c r="N121" t="n">
        <v>19.80062812758836</v>
      </c>
      <c r="O121" t="n">
        <v>2.18</v>
      </c>
      <c r="P121" t="n">
        <v>304.7</v>
      </c>
      <c r="Q121" t="n">
        <v>25.11</v>
      </c>
      <c r="R121" t="n">
        <v>97.14</v>
      </c>
      <c r="S121" t="n">
        <v>5.63</v>
      </c>
      <c r="T121" t="inlineStr">
        <is>
          <t>L1119</t>
        </is>
      </c>
      <c r="U121" t="inlineStr">
        <is>
          <t>Reza</t>
        </is>
      </c>
    </row>
    <row r="122">
      <c r="A122" s="7" t="n">
        <v>45451</v>
      </c>
      <c r="B122" t="n">
        <v>6</v>
      </c>
      <c r="C122" t="inlineStr">
        <is>
          <t>A</t>
        </is>
      </c>
      <c r="D122" t="inlineStr">
        <is>
          <t>R1_Basematite</t>
        </is>
      </c>
      <c r="E122" t="inlineStr">
        <is>
          <t>Hematite Conc A</t>
        </is>
      </c>
      <c r="F122" t="n">
        <v>2394.283048866971</v>
      </c>
      <c r="G122" t="n">
        <v>9.093643162401692</v>
      </c>
      <c r="H122" t="n">
        <v>0.8862824357430561</v>
      </c>
      <c r="I122" t="n">
        <v>0.6316431379534369</v>
      </c>
      <c r="J122" t="n">
        <v>15.32741673980378</v>
      </c>
      <c r="K122" t="n">
        <v>6.948224154258518</v>
      </c>
      <c r="L122" t="n">
        <v>94.02105037571238</v>
      </c>
      <c r="M122" t="n">
        <v>1306.251021760502</v>
      </c>
      <c r="N122" t="n">
        <v>23.95024909086976</v>
      </c>
      <c r="O122" t="n">
        <v>2.95</v>
      </c>
      <c r="P122" t="n">
        <v>369.9</v>
      </c>
      <c r="Q122" t="n">
        <v>25.18</v>
      </c>
      <c r="R122" t="n">
        <v>95.91</v>
      </c>
      <c r="S122" t="n">
        <v>5.46</v>
      </c>
      <c r="T122" t="inlineStr">
        <is>
          <t>L1120</t>
        </is>
      </c>
      <c r="U122" t="inlineStr">
        <is>
          <t>Alireza</t>
        </is>
      </c>
    </row>
    <row r="123">
      <c r="A123" s="7" t="n">
        <v>45451.04166666666</v>
      </c>
      <c r="B123" t="n">
        <v>6</v>
      </c>
      <c r="C123" t="inlineStr">
        <is>
          <t>A</t>
        </is>
      </c>
      <c r="D123" t="inlineStr">
        <is>
          <t>R1_Basematite</t>
        </is>
      </c>
      <c r="E123" t="inlineStr">
        <is>
          <t>Hematite Conc A</t>
        </is>
      </c>
      <c r="F123" t="n">
        <v>2678.221846755112</v>
      </c>
      <c r="G123" t="n">
        <v>9.2729790195452</v>
      </c>
      <c r="H123" t="n">
        <v>0.8913140534421864</v>
      </c>
      <c r="I123" t="n">
        <v>0.5421721865228319</v>
      </c>
      <c r="J123" t="n">
        <v>13.74747634203067</v>
      </c>
      <c r="K123" t="n">
        <v>7.665418319020859</v>
      </c>
      <c r="L123" t="n">
        <v>100.0677324978758</v>
      </c>
      <c r="M123" t="n">
        <v>1302.793462249137</v>
      </c>
      <c r="N123" t="n">
        <v>21.10619233898622</v>
      </c>
      <c r="O123" t="n">
        <v>2.12</v>
      </c>
      <c r="P123" t="n">
        <v>295.7</v>
      </c>
      <c r="Q123" t="n">
        <v>26.92</v>
      </c>
      <c r="R123" t="n">
        <v>94.66</v>
      </c>
      <c r="S123" t="n">
        <v>5.98</v>
      </c>
      <c r="T123" t="inlineStr">
        <is>
          <t>L1121</t>
        </is>
      </c>
      <c r="U123" t="inlineStr">
        <is>
          <t>Reza</t>
        </is>
      </c>
    </row>
    <row r="124">
      <c r="A124" s="7" t="n">
        <v>45451.08333333334</v>
      </c>
      <c r="B124" t="n">
        <v>6</v>
      </c>
      <c r="C124" t="inlineStr">
        <is>
          <t>A</t>
        </is>
      </c>
      <c r="D124" t="inlineStr">
        <is>
          <t>R1_Basematite</t>
        </is>
      </c>
      <c r="E124" t="inlineStr">
        <is>
          <t>Hematite Conc A</t>
        </is>
      </c>
      <c r="F124" t="n">
        <v>2257.0438003526</v>
      </c>
      <c r="G124" t="n">
        <v>9.101704004772378</v>
      </c>
      <c r="H124" t="n">
        <v>0.7878393614840409</v>
      </c>
      <c r="I124" t="n">
        <v>0.5723956121859333</v>
      </c>
      <c r="J124" t="n">
        <v>13.51773586757519</v>
      </c>
      <c r="K124" t="n">
        <v>6.641372075423195</v>
      </c>
      <c r="L124" t="n">
        <v>107.8731463298676</v>
      </c>
      <c r="M124" t="n">
        <v>1286.700469018058</v>
      </c>
      <c r="N124" t="n">
        <v>23.08332338671979</v>
      </c>
      <c r="O124" t="n">
        <v>2.53</v>
      </c>
      <c r="P124" t="n">
        <v>259.6</v>
      </c>
      <c r="Q124" t="n">
        <v>26.89</v>
      </c>
      <c r="R124" t="n">
        <v>94.73999999999999</v>
      </c>
      <c r="S124" t="n">
        <v>5.95</v>
      </c>
      <c r="T124" t="inlineStr">
        <is>
          <t>L1122</t>
        </is>
      </c>
      <c r="U124" t="inlineStr">
        <is>
          <t>Mohsen</t>
        </is>
      </c>
    </row>
    <row r="125">
      <c r="A125" s="7" t="n">
        <v>45451.125</v>
      </c>
      <c r="B125" t="n">
        <v>6</v>
      </c>
      <c r="C125" t="inlineStr">
        <is>
          <t>A</t>
        </is>
      </c>
      <c r="D125" t="inlineStr">
        <is>
          <t>R1_Basematite</t>
        </is>
      </c>
      <c r="E125" t="inlineStr">
        <is>
          <t>Hematite Conc A</t>
        </is>
      </c>
      <c r="F125" t="n">
        <v>2500.025929529239</v>
      </c>
      <c r="G125" t="n">
        <v>8.870392253670925</v>
      </c>
      <c r="H125" t="n">
        <v>0.8395086648815402</v>
      </c>
      <c r="I125" t="n">
        <v>0.5213340449896129</v>
      </c>
      <c r="J125" t="n">
        <v>14.42782758948927</v>
      </c>
      <c r="K125" t="n">
        <v>8.466528985763105</v>
      </c>
      <c r="L125" t="n">
        <v>79.17660056509276</v>
      </c>
      <c r="M125" t="n">
        <v>1296.117634923623</v>
      </c>
      <c r="N125" t="n">
        <v>21.41160277541975</v>
      </c>
      <c r="O125" t="n">
        <v>2.03</v>
      </c>
      <c r="P125" t="n">
        <v>278.6</v>
      </c>
      <c r="Q125" t="n">
        <v>25.41</v>
      </c>
      <c r="S125" t="n">
        <v>5.82</v>
      </c>
      <c r="T125" t="inlineStr">
        <is>
          <t>L1123</t>
        </is>
      </c>
      <c r="U125" t="inlineStr">
        <is>
          <t>Reza</t>
        </is>
      </c>
      <c r="V125" t="inlineStr">
        <is>
          <t>Missing</t>
        </is>
      </c>
    </row>
    <row r="126">
      <c r="A126" s="7" t="n">
        <v>45451.16666666666</v>
      </c>
      <c r="B126" t="n">
        <v>6</v>
      </c>
      <c r="C126" t="inlineStr">
        <is>
          <t>A</t>
        </is>
      </c>
      <c r="D126" t="inlineStr">
        <is>
          <t>R1_Basematite</t>
        </is>
      </c>
      <c r="E126" t="inlineStr">
        <is>
          <t>Hematite Conc A</t>
        </is>
      </c>
      <c r="F126" t="n">
        <v>2491.984202988274</v>
      </c>
      <c r="G126" t="n">
        <v>9.048051914171554</v>
      </c>
      <c r="H126" t="n">
        <v>0.8310607173026274</v>
      </c>
      <c r="I126" t="n">
        <v>0.6366768473529765</v>
      </c>
      <c r="J126" t="n">
        <v>13.83084949966266</v>
      </c>
      <c r="K126" t="n">
        <v>6.962023458463679</v>
      </c>
      <c r="L126" t="n">
        <v>104.8696302529227</v>
      </c>
      <c r="M126" t="n">
        <v>1311.413327712851</v>
      </c>
      <c r="N126" t="n">
        <v>22.60181103653117</v>
      </c>
      <c r="O126" t="n">
        <v>1.88</v>
      </c>
      <c r="P126" t="n">
        <v>319.3</v>
      </c>
      <c r="Q126" t="n">
        <v>24.99</v>
      </c>
      <c r="R126" t="n">
        <v>96.77</v>
      </c>
      <c r="S126" t="n">
        <v>4.76</v>
      </c>
      <c r="T126" t="inlineStr">
        <is>
          <t>L1124</t>
        </is>
      </c>
      <c r="U126" t="inlineStr">
        <is>
          <t>Alireza</t>
        </is>
      </c>
    </row>
    <row r="127">
      <c r="A127" s="7" t="n">
        <v>45451.20833333334</v>
      </c>
      <c r="B127" t="n">
        <v>6</v>
      </c>
      <c r="C127" t="inlineStr">
        <is>
          <t>A</t>
        </is>
      </c>
      <c r="D127" t="inlineStr">
        <is>
          <t>R1_Basematite</t>
        </is>
      </c>
      <c r="E127" t="inlineStr">
        <is>
          <t>Hematite Conc A</t>
        </is>
      </c>
      <c r="F127" t="n">
        <v>2631.677916837927</v>
      </c>
      <c r="G127" t="n">
        <v>9.20623691873406</v>
      </c>
      <c r="H127" t="n">
        <v>0.7228687916119334</v>
      </c>
      <c r="I127" t="n">
        <v>0.5218471446038525</v>
      </c>
      <c r="J127" t="n">
        <v>14.56473392324137</v>
      </c>
      <c r="K127" t="n">
        <v>7.110244926404169</v>
      </c>
      <c r="L127" t="n">
        <v>91.78684751528289</v>
      </c>
      <c r="M127" t="n">
        <v>1289.203805562088</v>
      </c>
      <c r="N127" t="n">
        <v>23.47280396831761</v>
      </c>
      <c r="O127" t="n">
        <v>2.43</v>
      </c>
      <c r="P127" t="n">
        <v>249.8</v>
      </c>
      <c r="Q127" t="n">
        <v>25.48</v>
      </c>
      <c r="R127" t="n">
        <v>95.68000000000001</v>
      </c>
      <c r="S127" t="n">
        <v>5.26</v>
      </c>
      <c r="T127" t="inlineStr">
        <is>
          <t>L1125</t>
        </is>
      </c>
      <c r="U127" t="inlineStr">
        <is>
          <t>Mohsen</t>
        </is>
      </c>
    </row>
    <row r="128">
      <c r="A128" s="7" t="n">
        <v>45451.25</v>
      </c>
      <c r="B128" t="n">
        <v>6</v>
      </c>
      <c r="C128" t="inlineStr">
        <is>
          <t>A</t>
        </is>
      </c>
      <c r="D128" t="inlineStr">
        <is>
          <t>R1_Basematite</t>
        </is>
      </c>
      <c r="E128" t="inlineStr">
        <is>
          <t>Hematite Conc A</t>
        </is>
      </c>
      <c r="F128" t="n">
        <v>2503.744118719949</v>
      </c>
      <c r="G128" t="n">
        <v>8.901067415920062</v>
      </c>
      <c r="H128" t="n">
        <v>0.9234080673881293</v>
      </c>
      <c r="I128" t="n">
        <v>0.6182593903322215</v>
      </c>
      <c r="J128" t="n">
        <v>14.7314986323117</v>
      </c>
      <c r="K128" t="n">
        <v>7.10883909714786</v>
      </c>
      <c r="L128" t="n">
        <v>86.75523674005102</v>
      </c>
      <c r="M128" t="n">
        <v>1286.972339149061</v>
      </c>
      <c r="N128" t="n">
        <v>21.1460740808556</v>
      </c>
      <c r="O128" t="n">
        <v>2.35</v>
      </c>
      <c r="P128" t="n">
        <v>376</v>
      </c>
      <c r="Q128" t="n">
        <v>25.33</v>
      </c>
      <c r="R128" t="n">
        <v>96.42</v>
      </c>
      <c r="S128" t="n">
        <v>5.45</v>
      </c>
      <c r="T128" t="inlineStr">
        <is>
          <t>L1126</t>
        </is>
      </c>
      <c r="U128" t="inlineStr">
        <is>
          <t>Alireza</t>
        </is>
      </c>
    </row>
    <row r="129">
      <c r="A129" s="7" t="n">
        <v>45451.29166666666</v>
      </c>
      <c r="B129" t="n">
        <v>6</v>
      </c>
      <c r="C129" t="inlineStr">
        <is>
          <t>A</t>
        </is>
      </c>
      <c r="D129" t="inlineStr">
        <is>
          <t>R1_Basematite</t>
        </is>
      </c>
      <c r="E129" t="inlineStr">
        <is>
          <t>Hematite Conc A</t>
        </is>
      </c>
      <c r="F129" t="n">
        <v>2402.049019808439</v>
      </c>
      <c r="G129" t="n">
        <v>9.584936325635164</v>
      </c>
      <c r="H129" t="n">
        <v>0.7681986525605502</v>
      </c>
      <c r="I129" t="n">
        <v>0.5254217308954237</v>
      </c>
      <c r="J129" t="n">
        <v>14.3509126640515</v>
      </c>
      <c r="K129" t="n">
        <v>7.48973509284937</v>
      </c>
      <c r="L129" t="n">
        <v>104.7317666906446</v>
      </c>
      <c r="M129" t="n">
        <v>1275.480038344048</v>
      </c>
      <c r="N129" t="n">
        <v>23.20094261131861</v>
      </c>
      <c r="O129" t="n">
        <v>2.87</v>
      </c>
      <c r="P129" t="n">
        <v>208.1</v>
      </c>
      <c r="Q129" t="n">
        <v>27.85</v>
      </c>
      <c r="R129" t="n">
        <v>94.67</v>
      </c>
      <c r="S129" t="n">
        <v>6.07</v>
      </c>
      <c r="T129" t="inlineStr">
        <is>
          <t>L1127</t>
        </is>
      </c>
      <c r="U129" t="inlineStr">
        <is>
          <t>Reza</t>
        </is>
      </c>
    </row>
    <row r="130">
      <c r="A130" s="7" t="n">
        <v>45451.33333333334</v>
      </c>
      <c r="B130" t="n">
        <v>6</v>
      </c>
      <c r="C130" t="inlineStr">
        <is>
          <t>B</t>
        </is>
      </c>
      <c r="D130" t="inlineStr">
        <is>
          <t>R1_Basematite</t>
        </is>
      </c>
      <c r="E130" t="inlineStr">
        <is>
          <t>Hematite Conc A</t>
        </is>
      </c>
      <c r="F130" t="n">
        <v>2560.619825189573</v>
      </c>
      <c r="G130" t="n">
        <v>9.713519709781659</v>
      </c>
      <c r="H130" t="n">
        <v>0.924774034162487</v>
      </c>
      <c r="I130" t="n">
        <v>0.5716622294669159</v>
      </c>
      <c r="J130" t="n">
        <v>14.15365115202244</v>
      </c>
      <c r="K130" t="n">
        <v>6.124633470668885</v>
      </c>
      <c r="L130" t="n">
        <v>90.99425916184222</v>
      </c>
      <c r="M130" t="n">
        <v>1288.111996922461</v>
      </c>
      <c r="N130" t="n">
        <v>22.36689351728608</v>
      </c>
      <c r="O130" t="n">
        <v>2.39</v>
      </c>
      <c r="P130" t="n">
        <v>316.3</v>
      </c>
      <c r="Q130" t="n">
        <v>26.11</v>
      </c>
      <c r="R130" t="n">
        <v>95.09</v>
      </c>
      <c r="S130" t="n">
        <v>5.34</v>
      </c>
      <c r="T130" t="inlineStr">
        <is>
          <t>L1128</t>
        </is>
      </c>
      <c r="U130" t="inlineStr">
        <is>
          <t>Sara</t>
        </is>
      </c>
    </row>
    <row r="131">
      <c r="A131" s="7" t="n">
        <v>45451.375</v>
      </c>
      <c r="B131" t="n">
        <v>6</v>
      </c>
      <c r="C131" t="inlineStr">
        <is>
          <t>B</t>
        </is>
      </c>
      <c r="D131" t="inlineStr">
        <is>
          <t>R1_Basematite</t>
        </is>
      </c>
      <c r="E131" t="inlineStr">
        <is>
          <t>Hematite Conc A</t>
        </is>
      </c>
      <c r="F131" t="n">
        <v>2247.218324906563</v>
      </c>
      <c r="G131" t="n">
        <v>9.722551878014096</v>
      </c>
      <c r="H131" t="n">
        <v>0.6821959723612399</v>
      </c>
      <c r="I131" t="n">
        <v>0.5078415840654343</v>
      </c>
      <c r="J131" t="n">
        <v>13.52097584280527</v>
      </c>
      <c r="K131" t="n">
        <v>7.17085529480725</v>
      </c>
      <c r="L131" t="n">
        <v>83.85843294214868</v>
      </c>
      <c r="M131" t="n">
        <v>1305.399830920713</v>
      </c>
      <c r="N131" t="n">
        <v>21.91008206600394</v>
      </c>
      <c r="O131" t="n">
        <v>2.29</v>
      </c>
      <c r="P131" t="n">
        <v>236.4</v>
      </c>
      <c r="Q131" t="n">
        <v>29.83</v>
      </c>
      <c r="R131" t="n">
        <v>93.54000000000001</v>
      </c>
      <c r="S131" t="n">
        <v>5.93</v>
      </c>
      <c r="T131" t="inlineStr">
        <is>
          <t>L1129</t>
        </is>
      </c>
      <c r="U131" t="inlineStr">
        <is>
          <t>Alireza</t>
        </is>
      </c>
    </row>
    <row r="132">
      <c r="A132" s="7" t="n">
        <v>45451.41666666666</v>
      </c>
      <c r="B132" t="n">
        <v>6</v>
      </c>
      <c r="C132" t="inlineStr">
        <is>
          <t>B</t>
        </is>
      </c>
      <c r="D132" t="inlineStr">
        <is>
          <t>R1_Basematite</t>
        </is>
      </c>
      <c r="E132" t="inlineStr">
        <is>
          <t>Hematite Conc A</t>
        </is>
      </c>
      <c r="F132" t="n">
        <v>2596.53375763105</v>
      </c>
      <c r="G132" t="n">
        <v>9.159899930071845</v>
      </c>
      <c r="H132" t="n">
        <v>0.791030139960233</v>
      </c>
      <c r="I132" t="n">
        <v>0.5906734340827844</v>
      </c>
      <c r="J132" t="n">
        <v>14.66075696611184</v>
      </c>
      <c r="K132" t="n">
        <v>7.570318932338843</v>
      </c>
      <c r="L132" t="n">
        <v>99.76365222369832</v>
      </c>
      <c r="M132" t="n">
        <v>1281.717015020365</v>
      </c>
      <c r="N132" t="n">
        <v>21.12262929703803</v>
      </c>
      <c r="O132" t="n">
        <v>2.53</v>
      </c>
      <c r="P132" t="n">
        <v>301.9</v>
      </c>
      <c r="Q132" t="n">
        <v>26.6</v>
      </c>
      <c r="R132" t="n">
        <v>94.55</v>
      </c>
      <c r="S132" t="n">
        <v>5.6</v>
      </c>
      <c r="T132" t="inlineStr">
        <is>
          <t>L1130</t>
        </is>
      </c>
      <c r="U132" t="inlineStr">
        <is>
          <t>Reza</t>
        </is>
      </c>
    </row>
    <row r="133">
      <c r="A133" s="7" t="n">
        <v>45451.45833333334</v>
      </c>
      <c r="B133" t="n">
        <v>6</v>
      </c>
      <c r="C133" t="inlineStr">
        <is>
          <t>B</t>
        </is>
      </c>
      <c r="D133" t="inlineStr">
        <is>
          <t>R1_Basematite</t>
        </is>
      </c>
      <c r="E133" t="inlineStr">
        <is>
          <t>Hematite Conc A</t>
        </is>
      </c>
      <c r="F133" t="n">
        <v>2328.918228343892</v>
      </c>
      <c r="G133" t="n">
        <v>9.15395298614672</v>
      </c>
      <c r="H133" t="n">
        <v>0.8993275389709235</v>
      </c>
      <c r="I133" t="n">
        <v>0.6311761372819971</v>
      </c>
      <c r="J133" t="n">
        <v>14.79813330438029</v>
      </c>
      <c r="K133" t="n">
        <v>7.011765029539897</v>
      </c>
      <c r="L133" t="n">
        <v>85.72680546102715</v>
      </c>
      <c r="M133" t="n">
        <v>1264.980943737915</v>
      </c>
      <c r="N133" t="n">
        <v>20.9855926427697</v>
      </c>
      <c r="O133" t="n">
        <v>3.06</v>
      </c>
      <c r="P133" t="n">
        <v>287.2</v>
      </c>
      <c r="Q133" t="n">
        <v>25.68</v>
      </c>
      <c r="R133" t="n">
        <v>95.36</v>
      </c>
      <c r="S133" t="n">
        <v>5.77</v>
      </c>
      <c r="T133" t="inlineStr">
        <is>
          <t>L1131</t>
        </is>
      </c>
      <c r="U133" t="inlineStr">
        <is>
          <t>Reza</t>
        </is>
      </c>
    </row>
    <row r="134">
      <c r="A134" s="7" t="n">
        <v>45451.5</v>
      </c>
      <c r="B134" t="n">
        <v>6</v>
      </c>
      <c r="C134" t="inlineStr">
        <is>
          <t>B</t>
        </is>
      </c>
      <c r="D134" t="inlineStr">
        <is>
          <t>R1_Basematite</t>
        </is>
      </c>
      <c r="E134" t="inlineStr">
        <is>
          <t>Hematite Conc A</t>
        </is>
      </c>
      <c r="F134" t="n">
        <v>2286.134137810104</v>
      </c>
      <c r="G134" t="n">
        <v>8.953981361273673</v>
      </c>
      <c r="H134" t="n">
        <v>0.8768308315557518</v>
      </c>
      <c r="I134" t="n">
        <v>0.5258334687318026</v>
      </c>
      <c r="J134" t="n">
        <v>13.22632418457943</v>
      </c>
      <c r="K134" t="n">
        <v>7.411647970814657</v>
      </c>
      <c r="L134" t="n">
        <v>96.22132515441287</v>
      </c>
      <c r="M134" t="n">
        <v>1277.421268372894</v>
      </c>
      <c r="N134" t="n">
        <v>20.58781047078256</v>
      </c>
      <c r="O134" t="n">
        <v>2.84</v>
      </c>
      <c r="P134" t="n">
        <v>257.1</v>
      </c>
      <c r="Q134" t="n">
        <v>24.41</v>
      </c>
      <c r="R134" t="n">
        <v>96.01000000000001</v>
      </c>
      <c r="S134" t="n">
        <v>5.37</v>
      </c>
      <c r="T134" t="inlineStr">
        <is>
          <t>L1132</t>
        </is>
      </c>
      <c r="U134" t="inlineStr">
        <is>
          <t>Mohsen</t>
        </is>
      </c>
    </row>
    <row r="135">
      <c r="A135" s="7" t="n">
        <v>45451.54166666666</v>
      </c>
      <c r="B135" t="n">
        <v>6</v>
      </c>
      <c r="C135" t="inlineStr">
        <is>
          <t>B</t>
        </is>
      </c>
      <c r="D135" t="inlineStr">
        <is>
          <t>R1_Basematite</t>
        </is>
      </c>
      <c r="E135" t="inlineStr">
        <is>
          <t>Hematite Conc A</t>
        </is>
      </c>
      <c r="F135" t="n">
        <v>2383.823649783601</v>
      </c>
      <c r="G135" t="n">
        <v>9.755877518107852</v>
      </c>
      <c r="H135" t="n">
        <v>0.8816694527381205</v>
      </c>
      <c r="I135" t="n">
        <v>0.6449051359508129</v>
      </c>
      <c r="J135" t="n">
        <v>13.71680274266445</v>
      </c>
      <c r="K135" t="n">
        <v>8.083827140690692</v>
      </c>
      <c r="L135" t="n">
        <v>93.20587380250836</v>
      </c>
      <c r="M135" t="n">
        <v>1295.314408216156</v>
      </c>
      <c r="N135" t="n">
        <v>20.57063297937967</v>
      </c>
      <c r="O135" t="n">
        <v>2.71</v>
      </c>
      <c r="P135" t="n">
        <v>320.8</v>
      </c>
      <c r="Q135" t="n">
        <v>27.41</v>
      </c>
      <c r="R135" t="n">
        <v>93.88</v>
      </c>
      <c r="S135" t="n">
        <v>5.3</v>
      </c>
      <c r="T135" t="inlineStr">
        <is>
          <t>L1133</t>
        </is>
      </c>
      <c r="U135" t="inlineStr">
        <is>
          <t>Mohsen</t>
        </is>
      </c>
    </row>
    <row r="136">
      <c r="A136" s="7" t="n">
        <v>45451.58333333334</v>
      </c>
      <c r="B136" t="n">
        <v>6</v>
      </c>
      <c r="C136" t="inlineStr">
        <is>
          <t>B</t>
        </is>
      </c>
      <c r="D136" t="inlineStr">
        <is>
          <t>R1_Basematite</t>
        </is>
      </c>
      <c r="E136" t="inlineStr">
        <is>
          <t>Hematite Conc A</t>
        </is>
      </c>
      <c r="F136" t="n">
        <v>2458.280259474987</v>
      </c>
      <c r="G136" t="n">
        <v>9.109731457383388</v>
      </c>
      <c r="H136" t="n">
        <v>0.8434858083612771</v>
      </c>
      <c r="I136" t="n">
        <v>0.5570533734743244</v>
      </c>
      <c r="J136" t="n">
        <v>14.38843261053425</v>
      </c>
      <c r="K136" t="n">
        <v>6.662319996619742</v>
      </c>
      <c r="L136" t="n">
        <v>97.09868713859639</v>
      </c>
      <c r="M136" t="n">
        <v>1273.823102136781</v>
      </c>
      <c r="N136" t="n">
        <v>22.15369660888212</v>
      </c>
      <c r="O136" t="n">
        <v>2.55</v>
      </c>
      <c r="P136" t="n">
        <v>295.3</v>
      </c>
      <c r="Q136" t="n">
        <v>25.46</v>
      </c>
      <c r="R136" t="n">
        <v>96.26000000000001</v>
      </c>
      <c r="S136" t="n">
        <v>5.72</v>
      </c>
      <c r="T136" t="inlineStr">
        <is>
          <t>L1134</t>
        </is>
      </c>
      <c r="U136" t="inlineStr">
        <is>
          <t>Alireza</t>
        </is>
      </c>
    </row>
    <row r="137">
      <c r="A137" s="7" t="n">
        <v>45451.625</v>
      </c>
      <c r="B137" t="n">
        <v>6</v>
      </c>
      <c r="C137" t="inlineStr">
        <is>
          <t>B</t>
        </is>
      </c>
      <c r="D137" t="inlineStr">
        <is>
          <t>R1_Basematite</t>
        </is>
      </c>
      <c r="E137" t="inlineStr">
        <is>
          <t>Hematite Conc A</t>
        </is>
      </c>
      <c r="F137" t="n">
        <v>2577.905463896614</v>
      </c>
      <c r="G137" t="n">
        <v>10.03657808685761</v>
      </c>
      <c r="H137" t="n">
        <v>0.9908204442899533</v>
      </c>
      <c r="I137" t="n">
        <v>0.5147993794790273</v>
      </c>
      <c r="J137" t="n">
        <v>14.23462222007969</v>
      </c>
      <c r="K137" t="n">
        <v>6.775586212746698</v>
      </c>
      <c r="L137" t="n">
        <v>94.14415439159832</v>
      </c>
      <c r="M137" t="n">
        <v>1284.097589980438</v>
      </c>
      <c r="N137" t="n">
        <v>22.09378850935846</v>
      </c>
      <c r="O137" t="n">
        <v>2.14</v>
      </c>
      <c r="P137" t="n">
        <v>346.1</v>
      </c>
      <c r="Q137" t="n">
        <v>25.18</v>
      </c>
      <c r="R137" t="n">
        <v>96.01000000000001</v>
      </c>
      <c r="S137" t="n">
        <v>5.61</v>
      </c>
      <c r="T137" t="inlineStr">
        <is>
          <t>L1135</t>
        </is>
      </c>
      <c r="U137" t="inlineStr">
        <is>
          <t>Sara</t>
        </is>
      </c>
    </row>
    <row r="138">
      <c r="A138" s="7" t="n">
        <v>45451.66666666666</v>
      </c>
      <c r="B138" t="n">
        <v>6</v>
      </c>
      <c r="C138" t="inlineStr">
        <is>
          <t>C</t>
        </is>
      </c>
      <c r="D138" t="inlineStr">
        <is>
          <t>R1_Basematite</t>
        </is>
      </c>
      <c r="E138" t="inlineStr">
        <is>
          <t>Hematite Conc A</t>
        </is>
      </c>
      <c r="F138" t="n">
        <v>2411.71927872528</v>
      </c>
      <c r="G138" t="n">
        <v>8.565519762768808</v>
      </c>
      <c r="H138" t="n">
        <v>0.8515376894558618</v>
      </c>
      <c r="I138" t="n">
        <v>0.5657462274337225</v>
      </c>
      <c r="J138" t="n">
        <v>14.79604837894925</v>
      </c>
      <c r="K138" t="n">
        <v>7.18269658202412</v>
      </c>
      <c r="L138" t="n">
        <v>87.89360342948832</v>
      </c>
      <c r="M138" t="n">
        <v>1306.964732492042</v>
      </c>
      <c r="N138" t="n">
        <v>23.60475937358719</v>
      </c>
      <c r="O138" t="n">
        <v>2.47</v>
      </c>
      <c r="P138" t="n">
        <v>297.2</v>
      </c>
      <c r="Q138" t="n">
        <v>25.27</v>
      </c>
      <c r="R138" t="n">
        <v>96.17</v>
      </c>
      <c r="S138" t="n">
        <v>4.23</v>
      </c>
      <c r="T138" t="inlineStr">
        <is>
          <t>L1136</t>
        </is>
      </c>
      <c r="U138" t="inlineStr">
        <is>
          <t>Alireza</t>
        </is>
      </c>
    </row>
    <row r="139">
      <c r="A139" s="7" t="n">
        <v>45451.70833333334</v>
      </c>
      <c r="B139" t="n">
        <v>6</v>
      </c>
      <c r="C139" t="inlineStr">
        <is>
          <t>C</t>
        </is>
      </c>
      <c r="D139" t="inlineStr">
        <is>
          <t>R1_Basematite</t>
        </is>
      </c>
      <c r="E139" t="inlineStr">
        <is>
          <t>Hematite Conc A</t>
        </is>
      </c>
      <c r="F139" t="n">
        <v>2582.430113264329</v>
      </c>
      <c r="G139" t="n">
        <v>9.356813161150331</v>
      </c>
      <c r="H139" t="n">
        <v>0.8708081026622029</v>
      </c>
      <c r="I139" t="n">
        <v>0.5295498530357137</v>
      </c>
      <c r="J139" t="n">
        <v>13.47133263224507</v>
      </c>
      <c r="K139" t="n">
        <v>7.288541285090519</v>
      </c>
      <c r="L139" t="n">
        <v>93.42076252731013</v>
      </c>
      <c r="M139" t="n">
        <v>1290.26032797068</v>
      </c>
      <c r="N139" t="n">
        <v>22.32253603116365</v>
      </c>
      <c r="O139" t="n">
        <v>1.97</v>
      </c>
      <c r="P139" t="n">
        <v>274.1</v>
      </c>
      <c r="Q139" t="n">
        <v>26.76</v>
      </c>
      <c r="R139" t="n">
        <v>95.44</v>
      </c>
      <c r="S139" t="n">
        <v>4.98</v>
      </c>
      <c r="T139" t="inlineStr">
        <is>
          <t>L1137</t>
        </is>
      </c>
      <c r="U139" t="inlineStr">
        <is>
          <t>Sara</t>
        </is>
      </c>
    </row>
    <row r="140">
      <c r="A140" s="7" t="n">
        <v>45451.75</v>
      </c>
      <c r="B140" t="n">
        <v>6</v>
      </c>
      <c r="C140" t="inlineStr">
        <is>
          <t>C</t>
        </is>
      </c>
      <c r="D140" t="inlineStr">
        <is>
          <t>R1_Basematite</t>
        </is>
      </c>
      <c r="E140" t="inlineStr">
        <is>
          <t>Hematite Conc A</t>
        </is>
      </c>
      <c r="F140" t="n">
        <v>2625.514847494791</v>
      </c>
      <c r="G140" t="n">
        <v>9.454195837200354</v>
      </c>
      <c r="H140" t="n">
        <v>0.7964367689667442</v>
      </c>
      <c r="I140" t="n">
        <v>0.564091538916536</v>
      </c>
      <c r="J140" t="n">
        <v>13.92719056931525</v>
      </c>
      <c r="K140" t="n">
        <v>7.161133772028279</v>
      </c>
      <c r="L140" t="n">
        <v>95.23415553815643</v>
      </c>
      <c r="M140" t="n">
        <v>1314.043312027625</v>
      </c>
      <c r="N140" t="n">
        <v>20.28778533848683</v>
      </c>
      <c r="O140" t="n">
        <v>2.1</v>
      </c>
      <c r="P140" t="n">
        <v>281.6</v>
      </c>
      <c r="Q140" t="n">
        <v>28.61</v>
      </c>
      <c r="R140" t="n">
        <v>94.65000000000001</v>
      </c>
      <c r="S140" t="n">
        <v>5.68</v>
      </c>
      <c r="T140" t="inlineStr">
        <is>
          <t>L1138</t>
        </is>
      </c>
      <c r="U140" t="inlineStr">
        <is>
          <t>Alireza</t>
        </is>
      </c>
    </row>
    <row r="141">
      <c r="A141" s="7" t="n">
        <v>45451.79166666666</v>
      </c>
      <c r="B141" t="n">
        <v>6</v>
      </c>
      <c r="C141" t="inlineStr">
        <is>
          <t>C</t>
        </is>
      </c>
      <c r="D141" t="inlineStr">
        <is>
          <t>R1_Basematite</t>
        </is>
      </c>
      <c r="E141" t="inlineStr">
        <is>
          <t>Hematite Conc A</t>
        </is>
      </c>
      <c r="F141" t="n">
        <v>2430.963414570076</v>
      </c>
      <c r="G141" t="n">
        <v>9.281393554524541</v>
      </c>
      <c r="H141" t="n">
        <v>0.7914750157532658</v>
      </c>
      <c r="I141" t="n">
        <v>0.5270228338234995</v>
      </c>
      <c r="J141" t="n">
        <v>14.05826879823783</v>
      </c>
      <c r="K141" t="n">
        <v>6.751131734890389</v>
      </c>
      <c r="L141" t="n">
        <v>97.19619586873119</v>
      </c>
      <c r="M141" t="n">
        <v>1295.164024895977</v>
      </c>
      <c r="N141" t="n">
        <v>22.14540271525177</v>
      </c>
      <c r="O141" t="n">
        <v>2.12</v>
      </c>
      <c r="P141" t="n">
        <v>326.6</v>
      </c>
      <c r="Q141" t="n">
        <v>25.79</v>
      </c>
      <c r="R141" t="n">
        <v>95.52</v>
      </c>
      <c r="S141" t="n">
        <v>5.29</v>
      </c>
      <c r="T141" t="inlineStr">
        <is>
          <t>L1139</t>
        </is>
      </c>
      <c r="U141" t="inlineStr">
        <is>
          <t>Reza</t>
        </is>
      </c>
    </row>
    <row r="142">
      <c r="A142" s="7" t="n">
        <v>45451.83333333334</v>
      </c>
      <c r="B142" t="n">
        <v>6</v>
      </c>
      <c r="C142" t="inlineStr">
        <is>
          <t>C</t>
        </is>
      </c>
      <c r="D142" t="inlineStr">
        <is>
          <t>R1_Basematite</t>
        </is>
      </c>
      <c r="E142" t="inlineStr">
        <is>
          <t>Hematite Conc A</t>
        </is>
      </c>
      <c r="F142" t="n">
        <v>2273.321520104525</v>
      </c>
      <c r="G142" t="n">
        <v>9.484246622411804</v>
      </c>
      <c r="H142" t="n">
        <v>0.9439599866723214</v>
      </c>
      <c r="I142" t="n">
        <v>0.4723628135875717</v>
      </c>
      <c r="J142" t="n">
        <v>14.0764424083152</v>
      </c>
      <c r="K142" t="n">
        <v>6.834684591089885</v>
      </c>
      <c r="L142" t="n">
        <v>96.71440051476937</v>
      </c>
      <c r="M142" t="n">
        <v>1299.273545206926</v>
      </c>
      <c r="N142" t="n">
        <v>21.42237758635474</v>
      </c>
      <c r="O142" t="n">
        <v>2.15</v>
      </c>
      <c r="P142" t="n">
        <v>240.5</v>
      </c>
      <c r="Q142" t="n">
        <v>25.13</v>
      </c>
      <c r="R142" t="n">
        <v>96.73999999999999</v>
      </c>
      <c r="S142" t="n">
        <v>5.68</v>
      </c>
      <c r="T142" t="inlineStr">
        <is>
          <t>L1140</t>
        </is>
      </c>
      <c r="U142" t="inlineStr">
        <is>
          <t>Reza</t>
        </is>
      </c>
    </row>
    <row r="143">
      <c r="A143" s="7" t="n">
        <v>45451.875</v>
      </c>
      <c r="B143" t="n">
        <v>6</v>
      </c>
      <c r="C143" t="inlineStr">
        <is>
          <t>C</t>
        </is>
      </c>
      <c r="D143" t="inlineStr">
        <is>
          <t>R1_Basematite</t>
        </is>
      </c>
      <c r="E143" t="inlineStr">
        <is>
          <t>Hematite Conc A</t>
        </is>
      </c>
      <c r="F143" t="n">
        <v>2615.555196060292</v>
      </c>
      <c r="G143" t="n">
        <v>9.977804151288568</v>
      </c>
      <c r="H143" t="n">
        <v>0.9444858949998225</v>
      </c>
      <c r="I143" t="n">
        <v>0.6150831736355209</v>
      </c>
      <c r="J143" t="n">
        <v>14.7412149300547</v>
      </c>
      <c r="L143" t="n">
        <v>91.22472928490413</v>
      </c>
      <c r="N143" t="n">
        <v>23.18130276361134</v>
      </c>
      <c r="O143" t="n">
        <v>2.5</v>
      </c>
      <c r="P143" t="n">
        <v>443.6</v>
      </c>
      <c r="Q143" t="n">
        <v>25.62</v>
      </c>
      <c r="R143" t="n">
        <v>95.70999999999999</v>
      </c>
      <c r="S143" t="n">
        <v>5.36</v>
      </c>
      <c r="T143" t="inlineStr">
        <is>
          <t>L1141</t>
        </is>
      </c>
      <c r="U143" t="inlineStr">
        <is>
          <t>Sara</t>
        </is>
      </c>
      <c r="V143" t="inlineStr">
        <is>
          <t>Missing;Missing</t>
        </is>
      </c>
    </row>
    <row r="144">
      <c r="A144" s="7" t="n">
        <v>45451.91666666666</v>
      </c>
      <c r="B144" t="n">
        <v>6</v>
      </c>
      <c r="C144" t="inlineStr">
        <is>
          <t>C</t>
        </is>
      </c>
      <c r="D144" t="inlineStr">
        <is>
          <t>R1_Basematite</t>
        </is>
      </c>
      <c r="E144" t="inlineStr">
        <is>
          <t>Hematite Conc A</t>
        </is>
      </c>
      <c r="F144" t="n">
        <v>2499.580684522446</v>
      </c>
      <c r="G144" t="n">
        <v>9.267401409322474</v>
      </c>
      <c r="H144" t="n">
        <v>0.7211604183349142</v>
      </c>
      <c r="I144" t="n">
        <v>0.5640039388180065</v>
      </c>
      <c r="J144" t="n">
        <v>14.56975216764018</v>
      </c>
      <c r="K144" t="n">
        <v>7.419290894776727</v>
      </c>
      <c r="L144" t="n">
        <v>91.05964107761682</v>
      </c>
      <c r="M144" t="n">
        <v>1291.323353471128</v>
      </c>
      <c r="N144" t="n">
        <v>21.57585570080482</v>
      </c>
      <c r="O144" t="n">
        <v>2.33</v>
      </c>
      <c r="P144" t="n">
        <v>206</v>
      </c>
      <c r="Q144" t="n">
        <v>26.02</v>
      </c>
      <c r="R144" t="n">
        <v>95.36</v>
      </c>
      <c r="S144" t="n">
        <v>5.36</v>
      </c>
      <c r="T144" t="inlineStr">
        <is>
          <t>L1142</t>
        </is>
      </c>
      <c r="U144" t="inlineStr">
        <is>
          <t>Sara</t>
        </is>
      </c>
    </row>
    <row r="145">
      <c r="A145" s="7" t="n">
        <v>45451.95833333334</v>
      </c>
      <c r="B145" t="n">
        <v>6</v>
      </c>
      <c r="C145" t="inlineStr">
        <is>
          <t>C</t>
        </is>
      </c>
      <c r="D145" t="inlineStr">
        <is>
          <t>R1_Basematite</t>
        </is>
      </c>
      <c r="E145" t="inlineStr">
        <is>
          <t>Hematite Conc A</t>
        </is>
      </c>
      <c r="F145" t="n">
        <v>2069.265163653929</v>
      </c>
      <c r="G145" t="n">
        <v>9.570037206162247</v>
      </c>
      <c r="H145" t="n">
        <v>0.8092365518314082</v>
      </c>
      <c r="I145" t="n">
        <v>0.5345759210373655</v>
      </c>
      <c r="J145" t="n">
        <v>14.9704315642934</v>
      </c>
      <c r="K145" t="n">
        <v>8.472745924782256</v>
      </c>
      <c r="L145" t="n">
        <v>94.65838597530534</v>
      </c>
      <c r="M145" t="n">
        <v>1275.188547717118</v>
      </c>
      <c r="N145" t="n">
        <v>22.3748301169085</v>
      </c>
      <c r="O145" t="n">
        <v>2.61</v>
      </c>
      <c r="P145" t="n">
        <v>260.3</v>
      </c>
      <c r="Q145" t="n">
        <v>28.19</v>
      </c>
      <c r="R145" t="n">
        <v>93.95999999999999</v>
      </c>
      <c r="S145" t="n">
        <v>5.83</v>
      </c>
      <c r="T145" t="inlineStr">
        <is>
          <t>L1143</t>
        </is>
      </c>
      <c r="U145" t="inlineStr">
        <is>
          <t>Sara</t>
        </is>
      </c>
    </row>
    <row r="146">
      <c r="A146" s="7" t="n">
        <v>45452</v>
      </c>
      <c r="B146" t="n">
        <v>7</v>
      </c>
      <c r="C146" t="inlineStr">
        <is>
          <t>A</t>
        </is>
      </c>
      <c r="D146" t="inlineStr">
        <is>
          <t>R2_Magnetite_Blend</t>
        </is>
      </c>
      <c r="E146" t="inlineStr">
        <is>
          <t>Magnetite Blend B</t>
        </is>
      </c>
      <c r="F146" t="n">
        <v>2172.108042646513</v>
      </c>
      <c r="G146" t="n">
        <v>9.127174769025672</v>
      </c>
      <c r="H146" t="n">
        <v>0.936325928678005</v>
      </c>
      <c r="I146" t="n">
        <v>0.6626513906695687</v>
      </c>
      <c r="J146" t="n">
        <v>14.04629243821421</v>
      </c>
      <c r="K146" t="n">
        <v>7.246819830935202</v>
      </c>
      <c r="L146" t="n">
        <v>94.12890927315007</v>
      </c>
      <c r="M146" t="n">
        <v>1289.800693875255</v>
      </c>
      <c r="N146" t="n">
        <v>21.36164513503319</v>
      </c>
      <c r="O146" t="n">
        <v>2.61</v>
      </c>
      <c r="P146" t="n">
        <v>312.3</v>
      </c>
      <c r="Q146" t="n">
        <v>25.98</v>
      </c>
      <c r="R146" t="n">
        <v>95.63</v>
      </c>
      <c r="S146" t="n">
        <v>5.79</v>
      </c>
      <c r="T146" t="inlineStr">
        <is>
          <t>L1144</t>
        </is>
      </c>
      <c r="U146" t="inlineStr">
        <is>
          <t>Mohsen</t>
        </is>
      </c>
    </row>
    <row r="147">
      <c r="A147" s="7" t="n">
        <v>45452.04166666666</v>
      </c>
      <c r="B147" t="n">
        <v>7</v>
      </c>
      <c r="C147" t="inlineStr">
        <is>
          <t>A</t>
        </is>
      </c>
      <c r="D147" t="inlineStr">
        <is>
          <t>R2_Magnetite_Blend</t>
        </is>
      </c>
      <c r="E147" t="inlineStr">
        <is>
          <t>Magnetite Blend B</t>
        </is>
      </c>
      <c r="F147" t="n">
        <v>2375.769104241083</v>
      </c>
      <c r="G147" t="n">
        <v>8.847059974095465</v>
      </c>
      <c r="H147" t="n">
        <v>0.8549046489725194</v>
      </c>
      <c r="I147" t="n">
        <v>0.5625396347282631</v>
      </c>
      <c r="J147" t="n">
        <v>13.7617495849502</v>
      </c>
      <c r="K147" t="n">
        <v>6.429797726328173</v>
      </c>
      <c r="L147" t="n">
        <v>112.9548493647001</v>
      </c>
      <c r="M147" t="n">
        <v>1331.602487145086</v>
      </c>
      <c r="N147" t="n">
        <v>23.84454888996335</v>
      </c>
      <c r="O147" t="n">
        <v>1.97</v>
      </c>
      <c r="P147" t="n">
        <v>312.1</v>
      </c>
      <c r="Q147" t="n">
        <v>24.14</v>
      </c>
      <c r="R147" t="n">
        <v>98.39</v>
      </c>
      <c r="S147" t="n">
        <v>5.31</v>
      </c>
      <c r="T147" t="inlineStr">
        <is>
          <t>L1145</t>
        </is>
      </c>
      <c r="U147" t="inlineStr">
        <is>
          <t>Alireza</t>
        </is>
      </c>
    </row>
    <row r="148">
      <c r="A148" s="7" t="n">
        <v>45452.08333333334</v>
      </c>
      <c r="B148" t="n">
        <v>7</v>
      </c>
      <c r="C148" t="inlineStr">
        <is>
          <t>A</t>
        </is>
      </c>
      <c r="D148" t="inlineStr">
        <is>
          <t>R2_Magnetite_Blend</t>
        </is>
      </c>
      <c r="E148" t="inlineStr">
        <is>
          <t>Magnetite Blend B</t>
        </is>
      </c>
      <c r="F148" t="n">
        <v>2103.057007426256</v>
      </c>
      <c r="G148" t="n">
        <v>8.915618393677292</v>
      </c>
      <c r="H148" t="n">
        <v>0.9173453115634881</v>
      </c>
      <c r="I148" t="n">
        <v>0.6199070431205478</v>
      </c>
      <c r="J148" t="n">
        <v>14.58500196492957</v>
      </c>
      <c r="K148" t="n">
        <v>8.053337027370905</v>
      </c>
      <c r="L148" t="n">
        <v>99.37417821287816</v>
      </c>
      <c r="M148" t="n">
        <v>1301.222209586665</v>
      </c>
      <c r="N148" t="n">
        <v>20.21148264450747</v>
      </c>
      <c r="O148" t="n">
        <v>2.25</v>
      </c>
      <c r="P148" t="n">
        <v>302.4</v>
      </c>
      <c r="Q148" t="n">
        <v>25.09</v>
      </c>
      <c r="R148" t="n">
        <v>96.42</v>
      </c>
      <c r="S148" t="n">
        <v>5.17</v>
      </c>
      <c r="T148" t="inlineStr">
        <is>
          <t>L1146</t>
        </is>
      </c>
      <c r="U148" t="inlineStr">
        <is>
          <t>Alireza</t>
        </is>
      </c>
    </row>
    <row r="149">
      <c r="A149" s="7" t="n">
        <v>45452.125</v>
      </c>
      <c r="B149" t="n">
        <v>7</v>
      </c>
      <c r="C149" t="inlineStr">
        <is>
          <t>A</t>
        </is>
      </c>
      <c r="D149" t="inlineStr">
        <is>
          <t>R2_Magnetite_Blend</t>
        </is>
      </c>
      <c r="E149" t="inlineStr">
        <is>
          <t>Magnetite Blend B</t>
        </is>
      </c>
      <c r="F149" t="n">
        <v>2227.344374357166</v>
      </c>
      <c r="G149" t="n">
        <v>9.578208883932454</v>
      </c>
      <c r="H149" t="n">
        <v>0.7222299296347734</v>
      </c>
      <c r="I149" t="n">
        <v>0.6673141657777989</v>
      </c>
      <c r="J149" t="n">
        <v>14.33249481396249</v>
      </c>
      <c r="K149" t="n">
        <v>6.997793805593551</v>
      </c>
      <c r="L149" t="n">
        <v>98.13465860915191</v>
      </c>
      <c r="M149" t="n">
        <v>1295.212194472199</v>
      </c>
      <c r="N149" t="n">
        <v>22.44728448714073</v>
      </c>
      <c r="O149" t="n">
        <v>2.34</v>
      </c>
      <c r="P149" t="n">
        <v>261.9</v>
      </c>
      <c r="Q149" t="n">
        <v>29.28</v>
      </c>
      <c r="R149" t="n">
        <v>94.34</v>
      </c>
      <c r="S149" t="n">
        <v>6.31</v>
      </c>
      <c r="T149" t="inlineStr">
        <is>
          <t>L1147</t>
        </is>
      </c>
      <c r="U149" t="inlineStr">
        <is>
          <t>Mohsen</t>
        </is>
      </c>
    </row>
    <row r="150">
      <c r="A150" s="7" t="n">
        <v>45452.16666666666</v>
      </c>
      <c r="B150" t="n">
        <v>7</v>
      </c>
      <c r="C150" t="inlineStr">
        <is>
          <t>A</t>
        </is>
      </c>
      <c r="D150" t="inlineStr">
        <is>
          <t>R2_Magnetite_Blend</t>
        </is>
      </c>
      <c r="E150" t="inlineStr">
        <is>
          <t>Magnetite Blend B</t>
        </is>
      </c>
      <c r="F150" t="n">
        <v>2041.674014662386</v>
      </c>
      <c r="G150" t="n">
        <v>9.397547907803704</v>
      </c>
      <c r="H150" t="n">
        <v>0.8622356445330767</v>
      </c>
      <c r="I150" t="n">
        <v>0.7019768850575929</v>
      </c>
      <c r="J150" t="n">
        <v>13.39325684377297</v>
      </c>
      <c r="K150" t="n">
        <v>7.597955584717207</v>
      </c>
      <c r="L150" t="n">
        <v>101.0968692355162</v>
      </c>
      <c r="M150" t="n">
        <v>1317.437375293452</v>
      </c>
      <c r="N150" t="n">
        <v>22.52355457085101</v>
      </c>
      <c r="O150" t="n">
        <v>1.78</v>
      </c>
      <c r="P150" t="n">
        <v>345.6</v>
      </c>
      <c r="Q150" t="n">
        <v>25.66</v>
      </c>
      <c r="R150" t="n">
        <v>96.64</v>
      </c>
      <c r="S150" t="n">
        <v>5.25</v>
      </c>
      <c r="T150" t="inlineStr">
        <is>
          <t>L1148</t>
        </is>
      </c>
      <c r="U150" t="inlineStr">
        <is>
          <t>Mohsen</t>
        </is>
      </c>
    </row>
    <row r="151">
      <c r="A151" s="7" t="n">
        <v>45452.20833333334</v>
      </c>
      <c r="B151" t="n">
        <v>7</v>
      </c>
      <c r="C151" t="inlineStr">
        <is>
          <t>A</t>
        </is>
      </c>
      <c r="D151" t="inlineStr">
        <is>
          <t>R2_Magnetite_Blend</t>
        </is>
      </c>
      <c r="E151" t="inlineStr">
        <is>
          <t>Magnetite Blend B</t>
        </is>
      </c>
      <c r="F151" t="n">
        <v>2422.407450201006</v>
      </c>
      <c r="G151" t="n">
        <v>8.785872306617108</v>
      </c>
      <c r="H151" t="n">
        <v>0.8505203679634989</v>
      </c>
      <c r="I151" t="n">
        <v>0.6415467122061436</v>
      </c>
      <c r="J151" t="n">
        <v>13.36492193225187</v>
      </c>
      <c r="K151" t="n">
        <v>7.421672677463548</v>
      </c>
      <c r="L151" t="n">
        <v>97.990238417801</v>
      </c>
      <c r="M151" t="n">
        <v>1295.399841439641</v>
      </c>
      <c r="N151" t="n">
        <v>19.64805469458175</v>
      </c>
      <c r="O151" t="n">
        <v>2.22</v>
      </c>
      <c r="P151" t="n">
        <v>304</v>
      </c>
      <c r="Q151" t="n">
        <v>28.65</v>
      </c>
      <c r="R151" t="n">
        <v>92.91</v>
      </c>
      <c r="S151" t="n">
        <v>5.89</v>
      </c>
      <c r="T151" t="inlineStr">
        <is>
          <t>L1149</t>
        </is>
      </c>
      <c r="U151" t="inlineStr">
        <is>
          <t>Reza</t>
        </is>
      </c>
    </row>
    <row r="152">
      <c r="A152" s="7" t="n">
        <v>45452.25</v>
      </c>
      <c r="B152" t="n">
        <v>7</v>
      </c>
      <c r="C152" t="inlineStr">
        <is>
          <t>A</t>
        </is>
      </c>
      <c r="D152" t="inlineStr">
        <is>
          <t>R2_Magnetite_Blend</t>
        </is>
      </c>
      <c r="E152" t="inlineStr">
        <is>
          <t>Magnetite Blend B</t>
        </is>
      </c>
      <c r="F152" t="n">
        <v>2393.473205217387</v>
      </c>
      <c r="G152" t="n">
        <v>9.397062588159386</v>
      </c>
      <c r="H152" t="n">
        <v>0.8541857630583588</v>
      </c>
      <c r="I152" t="n">
        <v>0.6756552855572306</v>
      </c>
      <c r="J152" t="n">
        <v>14.19902145972419</v>
      </c>
      <c r="K152" t="n">
        <v>7.160306736599858</v>
      </c>
      <c r="L152" t="n">
        <v>105.0565794376226</v>
      </c>
      <c r="M152" t="n">
        <v>1309.807541091872</v>
      </c>
      <c r="N152" t="n">
        <v>21.64247941330901</v>
      </c>
      <c r="O152" t="n">
        <v>2.5</v>
      </c>
      <c r="P152" t="n">
        <v>358.8</v>
      </c>
      <c r="Q152" t="n">
        <v>25.12</v>
      </c>
      <c r="R152" t="n">
        <v>96.44</v>
      </c>
      <c r="S152" t="n">
        <v>4.93</v>
      </c>
      <c r="T152" t="inlineStr">
        <is>
          <t>L1150</t>
        </is>
      </c>
      <c r="U152" t="inlineStr">
        <is>
          <t>Sara</t>
        </is>
      </c>
    </row>
    <row r="153">
      <c r="A153" s="7" t="n">
        <v>45452.29166666666</v>
      </c>
      <c r="B153" t="n">
        <v>7</v>
      </c>
      <c r="C153" t="inlineStr">
        <is>
          <t>A</t>
        </is>
      </c>
      <c r="D153" t="inlineStr">
        <is>
          <t>R2_Magnetite_Blend</t>
        </is>
      </c>
      <c r="E153" t="inlineStr">
        <is>
          <t>Magnetite Blend B</t>
        </is>
      </c>
      <c r="F153" t="n">
        <v>2381.702608248142</v>
      </c>
      <c r="G153" t="n">
        <v>9.498948937623261</v>
      </c>
      <c r="H153" t="n">
        <v>0.8039585713924675</v>
      </c>
      <c r="I153" t="n">
        <v>0.5437183055772642</v>
      </c>
      <c r="J153" t="n">
        <v>14.66448391235552</v>
      </c>
      <c r="K153" t="n">
        <v>7.263777972173778</v>
      </c>
      <c r="L153" t="n">
        <v>92.88830425910089</v>
      </c>
      <c r="M153" t="n">
        <v>1299.432123036391</v>
      </c>
      <c r="N153" t="n">
        <v>19.45171800223633</v>
      </c>
      <c r="O153" t="n">
        <v>2.53</v>
      </c>
      <c r="P153" t="n">
        <v>253</v>
      </c>
      <c r="Q153" t="n">
        <v>24.6</v>
      </c>
      <c r="R153" t="n">
        <v>96.89</v>
      </c>
      <c r="S153" t="n">
        <v>5.12</v>
      </c>
      <c r="T153" t="inlineStr">
        <is>
          <t>L1151</t>
        </is>
      </c>
      <c r="U153" t="inlineStr">
        <is>
          <t>Reza</t>
        </is>
      </c>
    </row>
    <row r="154">
      <c r="A154" s="7" t="n">
        <v>45452.33333333334</v>
      </c>
      <c r="B154" t="n">
        <v>7</v>
      </c>
      <c r="C154" t="inlineStr">
        <is>
          <t>B</t>
        </is>
      </c>
      <c r="D154" t="inlineStr">
        <is>
          <t>R2_Magnetite_Blend</t>
        </is>
      </c>
      <c r="E154" t="inlineStr">
        <is>
          <t>Magnetite Blend B</t>
        </is>
      </c>
      <c r="F154" t="n">
        <v>2610.54533135269</v>
      </c>
      <c r="G154" t="n">
        <v>9.459398145327528</v>
      </c>
      <c r="H154" t="n">
        <v>0.8470272961598755</v>
      </c>
      <c r="I154" t="n">
        <v>0.6311100715889327</v>
      </c>
      <c r="J154" t="n">
        <v>13.46719365690891</v>
      </c>
      <c r="K154" t="n">
        <v>6.123340120431155</v>
      </c>
      <c r="L154" t="n">
        <v>96.43463493895902</v>
      </c>
      <c r="M154" t="n">
        <v>1320.65054208482</v>
      </c>
      <c r="N154" t="n">
        <v>22.91085520160131</v>
      </c>
      <c r="O154" t="n">
        <v>1.64</v>
      </c>
      <c r="P154" t="n">
        <v>385.5</v>
      </c>
      <c r="Q154" t="n">
        <v>24.83</v>
      </c>
      <c r="R154" t="n">
        <v>96.45999999999999</v>
      </c>
      <c r="S154" t="n">
        <v>4.85</v>
      </c>
      <c r="T154" t="inlineStr">
        <is>
          <t>L1152</t>
        </is>
      </c>
      <c r="U154" t="inlineStr">
        <is>
          <t>Mohsen</t>
        </is>
      </c>
    </row>
    <row r="155">
      <c r="A155" s="7" t="n">
        <v>45452.375</v>
      </c>
      <c r="B155" t="n">
        <v>7</v>
      </c>
      <c r="C155" t="inlineStr">
        <is>
          <t>B</t>
        </is>
      </c>
      <c r="D155" t="inlineStr">
        <is>
          <t>R2_Magnetite_Blend</t>
        </is>
      </c>
      <c r="E155" t="inlineStr">
        <is>
          <t>Magnetite Blend B</t>
        </is>
      </c>
      <c r="F155" t="n">
        <v>2286.531699254583</v>
      </c>
      <c r="G155" t="n">
        <v>9.684289180746886</v>
      </c>
      <c r="H155" t="n">
        <v>0.9747563494617617</v>
      </c>
      <c r="I155" t="n">
        <v>0.675900160826716</v>
      </c>
      <c r="J155" t="n">
        <v>15.14741091065189</v>
      </c>
      <c r="K155" t="n">
        <v>7.722648097079874</v>
      </c>
      <c r="L155" t="n">
        <v>88.67962824082953</v>
      </c>
      <c r="M155" t="n">
        <v>1296.416214673404</v>
      </c>
      <c r="N155" t="n">
        <v>21.26630882486156</v>
      </c>
      <c r="O155" t="n">
        <v>2.01</v>
      </c>
      <c r="P155" t="n">
        <v>356.5</v>
      </c>
      <c r="Q155" t="n">
        <v>25.09</v>
      </c>
      <c r="R155" t="n">
        <v>96.02</v>
      </c>
      <c r="S155" t="n">
        <v>5.42</v>
      </c>
      <c r="T155" t="inlineStr">
        <is>
          <t>L1153</t>
        </is>
      </c>
      <c r="U155" t="inlineStr">
        <is>
          <t>Alireza</t>
        </is>
      </c>
    </row>
    <row r="156">
      <c r="A156" s="7" t="n">
        <v>45452.41666666666</v>
      </c>
      <c r="B156" t="n">
        <v>7</v>
      </c>
      <c r="C156" t="inlineStr">
        <is>
          <t>B</t>
        </is>
      </c>
      <c r="D156" t="inlineStr">
        <is>
          <t>R2_Magnetite_Blend</t>
        </is>
      </c>
      <c r="E156" t="inlineStr">
        <is>
          <t>Magnetite Blend B</t>
        </is>
      </c>
      <c r="F156" t="n">
        <v>2297.947566619185</v>
      </c>
      <c r="G156" t="n">
        <v>8.783419134855396</v>
      </c>
      <c r="H156" t="n">
        <v>0.7740753739801788</v>
      </c>
      <c r="I156" t="n">
        <v>0.6992735540975888</v>
      </c>
      <c r="J156" t="n">
        <v>14.42563661932387</v>
      </c>
      <c r="K156" t="n">
        <v>5.944744896218761</v>
      </c>
      <c r="L156" t="n">
        <v>96.99067811423501</v>
      </c>
      <c r="M156" t="n">
        <v>1312.047089436513</v>
      </c>
      <c r="N156" t="n">
        <v>21.46728031027292</v>
      </c>
      <c r="O156" t="n">
        <v>2.02</v>
      </c>
      <c r="P156" t="n">
        <v>317.5</v>
      </c>
      <c r="Q156" t="n">
        <v>25.34</v>
      </c>
      <c r="R156" t="n">
        <v>96.14</v>
      </c>
      <c r="S156" t="n">
        <v>5.34</v>
      </c>
      <c r="T156" t="inlineStr">
        <is>
          <t>L1154</t>
        </is>
      </c>
      <c r="U156" t="inlineStr">
        <is>
          <t>Mohsen</t>
        </is>
      </c>
    </row>
    <row r="157">
      <c r="A157" s="7" t="n">
        <v>45452.45833333334</v>
      </c>
      <c r="B157" t="n">
        <v>7</v>
      </c>
      <c r="C157" t="inlineStr">
        <is>
          <t>B</t>
        </is>
      </c>
      <c r="D157" t="inlineStr">
        <is>
          <t>R2_Magnetite_Blend</t>
        </is>
      </c>
      <c r="E157" t="inlineStr">
        <is>
          <t>Magnetite Blend B</t>
        </is>
      </c>
      <c r="F157" t="n">
        <v>2713.586190773204</v>
      </c>
      <c r="G157" t="n">
        <v>8.962954329909758</v>
      </c>
      <c r="H157" t="n">
        <v>0.8451369049765808</v>
      </c>
      <c r="I157" t="n">
        <v>0.5724824817553875</v>
      </c>
      <c r="J157" t="n">
        <v>14.08130312349861</v>
      </c>
      <c r="K157" t="n">
        <v>7.941432700700845</v>
      </c>
      <c r="L157" t="n">
        <v>92.5867860133564</v>
      </c>
      <c r="M157" t="n">
        <v>1299.442936910033</v>
      </c>
      <c r="N157" t="n">
        <v>22.26295554016441</v>
      </c>
      <c r="O157" t="n">
        <v>2.28</v>
      </c>
      <c r="P157" t="n">
        <v>358.4</v>
      </c>
      <c r="Q157" t="n">
        <v>25.02</v>
      </c>
      <c r="R157" t="n">
        <v>96.81999999999999</v>
      </c>
      <c r="S157" t="n">
        <v>4.65</v>
      </c>
      <c r="T157" t="inlineStr">
        <is>
          <t>L1155</t>
        </is>
      </c>
      <c r="U157" t="inlineStr">
        <is>
          <t>Reza</t>
        </is>
      </c>
    </row>
    <row r="158">
      <c r="A158" s="7" t="n">
        <v>45452.5</v>
      </c>
      <c r="B158" t="n">
        <v>7</v>
      </c>
      <c r="C158" t="inlineStr">
        <is>
          <t>B</t>
        </is>
      </c>
      <c r="D158" t="inlineStr">
        <is>
          <t>R2_Magnetite_Blend</t>
        </is>
      </c>
      <c r="E158" t="inlineStr">
        <is>
          <t>Magnetite Blend B</t>
        </is>
      </c>
      <c r="F158" t="n">
        <v>2115.844664805283</v>
      </c>
      <c r="G158" t="n">
        <v>8.919253453415083</v>
      </c>
      <c r="H158" t="n">
        <v>0.8283498952149444</v>
      </c>
      <c r="I158" t="n">
        <v>0.7124631275296494</v>
      </c>
      <c r="J158" t="n">
        <v>14.78933891173238</v>
      </c>
      <c r="K158" t="n">
        <v>7.142397226350842</v>
      </c>
      <c r="L158" t="n">
        <v>81.70613028591788</v>
      </c>
      <c r="M158" t="n">
        <v>1318.403413012086</v>
      </c>
      <c r="N158" t="n">
        <v>22.44550710773298</v>
      </c>
      <c r="O158" t="n">
        <v>1.9</v>
      </c>
      <c r="P158" t="n">
        <v>314.4</v>
      </c>
      <c r="Q158" t="n">
        <v>25.33</v>
      </c>
      <c r="R158" t="n">
        <v>96.64</v>
      </c>
      <c r="S158" t="n">
        <v>5.32</v>
      </c>
      <c r="T158" t="inlineStr">
        <is>
          <t>L1156</t>
        </is>
      </c>
      <c r="U158" t="inlineStr">
        <is>
          <t>Reza</t>
        </is>
      </c>
    </row>
    <row r="159">
      <c r="A159" s="7" t="n">
        <v>45452.54166666666</v>
      </c>
      <c r="B159" t="n">
        <v>7</v>
      </c>
      <c r="C159" t="inlineStr">
        <is>
          <t>B</t>
        </is>
      </c>
      <c r="D159" t="inlineStr">
        <is>
          <t>R2_Magnetite_Blend</t>
        </is>
      </c>
      <c r="E159" t="inlineStr">
        <is>
          <t>Magnetite Blend B</t>
        </is>
      </c>
      <c r="F159" t="n">
        <v>2481.249322621217</v>
      </c>
      <c r="G159" t="n">
        <v>9.344797615901724</v>
      </c>
      <c r="H159" t="n">
        <v>0.8311624111142214</v>
      </c>
      <c r="I159" t="n">
        <v>0.757706747289944</v>
      </c>
      <c r="J159" t="n">
        <v>14.11311961024337</v>
      </c>
      <c r="K159" t="n">
        <v>6.216781040290437</v>
      </c>
      <c r="L159" t="n">
        <v>90.04711909814837</v>
      </c>
      <c r="M159" t="n">
        <v>1291.847557458318</v>
      </c>
      <c r="N159" t="n">
        <v>21.40467312775445</v>
      </c>
      <c r="O159" t="n">
        <v>2.34</v>
      </c>
      <c r="P159" t="n">
        <v>429.7</v>
      </c>
      <c r="Q159" t="n">
        <v>25.67</v>
      </c>
      <c r="R159" t="n">
        <v>94.81</v>
      </c>
      <c r="S159" t="n">
        <v>5.57</v>
      </c>
      <c r="T159" t="inlineStr">
        <is>
          <t>L1157</t>
        </is>
      </c>
      <c r="U159" t="inlineStr">
        <is>
          <t>Sara</t>
        </is>
      </c>
    </row>
    <row r="160">
      <c r="A160" s="7" t="n">
        <v>45452.58333333334</v>
      </c>
      <c r="B160" t="n">
        <v>7</v>
      </c>
      <c r="C160" t="inlineStr">
        <is>
          <t>B</t>
        </is>
      </c>
      <c r="D160" t="inlineStr">
        <is>
          <t>R2_Magnetite_Blend</t>
        </is>
      </c>
      <c r="E160" t="inlineStr">
        <is>
          <t>Magnetite Blend B</t>
        </is>
      </c>
      <c r="F160" t="n">
        <v>2113.28262385091</v>
      </c>
      <c r="G160" t="n">
        <v>9.750847085496311</v>
      </c>
      <c r="H160" t="n">
        <v>0.9773626798161394</v>
      </c>
      <c r="I160" t="n">
        <v>0.6425399375943975</v>
      </c>
      <c r="J160" t="n">
        <v>13.18913514295296</v>
      </c>
      <c r="K160" t="n">
        <v>7.377123775247136</v>
      </c>
      <c r="L160" t="n">
        <v>102.6392058189185</v>
      </c>
      <c r="M160" t="n">
        <v>1284.842377235576</v>
      </c>
      <c r="N160" t="n">
        <v>21.23185490351212</v>
      </c>
      <c r="O160" t="n">
        <v>2.4</v>
      </c>
      <c r="P160" t="n">
        <v>316</v>
      </c>
      <c r="Q160" t="n">
        <v>24.18</v>
      </c>
      <c r="R160" t="n">
        <v>96.51000000000001</v>
      </c>
      <c r="S160" t="n">
        <v>5.39</v>
      </c>
      <c r="T160" t="inlineStr">
        <is>
          <t>L1158</t>
        </is>
      </c>
      <c r="U160" t="inlineStr">
        <is>
          <t>Mohsen</t>
        </is>
      </c>
    </row>
    <row r="161">
      <c r="A161" s="7" t="n">
        <v>45452.625</v>
      </c>
      <c r="B161" t="n">
        <v>7</v>
      </c>
      <c r="C161" t="inlineStr">
        <is>
          <t>B</t>
        </is>
      </c>
      <c r="D161" t="inlineStr">
        <is>
          <t>R2_Magnetite_Blend</t>
        </is>
      </c>
      <c r="E161" t="inlineStr">
        <is>
          <t>Magnetite Blend B</t>
        </is>
      </c>
      <c r="F161" t="n">
        <v>2392.526042060101</v>
      </c>
      <c r="G161" t="n">
        <v>9.142390869338584</v>
      </c>
      <c r="H161" t="n">
        <v>0.9617116623541575</v>
      </c>
      <c r="I161" t="n">
        <v>0.5457209436960856</v>
      </c>
      <c r="J161" t="n">
        <v>13.77202322102286</v>
      </c>
      <c r="K161" t="n">
        <v>8.098123000004149</v>
      </c>
      <c r="L161" t="n">
        <v>97.70676634608152</v>
      </c>
      <c r="M161" t="n">
        <v>1319.184867500128</v>
      </c>
      <c r="N161" t="n">
        <v>21.11851483331117</v>
      </c>
      <c r="O161" t="n">
        <v>1.71</v>
      </c>
      <c r="P161" t="n">
        <v>277.5</v>
      </c>
      <c r="Q161" t="n">
        <v>26.17</v>
      </c>
      <c r="R161" t="n">
        <v>94.69</v>
      </c>
      <c r="S161" t="n">
        <v>5.22</v>
      </c>
      <c r="T161" t="inlineStr">
        <is>
          <t>L1159</t>
        </is>
      </c>
      <c r="U161" t="inlineStr">
        <is>
          <t>Alireza</t>
        </is>
      </c>
    </row>
    <row r="162">
      <c r="A162" s="7" t="n">
        <v>45452.66666666666</v>
      </c>
      <c r="B162" t="n">
        <v>7</v>
      </c>
      <c r="C162" t="inlineStr">
        <is>
          <t>C</t>
        </is>
      </c>
      <c r="D162" t="inlineStr">
        <is>
          <t>R2_Magnetite_Blend</t>
        </is>
      </c>
      <c r="E162" t="inlineStr">
        <is>
          <t>Magnetite Blend B</t>
        </is>
      </c>
      <c r="F162" t="n">
        <v>2730.840872509148</v>
      </c>
      <c r="G162" t="n">
        <v>9.416772030118743</v>
      </c>
      <c r="H162" t="n">
        <v>0.8242238812913684</v>
      </c>
      <c r="I162" t="n">
        <v>0.666727589802153</v>
      </c>
      <c r="J162" t="n">
        <v>14.57602242210226</v>
      </c>
      <c r="K162" t="n">
        <v>8.070917199717016</v>
      </c>
      <c r="L162" t="n">
        <v>98.57498396803899</v>
      </c>
      <c r="M162" t="n">
        <v>1289.874158746951</v>
      </c>
      <c r="N162" t="n">
        <v>21.99194215698704</v>
      </c>
      <c r="O162" t="n">
        <v>2.42</v>
      </c>
      <c r="P162" t="n">
        <v>361.3</v>
      </c>
      <c r="Q162" t="n">
        <v>25.64</v>
      </c>
      <c r="R162" t="n">
        <v>96.04000000000001</v>
      </c>
      <c r="S162" t="n">
        <v>5.29</v>
      </c>
      <c r="T162" t="inlineStr">
        <is>
          <t>L1160</t>
        </is>
      </c>
      <c r="U162" t="inlineStr">
        <is>
          <t>Reza</t>
        </is>
      </c>
    </row>
    <row r="163">
      <c r="A163" s="7" t="n">
        <v>45452.70833333334</v>
      </c>
      <c r="B163" t="n">
        <v>7</v>
      </c>
      <c r="C163" t="inlineStr">
        <is>
          <t>C</t>
        </is>
      </c>
      <c r="D163" t="inlineStr">
        <is>
          <t>R2_Magnetite_Blend</t>
        </is>
      </c>
      <c r="E163" t="inlineStr">
        <is>
          <t>Magnetite Blend B</t>
        </is>
      </c>
      <c r="F163" t="n">
        <v>2398.844084484724</v>
      </c>
      <c r="G163" t="n">
        <v>9.600731781072891</v>
      </c>
      <c r="H163" t="n">
        <v>0.8877006119017049</v>
      </c>
      <c r="I163" t="n">
        <v>0.6656876139749722</v>
      </c>
      <c r="J163" t="n">
        <v>14.59132419964175</v>
      </c>
      <c r="K163" t="n">
        <v>7.491570771078328</v>
      </c>
      <c r="L163" t="n">
        <v>92.82872390135265</v>
      </c>
      <c r="M163" t="n">
        <v>1319.834016428153</v>
      </c>
      <c r="N163" t="n">
        <v>21.70662648074894</v>
      </c>
      <c r="O163" t="n">
        <v>1.94</v>
      </c>
      <c r="P163" t="n">
        <v>364</v>
      </c>
      <c r="Q163" t="n">
        <v>25.69</v>
      </c>
      <c r="R163" t="n">
        <v>96.72</v>
      </c>
      <c r="S163" t="n">
        <v>4.98</v>
      </c>
      <c r="T163" t="inlineStr">
        <is>
          <t>L1161</t>
        </is>
      </c>
      <c r="U163" t="inlineStr">
        <is>
          <t>Reza</t>
        </is>
      </c>
    </row>
    <row r="164">
      <c r="A164" s="7" t="n">
        <v>45452.75</v>
      </c>
      <c r="B164" t="n">
        <v>7</v>
      </c>
      <c r="C164" t="inlineStr">
        <is>
          <t>C</t>
        </is>
      </c>
      <c r="D164" t="inlineStr">
        <is>
          <t>R2_Magnetite_Blend</t>
        </is>
      </c>
      <c r="E164" t="inlineStr">
        <is>
          <t>Magnetite Blend B</t>
        </is>
      </c>
      <c r="F164" t="n">
        <v>2211.071901039255</v>
      </c>
      <c r="G164" t="n">
        <v>9.138082567926773</v>
      </c>
      <c r="H164" t="n">
        <v>0.7925612466677973</v>
      </c>
      <c r="I164" t="n">
        <v>0.6100116632782867</v>
      </c>
      <c r="J164" t="n">
        <v>13.774270391434</v>
      </c>
      <c r="K164" t="n">
        <v>7.520379993742217</v>
      </c>
      <c r="L164" t="n">
        <v>106.1289182624749</v>
      </c>
      <c r="M164" t="n">
        <v>1304.229218729944</v>
      </c>
      <c r="N164" t="n">
        <v>21.43414503621839</v>
      </c>
      <c r="O164" t="n">
        <v>1.95</v>
      </c>
      <c r="P164" t="n">
        <v>289.9</v>
      </c>
      <c r="Q164" t="n">
        <v>24.84</v>
      </c>
      <c r="R164" t="n">
        <v>96.09999999999999</v>
      </c>
      <c r="S164" t="n">
        <v>5.39</v>
      </c>
      <c r="T164" t="inlineStr">
        <is>
          <t>L1162</t>
        </is>
      </c>
      <c r="U164" t="inlineStr">
        <is>
          <t>Mohsen</t>
        </is>
      </c>
    </row>
    <row r="165">
      <c r="A165" s="7" t="n">
        <v>45452.79166666666</v>
      </c>
      <c r="B165" t="n">
        <v>7</v>
      </c>
      <c r="C165" t="inlineStr">
        <is>
          <t>C</t>
        </is>
      </c>
      <c r="D165" t="inlineStr">
        <is>
          <t>R2_Magnetite_Blend</t>
        </is>
      </c>
      <c r="E165" t="inlineStr">
        <is>
          <t>Magnetite Blend B</t>
        </is>
      </c>
      <c r="F165" t="n">
        <v>2779.158890636678</v>
      </c>
      <c r="G165" t="n">
        <v>9.58048363291666</v>
      </c>
      <c r="H165" t="n">
        <v>0.8730467524854012</v>
      </c>
      <c r="I165" t="n">
        <v>0.7024001472359394</v>
      </c>
      <c r="J165" t="n">
        <v>13.95490173279967</v>
      </c>
      <c r="K165" t="n">
        <v>7.362571089280651</v>
      </c>
      <c r="L165" t="n">
        <v>98.75281337110913</v>
      </c>
      <c r="M165" t="n">
        <v>1302.800467421422</v>
      </c>
      <c r="N165" t="n">
        <v>22.83138771994052</v>
      </c>
      <c r="O165" t="n">
        <v>2.41</v>
      </c>
      <c r="P165" t="n">
        <v>489.2</v>
      </c>
      <c r="Q165" t="n">
        <v>27.4</v>
      </c>
      <c r="R165" t="n">
        <v>95.81999999999999</v>
      </c>
      <c r="S165" t="n">
        <v>5.81</v>
      </c>
      <c r="T165" t="inlineStr">
        <is>
          <t>L1163</t>
        </is>
      </c>
      <c r="U165" t="inlineStr">
        <is>
          <t>Reza</t>
        </is>
      </c>
    </row>
    <row r="166">
      <c r="A166" s="7" t="n">
        <v>45452.83333333334</v>
      </c>
      <c r="B166" t="n">
        <v>7</v>
      </c>
      <c r="C166" t="inlineStr">
        <is>
          <t>C</t>
        </is>
      </c>
      <c r="D166" t="inlineStr">
        <is>
          <t>R2_Magnetite_Blend</t>
        </is>
      </c>
      <c r="E166" t="inlineStr">
        <is>
          <t>Magnetite Blend B</t>
        </is>
      </c>
      <c r="F166" t="n">
        <v>2252.112152551284</v>
      </c>
      <c r="G166" t="n">
        <v>9.258690916375938</v>
      </c>
      <c r="H166" t="n">
        <v>0.8240930255482978</v>
      </c>
      <c r="I166" t="n">
        <v>0.723094318420321</v>
      </c>
      <c r="J166" t="n">
        <v>14.00996086909046</v>
      </c>
      <c r="K166" t="n">
        <v>7.679860253000333</v>
      </c>
      <c r="L166" t="n">
        <v>88.31779937837339</v>
      </c>
      <c r="M166" t="n">
        <v>1330.016773539921</v>
      </c>
      <c r="N166" t="n">
        <v>21.31121135144029</v>
      </c>
      <c r="O166" t="n">
        <v>1.87</v>
      </c>
      <c r="P166" t="n">
        <v>348.1</v>
      </c>
      <c r="Q166" t="n">
        <v>26</v>
      </c>
      <c r="R166" t="n">
        <v>95.29000000000001</v>
      </c>
      <c r="S166" t="n">
        <v>5.43</v>
      </c>
      <c r="T166" t="inlineStr">
        <is>
          <t>L1164</t>
        </is>
      </c>
      <c r="U166" t="inlineStr">
        <is>
          <t>Reza</t>
        </is>
      </c>
    </row>
    <row r="167">
      <c r="A167" s="7" t="n">
        <v>45452.875</v>
      </c>
      <c r="B167" t="n">
        <v>7</v>
      </c>
      <c r="C167" t="inlineStr">
        <is>
          <t>C</t>
        </is>
      </c>
      <c r="D167" t="inlineStr">
        <is>
          <t>R2_Magnetite_Blend</t>
        </is>
      </c>
      <c r="E167" t="inlineStr">
        <is>
          <t>Magnetite Blend B</t>
        </is>
      </c>
      <c r="F167" t="n">
        <v>2312.884630029364</v>
      </c>
      <c r="G167" t="n">
        <v>9.917015754247156</v>
      </c>
      <c r="H167" t="n">
        <v>0.9547177773925732</v>
      </c>
      <c r="I167" t="n">
        <v>0.5809461955666448</v>
      </c>
      <c r="J167" t="n">
        <v>12.87127478570489</v>
      </c>
      <c r="K167" t="n">
        <v>7.112169751642743</v>
      </c>
      <c r="L167" t="n">
        <v>91.24195382066684</v>
      </c>
      <c r="M167" t="n">
        <v>1302.610973471082</v>
      </c>
      <c r="N167" t="n">
        <v>22.86199835551641</v>
      </c>
      <c r="O167" t="n">
        <v>2.24</v>
      </c>
      <c r="P167" t="n">
        <v>281.6</v>
      </c>
      <c r="Q167" t="n">
        <v>23.82</v>
      </c>
      <c r="R167" t="n">
        <v>97.45</v>
      </c>
      <c r="S167" t="n">
        <v>4.82</v>
      </c>
      <c r="T167" t="inlineStr">
        <is>
          <t>L1165</t>
        </is>
      </c>
      <c r="U167" t="inlineStr">
        <is>
          <t>Mohsen</t>
        </is>
      </c>
    </row>
    <row r="168">
      <c r="A168" s="7" t="n">
        <v>45452.91666666666</v>
      </c>
      <c r="B168" t="n">
        <v>7</v>
      </c>
      <c r="C168" t="inlineStr">
        <is>
          <t>C</t>
        </is>
      </c>
      <c r="D168" t="inlineStr">
        <is>
          <t>R2_Magnetite_Blend</t>
        </is>
      </c>
      <c r="E168" t="inlineStr">
        <is>
          <t>Magnetite Blend B</t>
        </is>
      </c>
      <c r="F168" t="n">
        <v>2404.786970840385</v>
      </c>
      <c r="G168" t="n">
        <v>9.789857073657494</v>
      </c>
      <c r="H168" t="n">
        <v>0.8825857445763736</v>
      </c>
      <c r="I168" t="n">
        <v>0.5785127770829661</v>
      </c>
      <c r="J168" t="n">
        <v>13.57860726163098</v>
      </c>
      <c r="K168" t="n">
        <v>7.585077000238168</v>
      </c>
      <c r="L168" t="n">
        <v>102.0695942957371</v>
      </c>
      <c r="M168" t="n">
        <v>1309.712795050903</v>
      </c>
      <c r="N168" t="n">
        <v>19.63755750564497</v>
      </c>
      <c r="O168" t="n">
        <v>2.02</v>
      </c>
      <c r="P168" t="n">
        <v>324.2</v>
      </c>
      <c r="Q168" t="n">
        <v>24.59</v>
      </c>
      <c r="R168" t="n">
        <v>97.16</v>
      </c>
      <c r="S168" t="n">
        <v>5.23</v>
      </c>
      <c r="T168" t="inlineStr">
        <is>
          <t>L1166</t>
        </is>
      </c>
      <c r="U168" t="inlineStr">
        <is>
          <t>Mohsen</t>
        </is>
      </c>
    </row>
    <row r="169">
      <c r="A169" s="7" t="n">
        <v>45452.95833333334</v>
      </c>
      <c r="B169" t="n">
        <v>7</v>
      </c>
      <c r="C169" t="inlineStr">
        <is>
          <t>C</t>
        </is>
      </c>
      <c r="D169" t="inlineStr">
        <is>
          <t>R2_Magnetite_Blend</t>
        </is>
      </c>
      <c r="E169" t="inlineStr">
        <is>
          <t>Magnetite Blend B</t>
        </is>
      </c>
      <c r="F169" t="n">
        <v>2108.338264444618</v>
      </c>
      <c r="G169" t="n">
        <v>9.146183923263004</v>
      </c>
      <c r="H169" t="n">
        <v>0.7760486133901865</v>
      </c>
      <c r="I169" t="n">
        <v>0.644343740678964</v>
      </c>
      <c r="J169" t="n">
        <v>13.63300359691217</v>
      </c>
      <c r="K169" t="n">
        <v>6.620911048860195</v>
      </c>
      <c r="L169" t="n">
        <v>90.50467164923309</v>
      </c>
      <c r="M169" t="n">
        <v>1309.38835245569</v>
      </c>
      <c r="N169" t="n">
        <v>22.08318142361589</v>
      </c>
      <c r="O169" t="n">
        <v>2.36</v>
      </c>
      <c r="P169" t="n">
        <v>264</v>
      </c>
      <c r="Q169" t="n">
        <v>26.05</v>
      </c>
      <c r="R169" t="n">
        <v>95.34999999999999</v>
      </c>
      <c r="S169" t="n">
        <v>5.56</v>
      </c>
      <c r="T169" t="inlineStr">
        <is>
          <t>L1167</t>
        </is>
      </c>
      <c r="U169" t="inlineStr">
        <is>
          <t>Reza</t>
        </is>
      </c>
    </row>
    <row r="170">
      <c r="A170" s="7" t="n">
        <v>45453</v>
      </c>
      <c r="B170" t="n">
        <v>8</v>
      </c>
      <c r="C170" t="inlineStr">
        <is>
          <t>A</t>
        </is>
      </c>
      <c r="D170" t="inlineStr">
        <is>
          <t>R2_Magnetite_Blend</t>
        </is>
      </c>
      <c r="E170" t="inlineStr">
        <is>
          <t>Magnetite Blend B</t>
        </is>
      </c>
      <c r="F170" t="n">
        <v>2550.717691092277</v>
      </c>
      <c r="G170" t="n">
        <v>9.11651796506888</v>
      </c>
      <c r="H170" t="n">
        <v>0.7236968419425431</v>
      </c>
      <c r="I170" t="n">
        <v>0.6918640773596637</v>
      </c>
      <c r="J170" t="n">
        <v>14.50700320054172</v>
      </c>
      <c r="K170" t="n">
        <v>7.443354811480178</v>
      </c>
      <c r="L170" t="n">
        <v>101.875282608811</v>
      </c>
      <c r="M170" t="n">
        <v>1314.009714476693</v>
      </c>
      <c r="N170" t="n">
        <v>23.64226820119233</v>
      </c>
      <c r="O170" t="n">
        <v>1.96</v>
      </c>
      <c r="P170" t="n">
        <v>301</v>
      </c>
      <c r="Q170" t="n">
        <v>25.45</v>
      </c>
      <c r="R170" t="n">
        <v>96.28</v>
      </c>
      <c r="S170" t="n">
        <v>5.54</v>
      </c>
      <c r="T170" t="inlineStr">
        <is>
          <t>L1168</t>
        </is>
      </c>
      <c r="U170" t="inlineStr">
        <is>
          <t>Mohsen</t>
        </is>
      </c>
    </row>
    <row r="171">
      <c r="A171" s="7" t="n">
        <v>45453.04166666666</v>
      </c>
      <c r="B171" t="n">
        <v>8</v>
      </c>
      <c r="C171" t="inlineStr">
        <is>
          <t>A</t>
        </is>
      </c>
      <c r="D171" t="inlineStr">
        <is>
          <t>R2_Magnetite_Blend</t>
        </is>
      </c>
      <c r="E171" t="inlineStr">
        <is>
          <t>Magnetite Blend B</t>
        </is>
      </c>
      <c r="F171" t="n">
        <v>2641.388510606311</v>
      </c>
      <c r="G171" t="n">
        <v>9.948103598548832</v>
      </c>
      <c r="H171" t="n">
        <v>0.7714168034346874</v>
      </c>
      <c r="I171" t="n">
        <v>0.5671543439524052</v>
      </c>
      <c r="J171" t="n">
        <v>13.22197124134576</v>
      </c>
      <c r="K171" t="n">
        <v>6.556527871340945</v>
      </c>
      <c r="L171" t="n">
        <v>104.9976012930976</v>
      </c>
      <c r="M171" t="n">
        <v>1306.868295523657</v>
      </c>
      <c r="N171" t="n">
        <v>21.6427951478875</v>
      </c>
      <c r="O171" t="n">
        <v>2.06</v>
      </c>
      <c r="P171" t="n">
        <v>261</v>
      </c>
      <c r="Q171" t="n">
        <v>26.11</v>
      </c>
      <c r="R171" t="n">
        <v>95.93000000000001</v>
      </c>
      <c r="S171" t="n">
        <v>5.72</v>
      </c>
      <c r="T171" t="inlineStr">
        <is>
          <t>L1169</t>
        </is>
      </c>
      <c r="U171" t="inlineStr">
        <is>
          <t>Alireza</t>
        </is>
      </c>
    </row>
    <row r="172">
      <c r="A172" s="7" t="n">
        <v>45453.08333333334</v>
      </c>
      <c r="B172" t="n">
        <v>8</v>
      </c>
      <c r="C172" t="inlineStr">
        <is>
          <t>A</t>
        </is>
      </c>
      <c r="D172" t="inlineStr">
        <is>
          <t>R2_Magnetite_Blend</t>
        </is>
      </c>
      <c r="E172" t="inlineStr">
        <is>
          <t>Magnetite Blend B</t>
        </is>
      </c>
      <c r="F172" t="n">
        <v>2486.577846663789</v>
      </c>
      <c r="G172" t="n">
        <v>9.002387545109487</v>
      </c>
      <c r="H172" t="n">
        <v>0.9998265707098826</v>
      </c>
      <c r="I172" t="n">
        <v>0.5901396789442481</v>
      </c>
      <c r="J172" t="n">
        <v>14.48420648040901</v>
      </c>
      <c r="K172" t="n">
        <v>6.650172079845354</v>
      </c>
      <c r="L172" t="n">
        <v>86.04523598409158</v>
      </c>
      <c r="M172" t="n">
        <v>1326.105255517592</v>
      </c>
      <c r="N172" t="n">
        <v>23.47906732619674</v>
      </c>
      <c r="O172" t="n">
        <v>2.02</v>
      </c>
      <c r="P172" t="n">
        <v>437.5</v>
      </c>
      <c r="Q172" t="n">
        <v>23.66</v>
      </c>
      <c r="R172" t="n">
        <v>98.38</v>
      </c>
      <c r="S172" t="n">
        <v>4.33</v>
      </c>
      <c r="T172" t="inlineStr">
        <is>
          <t>L1170</t>
        </is>
      </c>
      <c r="U172" t="inlineStr">
        <is>
          <t>Sara</t>
        </is>
      </c>
    </row>
    <row r="173">
      <c r="A173" s="7" t="n">
        <v>45453.125</v>
      </c>
      <c r="B173" t="n">
        <v>8</v>
      </c>
      <c r="C173" t="inlineStr">
        <is>
          <t>A</t>
        </is>
      </c>
      <c r="D173" t="inlineStr">
        <is>
          <t>R2_Magnetite_Blend</t>
        </is>
      </c>
      <c r="E173" t="inlineStr">
        <is>
          <t>Magnetite Blend B</t>
        </is>
      </c>
      <c r="F173" t="n">
        <v>2409.464984837105</v>
      </c>
      <c r="G173" t="n">
        <v>9.710687998655148</v>
      </c>
      <c r="H173" t="n">
        <v>0.7816175373826985</v>
      </c>
      <c r="I173" t="n">
        <v>0.6154473797630508</v>
      </c>
      <c r="J173" t="n">
        <v>13.88859124324134</v>
      </c>
      <c r="K173" t="n">
        <v>7.934420239348059</v>
      </c>
      <c r="L173" t="n">
        <v>92.30222023363794</v>
      </c>
      <c r="M173" t="n">
        <v>1314.65462983717</v>
      </c>
      <c r="N173" t="n">
        <v>22.45659021170804</v>
      </c>
      <c r="O173" t="n">
        <v>1.96</v>
      </c>
      <c r="P173" t="n">
        <v>263.1</v>
      </c>
      <c r="Q173" t="n">
        <v>27.08</v>
      </c>
      <c r="R173" t="n">
        <v>94.69</v>
      </c>
      <c r="S173" t="n">
        <v>5.67</v>
      </c>
      <c r="T173" t="inlineStr">
        <is>
          <t>L1171</t>
        </is>
      </c>
      <c r="U173" t="inlineStr">
        <is>
          <t>Alireza</t>
        </is>
      </c>
    </row>
    <row r="174">
      <c r="A174" s="7" t="n">
        <v>45453.16666666666</v>
      </c>
      <c r="B174" t="n">
        <v>8</v>
      </c>
      <c r="C174" t="inlineStr">
        <is>
          <t>A</t>
        </is>
      </c>
      <c r="D174" t="inlineStr">
        <is>
          <t>R2_Magnetite_Blend</t>
        </is>
      </c>
      <c r="E174" t="inlineStr">
        <is>
          <t>Magnetite Blend B</t>
        </is>
      </c>
      <c r="F174" t="n">
        <v>2323.12641615344</v>
      </c>
      <c r="G174" t="n">
        <v>9.163789731621927</v>
      </c>
      <c r="H174" t="n">
        <v>0.7501731276501</v>
      </c>
      <c r="I174" t="n">
        <v>0.5873721561761355</v>
      </c>
      <c r="J174" t="n">
        <v>13.88941452665522</v>
      </c>
      <c r="K174" t="n">
        <v>7.353812773060137</v>
      </c>
      <c r="L174" t="n">
        <v>96.02773082671024</v>
      </c>
      <c r="M174" t="n">
        <v>1313.594168348699</v>
      </c>
      <c r="N174" t="n">
        <v>20.59454793877194</v>
      </c>
      <c r="O174" t="n">
        <v>1.97</v>
      </c>
      <c r="P174" t="n">
        <v>265.4</v>
      </c>
      <c r="Q174" t="n">
        <v>26.85</v>
      </c>
      <c r="R174" t="n">
        <v>95.52</v>
      </c>
      <c r="S174" t="n">
        <v>5.51</v>
      </c>
      <c r="T174" t="inlineStr">
        <is>
          <t>L1172</t>
        </is>
      </c>
      <c r="U174" t="inlineStr">
        <is>
          <t>Sara</t>
        </is>
      </c>
    </row>
    <row r="175">
      <c r="A175" s="7" t="n">
        <v>45453.20833333334</v>
      </c>
      <c r="B175" t="n">
        <v>8</v>
      </c>
      <c r="C175" t="inlineStr">
        <is>
          <t>A</t>
        </is>
      </c>
      <c r="D175" t="inlineStr">
        <is>
          <t>R2_Magnetite_Blend</t>
        </is>
      </c>
      <c r="E175" t="inlineStr">
        <is>
          <t>Magnetite Blend B</t>
        </is>
      </c>
      <c r="F175" t="n">
        <v>2509.612404800124</v>
      </c>
      <c r="G175" t="n">
        <v>8.904173032736486</v>
      </c>
      <c r="H175" t="n">
        <v>0.8025525748085511</v>
      </c>
      <c r="I175" t="n">
        <v>0.6163958144495367</v>
      </c>
      <c r="J175" t="n">
        <v>12.86671302745916</v>
      </c>
      <c r="K175" t="n">
        <v>8.233270043161848</v>
      </c>
      <c r="L175" t="n">
        <v>95.25738328787887</v>
      </c>
      <c r="M175" t="n">
        <v>1303.093430525309</v>
      </c>
      <c r="N175" t="n">
        <v>22.84027534938149</v>
      </c>
      <c r="O175" t="n">
        <v>2.32</v>
      </c>
      <c r="P175" t="n">
        <v>295.6</v>
      </c>
      <c r="Q175" t="n">
        <v>26.28</v>
      </c>
      <c r="R175" t="n">
        <v>95.20999999999999</v>
      </c>
      <c r="S175" t="n">
        <v>5.18</v>
      </c>
      <c r="T175" t="inlineStr">
        <is>
          <t>L1173</t>
        </is>
      </c>
      <c r="U175" t="inlineStr">
        <is>
          <t>Reza</t>
        </is>
      </c>
    </row>
    <row r="176">
      <c r="A176" s="7" t="n">
        <v>45453.25</v>
      </c>
      <c r="B176" t="n">
        <v>8</v>
      </c>
      <c r="C176" t="inlineStr">
        <is>
          <t>A</t>
        </is>
      </c>
      <c r="D176" t="inlineStr">
        <is>
          <t>R2_Magnetite_Blend</t>
        </is>
      </c>
      <c r="E176" t="inlineStr">
        <is>
          <t>Magnetite Blend B</t>
        </is>
      </c>
      <c r="F176" t="n">
        <v>1782.985909565709</v>
      </c>
      <c r="G176" t="n">
        <v>9.911327641788532</v>
      </c>
      <c r="H176" t="n">
        <v>0.8157112697866467</v>
      </c>
      <c r="I176" t="n">
        <v>0.6787954581693521</v>
      </c>
      <c r="J176" t="n">
        <v>14.94858835153715</v>
      </c>
      <c r="K176" t="n">
        <v>6.714822238145157</v>
      </c>
      <c r="L176" t="n">
        <v>95.61015404936543</v>
      </c>
      <c r="M176" t="n">
        <v>1333.773691572868</v>
      </c>
      <c r="N176" t="n">
        <v>20.62067778854198</v>
      </c>
      <c r="O176" t="n">
        <v>1.96</v>
      </c>
      <c r="P176" t="n">
        <v>277.1</v>
      </c>
      <c r="Q176" t="n">
        <v>25.31</v>
      </c>
      <c r="R176" t="n">
        <v>97.26000000000001</v>
      </c>
      <c r="S176" t="n">
        <v>4.76</v>
      </c>
      <c r="T176" t="inlineStr">
        <is>
          <t>L1174</t>
        </is>
      </c>
      <c r="U176" t="inlineStr">
        <is>
          <t>Mohsen</t>
        </is>
      </c>
    </row>
    <row r="177">
      <c r="A177" s="7" t="n">
        <v>45453.29166666666</v>
      </c>
      <c r="B177" t="n">
        <v>8</v>
      </c>
      <c r="C177" t="inlineStr">
        <is>
          <t>A</t>
        </is>
      </c>
      <c r="D177" t="inlineStr">
        <is>
          <t>R2_Magnetite_Blend</t>
        </is>
      </c>
      <c r="E177" t="inlineStr">
        <is>
          <t>Magnetite Blend B</t>
        </is>
      </c>
      <c r="F177" t="n">
        <v>2327.541352804201</v>
      </c>
      <c r="G177" t="n">
        <v>9.461027842215529</v>
      </c>
      <c r="H177" t="n">
        <v>0.8941117339161112</v>
      </c>
      <c r="I177" t="n">
        <v>0.5832416115795779</v>
      </c>
      <c r="J177" t="n">
        <v>15.39094564195629</v>
      </c>
      <c r="K177" t="n">
        <v>6.280140873053719</v>
      </c>
      <c r="L177" t="n">
        <v>100.973071092597</v>
      </c>
      <c r="M177" t="n">
        <v>1302.625745850101</v>
      </c>
      <c r="N177" t="n">
        <v>21.53578059734893</v>
      </c>
      <c r="O177" t="n">
        <v>2.28</v>
      </c>
      <c r="P177" t="n">
        <v>280.2</v>
      </c>
      <c r="R177" t="n">
        <v>97.45</v>
      </c>
      <c r="S177" t="n">
        <v>5.1</v>
      </c>
      <c r="T177" t="inlineStr">
        <is>
          <t>L1175</t>
        </is>
      </c>
      <c r="U177" t="inlineStr">
        <is>
          <t>Reza</t>
        </is>
      </c>
      <c r="V177" t="inlineStr">
        <is>
          <t>Missing</t>
        </is>
      </c>
    </row>
    <row r="178">
      <c r="A178" s="7" t="n">
        <v>45453.33333333334</v>
      </c>
      <c r="B178" t="n">
        <v>8</v>
      </c>
      <c r="C178" t="inlineStr">
        <is>
          <t>B</t>
        </is>
      </c>
      <c r="D178" t="inlineStr">
        <is>
          <t>R2_Magnetite_Blend</t>
        </is>
      </c>
      <c r="E178" t="inlineStr">
        <is>
          <t>Magnetite Blend B</t>
        </is>
      </c>
      <c r="F178" t="n">
        <v>2396.102631374047</v>
      </c>
      <c r="G178" t="n">
        <v>8.948261922404331</v>
      </c>
      <c r="H178" t="n">
        <v>0.7968022369331623</v>
      </c>
      <c r="I178" t="n">
        <v>0.6649399203412765</v>
      </c>
      <c r="J178" t="n">
        <v>13.05137315930878</v>
      </c>
      <c r="K178" t="n">
        <v>6.69086237205028</v>
      </c>
      <c r="L178" t="n">
        <v>102.0872787380531</v>
      </c>
      <c r="M178" t="n">
        <v>1313.126339688765</v>
      </c>
      <c r="N178" t="n">
        <v>22.48874065375887</v>
      </c>
      <c r="O178" t="n">
        <v>2.41</v>
      </c>
      <c r="P178" t="n">
        <v>287.1</v>
      </c>
      <c r="Q178" t="n">
        <v>26</v>
      </c>
      <c r="R178" t="n">
        <v>95.75</v>
      </c>
      <c r="S178" t="n">
        <v>5.36</v>
      </c>
      <c r="T178" t="inlineStr">
        <is>
          <t>L1176</t>
        </is>
      </c>
      <c r="U178" t="inlineStr">
        <is>
          <t>Reza</t>
        </is>
      </c>
    </row>
    <row r="179">
      <c r="A179" s="7" t="n">
        <v>45453.375</v>
      </c>
      <c r="B179" t="n">
        <v>8</v>
      </c>
      <c r="C179" t="inlineStr">
        <is>
          <t>B</t>
        </is>
      </c>
      <c r="D179" t="inlineStr">
        <is>
          <t>R2_Magnetite_Blend</t>
        </is>
      </c>
      <c r="E179" t="inlineStr">
        <is>
          <t>Magnetite Blend B</t>
        </is>
      </c>
      <c r="F179" t="n">
        <v>1992.604565138547</v>
      </c>
      <c r="G179" t="n">
        <v>9.226757651006917</v>
      </c>
      <c r="H179" t="n">
        <v>0.9684270606358841</v>
      </c>
      <c r="I179" t="n">
        <v>0.628292497338502</v>
      </c>
      <c r="J179" t="n">
        <v>13.72147214422543</v>
      </c>
      <c r="K179" t="n">
        <v>7.688196543076064</v>
      </c>
      <c r="L179" t="n">
        <v>98.81143170531672</v>
      </c>
      <c r="M179" t="n">
        <v>1310.95888503281</v>
      </c>
      <c r="N179" t="n">
        <v>22.88661067260323</v>
      </c>
      <c r="O179" t="n">
        <v>1.8</v>
      </c>
      <c r="P179" t="n">
        <v>304.7</v>
      </c>
      <c r="Q179" t="n">
        <v>24.64</v>
      </c>
      <c r="R179" t="n">
        <v>97.40000000000001</v>
      </c>
      <c r="S179" t="n">
        <v>5.26</v>
      </c>
      <c r="T179" t="inlineStr">
        <is>
          <t>L1177</t>
        </is>
      </c>
      <c r="U179" t="inlineStr">
        <is>
          <t>Sara</t>
        </is>
      </c>
    </row>
    <row r="180">
      <c r="A180" s="7" t="n">
        <v>45453.41666666666</v>
      </c>
      <c r="B180" t="n">
        <v>8</v>
      </c>
      <c r="C180" t="inlineStr">
        <is>
          <t>B</t>
        </is>
      </c>
      <c r="D180" t="inlineStr">
        <is>
          <t>R2_Magnetite_Blend</t>
        </is>
      </c>
      <c r="E180" t="inlineStr">
        <is>
          <t>Magnetite Blend B</t>
        </is>
      </c>
      <c r="F180" t="n">
        <v>2426.710120856028</v>
      </c>
      <c r="G180" t="n">
        <v>9.054053380405879</v>
      </c>
      <c r="H180" t="n">
        <v>0.8512519210367936</v>
      </c>
      <c r="I180" t="n">
        <v>0.6143634845666458</v>
      </c>
      <c r="J180" t="n">
        <v>12.61182132570336</v>
      </c>
      <c r="K180" t="n">
        <v>7.586378521384796</v>
      </c>
      <c r="L180" t="n">
        <v>93.64628308363073</v>
      </c>
      <c r="M180" t="n">
        <v>1305.658591910131</v>
      </c>
      <c r="N180" t="n">
        <v>22.84762677127895</v>
      </c>
      <c r="O180" t="n">
        <v>2.01</v>
      </c>
      <c r="P180" t="n">
        <v>309.7</v>
      </c>
      <c r="R180" t="n">
        <v>96.23999999999999</v>
      </c>
      <c r="S180" t="n">
        <v>5.05</v>
      </c>
      <c r="T180" t="inlineStr">
        <is>
          <t>L1178</t>
        </is>
      </c>
      <c r="U180" t="inlineStr">
        <is>
          <t>Mohsen</t>
        </is>
      </c>
      <c r="V180" t="inlineStr">
        <is>
          <t>Missing</t>
        </is>
      </c>
    </row>
    <row r="181">
      <c r="A181" s="7" t="n">
        <v>45453.45833333334</v>
      </c>
      <c r="B181" t="n">
        <v>8</v>
      </c>
      <c r="C181" t="inlineStr">
        <is>
          <t>B</t>
        </is>
      </c>
      <c r="D181" t="inlineStr">
        <is>
          <t>R2_Magnetite_Blend</t>
        </is>
      </c>
      <c r="E181" t="inlineStr">
        <is>
          <t>Magnetite Blend B</t>
        </is>
      </c>
      <c r="F181" t="n">
        <v>2327.049102763669</v>
      </c>
      <c r="G181" t="n">
        <v>8.972399040602566</v>
      </c>
      <c r="H181" t="n">
        <v>0.8721721974264777</v>
      </c>
      <c r="I181" t="n">
        <v>0.55737603415784</v>
      </c>
      <c r="J181" t="n">
        <v>13.9992452332933</v>
      </c>
      <c r="K181" t="n">
        <v>6.493403992251729</v>
      </c>
      <c r="L181" t="n">
        <v>97.46125688552615</v>
      </c>
      <c r="M181" t="n">
        <v>1317.044218572732</v>
      </c>
      <c r="N181" t="n">
        <v>21.70307639221708</v>
      </c>
      <c r="O181" t="n">
        <v>1.8</v>
      </c>
      <c r="P181" t="n">
        <v>295.7</v>
      </c>
      <c r="Q181" t="n">
        <v>27.48</v>
      </c>
      <c r="R181" t="n">
        <v>94.59999999999999</v>
      </c>
      <c r="S181" t="n">
        <v>6.07</v>
      </c>
      <c r="T181" t="inlineStr">
        <is>
          <t>L1179</t>
        </is>
      </c>
      <c r="U181" t="inlineStr">
        <is>
          <t>Reza</t>
        </is>
      </c>
    </row>
    <row r="182">
      <c r="A182" s="7" t="n">
        <v>45453.5</v>
      </c>
      <c r="B182" t="n">
        <v>8</v>
      </c>
      <c r="C182" t="inlineStr">
        <is>
          <t>B</t>
        </is>
      </c>
      <c r="D182" t="inlineStr">
        <is>
          <t>R2_Magnetite_Blend</t>
        </is>
      </c>
      <c r="E182" t="inlineStr">
        <is>
          <t>Magnetite Blend B</t>
        </is>
      </c>
      <c r="F182" t="n">
        <v>2343.778125105372</v>
      </c>
      <c r="G182" t="n">
        <v>9.273098677034675</v>
      </c>
      <c r="H182" t="n">
        <v>0.951490087487498</v>
      </c>
      <c r="I182" t="n">
        <v>0.6400406081122388</v>
      </c>
      <c r="J182" t="n">
        <v>14.06619186505894</v>
      </c>
      <c r="K182" t="n">
        <v>6.930903077497173</v>
      </c>
      <c r="L182" t="n">
        <v>97.68587697305047</v>
      </c>
      <c r="N182" t="n">
        <v>20.5907397327665</v>
      </c>
      <c r="O182" t="n">
        <v>1.65</v>
      </c>
      <c r="P182" t="n">
        <v>339.4</v>
      </c>
      <c r="Q182" t="n">
        <v>24.97</v>
      </c>
      <c r="R182" t="n">
        <v>95.94</v>
      </c>
      <c r="S182" t="n">
        <v>4.8</v>
      </c>
      <c r="T182" t="inlineStr">
        <is>
          <t>L1180</t>
        </is>
      </c>
      <c r="U182" t="inlineStr">
        <is>
          <t>Alireza</t>
        </is>
      </c>
      <c r="V182" t="inlineStr">
        <is>
          <t>Missing</t>
        </is>
      </c>
    </row>
    <row r="183">
      <c r="A183" s="7" t="n">
        <v>45453.54166666666</v>
      </c>
      <c r="B183" t="n">
        <v>8</v>
      </c>
      <c r="C183" t="inlineStr">
        <is>
          <t>B</t>
        </is>
      </c>
      <c r="D183" t="inlineStr">
        <is>
          <t>R2_Magnetite_Blend</t>
        </is>
      </c>
      <c r="E183" t="inlineStr">
        <is>
          <t>Magnetite Blend B</t>
        </is>
      </c>
      <c r="F183" t="n">
        <v>2368.250422077214</v>
      </c>
      <c r="G183" t="n">
        <v>9.69162241321686</v>
      </c>
      <c r="H183" t="n">
        <v>0.863572298415452</v>
      </c>
      <c r="I183" t="n">
        <v>0.6554394995960492</v>
      </c>
      <c r="J183" t="n">
        <v>14.10953782528255</v>
      </c>
      <c r="K183" t="n">
        <v>7.27680381298219</v>
      </c>
      <c r="L183" t="n">
        <v>94.72261350677977</v>
      </c>
      <c r="M183" t="n">
        <v>1320.517877090482</v>
      </c>
      <c r="N183" t="n">
        <v>22.23080949481306</v>
      </c>
      <c r="O183" t="n">
        <v>1.88</v>
      </c>
      <c r="P183" t="n">
        <v>396.4</v>
      </c>
      <c r="Q183" t="n">
        <v>25.73</v>
      </c>
      <c r="R183" t="n">
        <v>95.55</v>
      </c>
      <c r="S183" t="n">
        <v>5.36</v>
      </c>
      <c r="T183" t="inlineStr">
        <is>
          <t>L1181</t>
        </is>
      </c>
      <c r="U183" t="inlineStr">
        <is>
          <t>Mohsen</t>
        </is>
      </c>
    </row>
    <row r="184">
      <c r="A184" s="7" t="n">
        <v>45453.58333333334</v>
      </c>
      <c r="B184" t="n">
        <v>8</v>
      </c>
      <c r="C184" t="inlineStr">
        <is>
          <t>B</t>
        </is>
      </c>
      <c r="D184" t="inlineStr">
        <is>
          <t>R2_Magnetite_Blend</t>
        </is>
      </c>
      <c r="E184" t="inlineStr">
        <is>
          <t>Magnetite Blend B</t>
        </is>
      </c>
      <c r="F184" t="n">
        <v>2453.524662579497</v>
      </c>
      <c r="G184" t="n">
        <v>8.816255736265237</v>
      </c>
      <c r="H184" t="n">
        <v>0.8737329467872815</v>
      </c>
      <c r="I184" t="n">
        <v>0.587504665036592</v>
      </c>
      <c r="J184" t="n">
        <v>13.11386751632194</v>
      </c>
      <c r="K184" t="n">
        <v>6.978738669721678</v>
      </c>
      <c r="L184" t="n">
        <v>91.51192500058849</v>
      </c>
      <c r="M184" t="n">
        <v>1315.106245876309</v>
      </c>
      <c r="N184" t="n">
        <v>20.2677717603293</v>
      </c>
      <c r="O184" t="n">
        <v>1.95</v>
      </c>
      <c r="P184" t="n">
        <v>336.2</v>
      </c>
      <c r="Q184" t="n">
        <v>26.17</v>
      </c>
      <c r="R184" t="n">
        <v>95.88</v>
      </c>
      <c r="S184" t="n">
        <v>5.13</v>
      </c>
      <c r="T184" t="inlineStr">
        <is>
          <t>L1182</t>
        </is>
      </c>
      <c r="U184" t="inlineStr">
        <is>
          <t>Sara</t>
        </is>
      </c>
    </row>
    <row r="185">
      <c r="A185" s="7" t="n">
        <v>45453.625</v>
      </c>
      <c r="B185" t="n">
        <v>8</v>
      </c>
      <c r="C185" t="inlineStr">
        <is>
          <t>B</t>
        </is>
      </c>
      <c r="D185" t="inlineStr">
        <is>
          <t>R2_Magnetite_Blend</t>
        </is>
      </c>
      <c r="E185" t="inlineStr">
        <is>
          <t>Magnetite Blend B</t>
        </is>
      </c>
      <c r="F185" t="n">
        <v>2432.43325761421</v>
      </c>
      <c r="G185" t="n">
        <v>9.482943115546057</v>
      </c>
      <c r="H185" t="n">
        <v>0.896373041286297</v>
      </c>
      <c r="I185" t="n">
        <v>0.6749859344119585</v>
      </c>
      <c r="J185" t="n">
        <v>15.2595261124145</v>
      </c>
      <c r="K185" t="n">
        <v>6.116675465784561</v>
      </c>
      <c r="L185" t="n">
        <v>90.26063123220604</v>
      </c>
      <c r="M185" t="n">
        <v>1303.614219362817</v>
      </c>
      <c r="N185" t="n">
        <v>21.87807923796365</v>
      </c>
      <c r="O185" t="n">
        <v>1.95</v>
      </c>
      <c r="P185" t="n">
        <v>367.2</v>
      </c>
      <c r="Q185" t="n">
        <v>25.72</v>
      </c>
      <c r="R185" t="n">
        <v>95.33</v>
      </c>
      <c r="S185" t="n">
        <v>5.45</v>
      </c>
      <c r="T185" t="inlineStr">
        <is>
          <t>L1183</t>
        </is>
      </c>
      <c r="U185" t="inlineStr">
        <is>
          <t>Alireza</t>
        </is>
      </c>
    </row>
    <row r="186">
      <c r="A186" s="7" t="n">
        <v>45453.66666666666</v>
      </c>
      <c r="B186" t="n">
        <v>8</v>
      </c>
      <c r="C186" t="inlineStr">
        <is>
          <t>C</t>
        </is>
      </c>
      <c r="D186" t="inlineStr">
        <is>
          <t>R2_Magnetite_Blend</t>
        </is>
      </c>
      <c r="E186" t="inlineStr">
        <is>
          <t>Magnetite Blend B</t>
        </is>
      </c>
      <c r="F186" t="n">
        <v>2163.276642584926</v>
      </c>
      <c r="G186" t="n">
        <v>8.80156222982712</v>
      </c>
      <c r="H186" t="n">
        <v>0.7994233963367653</v>
      </c>
      <c r="I186" t="n">
        <v>0.6795158503536978</v>
      </c>
      <c r="J186" t="n">
        <v>14.56444817490963</v>
      </c>
      <c r="K186" t="n">
        <v>8.541474349239108</v>
      </c>
      <c r="L186" t="n">
        <v>99.39174239914902</v>
      </c>
      <c r="M186" t="n">
        <v>1309.966723918015</v>
      </c>
      <c r="N186" t="n">
        <v>23.01218607792782</v>
      </c>
      <c r="O186" t="n">
        <v>2.47</v>
      </c>
      <c r="P186" t="n">
        <v>349.3</v>
      </c>
      <c r="Q186" t="n">
        <v>25.74</v>
      </c>
      <c r="R186" t="n">
        <v>95.38</v>
      </c>
      <c r="S186" t="n">
        <v>5.17</v>
      </c>
      <c r="T186" t="inlineStr">
        <is>
          <t>L1184</t>
        </is>
      </c>
      <c r="U186" t="inlineStr">
        <is>
          <t>Mohsen</t>
        </is>
      </c>
    </row>
    <row r="187">
      <c r="A187" s="7" t="n">
        <v>45453.70833333334</v>
      </c>
      <c r="B187" t="n">
        <v>8</v>
      </c>
      <c r="C187" t="inlineStr">
        <is>
          <t>C</t>
        </is>
      </c>
      <c r="D187" t="inlineStr">
        <is>
          <t>R2_Magnetite_Blend</t>
        </is>
      </c>
      <c r="E187" t="inlineStr">
        <is>
          <t>Magnetite Blend B</t>
        </is>
      </c>
      <c r="F187" t="n">
        <v>2328.94684413283</v>
      </c>
      <c r="G187" t="n">
        <v>9.283729355530646</v>
      </c>
      <c r="H187" t="n">
        <v>0.8130007252224885</v>
      </c>
      <c r="I187" t="n">
        <v>0.6367788717594043</v>
      </c>
      <c r="J187" t="n">
        <v>12.9760308413923</v>
      </c>
      <c r="K187" t="n">
        <v>8.28657761022632</v>
      </c>
      <c r="L187" t="n">
        <v>95.87981927379236</v>
      </c>
      <c r="M187" t="n">
        <v>1303.510197891506</v>
      </c>
      <c r="N187" t="n">
        <v>22.97734111127766</v>
      </c>
      <c r="O187" t="n">
        <v>2.04</v>
      </c>
      <c r="P187" t="n">
        <v>340.1</v>
      </c>
      <c r="Q187" t="n">
        <v>27.39</v>
      </c>
      <c r="R187" t="n">
        <v>94.31</v>
      </c>
      <c r="S187" t="n">
        <v>5.73</v>
      </c>
      <c r="T187" t="inlineStr">
        <is>
          <t>L1185</t>
        </is>
      </c>
      <c r="U187" t="inlineStr">
        <is>
          <t>Alireza</t>
        </is>
      </c>
    </row>
    <row r="188">
      <c r="A188" s="7" t="n">
        <v>45453.75</v>
      </c>
      <c r="B188" t="n">
        <v>8</v>
      </c>
      <c r="C188" t="inlineStr">
        <is>
          <t>C</t>
        </is>
      </c>
      <c r="D188" t="inlineStr">
        <is>
          <t>R2_Magnetite_Blend</t>
        </is>
      </c>
      <c r="E188" t="inlineStr">
        <is>
          <t>Magnetite Blend B</t>
        </is>
      </c>
      <c r="F188" t="n">
        <v>2317.222301489614</v>
      </c>
      <c r="G188" t="n">
        <v>8.803082968296156</v>
      </c>
      <c r="H188" t="n">
        <v>0.8990554341502464</v>
      </c>
      <c r="I188" t="n">
        <v>0.584220081795517</v>
      </c>
      <c r="J188" t="n">
        <v>13.50841295252954</v>
      </c>
      <c r="K188" t="n">
        <v>7.633026695580991</v>
      </c>
      <c r="L188" t="n">
        <v>91.56311023193882</v>
      </c>
      <c r="M188" t="n">
        <v>1323.527157554365</v>
      </c>
      <c r="N188" t="n">
        <v>21.51488826482872</v>
      </c>
      <c r="O188" t="n">
        <v>2.12</v>
      </c>
      <c r="P188" t="n">
        <v>288.1</v>
      </c>
      <c r="Q188" t="n">
        <v>25.84</v>
      </c>
      <c r="R188" t="n">
        <v>96.38</v>
      </c>
      <c r="S188" t="n">
        <v>5.14</v>
      </c>
      <c r="T188" t="inlineStr">
        <is>
          <t>L1186</t>
        </is>
      </c>
      <c r="U188" t="inlineStr">
        <is>
          <t>Sara</t>
        </is>
      </c>
    </row>
    <row r="189">
      <c r="A189" s="7" t="n">
        <v>45453.79166666666</v>
      </c>
      <c r="B189" t="n">
        <v>8</v>
      </c>
      <c r="C189" t="inlineStr">
        <is>
          <t>C</t>
        </is>
      </c>
      <c r="D189" t="inlineStr">
        <is>
          <t>R2_Magnetite_Blend</t>
        </is>
      </c>
      <c r="E189" t="inlineStr">
        <is>
          <t>Magnetite Blend B</t>
        </is>
      </c>
      <c r="F189" t="n">
        <v>2356.916038928243</v>
      </c>
      <c r="G189" t="n">
        <v>8.839523315638566</v>
      </c>
      <c r="H189" t="n">
        <v>0.7956910031217836</v>
      </c>
      <c r="I189" t="n">
        <v>0.6237441475017295</v>
      </c>
      <c r="J189" t="n">
        <v>13.80965157017903</v>
      </c>
      <c r="K189" t="n">
        <v>6.68233931774849</v>
      </c>
      <c r="L189" t="n">
        <v>93.38911088837708</v>
      </c>
      <c r="M189" t="n">
        <v>1307.928142894982</v>
      </c>
      <c r="N189" t="n">
        <v>22.79629675228904</v>
      </c>
      <c r="O189" t="n">
        <v>2</v>
      </c>
      <c r="P189" t="n">
        <v>329.7</v>
      </c>
      <c r="Q189" t="n">
        <v>24.91</v>
      </c>
      <c r="S189" t="n">
        <v>5.04</v>
      </c>
      <c r="T189" t="inlineStr">
        <is>
          <t>L1187</t>
        </is>
      </c>
      <c r="U189" t="inlineStr">
        <is>
          <t>Sara</t>
        </is>
      </c>
      <c r="V189" t="inlineStr">
        <is>
          <t>Missing</t>
        </is>
      </c>
    </row>
    <row r="190">
      <c r="A190" s="7" t="n">
        <v>45453.83333333334</v>
      </c>
      <c r="B190" t="n">
        <v>8</v>
      </c>
      <c r="C190" t="inlineStr">
        <is>
          <t>C</t>
        </is>
      </c>
      <c r="D190" t="inlineStr">
        <is>
          <t>R2_Magnetite_Blend</t>
        </is>
      </c>
      <c r="E190" t="inlineStr">
        <is>
          <t>Magnetite Blend B</t>
        </is>
      </c>
      <c r="F190" t="n">
        <v>2243.603567707286</v>
      </c>
      <c r="G190" t="n">
        <v>9.064195648091221</v>
      </c>
      <c r="H190" t="n">
        <v>0.8104560595448662</v>
      </c>
      <c r="I190" t="n">
        <v>0.6770338105737184</v>
      </c>
      <c r="J190" t="n">
        <v>13.94458740530147</v>
      </c>
      <c r="K190" t="n">
        <v>6.305645049989126</v>
      </c>
      <c r="L190" t="n">
        <v>104.2459574436672</v>
      </c>
      <c r="M190" t="n">
        <v>1314.648755190934</v>
      </c>
      <c r="N190" t="n">
        <v>26.05470606810077</v>
      </c>
      <c r="O190" t="n">
        <v>1.92</v>
      </c>
      <c r="P190" t="n">
        <v>467.8</v>
      </c>
      <c r="Q190" t="n">
        <v>25.78</v>
      </c>
      <c r="R190" t="n">
        <v>96.41</v>
      </c>
      <c r="S190" t="n">
        <v>4.16</v>
      </c>
      <c r="T190" t="inlineStr">
        <is>
          <t>L1188</t>
        </is>
      </c>
      <c r="U190" t="inlineStr">
        <is>
          <t>Alireza</t>
        </is>
      </c>
    </row>
    <row r="191">
      <c r="A191" s="7" t="n">
        <v>45453.875</v>
      </c>
      <c r="B191" t="n">
        <v>8</v>
      </c>
      <c r="C191" t="inlineStr">
        <is>
          <t>C</t>
        </is>
      </c>
      <c r="D191" t="inlineStr">
        <is>
          <t>R2_Magnetite_Blend</t>
        </is>
      </c>
      <c r="E191" t="inlineStr">
        <is>
          <t>Magnetite Blend B</t>
        </is>
      </c>
      <c r="F191" t="n">
        <v>2524.573704214848</v>
      </c>
      <c r="G191" t="n">
        <v>9.648925835305462</v>
      </c>
      <c r="H191" t="n">
        <v>0.9170510670967953</v>
      </c>
      <c r="I191" t="n">
        <v>0.6757986849561762</v>
      </c>
      <c r="J191" t="n">
        <v>15.03872585959767</v>
      </c>
      <c r="K191" t="n">
        <v>7.607129428199125</v>
      </c>
      <c r="L191" t="n">
        <v>89.77598896603928</v>
      </c>
      <c r="M191" t="n">
        <v>1299.16798776545</v>
      </c>
      <c r="N191" t="n">
        <v>22.17488412465144</v>
      </c>
      <c r="O191" t="n">
        <v>2.35</v>
      </c>
      <c r="P191" t="n">
        <v>403.2</v>
      </c>
      <c r="Q191" t="n">
        <v>25.75</v>
      </c>
      <c r="R191" t="n">
        <v>96.29000000000001</v>
      </c>
      <c r="S191" t="n">
        <v>5.24</v>
      </c>
      <c r="T191" t="inlineStr">
        <is>
          <t>L1189</t>
        </is>
      </c>
      <c r="U191" t="inlineStr">
        <is>
          <t>Sara</t>
        </is>
      </c>
    </row>
    <row r="192">
      <c r="A192" s="7" t="n">
        <v>45453.91666666666</v>
      </c>
      <c r="B192" t="n">
        <v>8</v>
      </c>
      <c r="C192" t="inlineStr">
        <is>
          <t>C</t>
        </is>
      </c>
      <c r="D192" t="inlineStr">
        <is>
          <t>R2_Magnetite_Blend</t>
        </is>
      </c>
      <c r="E192" t="inlineStr">
        <is>
          <t>Magnetite Blend B</t>
        </is>
      </c>
      <c r="F192" t="n">
        <v>2584.818705999892</v>
      </c>
      <c r="G192" t="n">
        <v>9.59162426075406</v>
      </c>
      <c r="H192" t="n">
        <v>0.8931064350876317</v>
      </c>
      <c r="I192" t="n">
        <v>0.6252647129386434</v>
      </c>
      <c r="J192" t="n">
        <v>13.32250723603893</v>
      </c>
      <c r="K192" t="n">
        <v>7.501380058137554</v>
      </c>
      <c r="L192" t="n">
        <v>94.75665317687611</v>
      </c>
      <c r="M192" t="n">
        <v>1323.646422718276</v>
      </c>
      <c r="N192" t="n">
        <v>23.01898619551778</v>
      </c>
      <c r="O192" t="n">
        <v>2.14</v>
      </c>
      <c r="P192" t="n">
        <v>289.6</v>
      </c>
      <c r="Q192" t="n">
        <v>24.66</v>
      </c>
      <c r="R192" t="n">
        <v>96.08</v>
      </c>
      <c r="S192" t="n">
        <v>4.81</v>
      </c>
      <c r="T192" t="inlineStr">
        <is>
          <t>L1190</t>
        </is>
      </c>
      <c r="U192" t="inlineStr">
        <is>
          <t>Alireza</t>
        </is>
      </c>
    </row>
    <row r="193">
      <c r="A193" s="7" t="n">
        <v>45453.95833333334</v>
      </c>
      <c r="B193" t="n">
        <v>8</v>
      </c>
      <c r="C193" t="inlineStr">
        <is>
          <t>C</t>
        </is>
      </c>
      <c r="D193" t="inlineStr">
        <is>
          <t>R2_Magnetite_Blend</t>
        </is>
      </c>
      <c r="E193" t="inlineStr">
        <is>
          <t>Magnetite Blend B</t>
        </is>
      </c>
      <c r="F193" t="n">
        <v>2623.905960933666</v>
      </c>
      <c r="G193" t="n">
        <v>9.25096511363027</v>
      </c>
      <c r="H193" t="n">
        <v>0.875103356607474</v>
      </c>
      <c r="I193" t="n">
        <v>0.6188074866171253</v>
      </c>
      <c r="J193" t="n">
        <v>13.65017154997702</v>
      </c>
      <c r="K193" t="n">
        <v>7.78792081025546</v>
      </c>
      <c r="L193" t="n">
        <v>101.625929988477</v>
      </c>
      <c r="M193" t="n">
        <v>1311.202101458654</v>
      </c>
      <c r="N193" t="n">
        <v>21.81870617407924</v>
      </c>
      <c r="O193" t="n">
        <v>2.48</v>
      </c>
      <c r="P193" t="n">
        <v>385.9</v>
      </c>
      <c r="Q193" t="n">
        <v>23.99</v>
      </c>
      <c r="R193" t="n">
        <v>97.26000000000001</v>
      </c>
      <c r="S193" t="n">
        <v>5.27</v>
      </c>
      <c r="T193" t="inlineStr">
        <is>
          <t>L1191</t>
        </is>
      </c>
      <c r="U193" t="inlineStr">
        <is>
          <t>Alireza</t>
        </is>
      </c>
    </row>
    <row r="194">
      <c r="A194" s="7" t="n">
        <v>45454</v>
      </c>
      <c r="B194" t="n">
        <v>9</v>
      </c>
      <c r="C194" t="inlineStr">
        <is>
          <t>A</t>
        </is>
      </c>
      <c r="D194" t="inlineStr">
        <is>
          <t>R2_Magnetite_Blend</t>
        </is>
      </c>
      <c r="E194" t="inlineStr">
        <is>
          <t>Magnetite Blend B</t>
        </is>
      </c>
      <c r="F194" t="n">
        <v>2693.017409445597</v>
      </c>
      <c r="G194" t="n">
        <v>9.187179222024001</v>
      </c>
      <c r="H194" t="n">
        <v>0.7704397210140667</v>
      </c>
      <c r="I194" t="n">
        <v>0.6679466836022524</v>
      </c>
      <c r="J194" t="n">
        <v>13.81144965470059</v>
      </c>
      <c r="K194" t="n">
        <v>7.87217423615174</v>
      </c>
      <c r="L194" t="n">
        <v>95.58662261366602</v>
      </c>
      <c r="M194" t="n">
        <v>1326.36511520001</v>
      </c>
      <c r="N194" t="n">
        <v>22.36440548898652</v>
      </c>
      <c r="O194" t="n">
        <v>2.08</v>
      </c>
      <c r="P194" t="n">
        <v>336.7</v>
      </c>
      <c r="Q194" t="n">
        <v>23.86</v>
      </c>
      <c r="R194" t="n">
        <v>97.64</v>
      </c>
      <c r="S194" t="n">
        <v>5.16</v>
      </c>
      <c r="T194" t="inlineStr">
        <is>
          <t>L1192</t>
        </is>
      </c>
      <c r="U194" t="inlineStr">
        <is>
          <t>Sara</t>
        </is>
      </c>
    </row>
    <row r="195">
      <c r="A195" s="7" t="n">
        <v>45454.04166666666</v>
      </c>
      <c r="B195" t="n">
        <v>9</v>
      </c>
      <c r="C195" t="inlineStr">
        <is>
          <t>A</t>
        </is>
      </c>
      <c r="D195" t="inlineStr">
        <is>
          <t>R2_Magnetite_Blend</t>
        </is>
      </c>
      <c r="E195" t="inlineStr">
        <is>
          <t>Magnetite Blend B</t>
        </is>
      </c>
      <c r="F195" t="n">
        <v>2618.790517927886</v>
      </c>
      <c r="G195" t="n">
        <v>9.338389677348395</v>
      </c>
      <c r="H195" t="n">
        <v>0.9905448788903815</v>
      </c>
      <c r="I195" t="n">
        <v>0.6640414806986186</v>
      </c>
      <c r="J195" t="n">
        <v>13.82070856974911</v>
      </c>
      <c r="K195" t="n">
        <v>7.071109101045106</v>
      </c>
      <c r="L195" t="n">
        <v>84.5698889396282</v>
      </c>
      <c r="M195" t="n">
        <v>1292.733771324805</v>
      </c>
      <c r="N195" t="n">
        <v>20.73619282916821</v>
      </c>
      <c r="O195" t="n">
        <v>2.12</v>
      </c>
      <c r="P195" t="n">
        <v>383.6</v>
      </c>
      <c r="Q195" t="n">
        <v>25.14</v>
      </c>
      <c r="R195" t="n">
        <v>95.91</v>
      </c>
      <c r="S195" t="n">
        <v>5.13</v>
      </c>
      <c r="T195" t="inlineStr">
        <is>
          <t>L1193</t>
        </is>
      </c>
      <c r="U195" t="inlineStr">
        <is>
          <t>Reza</t>
        </is>
      </c>
    </row>
    <row r="196">
      <c r="A196" s="7" t="n">
        <v>45454.08333333334</v>
      </c>
      <c r="B196" t="n">
        <v>9</v>
      </c>
      <c r="C196" t="inlineStr">
        <is>
          <t>A</t>
        </is>
      </c>
      <c r="D196" t="inlineStr">
        <is>
          <t>R2_Magnetite_Blend</t>
        </is>
      </c>
      <c r="E196" t="inlineStr">
        <is>
          <t>Magnetite Blend B</t>
        </is>
      </c>
      <c r="F196" t="n">
        <v>2267.212306003326</v>
      </c>
      <c r="G196" t="n">
        <v>10.28243642229648</v>
      </c>
      <c r="H196" t="n">
        <v>0.8402079618020185</v>
      </c>
      <c r="I196" t="n">
        <v>0.6821373218138094</v>
      </c>
      <c r="J196" t="n">
        <v>13.94295603063504</v>
      </c>
      <c r="K196" t="n">
        <v>7.049058271281337</v>
      </c>
      <c r="L196" t="n">
        <v>98.40412085422882</v>
      </c>
      <c r="M196" t="n">
        <v>1300.917045644075</v>
      </c>
      <c r="N196" t="n">
        <v>22.6885826996776</v>
      </c>
      <c r="O196" t="n">
        <v>2.29</v>
      </c>
      <c r="P196" t="n">
        <v>306.5</v>
      </c>
      <c r="Q196" t="n">
        <v>26.91</v>
      </c>
      <c r="R196" t="n">
        <v>95.76000000000001</v>
      </c>
      <c r="S196" t="n">
        <v>5.28</v>
      </c>
      <c r="T196" t="inlineStr">
        <is>
          <t>L1194</t>
        </is>
      </c>
      <c r="U196" t="inlineStr">
        <is>
          <t>Sara</t>
        </is>
      </c>
    </row>
    <row r="197">
      <c r="A197" s="7" t="n">
        <v>45454.125</v>
      </c>
      <c r="B197" t="n">
        <v>9</v>
      </c>
      <c r="C197" t="inlineStr">
        <is>
          <t>A</t>
        </is>
      </c>
      <c r="D197" t="inlineStr">
        <is>
          <t>R2_Magnetite_Blend</t>
        </is>
      </c>
      <c r="E197" t="inlineStr">
        <is>
          <t>Magnetite Blend B</t>
        </is>
      </c>
      <c r="F197" t="n">
        <v>2239.412162939841</v>
      </c>
      <c r="G197" t="n">
        <v>9.418978830040082</v>
      </c>
      <c r="H197" t="n">
        <v>0.8284293750988563</v>
      </c>
      <c r="I197" t="n">
        <v>0.5748355430755542</v>
      </c>
      <c r="J197" t="n">
        <v>14.20293562823212</v>
      </c>
      <c r="K197" t="n">
        <v>7.287818492535967</v>
      </c>
      <c r="L197" t="n">
        <v>90.08001480996995</v>
      </c>
      <c r="M197" t="n">
        <v>1304.776913981465</v>
      </c>
      <c r="N197" t="n">
        <v>22.42066719983756</v>
      </c>
      <c r="O197" t="n">
        <v>2.52</v>
      </c>
      <c r="P197" t="n">
        <v>295.9</v>
      </c>
      <c r="Q197" t="n">
        <v>27.7</v>
      </c>
      <c r="R197" t="n">
        <v>94.61</v>
      </c>
      <c r="S197" t="n">
        <v>5.86</v>
      </c>
      <c r="T197" t="inlineStr">
        <is>
          <t>L1195</t>
        </is>
      </c>
      <c r="U197" t="inlineStr">
        <is>
          <t>Mohsen</t>
        </is>
      </c>
    </row>
    <row r="198">
      <c r="A198" s="7" t="n">
        <v>45454.16666666666</v>
      </c>
      <c r="B198" t="n">
        <v>9</v>
      </c>
      <c r="C198" t="inlineStr">
        <is>
          <t>A</t>
        </is>
      </c>
      <c r="D198" t="inlineStr">
        <is>
          <t>R2_Magnetite_Blend</t>
        </is>
      </c>
      <c r="E198" t="inlineStr">
        <is>
          <t>Magnetite Blend B</t>
        </is>
      </c>
      <c r="F198" t="n">
        <v>2278.424991598201</v>
      </c>
      <c r="G198" t="n">
        <v>9.25183653881755</v>
      </c>
      <c r="H198" t="n">
        <v>0.8380653229816151</v>
      </c>
      <c r="I198" t="n">
        <v>0.6243928996879654</v>
      </c>
      <c r="J198" t="n">
        <v>15.11938671739007</v>
      </c>
      <c r="K198" t="n">
        <v>7.068481950388746</v>
      </c>
      <c r="L198" t="n">
        <v>96.35756485257345</v>
      </c>
      <c r="M198" t="n">
        <v>1293.234341207885</v>
      </c>
      <c r="N198" t="n">
        <v>21.91524818931644</v>
      </c>
      <c r="O198" t="n">
        <v>2.22</v>
      </c>
      <c r="P198" t="n">
        <v>292.5</v>
      </c>
      <c r="Q198" t="n">
        <v>26.67</v>
      </c>
      <c r="R198" t="n">
        <v>94.92</v>
      </c>
      <c r="S198" t="n">
        <v>5.86</v>
      </c>
      <c r="T198" t="inlineStr">
        <is>
          <t>L1196</t>
        </is>
      </c>
      <c r="U198" t="inlineStr">
        <is>
          <t>Mohsen</t>
        </is>
      </c>
    </row>
    <row r="199">
      <c r="A199" s="7" t="n">
        <v>45454.20833333334</v>
      </c>
      <c r="B199" t="n">
        <v>9</v>
      </c>
      <c r="C199" t="inlineStr">
        <is>
          <t>A</t>
        </is>
      </c>
      <c r="D199" t="inlineStr">
        <is>
          <t>R2_Magnetite_Blend</t>
        </is>
      </c>
      <c r="E199" t="inlineStr">
        <is>
          <t>Magnetite Blend B</t>
        </is>
      </c>
      <c r="F199" t="n">
        <v>2450.518937916379</v>
      </c>
      <c r="G199" t="n">
        <v>9.128470493655255</v>
      </c>
      <c r="H199" t="n">
        <v>0.7912727817282527</v>
      </c>
      <c r="I199" t="n">
        <v>0.6757390958477157</v>
      </c>
      <c r="J199" t="n">
        <v>14.85972964529424</v>
      </c>
      <c r="K199" t="n">
        <v>6.602486729714861</v>
      </c>
      <c r="L199" t="n">
        <v>94.1488457587393</v>
      </c>
      <c r="M199" t="n">
        <v>1314.129577296104</v>
      </c>
      <c r="N199" t="n">
        <v>21.20717258539783</v>
      </c>
      <c r="O199" t="n">
        <v>2.35</v>
      </c>
      <c r="P199" t="n">
        <v>409.3</v>
      </c>
      <c r="Q199" t="n">
        <v>25.78</v>
      </c>
      <c r="R199" t="n">
        <v>95.39</v>
      </c>
      <c r="S199" t="n">
        <v>5.65</v>
      </c>
      <c r="T199" t="inlineStr">
        <is>
          <t>L1197</t>
        </is>
      </c>
      <c r="U199" t="inlineStr">
        <is>
          <t>Mohsen</t>
        </is>
      </c>
    </row>
    <row r="200">
      <c r="A200" s="7" t="n">
        <v>45454.25</v>
      </c>
      <c r="B200" t="n">
        <v>9</v>
      </c>
      <c r="C200" t="inlineStr">
        <is>
          <t>A</t>
        </is>
      </c>
      <c r="D200" t="inlineStr">
        <is>
          <t>R2_Magnetite_Blend</t>
        </is>
      </c>
      <c r="E200" t="inlineStr">
        <is>
          <t>Magnetite Blend B</t>
        </is>
      </c>
      <c r="F200" t="n">
        <v>2326.630483990103</v>
      </c>
      <c r="G200" t="n">
        <v>9.188396285482593</v>
      </c>
      <c r="H200" t="n">
        <v>0.8313422745442001</v>
      </c>
      <c r="I200" t="n">
        <v>0.5937023578402665</v>
      </c>
      <c r="J200" t="n">
        <v>14.2687769600014</v>
      </c>
      <c r="L200" t="n">
        <v>105.515607240349</v>
      </c>
      <c r="M200" t="n">
        <v>1302.220280090128</v>
      </c>
      <c r="N200" t="n">
        <v>21.72461879340196</v>
      </c>
      <c r="O200" t="n">
        <v>2.38</v>
      </c>
      <c r="P200" t="n">
        <v>246.3</v>
      </c>
      <c r="Q200" t="n">
        <v>26.11</v>
      </c>
      <c r="R200" t="n">
        <v>95.75</v>
      </c>
      <c r="S200" t="n">
        <v>5.57</v>
      </c>
      <c r="T200" t="inlineStr">
        <is>
          <t>L1198</t>
        </is>
      </c>
      <c r="U200" t="inlineStr">
        <is>
          <t>Mohsen</t>
        </is>
      </c>
      <c r="V200" t="inlineStr">
        <is>
          <t>Missing</t>
        </is>
      </c>
    </row>
    <row r="201">
      <c r="A201" s="7" t="n">
        <v>45454.29166666666</v>
      </c>
      <c r="B201" t="n">
        <v>9</v>
      </c>
      <c r="C201" t="inlineStr">
        <is>
          <t>A</t>
        </is>
      </c>
      <c r="D201" t="inlineStr">
        <is>
          <t>R2_Magnetite_Blend</t>
        </is>
      </c>
      <c r="E201" t="inlineStr">
        <is>
          <t>Magnetite Blend B</t>
        </is>
      </c>
      <c r="F201" t="n">
        <v>2528.396843778564</v>
      </c>
      <c r="G201" t="n">
        <v>9.513740941865645</v>
      </c>
      <c r="H201" t="n">
        <v>0.9918997489242459</v>
      </c>
      <c r="I201" t="n">
        <v>0.637012379268422</v>
      </c>
      <c r="J201" t="n">
        <v>13.11242022124269</v>
      </c>
      <c r="K201" t="n">
        <v>7.86712615934468</v>
      </c>
      <c r="L201" t="n">
        <v>96.27466225290364</v>
      </c>
      <c r="M201" t="n">
        <v>1314.127338348089</v>
      </c>
      <c r="N201" t="n">
        <v>19.73370803759004</v>
      </c>
      <c r="O201" t="n">
        <v>2.11</v>
      </c>
      <c r="P201" t="n">
        <v>346.2</v>
      </c>
      <c r="Q201" t="n">
        <v>18.5</v>
      </c>
      <c r="R201" t="n">
        <v>97.03</v>
      </c>
      <c r="S201" t="n">
        <v>5</v>
      </c>
      <c r="T201" t="inlineStr">
        <is>
          <t>L1199</t>
        </is>
      </c>
      <c r="U201" t="inlineStr">
        <is>
          <t>Mohsen</t>
        </is>
      </c>
      <c r="V201" t="inlineStr">
        <is>
          <t>Outlier: suspected measurement error</t>
        </is>
      </c>
    </row>
    <row r="202">
      <c r="A202" s="7" t="n">
        <v>45454.33333333334</v>
      </c>
      <c r="B202" t="n">
        <v>9</v>
      </c>
      <c r="C202" t="inlineStr">
        <is>
          <t>B</t>
        </is>
      </c>
      <c r="D202" t="inlineStr">
        <is>
          <t>R2_Magnetite_Blend</t>
        </is>
      </c>
      <c r="E202" t="inlineStr">
        <is>
          <t>Magnetite Blend B</t>
        </is>
      </c>
      <c r="F202" t="n">
        <v>2647.070467981676</v>
      </c>
      <c r="G202" t="n">
        <v>9.49919302355366</v>
      </c>
      <c r="H202" t="n">
        <v>0.7438660533553291</v>
      </c>
      <c r="I202" t="n">
        <v>0.5938194303615444</v>
      </c>
      <c r="J202" t="n">
        <v>13.41417936221826</v>
      </c>
      <c r="K202" t="n">
        <v>7.241609858168943</v>
      </c>
      <c r="L202" t="n">
        <v>90.39627045988169</v>
      </c>
      <c r="N202" t="n">
        <v>23.43232541942512</v>
      </c>
      <c r="O202" t="n">
        <v>2.48</v>
      </c>
      <c r="P202" t="n">
        <v>371.2</v>
      </c>
      <c r="Q202" t="n">
        <v>25.12</v>
      </c>
      <c r="R202" t="n">
        <v>95.76000000000001</v>
      </c>
      <c r="S202" t="n">
        <v>5.64</v>
      </c>
      <c r="T202" t="inlineStr">
        <is>
          <t>L1200</t>
        </is>
      </c>
      <c r="U202" t="inlineStr">
        <is>
          <t>Mohsen</t>
        </is>
      </c>
      <c r="V202" t="inlineStr">
        <is>
          <t>Missing</t>
        </is>
      </c>
    </row>
    <row r="203">
      <c r="A203" s="7" t="n">
        <v>45454.375</v>
      </c>
      <c r="B203" t="n">
        <v>9</v>
      </c>
      <c r="C203" t="inlineStr">
        <is>
          <t>B</t>
        </is>
      </c>
      <c r="D203" t="inlineStr">
        <is>
          <t>R2_Magnetite_Blend</t>
        </is>
      </c>
      <c r="E203" t="inlineStr">
        <is>
          <t>Magnetite Blend B</t>
        </is>
      </c>
      <c r="F203" t="n">
        <v>2272.552976862669</v>
      </c>
      <c r="G203" t="n">
        <v>8.462229381632163</v>
      </c>
      <c r="H203" t="n">
        <v>1.008458691101645</v>
      </c>
      <c r="I203" t="n">
        <v>0.680073981283111</v>
      </c>
      <c r="J203" t="n">
        <v>13.41734784499183</v>
      </c>
      <c r="K203" t="n">
        <v>7.37792019606589</v>
      </c>
      <c r="L203" t="n">
        <v>95.99890188030598</v>
      </c>
      <c r="M203" t="n">
        <v>1301.440011132346</v>
      </c>
      <c r="N203" t="n">
        <v>23.39123697897476</v>
      </c>
      <c r="O203" t="n">
        <v>2.13</v>
      </c>
      <c r="P203" t="n">
        <v>403.8</v>
      </c>
      <c r="Q203" t="n">
        <v>23.58</v>
      </c>
      <c r="R203" t="n">
        <v>96.42</v>
      </c>
      <c r="S203" t="n">
        <v>3.99</v>
      </c>
      <c r="T203" t="inlineStr">
        <is>
          <t>L1201</t>
        </is>
      </c>
      <c r="U203" t="inlineStr">
        <is>
          <t>Reza</t>
        </is>
      </c>
    </row>
    <row r="204">
      <c r="A204" s="7" t="n">
        <v>45454.41666666666</v>
      </c>
      <c r="B204" t="n">
        <v>9</v>
      </c>
      <c r="C204" t="inlineStr">
        <is>
          <t>B</t>
        </is>
      </c>
      <c r="D204" t="inlineStr">
        <is>
          <t>R2_Magnetite_Blend</t>
        </is>
      </c>
      <c r="E204" t="inlineStr">
        <is>
          <t>Magnetite Blend B</t>
        </is>
      </c>
      <c r="F204" t="n">
        <v>2526.347390812803</v>
      </c>
      <c r="G204" t="n">
        <v>10.03133858387</v>
      </c>
      <c r="H204" t="n">
        <v>0.7828796012259887</v>
      </c>
      <c r="I204" t="n">
        <v>0.6982739269345151</v>
      </c>
      <c r="J204" t="n">
        <v>13.90417322837702</v>
      </c>
      <c r="K204" t="n">
        <v>8.194750564992434</v>
      </c>
      <c r="L204" t="n">
        <v>95.01616888874639</v>
      </c>
      <c r="M204" t="n">
        <v>1304.607811282106</v>
      </c>
      <c r="N204" t="n">
        <v>22.23103293824233</v>
      </c>
      <c r="O204" t="n">
        <v>2.44</v>
      </c>
      <c r="P204" t="n">
        <v>361.4</v>
      </c>
      <c r="Q204" t="n">
        <v>26.99</v>
      </c>
      <c r="R204" t="n">
        <v>94.63</v>
      </c>
      <c r="S204" t="n">
        <v>5.78</v>
      </c>
      <c r="T204" t="inlineStr">
        <is>
          <t>L1202</t>
        </is>
      </c>
      <c r="U204" t="inlineStr">
        <is>
          <t>Mohsen</t>
        </is>
      </c>
    </row>
    <row r="205">
      <c r="A205" s="7" t="n">
        <v>45454.45833333334</v>
      </c>
      <c r="B205" t="n">
        <v>9</v>
      </c>
      <c r="C205" t="inlineStr">
        <is>
          <t>B</t>
        </is>
      </c>
      <c r="D205" t="inlineStr">
        <is>
          <t>R2_Magnetite_Blend</t>
        </is>
      </c>
      <c r="E205" t="inlineStr">
        <is>
          <t>Magnetite Blend B</t>
        </is>
      </c>
      <c r="F205" t="n">
        <v>2279.269938237293</v>
      </c>
      <c r="G205" t="n">
        <v>9.451738447736403</v>
      </c>
      <c r="H205" t="n">
        <v>0.7828350206466059</v>
      </c>
      <c r="I205" t="n">
        <v>0.6049095483086726</v>
      </c>
      <c r="J205" t="n">
        <v>13.28839245018319</v>
      </c>
      <c r="K205" t="n">
        <v>6.903653555214047</v>
      </c>
      <c r="L205" t="n">
        <v>93.83854744145916</v>
      </c>
      <c r="M205" t="n">
        <v>1288.011464308422</v>
      </c>
      <c r="N205" t="n">
        <v>19.39376918599282</v>
      </c>
      <c r="O205" t="n">
        <v>2.54</v>
      </c>
      <c r="P205" t="n">
        <v>247.9</v>
      </c>
      <c r="Q205" t="n">
        <v>25.95</v>
      </c>
      <c r="R205" t="n">
        <v>95.23999999999999</v>
      </c>
      <c r="S205" t="n">
        <v>5.09</v>
      </c>
      <c r="T205" t="inlineStr">
        <is>
          <t>L1203</t>
        </is>
      </c>
      <c r="U205" t="inlineStr">
        <is>
          <t>Mohsen</t>
        </is>
      </c>
    </row>
    <row r="206">
      <c r="A206" s="7" t="n">
        <v>45454.5</v>
      </c>
      <c r="B206" t="n">
        <v>9</v>
      </c>
      <c r="C206" t="inlineStr">
        <is>
          <t>B</t>
        </is>
      </c>
      <c r="D206" t="inlineStr">
        <is>
          <t>R2_Magnetite_Blend</t>
        </is>
      </c>
      <c r="E206" t="inlineStr">
        <is>
          <t>Magnetite Blend B</t>
        </is>
      </c>
      <c r="F206" t="n">
        <v>2122.030449685655</v>
      </c>
      <c r="G206" t="n">
        <v>9.263683244580939</v>
      </c>
      <c r="H206" t="n">
        <v>0.946342066980097</v>
      </c>
      <c r="I206" t="n">
        <v>0.7515419738537159</v>
      </c>
      <c r="J206" t="n">
        <v>13.60573267865035</v>
      </c>
      <c r="K206" t="n">
        <v>7.21220259213456</v>
      </c>
      <c r="L206" t="n">
        <v>105.4418028130807</v>
      </c>
      <c r="M206" t="n">
        <v>1305.620720980505</v>
      </c>
      <c r="N206" t="n">
        <v>22.71056259291327</v>
      </c>
      <c r="O206" t="n">
        <v>2.31</v>
      </c>
      <c r="P206" t="n">
        <v>455.8</v>
      </c>
      <c r="Q206" t="n">
        <v>24.08</v>
      </c>
      <c r="R206" t="n">
        <v>97.09999999999999</v>
      </c>
      <c r="S206" t="n">
        <v>4.81</v>
      </c>
      <c r="T206" t="inlineStr">
        <is>
          <t>L1204</t>
        </is>
      </c>
      <c r="U206" t="inlineStr">
        <is>
          <t>Mohsen</t>
        </is>
      </c>
    </row>
    <row r="207">
      <c r="A207" s="7" t="n">
        <v>45454.54166666666</v>
      </c>
      <c r="B207" t="n">
        <v>9</v>
      </c>
      <c r="C207" t="inlineStr">
        <is>
          <t>B</t>
        </is>
      </c>
      <c r="D207" t="inlineStr">
        <is>
          <t>R2_Magnetite_Blend</t>
        </is>
      </c>
      <c r="E207" t="inlineStr">
        <is>
          <t>Magnetite Blend B</t>
        </is>
      </c>
      <c r="F207" t="n">
        <v>2121.608164035001</v>
      </c>
      <c r="G207" t="n">
        <v>10.23406008834734</v>
      </c>
      <c r="H207" t="n">
        <v>0.9851548590108592</v>
      </c>
      <c r="I207" t="n">
        <v>0.674235788589469</v>
      </c>
      <c r="J207" t="n">
        <v>14.50543497201756</v>
      </c>
      <c r="K207" t="n">
        <v>7.087117571824717</v>
      </c>
      <c r="L207" t="n">
        <v>99.53503530530882</v>
      </c>
      <c r="M207" t="n">
        <v>1317.438898726293</v>
      </c>
      <c r="N207" t="n">
        <v>22.53257863190908</v>
      </c>
      <c r="O207" t="n">
        <v>2.24</v>
      </c>
      <c r="P207" t="n">
        <v>417.4</v>
      </c>
      <c r="Q207" t="n">
        <v>24.23</v>
      </c>
      <c r="R207" t="n">
        <v>97.09</v>
      </c>
      <c r="S207" t="n">
        <v>4.57</v>
      </c>
      <c r="T207" t="inlineStr">
        <is>
          <t>L1205</t>
        </is>
      </c>
      <c r="U207" t="inlineStr">
        <is>
          <t>Alireza</t>
        </is>
      </c>
    </row>
    <row r="208">
      <c r="A208" s="7" t="n">
        <v>45454.58333333334</v>
      </c>
      <c r="B208" t="n">
        <v>9</v>
      </c>
      <c r="C208" t="inlineStr">
        <is>
          <t>B</t>
        </is>
      </c>
      <c r="D208" t="inlineStr">
        <is>
          <t>R2_Magnetite_Blend</t>
        </is>
      </c>
      <c r="E208" t="inlineStr">
        <is>
          <t>Magnetite Blend B</t>
        </is>
      </c>
      <c r="F208" t="n">
        <v>2292.556663395221</v>
      </c>
      <c r="G208" t="n">
        <v>8.756191389116774</v>
      </c>
      <c r="H208" t="n">
        <v>0.8215020304639818</v>
      </c>
      <c r="I208" t="n">
        <v>0.6165873120782012</v>
      </c>
      <c r="J208" t="n">
        <v>14.78778084947275</v>
      </c>
      <c r="K208" t="n">
        <v>7.190904733005583</v>
      </c>
      <c r="L208" t="n">
        <v>96.14096975583442</v>
      </c>
      <c r="M208" t="n">
        <v>1291.850011222291</v>
      </c>
      <c r="N208" t="n">
        <v>22.99097371864756</v>
      </c>
      <c r="O208" t="n">
        <v>2.37</v>
      </c>
      <c r="P208" t="n">
        <v>344.3</v>
      </c>
      <c r="Q208" t="n">
        <v>25.47</v>
      </c>
      <c r="R208" t="n">
        <v>95.11</v>
      </c>
      <c r="S208" t="n">
        <v>5.32</v>
      </c>
      <c r="T208" t="inlineStr">
        <is>
          <t>L1206</t>
        </is>
      </c>
      <c r="U208" t="inlineStr">
        <is>
          <t>Alireza</t>
        </is>
      </c>
    </row>
    <row r="209">
      <c r="A209" s="7" t="n">
        <v>45454.625</v>
      </c>
      <c r="B209" t="n">
        <v>9</v>
      </c>
      <c r="C209" t="inlineStr">
        <is>
          <t>B</t>
        </is>
      </c>
      <c r="D209" t="inlineStr">
        <is>
          <t>R2_Magnetite_Blend</t>
        </is>
      </c>
      <c r="E209" t="inlineStr">
        <is>
          <t>Magnetite Blend B</t>
        </is>
      </c>
      <c r="F209" t="n">
        <v>2008.161830460745</v>
      </c>
      <c r="G209" t="n">
        <v>8.85948133075096</v>
      </c>
      <c r="H209" t="n">
        <v>0.9080947627570924</v>
      </c>
      <c r="I209" t="n">
        <v>0.6588311991969042</v>
      </c>
      <c r="J209" t="n">
        <v>13.8892329951848</v>
      </c>
      <c r="K209" t="n">
        <v>7.399808694927468</v>
      </c>
      <c r="L209" t="n">
        <v>85.33473533253272</v>
      </c>
      <c r="M209" t="n">
        <v>1283.029966916871</v>
      </c>
      <c r="N209" t="n">
        <v>22.16271503349381</v>
      </c>
      <c r="O209" t="n">
        <v>2.88</v>
      </c>
      <c r="P209" t="n">
        <v>318.6</v>
      </c>
      <c r="Q209" t="n">
        <v>25.76</v>
      </c>
      <c r="R209" t="n">
        <v>94.98</v>
      </c>
      <c r="S209" t="n">
        <v>5.37</v>
      </c>
      <c r="T209" t="inlineStr">
        <is>
          <t>L1207</t>
        </is>
      </c>
      <c r="U209" t="inlineStr">
        <is>
          <t>Mohsen</t>
        </is>
      </c>
    </row>
    <row r="210">
      <c r="A210" s="7" t="n">
        <v>45454.66666666666</v>
      </c>
      <c r="B210" t="n">
        <v>9</v>
      </c>
      <c r="C210" t="inlineStr">
        <is>
          <t>C</t>
        </is>
      </c>
      <c r="D210" t="inlineStr">
        <is>
          <t>R2_Magnetite_Blend</t>
        </is>
      </c>
      <c r="E210" t="inlineStr">
        <is>
          <t>Magnetite Blend B</t>
        </is>
      </c>
      <c r="F210" t="n">
        <v>2439.875887026881</v>
      </c>
      <c r="G210" t="n">
        <v>9.688437708776414</v>
      </c>
      <c r="H210" t="n">
        <v>0.7941989100474436</v>
      </c>
      <c r="I210" t="n">
        <v>0.6091572751878911</v>
      </c>
      <c r="J210" t="n">
        <v>14.91818249251967</v>
      </c>
      <c r="K210" t="n">
        <v>6.685715936377708</v>
      </c>
      <c r="L210" t="n">
        <v>90.36369494793196</v>
      </c>
      <c r="M210" t="n">
        <v>1296.694969521766</v>
      </c>
      <c r="N210" t="n">
        <v>21.1404666867652</v>
      </c>
      <c r="O210" t="n">
        <v>2.97</v>
      </c>
      <c r="P210" t="n">
        <v>317.2</v>
      </c>
      <c r="Q210" t="n">
        <v>27.42</v>
      </c>
      <c r="R210" t="n">
        <v>94.56</v>
      </c>
      <c r="S210" t="n">
        <v>5.15</v>
      </c>
      <c r="T210" t="inlineStr">
        <is>
          <t>L1208</t>
        </is>
      </c>
      <c r="U210" t="inlineStr">
        <is>
          <t>Sara</t>
        </is>
      </c>
    </row>
    <row r="211">
      <c r="A211" s="7" t="n">
        <v>45454.70833333334</v>
      </c>
      <c r="B211" t="n">
        <v>9</v>
      </c>
      <c r="C211" t="inlineStr">
        <is>
          <t>C</t>
        </is>
      </c>
      <c r="D211" t="inlineStr">
        <is>
          <t>R2_Magnetite_Blend</t>
        </is>
      </c>
      <c r="E211" t="inlineStr">
        <is>
          <t>Magnetite Blend B</t>
        </is>
      </c>
      <c r="F211" t="n">
        <v>2621.922580804439</v>
      </c>
      <c r="G211" t="n">
        <v>9.297607591843949</v>
      </c>
      <c r="H211" t="n">
        <v>0.823539900954229</v>
      </c>
      <c r="I211" t="n">
        <v>0.6851074830223095</v>
      </c>
      <c r="J211" t="n">
        <v>12.25936923013333</v>
      </c>
      <c r="K211" t="n">
        <v>7.137143686384918</v>
      </c>
      <c r="L211" t="n">
        <v>108.2823738739884</v>
      </c>
      <c r="M211" t="n">
        <v>1311.56248826486</v>
      </c>
      <c r="N211" t="n">
        <v>23.41779697208732</v>
      </c>
      <c r="O211" t="n">
        <v>2.54</v>
      </c>
      <c r="P211" t="n">
        <v>389.3</v>
      </c>
      <c r="Q211" t="n">
        <v>24.95</v>
      </c>
      <c r="R211" t="n">
        <v>96.51000000000001</v>
      </c>
      <c r="S211" t="n">
        <v>5.77</v>
      </c>
      <c r="T211" t="inlineStr">
        <is>
          <t>L1209</t>
        </is>
      </c>
      <c r="U211" t="inlineStr">
        <is>
          <t>Mohsen</t>
        </is>
      </c>
    </row>
    <row r="212">
      <c r="A212" s="7" t="n">
        <v>45454.75</v>
      </c>
      <c r="B212" t="n">
        <v>9</v>
      </c>
      <c r="C212" t="inlineStr">
        <is>
          <t>C</t>
        </is>
      </c>
      <c r="D212" t="inlineStr">
        <is>
          <t>R2_Magnetite_Blend</t>
        </is>
      </c>
      <c r="E212" t="inlineStr">
        <is>
          <t>Magnetite Blend B</t>
        </is>
      </c>
      <c r="F212" t="n">
        <v>2140.288820623806</v>
      </c>
      <c r="G212" t="n">
        <v>9.606906303220981</v>
      </c>
      <c r="H212" t="n">
        <v>0.7952530228847695</v>
      </c>
      <c r="I212" t="n">
        <v>0.6249604458283495</v>
      </c>
      <c r="J212" t="n">
        <v>13.98694775942031</v>
      </c>
      <c r="L212" t="n">
        <v>101.8770765413836</v>
      </c>
      <c r="M212" t="n">
        <v>1305.473544302965</v>
      </c>
      <c r="N212" t="n">
        <v>21.59186292550509</v>
      </c>
      <c r="O212" t="n">
        <v>1.98</v>
      </c>
      <c r="P212" t="n">
        <v>299.7</v>
      </c>
      <c r="Q212" t="n">
        <v>26.86</v>
      </c>
      <c r="S212" t="n">
        <v>5.55</v>
      </c>
      <c r="T212" t="inlineStr">
        <is>
          <t>L1210</t>
        </is>
      </c>
      <c r="U212" t="inlineStr">
        <is>
          <t>Sara</t>
        </is>
      </c>
      <c r="V212" t="inlineStr">
        <is>
          <t>Missing;Missing</t>
        </is>
      </c>
    </row>
    <row r="213">
      <c r="A213" s="7" t="n">
        <v>45454.79166666666</v>
      </c>
      <c r="B213" t="n">
        <v>9</v>
      </c>
      <c r="C213" t="inlineStr">
        <is>
          <t>C</t>
        </is>
      </c>
      <c r="D213" t="inlineStr">
        <is>
          <t>R2_Magnetite_Blend</t>
        </is>
      </c>
      <c r="E213" t="inlineStr">
        <is>
          <t>Magnetite Blend B</t>
        </is>
      </c>
      <c r="F213" t="n">
        <v>2289.823463391501</v>
      </c>
      <c r="G213" t="n">
        <v>9.726711132134335</v>
      </c>
      <c r="H213" t="n">
        <v>0.8573745541681007</v>
      </c>
      <c r="I213" t="n">
        <v>0.588707231516679</v>
      </c>
      <c r="J213" t="n">
        <v>13.63575589278477</v>
      </c>
      <c r="K213" t="n">
        <v>6.664959334944248</v>
      </c>
      <c r="L213" t="n">
        <v>100.4716359530888</v>
      </c>
      <c r="M213" t="n">
        <v>1314.424238908116</v>
      </c>
      <c r="N213" t="n">
        <v>20.54874180877249</v>
      </c>
      <c r="O213" t="n">
        <v>1.84</v>
      </c>
      <c r="P213" t="n">
        <v>264.3</v>
      </c>
      <c r="Q213" t="n">
        <v>25.55</v>
      </c>
      <c r="R213" t="n">
        <v>96.38</v>
      </c>
      <c r="S213" t="n">
        <v>4.8</v>
      </c>
      <c r="T213" t="inlineStr">
        <is>
          <t>L1211</t>
        </is>
      </c>
      <c r="U213" t="inlineStr">
        <is>
          <t>Sara</t>
        </is>
      </c>
    </row>
    <row r="214">
      <c r="A214" s="7" t="n">
        <v>45454.83333333334</v>
      </c>
      <c r="B214" t="n">
        <v>9</v>
      </c>
      <c r="C214" t="inlineStr">
        <is>
          <t>C</t>
        </is>
      </c>
      <c r="D214" t="inlineStr">
        <is>
          <t>R2_Magnetite_Blend</t>
        </is>
      </c>
      <c r="E214" t="inlineStr">
        <is>
          <t>Magnetite Blend B</t>
        </is>
      </c>
      <c r="F214" t="n">
        <v>2627.840495803369</v>
      </c>
      <c r="G214" t="n">
        <v>9.937139757896434</v>
      </c>
      <c r="H214" t="n">
        <v>0.8018673578025712</v>
      </c>
      <c r="I214" t="n">
        <v>0.6196533199932978</v>
      </c>
      <c r="J214" t="n">
        <v>14.46622869239775</v>
      </c>
      <c r="K214" t="n">
        <v>7.364244661717021</v>
      </c>
      <c r="L214" t="n">
        <v>98.64936766818018</v>
      </c>
      <c r="M214" t="n">
        <v>1293.961674180307</v>
      </c>
      <c r="N214" t="n">
        <v>21.65178596104106</v>
      </c>
      <c r="O214" t="n">
        <v>2.4</v>
      </c>
      <c r="P214" t="n">
        <v>235.5</v>
      </c>
      <c r="Q214" t="n">
        <v>27.81</v>
      </c>
      <c r="R214" t="n">
        <v>93.81</v>
      </c>
      <c r="S214" t="n">
        <v>6.27</v>
      </c>
      <c r="T214" t="inlineStr">
        <is>
          <t>L1212</t>
        </is>
      </c>
      <c r="U214" t="inlineStr">
        <is>
          <t>Reza</t>
        </is>
      </c>
    </row>
    <row r="215">
      <c r="A215" s="7" t="n">
        <v>45454.875</v>
      </c>
      <c r="B215" t="n">
        <v>9</v>
      </c>
      <c r="C215" t="inlineStr">
        <is>
          <t>C</t>
        </is>
      </c>
      <c r="D215" t="inlineStr">
        <is>
          <t>R2_Magnetite_Blend</t>
        </is>
      </c>
      <c r="E215" t="inlineStr">
        <is>
          <t>Magnetite Blend B</t>
        </is>
      </c>
      <c r="F215" t="n">
        <v>2412.501759350308</v>
      </c>
      <c r="G215" t="n">
        <v>9.530770947447243</v>
      </c>
      <c r="H215" t="n">
        <v>0.8566848301157034</v>
      </c>
      <c r="I215" t="n">
        <v>0.5684271799626511</v>
      </c>
      <c r="J215" t="n">
        <v>13.91464709087462</v>
      </c>
      <c r="K215" t="n">
        <v>7.94196220065772</v>
      </c>
      <c r="L215" t="n">
        <v>86.50441368276041</v>
      </c>
      <c r="M215" t="n">
        <v>1287.653795020965</v>
      </c>
      <c r="N215" t="n">
        <v>21.74781930546176</v>
      </c>
      <c r="O215" t="n">
        <v>2.21</v>
      </c>
      <c r="P215" t="n">
        <v>239.6</v>
      </c>
      <c r="Q215" t="n">
        <v>27.46</v>
      </c>
      <c r="R215" t="n">
        <v>95.22</v>
      </c>
      <c r="S215" t="n">
        <v>5.68</v>
      </c>
      <c r="T215" t="inlineStr">
        <is>
          <t>L1213</t>
        </is>
      </c>
      <c r="U215" t="inlineStr">
        <is>
          <t>Reza</t>
        </is>
      </c>
    </row>
    <row r="216">
      <c r="A216" s="7" t="n">
        <v>45454.91666666666</v>
      </c>
      <c r="B216" t="n">
        <v>9</v>
      </c>
      <c r="C216" t="inlineStr">
        <is>
          <t>C</t>
        </is>
      </c>
      <c r="D216" t="inlineStr">
        <is>
          <t>R2_Magnetite_Blend</t>
        </is>
      </c>
      <c r="E216" t="inlineStr">
        <is>
          <t>Magnetite Blend B</t>
        </is>
      </c>
      <c r="F216" t="n">
        <v>2385.219992453865</v>
      </c>
      <c r="G216" t="n">
        <v>9.075111322224126</v>
      </c>
      <c r="H216" t="n">
        <v>0.8225350764211523</v>
      </c>
      <c r="I216" t="n">
        <v>0.5163272550732918</v>
      </c>
      <c r="J216" t="n">
        <v>14.14456385570906</v>
      </c>
      <c r="K216" t="n">
        <v>8.283980450698648</v>
      </c>
      <c r="L216" t="n">
        <v>95.92450931915086</v>
      </c>
      <c r="M216" t="n">
        <v>1306.336849565171</v>
      </c>
      <c r="N216" t="n">
        <v>20.29789734423436</v>
      </c>
      <c r="O216" t="n">
        <v>2.26</v>
      </c>
      <c r="P216" t="n">
        <v>262.6</v>
      </c>
      <c r="Q216" t="n">
        <v>25.73</v>
      </c>
      <c r="R216" t="n">
        <v>95.52</v>
      </c>
      <c r="S216" t="n">
        <v>5.03</v>
      </c>
      <c r="T216" t="inlineStr">
        <is>
          <t>L1214</t>
        </is>
      </c>
      <c r="U216" t="inlineStr">
        <is>
          <t>Mohsen</t>
        </is>
      </c>
    </row>
    <row r="217">
      <c r="A217" s="7" t="n">
        <v>45454.95833333334</v>
      </c>
      <c r="B217" t="n">
        <v>9</v>
      </c>
      <c r="C217" t="inlineStr">
        <is>
          <t>C</t>
        </is>
      </c>
      <c r="D217" t="inlineStr">
        <is>
          <t>R2_Magnetite_Blend</t>
        </is>
      </c>
      <c r="E217" t="inlineStr">
        <is>
          <t>Magnetite Blend B</t>
        </is>
      </c>
      <c r="F217" t="n">
        <v>2302.923882466029</v>
      </c>
      <c r="G217" t="n">
        <v>8.711293390820796</v>
      </c>
      <c r="H217" t="n">
        <v>0.8465341570668754</v>
      </c>
      <c r="I217" t="n">
        <v>0.5596249556821307</v>
      </c>
      <c r="J217" t="n">
        <v>14.31339772844653</v>
      </c>
      <c r="K217" t="n">
        <v>7.644741056930003</v>
      </c>
      <c r="L217" t="n">
        <v>101.3928504517139</v>
      </c>
      <c r="M217" t="n">
        <v>1316.270531643041</v>
      </c>
      <c r="N217" t="n">
        <v>21.85985990002911</v>
      </c>
      <c r="O217" t="n">
        <v>2.17</v>
      </c>
      <c r="P217" t="n">
        <v>270.4</v>
      </c>
      <c r="Q217" t="n">
        <v>24.66</v>
      </c>
      <c r="R217" t="n">
        <v>95.68000000000001</v>
      </c>
      <c r="S217" t="n">
        <v>5.21</v>
      </c>
      <c r="T217" t="inlineStr">
        <is>
          <t>L1215</t>
        </is>
      </c>
      <c r="U217" t="inlineStr">
        <is>
          <t>Reza</t>
        </is>
      </c>
    </row>
    <row r="218">
      <c r="A218" s="7" t="n">
        <v>45455</v>
      </c>
      <c r="B218" t="n">
        <v>10</v>
      </c>
      <c r="C218" t="inlineStr">
        <is>
          <t>A</t>
        </is>
      </c>
      <c r="D218" t="inlineStr">
        <is>
          <t>R2_Magnetite_Blend</t>
        </is>
      </c>
      <c r="E218" t="inlineStr">
        <is>
          <t>Magnetite Blend B</t>
        </is>
      </c>
      <c r="F218" t="n">
        <v>2533.35858300794</v>
      </c>
      <c r="G218" t="n">
        <v>9.345399127069287</v>
      </c>
      <c r="H218" t="n">
        <v>0.8510427264842053</v>
      </c>
      <c r="I218" t="n">
        <v>0.6583891332643385</v>
      </c>
      <c r="J218" t="n">
        <v>13.88890329099798</v>
      </c>
      <c r="K218" t="n">
        <v>6.705375027153143</v>
      </c>
      <c r="L218" t="n">
        <v>98.00253199031249</v>
      </c>
      <c r="M218" t="n">
        <v>1314.533538807127</v>
      </c>
      <c r="N218" t="n">
        <v>20.97926489722893</v>
      </c>
      <c r="O218" t="n">
        <v>2.03</v>
      </c>
      <c r="P218" t="n">
        <v>302.8</v>
      </c>
      <c r="Q218" t="n">
        <v>25.66</v>
      </c>
      <c r="R218" t="n">
        <v>95.81999999999999</v>
      </c>
      <c r="S218" t="n">
        <v>5.92</v>
      </c>
      <c r="T218" t="inlineStr">
        <is>
          <t>L1216</t>
        </is>
      </c>
      <c r="U218" t="inlineStr">
        <is>
          <t>Reza</t>
        </is>
      </c>
    </row>
    <row r="219">
      <c r="A219" s="7" t="n">
        <v>45455.04166666666</v>
      </c>
      <c r="B219" t="n">
        <v>10</v>
      </c>
      <c r="C219" t="inlineStr">
        <is>
          <t>A</t>
        </is>
      </c>
      <c r="D219" t="inlineStr">
        <is>
          <t>R2_Magnetite_Blend</t>
        </is>
      </c>
      <c r="E219" t="inlineStr">
        <is>
          <t>Magnetite Blend B</t>
        </is>
      </c>
      <c r="F219" t="n">
        <v>2409.263619883256</v>
      </c>
      <c r="G219" t="n">
        <v>8.682154304604763</v>
      </c>
      <c r="H219" t="n">
        <v>0.798146190668678</v>
      </c>
      <c r="I219" t="n">
        <v>0.6018908638176055</v>
      </c>
      <c r="J219" t="n">
        <v>14.37125657493355</v>
      </c>
      <c r="K219" t="n">
        <v>7.068006336922759</v>
      </c>
      <c r="L219" t="n">
        <v>92.37382318774458</v>
      </c>
      <c r="M219" t="n">
        <v>1300.739273302264</v>
      </c>
      <c r="N219" t="n">
        <v>21.27968988142147</v>
      </c>
      <c r="O219" t="n">
        <v>2.13</v>
      </c>
      <c r="P219" t="n">
        <v>302</v>
      </c>
      <c r="Q219" t="n">
        <v>26.09</v>
      </c>
      <c r="R219" t="n">
        <v>95.79000000000001</v>
      </c>
      <c r="S219" t="n">
        <v>5.43</v>
      </c>
      <c r="T219" t="inlineStr">
        <is>
          <t>L1217</t>
        </is>
      </c>
      <c r="U219" t="inlineStr">
        <is>
          <t>Mohsen</t>
        </is>
      </c>
    </row>
    <row r="220">
      <c r="A220" s="7" t="n">
        <v>45455.08333333334</v>
      </c>
      <c r="B220" t="n">
        <v>10</v>
      </c>
      <c r="C220" t="inlineStr">
        <is>
          <t>A</t>
        </is>
      </c>
      <c r="D220" t="inlineStr">
        <is>
          <t>R2_Magnetite_Blend</t>
        </is>
      </c>
      <c r="E220" t="inlineStr">
        <is>
          <t>Magnetite Blend B</t>
        </is>
      </c>
      <c r="F220" t="n">
        <v>2154.846210022411</v>
      </c>
      <c r="G220" t="n">
        <v>9.31874620143256</v>
      </c>
      <c r="H220" t="n">
        <v>0.8182371021916089</v>
      </c>
      <c r="I220" t="n">
        <v>0.649610333623473</v>
      </c>
      <c r="J220" t="n">
        <v>13.72138347225185</v>
      </c>
      <c r="K220" t="n">
        <v>7.89371533289445</v>
      </c>
      <c r="L220" t="n">
        <v>98.44949550670887</v>
      </c>
      <c r="M220" t="n">
        <v>1318.553895374327</v>
      </c>
      <c r="N220" t="n">
        <v>20.6800281167368</v>
      </c>
      <c r="O220" t="n">
        <v>1.98</v>
      </c>
      <c r="P220" t="n">
        <v>314.7</v>
      </c>
      <c r="Q220" t="n">
        <v>24.52</v>
      </c>
      <c r="R220" t="n">
        <v>97.83</v>
      </c>
      <c r="S220" t="n">
        <v>4.97</v>
      </c>
      <c r="T220" t="inlineStr">
        <is>
          <t>L1218</t>
        </is>
      </c>
      <c r="U220" t="inlineStr">
        <is>
          <t>Mohsen</t>
        </is>
      </c>
    </row>
    <row r="221">
      <c r="A221" s="7" t="n">
        <v>45455.125</v>
      </c>
      <c r="B221" t="n">
        <v>10</v>
      </c>
      <c r="C221" t="inlineStr">
        <is>
          <t>A</t>
        </is>
      </c>
      <c r="D221" t="inlineStr">
        <is>
          <t>R2_Magnetite_Blend</t>
        </is>
      </c>
      <c r="E221" t="inlineStr">
        <is>
          <t>Magnetite Blend B</t>
        </is>
      </c>
      <c r="F221" t="n">
        <v>1912.22320563368</v>
      </c>
      <c r="G221" t="n">
        <v>9.018099504610813</v>
      </c>
      <c r="H221" t="n">
        <v>0.763795678069191</v>
      </c>
      <c r="I221" t="n">
        <v>0.6061701634026926</v>
      </c>
      <c r="J221" t="n">
        <v>13.24192396759975</v>
      </c>
      <c r="K221" t="n">
        <v>7.877698965707541</v>
      </c>
      <c r="L221" t="n">
        <v>100.7489846473392</v>
      </c>
      <c r="M221" t="n">
        <v>1297.049170503197</v>
      </c>
      <c r="N221" t="n">
        <v>21.29563396739701</v>
      </c>
      <c r="O221" t="n">
        <v>2.14</v>
      </c>
      <c r="P221" t="n">
        <v>243.6</v>
      </c>
      <c r="Q221" t="n">
        <v>26</v>
      </c>
      <c r="R221" t="n">
        <v>96.53</v>
      </c>
      <c r="S221" t="n">
        <v>5.58</v>
      </c>
      <c r="T221" t="inlineStr">
        <is>
          <t>L1219</t>
        </is>
      </c>
      <c r="U221" t="inlineStr">
        <is>
          <t>Sara</t>
        </is>
      </c>
    </row>
    <row r="222">
      <c r="A222" s="7" t="n">
        <v>45455.16666666666</v>
      </c>
      <c r="B222" t="n">
        <v>10</v>
      </c>
      <c r="C222" t="inlineStr">
        <is>
          <t>A</t>
        </is>
      </c>
      <c r="D222" t="inlineStr">
        <is>
          <t>R2_Magnetite_Blend</t>
        </is>
      </c>
      <c r="E222" t="inlineStr">
        <is>
          <t>Magnetite Blend B</t>
        </is>
      </c>
      <c r="F222" t="n">
        <v>1867.295386428693</v>
      </c>
      <c r="G222" t="n">
        <v>9.431378437673889</v>
      </c>
      <c r="H222" t="n">
        <v>0.8803389446142138</v>
      </c>
      <c r="I222" t="n">
        <v>0.6271081490518596</v>
      </c>
      <c r="J222" t="n">
        <v>13.59399339218595</v>
      </c>
      <c r="K222" t="n">
        <v>6.929576794493334</v>
      </c>
      <c r="L222" t="n">
        <v>88.55136031918292</v>
      </c>
      <c r="M222" t="n">
        <v>1309.473318554859</v>
      </c>
      <c r="N222" t="n">
        <v>21.52817687030459</v>
      </c>
      <c r="O222" t="n">
        <v>1.96</v>
      </c>
      <c r="P222" t="n">
        <v>231.7</v>
      </c>
      <c r="Q222" t="n">
        <v>26.56</v>
      </c>
      <c r="S222" t="n">
        <v>5.72</v>
      </c>
      <c r="T222" t="inlineStr">
        <is>
          <t>L1220</t>
        </is>
      </c>
      <c r="U222" t="inlineStr">
        <is>
          <t>Alireza</t>
        </is>
      </c>
      <c r="V222" t="inlineStr">
        <is>
          <t>Missing</t>
        </is>
      </c>
    </row>
    <row r="223">
      <c r="A223" s="7" t="n">
        <v>45455.20833333334</v>
      </c>
      <c r="B223" t="n">
        <v>10</v>
      </c>
      <c r="C223" t="inlineStr">
        <is>
          <t>A</t>
        </is>
      </c>
      <c r="D223" t="inlineStr">
        <is>
          <t>R2_Magnetite_Blend</t>
        </is>
      </c>
      <c r="E223" t="inlineStr">
        <is>
          <t>Magnetite Blend B</t>
        </is>
      </c>
      <c r="F223" t="n">
        <v>2468.380860560779</v>
      </c>
      <c r="G223" t="n">
        <v>9.541027515385796</v>
      </c>
      <c r="H223" t="n">
        <v>0.896723584006893</v>
      </c>
      <c r="I223" t="n">
        <v>0.6451092480748166</v>
      </c>
      <c r="J223" t="n">
        <v>14.10729785354934</v>
      </c>
      <c r="K223" t="n">
        <v>7.190630125575445</v>
      </c>
      <c r="L223" t="n">
        <v>88.30821583014526</v>
      </c>
      <c r="M223" t="n">
        <v>1322.859691330707</v>
      </c>
      <c r="N223" t="n">
        <v>22.3464152085759</v>
      </c>
      <c r="O223" t="n">
        <v>2.25</v>
      </c>
      <c r="P223" t="n">
        <v>401.1</v>
      </c>
      <c r="Q223" t="n">
        <v>26.78</v>
      </c>
      <c r="R223" t="n">
        <v>95.64</v>
      </c>
      <c r="S223" t="n">
        <v>5.46</v>
      </c>
      <c r="T223" t="inlineStr">
        <is>
          <t>L1221</t>
        </is>
      </c>
      <c r="U223" t="inlineStr">
        <is>
          <t>Sara</t>
        </is>
      </c>
    </row>
    <row r="224">
      <c r="A224" s="7" t="n">
        <v>45455.25</v>
      </c>
      <c r="B224" t="n">
        <v>10</v>
      </c>
      <c r="C224" t="inlineStr">
        <is>
          <t>A</t>
        </is>
      </c>
      <c r="D224" t="inlineStr">
        <is>
          <t>R2_Magnetite_Blend</t>
        </is>
      </c>
      <c r="E224" t="inlineStr">
        <is>
          <t>Magnetite Blend B</t>
        </is>
      </c>
      <c r="F224" t="n">
        <v>2302.104793708041</v>
      </c>
      <c r="G224" t="n">
        <v>9.282942689994808</v>
      </c>
      <c r="H224" t="n">
        <v>0.8184477935268124</v>
      </c>
      <c r="I224" t="n">
        <v>0.6729853931215621</v>
      </c>
      <c r="J224" t="n">
        <v>13.69493071456586</v>
      </c>
      <c r="K224" t="n">
        <v>7.941570193082102</v>
      </c>
      <c r="L224" t="n">
        <v>90.5096091789171</v>
      </c>
      <c r="M224" t="n">
        <v>1301.744445918075</v>
      </c>
      <c r="N224" t="n">
        <v>23.28584365661591</v>
      </c>
      <c r="O224" t="n">
        <v>2.03</v>
      </c>
      <c r="P224" t="n">
        <v>314.7</v>
      </c>
      <c r="Q224" t="n">
        <v>25.92</v>
      </c>
      <c r="R224" t="n">
        <v>95.14</v>
      </c>
      <c r="S224" t="n">
        <v>5.69</v>
      </c>
      <c r="T224" t="inlineStr">
        <is>
          <t>L1222</t>
        </is>
      </c>
      <c r="U224" t="inlineStr">
        <is>
          <t>Mohsen</t>
        </is>
      </c>
    </row>
    <row r="225">
      <c r="A225" s="7" t="n">
        <v>45455.29166666666</v>
      </c>
      <c r="B225" t="n">
        <v>10</v>
      </c>
      <c r="C225" t="inlineStr">
        <is>
          <t>A</t>
        </is>
      </c>
      <c r="D225" t="inlineStr">
        <is>
          <t>R2_Magnetite_Blend</t>
        </is>
      </c>
      <c r="E225" t="inlineStr">
        <is>
          <t>Magnetite Blend B</t>
        </is>
      </c>
      <c r="G225" t="n">
        <v>8.814741845649918</v>
      </c>
      <c r="H225" t="n">
        <v>0.8237957683405155</v>
      </c>
      <c r="I225" t="n">
        <v>0.5804863746700275</v>
      </c>
      <c r="J225" t="n">
        <v>13.54572696805445</v>
      </c>
      <c r="K225" t="n">
        <v>6.686029507526203</v>
      </c>
      <c r="L225" t="n">
        <v>84.63893538481351</v>
      </c>
      <c r="M225" t="n">
        <v>1301.31065326899</v>
      </c>
      <c r="N225" t="n">
        <v>22.4439984966061</v>
      </c>
      <c r="O225" t="n">
        <v>2.11</v>
      </c>
      <c r="P225" t="n">
        <v>287.7</v>
      </c>
      <c r="Q225" t="n">
        <v>26.05</v>
      </c>
      <c r="R225" t="n">
        <v>96.64</v>
      </c>
      <c r="S225" t="n">
        <v>5.59</v>
      </c>
      <c r="T225" t="inlineStr">
        <is>
          <t>L1223</t>
        </is>
      </c>
      <c r="U225" t="inlineStr">
        <is>
          <t>Sara</t>
        </is>
      </c>
      <c r="V225" t="inlineStr">
        <is>
          <t>Missing</t>
        </is>
      </c>
    </row>
    <row r="226">
      <c r="A226" s="7" t="n">
        <v>45455.33333333334</v>
      </c>
      <c r="B226" t="n">
        <v>10</v>
      </c>
      <c r="C226" t="inlineStr">
        <is>
          <t>B</t>
        </is>
      </c>
      <c r="D226" t="inlineStr">
        <is>
          <t>R2_Magnetite_Blend</t>
        </is>
      </c>
      <c r="E226" t="inlineStr">
        <is>
          <t>Magnetite Blend B</t>
        </is>
      </c>
      <c r="F226" t="n">
        <v>2441.799015926204</v>
      </c>
      <c r="G226" t="n">
        <v>9.349011633050321</v>
      </c>
      <c r="H226" t="n">
        <v>0.8049080734444013</v>
      </c>
      <c r="I226" t="n">
        <v>0.5869490320933798</v>
      </c>
      <c r="J226" t="n">
        <v>12.93898509502094</v>
      </c>
      <c r="K226" t="n">
        <v>7.994662355216141</v>
      </c>
      <c r="L226" t="n">
        <v>87.32213749513238</v>
      </c>
      <c r="M226" t="n">
        <v>1344.204977241424</v>
      </c>
      <c r="N226" t="n">
        <v>24.42932813577253</v>
      </c>
      <c r="O226" t="n">
        <v>1.77</v>
      </c>
      <c r="P226" t="n">
        <v>309.4</v>
      </c>
      <c r="Q226" t="n">
        <v>25.61</v>
      </c>
      <c r="R226" t="n">
        <v>97.19</v>
      </c>
      <c r="S226" t="n">
        <v>4.55</v>
      </c>
      <c r="T226" t="inlineStr">
        <is>
          <t>L1224</t>
        </is>
      </c>
      <c r="U226" t="inlineStr">
        <is>
          <t>Alireza</t>
        </is>
      </c>
    </row>
    <row r="227">
      <c r="A227" s="7" t="n">
        <v>45455.375</v>
      </c>
      <c r="B227" t="n">
        <v>10</v>
      </c>
      <c r="C227" t="inlineStr">
        <is>
          <t>B</t>
        </is>
      </c>
      <c r="D227" t="inlineStr">
        <is>
          <t>R2_Magnetite_Blend</t>
        </is>
      </c>
      <c r="E227" t="inlineStr">
        <is>
          <t>Magnetite Blend B</t>
        </is>
      </c>
      <c r="F227" t="n">
        <v>2121.033340850735</v>
      </c>
      <c r="G227" t="n">
        <v>9.043485702749781</v>
      </c>
      <c r="H227" t="n">
        <v>0.8113335739121075</v>
      </c>
      <c r="I227" t="n">
        <v>0.6326512578219184</v>
      </c>
      <c r="J227" t="n">
        <v>13.43273126807359</v>
      </c>
      <c r="K227" t="n">
        <v>6.253634240798787</v>
      </c>
      <c r="L227" t="n">
        <v>87.85218405214823</v>
      </c>
      <c r="M227" t="n">
        <v>1292.36509841998</v>
      </c>
      <c r="N227" t="n">
        <v>24.19744650862164</v>
      </c>
      <c r="O227" t="n">
        <v>2.61</v>
      </c>
      <c r="P227" t="n">
        <v>312.3</v>
      </c>
      <c r="Q227" t="n">
        <v>26.15</v>
      </c>
      <c r="R227" t="n">
        <v>95.7</v>
      </c>
      <c r="S227" t="n">
        <v>5.58</v>
      </c>
      <c r="T227" t="inlineStr">
        <is>
          <t>L1225</t>
        </is>
      </c>
      <c r="U227" t="inlineStr">
        <is>
          <t>Alireza</t>
        </is>
      </c>
    </row>
    <row r="228">
      <c r="A228" s="7" t="n">
        <v>45455.41666666666</v>
      </c>
      <c r="B228" t="n">
        <v>10</v>
      </c>
      <c r="C228" t="inlineStr">
        <is>
          <t>B</t>
        </is>
      </c>
      <c r="D228" t="inlineStr">
        <is>
          <t>R2_Magnetite_Blend</t>
        </is>
      </c>
      <c r="E228" t="inlineStr">
        <is>
          <t>Magnetite Blend B</t>
        </is>
      </c>
      <c r="F228" t="n">
        <v>2402.270007966449</v>
      </c>
      <c r="G228" t="n">
        <v>9.405903153215531</v>
      </c>
      <c r="H228" t="n">
        <v>0.8535947275056616</v>
      </c>
      <c r="I228" t="n">
        <v>0.709926546409156</v>
      </c>
      <c r="J228" t="n">
        <v>14.37848665196448</v>
      </c>
      <c r="K228" t="n">
        <v>6.649829929319185</v>
      </c>
      <c r="L228" t="n">
        <v>85.85833355784227</v>
      </c>
      <c r="M228" t="n">
        <v>1330.517708720217</v>
      </c>
      <c r="N228" t="n">
        <v>23.27068457751142</v>
      </c>
      <c r="O228" t="n">
        <v>2.12</v>
      </c>
      <c r="P228" t="n">
        <v>326.6</v>
      </c>
      <c r="Q228" t="n">
        <v>25.65</v>
      </c>
      <c r="R228" t="n">
        <v>96.95999999999999</v>
      </c>
      <c r="S228" t="n">
        <v>5.5</v>
      </c>
      <c r="T228" t="inlineStr">
        <is>
          <t>L1226</t>
        </is>
      </c>
      <c r="U228" t="inlineStr">
        <is>
          <t>Sara</t>
        </is>
      </c>
    </row>
    <row r="229">
      <c r="A229" s="7" t="n">
        <v>45455.45833333334</v>
      </c>
      <c r="B229" t="n">
        <v>10</v>
      </c>
      <c r="C229" t="inlineStr">
        <is>
          <t>B</t>
        </is>
      </c>
      <c r="D229" t="inlineStr">
        <is>
          <t>R2_Magnetite_Blend</t>
        </is>
      </c>
      <c r="E229" t="inlineStr">
        <is>
          <t>Magnetite Blend B</t>
        </is>
      </c>
      <c r="F229" t="n">
        <v>2564.535087282323</v>
      </c>
      <c r="G229" t="n">
        <v>9.136645355582125</v>
      </c>
      <c r="H229" t="n">
        <v>0.7241937277341455</v>
      </c>
      <c r="I229" t="n">
        <v>0.6440178625728342</v>
      </c>
      <c r="J229" t="n">
        <v>14.23766232606058</v>
      </c>
      <c r="K229" t="n">
        <v>7.50866944827705</v>
      </c>
      <c r="L229" t="n">
        <v>90.78164693417972</v>
      </c>
      <c r="M229" t="n">
        <v>1298.385065884146</v>
      </c>
      <c r="N229" t="n">
        <v>21.54709466240978</v>
      </c>
      <c r="O229" t="n">
        <v>2.64</v>
      </c>
      <c r="P229" t="n">
        <v>285.3</v>
      </c>
      <c r="Q229" t="n">
        <v>27.39</v>
      </c>
      <c r="R229" t="n">
        <v>94.55</v>
      </c>
      <c r="S229" t="n">
        <v>5.78</v>
      </c>
      <c r="T229" t="inlineStr">
        <is>
          <t>L1227</t>
        </is>
      </c>
      <c r="U229" t="inlineStr">
        <is>
          <t>Alireza</t>
        </is>
      </c>
    </row>
    <row r="230">
      <c r="A230" s="7" t="n">
        <v>45455.5</v>
      </c>
      <c r="B230" t="n">
        <v>10</v>
      </c>
      <c r="C230" t="inlineStr">
        <is>
          <t>B</t>
        </is>
      </c>
      <c r="D230" t="inlineStr">
        <is>
          <t>R2_Magnetite_Blend</t>
        </is>
      </c>
      <c r="E230" t="inlineStr">
        <is>
          <t>Magnetite Blend B</t>
        </is>
      </c>
      <c r="F230" t="n">
        <v>2187.683796221865</v>
      </c>
      <c r="G230" t="n">
        <v>10.11483428690135</v>
      </c>
      <c r="H230" t="n">
        <v>0.7405405192609981</v>
      </c>
      <c r="I230" t="n">
        <v>0.6207506269344168</v>
      </c>
      <c r="J230" t="n">
        <v>14.46897950270858</v>
      </c>
      <c r="K230" t="n">
        <v>7.462410094858014</v>
      </c>
      <c r="L230" t="n">
        <v>85.70967230326828</v>
      </c>
      <c r="M230" t="n">
        <v>1291.320920175234</v>
      </c>
      <c r="N230" t="n">
        <v>21.56030597402752</v>
      </c>
      <c r="O230" t="n">
        <v>2.28</v>
      </c>
      <c r="P230" t="n">
        <v>219.6</v>
      </c>
      <c r="Q230" t="n">
        <v>27.06</v>
      </c>
      <c r="R230" t="n">
        <v>93.89</v>
      </c>
      <c r="S230" t="n">
        <v>5.78</v>
      </c>
      <c r="T230" t="inlineStr">
        <is>
          <t>L1228</t>
        </is>
      </c>
      <c r="U230" t="inlineStr">
        <is>
          <t>Mohsen</t>
        </is>
      </c>
    </row>
    <row r="231">
      <c r="A231" s="7" t="n">
        <v>45455.54166666666</v>
      </c>
      <c r="B231" t="n">
        <v>10</v>
      </c>
      <c r="C231" t="inlineStr">
        <is>
          <t>B</t>
        </is>
      </c>
      <c r="D231" t="inlineStr">
        <is>
          <t>R2_Magnetite_Blend</t>
        </is>
      </c>
      <c r="E231" t="inlineStr">
        <is>
          <t>Magnetite Blend B</t>
        </is>
      </c>
      <c r="F231" t="n">
        <v>2258.426374010325</v>
      </c>
      <c r="G231" t="n">
        <v>9.104619127896839</v>
      </c>
      <c r="H231" t="n">
        <v>0.8475679657972194</v>
      </c>
      <c r="I231" t="n">
        <v>0.6220708295683809</v>
      </c>
      <c r="J231" t="n">
        <v>13.740706527632</v>
      </c>
      <c r="K231" t="n">
        <v>6.661926041758863</v>
      </c>
      <c r="L231" t="n">
        <v>87.8437950819814</v>
      </c>
      <c r="M231" t="n">
        <v>1304.432827457448</v>
      </c>
      <c r="N231" t="n">
        <v>20.76892112026436</v>
      </c>
      <c r="O231" t="n">
        <v>2.38</v>
      </c>
      <c r="P231" t="n">
        <v>257.1</v>
      </c>
      <c r="Q231" t="n">
        <v>26.33</v>
      </c>
      <c r="R231" t="n">
        <v>95.31999999999999</v>
      </c>
      <c r="S231" t="n">
        <v>5.15</v>
      </c>
      <c r="T231" t="inlineStr">
        <is>
          <t>L1229</t>
        </is>
      </c>
      <c r="U231" t="inlineStr">
        <is>
          <t>Reza</t>
        </is>
      </c>
    </row>
    <row r="232">
      <c r="A232" s="7" t="n">
        <v>45455.58333333334</v>
      </c>
      <c r="B232" t="n">
        <v>10</v>
      </c>
      <c r="C232" t="inlineStr">
        <is>
          <t>B</t>
        </is>
      </c>
      <c r="D232" t="inlineStr">
        <is>
          <t>R2_Magnetite_Blend</t>
        </is>
      </c>
      <c r="E232" t="inlineStr">
        <is>
          <t>Magnetite Blend B</t>
        </is>
      </c>
      <c r="F232" t="n">
        <v>2663.377691943001</v>
      </c>
      <c r="G232" t="n">
        <v>8.621022866934315</v>
      </c>
      <c r="H232" t="n">
        <v>0.9049489564173123</v>
      </c>
      <c r="I232" t="n">
        <v>0.6177896425571794</v>
      </c>
      <c r="J232" t="n">
        <v>13.86383525541436</v>
      </c>
      <c r="K232" t="n">
        <v>8.154739351626894</v>
      </c>
      <c r="L232" t="n">
        <v>98.78815431062338</v>
      </c>
      <c r="M232" t="n">
        <v>1314.794306294128</v>
      </c>
      <c r="N232" t="n">
        <v>23.89052569510178</v>
      </c>
      <c r="O232" t="n">
        <v>2.3</v>
      </c>
      <c r="P232" t="n">
        <v>322.2</v>
      </c>
      <c r="Q232" t="n">
        <v>25.17</v>
      </c>
      <c r="R232" t="n">
        <v>96.40000000000001</v>
      </c>
      <c r="S232" t="n">
        <v>5.42</v>
      </c>
      <c r="T232" t="inlineStr">
        <is>
          <t>L1230</t>
        </is>
      </c>
      <c r="U232" t="inlineStr">
        <is>
          <t>Sara</t>
        </is>
      </c>
    </row>
    <row r="233">
      <c r="A233" s="7" t="n">
        <v>45455.625</v>
      </c>
      <c r="B233" t="n">
        <v>10</v>
      </c>
      <c r="C233" t="inlineStr">
        <is>
          <t>B</t>
        </is>
      </c>
      <c r="D233" t="inlineStr">
        <is>
          <t>R2_Magnetite_Blend</t>
        </is>
      </c>
      <c r="E233" t="inlineStr">
        <is>
          <t>Magnetite Blend B</t>
        </is>
      </c>
      <c r="G233" t="n">
        <v>8.976194650314007</v>
      </c>
      <c r="H233" t="n">
        <v>0.7936034685795577</v>
      </c>
      <c r="I233" t="n">
        <v>0.5990987806414788</v>
      </c>
      <c r="J233" t="n">
        <v>14.43515282210453</v>
      </c>
      <c r="L233" t="n">
        <v>94.1228908688821</v>
      </c>
      <c r="M233" t="n">
        <v>1318.01039588875</v>
      </c>
      <c r="N233" t="n">
        <v>20.68420574796796</v>
      </c>
      <c r="O233" t="n">
        <v>2.07</v>
      </c>
      <c r="P233" t="n">
        <v>248.9</v>
      </c>
      <c r="Q233" t="n">
        <v>24.7</v>
      </c>
      <c r="R233" t="n">
        <v>96.48</v>
      </c>
      <c r="S233" t="n">
        <v>4.89</v>
      </c>
      <c r="T233" t="inlineStr">
        <is>
          <t>L1231</t>
        </is>
      </c>
      <c r="U233" t="inlineStr">
        <is>
          <t>Mohsen</t>
        </is>
      </c>
      <c r="V233" t="inlineStr">
        <is>
          <t>Missing;Missing</t>
        </is>
      </c>
    </row>
    <row r="234">
      <c r="A234" s="7" t="n">
        <v>45455.66666666666</v>
      </c>
      <c r="B234" t="n">
        <v>10</v>
      </c>
      <c r="C234" t="inlineStr">
        <is>
          <t>C</t>
        </is>
      </c>
      <c r="D234" t="inlineStr">
        <is>
          <t>R2_Magnetite_Blend</t>
        </is>
      </c>
      <c r="E234" t="inlineStr">
        <is>
          <t>Magnetite Blend B</t>
        </is>
      </c>
      <c r="F234" t="n">
        <v>2153.748355597678</v>
      </c>
      <c r="G234" t="n">
        <v>9.32547776358413</v>
      </c>
      <c r="H234" t="n">
        <v>0.8985726955556439</v>
      </c>
      <c r="I234" t="n">
        <v>0.6748369667990164</v>
      </c>
      <c r="J234" t="n">
        <v>13.31650847573025</v>
      </c>
      <c r="K234" t="n">
        <v>7.410243833097071</v>
      </c>
      <c r="L234" t="n">
        <v>93.91796485413037</v>
      </c>
      <c r="M234" t="n">
        <v>1296.07813703019</v>
      </c>
      <c r="N234" t="n">
        <v>23.78997506034992</v>
      </c>
      <c r="O234" t="n">
        <v>2.71</v>
      </c>
      <c r="P234" t="n">
        <v>347.5</v>
      </c>
      <c r="Q234" t="n">
        <v>26.02</v>
      </c>
      <c r="R234" t="n">
        <v>95.58</v>
      </c>
      <c r="S234" t="n">
        <v>5.42</v>
      </c>
      <c r="T234" t="inlineStr">
        <is>
          <t>L1232</t>
        </is>
      </c>
      <c r="U234" t="inlineStr">
        <is>
          <t>Mohsen</t>
        </is>
      </c>
    </row>
    <row r="235">
      <c r="A235" s="7" t="n">
        <v>45455.70833333334</v>
      </c>
      <c r="B235" t="n">
        <v>10</v>
      </c>
      <c r="C235" t="inlineStr">
        <is>
          <t>C</t>
        </is>
      </c>
      <c r="D235" t="inlineStr">
        <is>
          <t>R2_Magnetite_Blend</t>
        </is>
      </c>
      <c r="E235" t="inlineStr">
        <is>
          <t>Magnetite Blend B</t>
        </is>
      </c>
      <c r="F235" t="n">
        <v>2539.007176084281</v>
      </c>
      <c r="G235" t="n">
        <v>10.27116108273641</v>
      </c>
      <c r="H235" t="n">
        <v>0.9088994153732358</v>
      </c>
      <c r="I235" t="n">
        <v>0.7250384489806101</v>
      </c>
      <c r="J235" t="n">
        <v>15.8522446940439</v>
      </c>
      <c r="K235" t="n">
        <v>8.173260675538828</v>
      </c>
      <c r="L235" t="n">
        <v>92.59332488219221</v>
      </c>
      <c r="M235" t="n">
        <v>1292.978212529664</v>
      </c>
      <c r="N235" t="n">
        <v>22.20175362922846</v>
      </c>
      <c r="O235" t="n">
        <v>2.13</v>
      </c>
      <c r="P235" t="n">
        <v>451.2</v>
      </c>
      <c r="Q235" t="n">
        <v>28.88</v>
      </c>
      <c r="R235" t="n">
        <v>93.38</v>
      </c>
      <c r="S235" t="n">
        <v>6.48</v>
      </c>
      <c r="T235" t="inlineStr">
        <is>
          <t>L1233</t>
        </is>
      </c>
      <c r="U235" t="inlineStr">
        <is>
          <t>Alireza</t>
        </is>
      </c>
    </row>
    <row r="236">
      <c r="A236" s="7" t="n">
        <v>45455.75</v>
      </c>
      <c r="B236" t="n">
        <v>10</v>
      </c>
      <c r="C236" t="inlineStr">
        <is>
          <t>C</t>
        </is>
      </c>
      <c r="D236" t="inlineStr">
        <is>
          <t>R2_Magnetite_Blend</t>
        </is>
      </c>
      <c r="E236" t="inlineStr">
        <is>
          <t>Magnetite Blend B</t>
        </is>
      </c>
      <c r="F236" t="n">
        <v>2385.81923242725</v>
      </c>
      <c r="G236" t="n">
        <v>9.788490721098199</v>
      </c>
      <c r="H236" t="n">
        <v>0.8500428422345073</v>
      </c>
      <c r="I236" t="n">
        <v>0.6444572249988018</v>
      </c>
      <c r="J236" t="n">
        <v>13.35023789742206</v>
      </c>
      <c r="K236" t="n">
        <v>7.489920726697482</v>
      </c>
      <c r="L236" t="n">
        <v>93.24980130125186</v>
      </c>
      <c r="M236" t="n">
        <v>1311.954000996207</v>
      </c>
      <c r="N236" t="n">
        <v>21.51378691496968</v>
      </c>
      <c r="O236" t="n">
        <v>2.28</v>
      </c>
      <c r="P236" t="n">
        <v>291.5</v>
      </c>
      <c r="Q236" t="n">
        <v>25.44</v>
      </c>
      <c r="S236" t="n">
        <v>5.27</v>
      </c>
      <c r="T236" t="inlineStr">
        <is>
          <t>L1234</t>
        </is>
      </c>
      <c r="U236" t="inlineStr">
        <is>
          <t>Sara</t>
        </is>
      </c>
      <c r="V236" t="inlineStr">
        <is>
          <t>Missing</t>
        </is>
      </c>
    </row>
    <row r="237">
      <c r="A237" s="7" t="n">
        <v>45455.79166666666</v>
      </c>
      <c r="B237" t="n">
        <v>10</v>
      </c>
      <c r="C237" t="inlineStr">
        <is>
          <t>C</t>
        </is>
      </c>
      <c r="D237" t="inlineStr">
        <is>
          <t>R2_Magnetite_Blend</t>
        </is>
      </c>
      <c r="E237" t="inlineStr">
        <is>
          <t>Magnetite Blend B</t>
        </is>
      </c>
      <c r="F237" t="n">
        <v>2144.351646245037</v>
      </c>
      <c r="G237" t="n">
        <v>9.088315439363749</v>
      </c>
      <c r="H237" t="n">
        <v>0.9989595304134441</v>
      </c>
      <c r="I237" t="n">
        <v>0.5577916788060671</v>
      </c>
      <c r="J237" t="n">
        <v>14.34636911437107</v>
      </c>
      <c r="K237" t="n">
        <v>7.83265832070945</v>
      </c>
      <c r="L237" t="n">
        <v>95.18269450905485</v>
      </c>
      <c r="M237" t="n">
        <v>1296.900523829068</v>
      </c>
      <c r="N237" t="n">
        <v>22.33623889902233</v>
      </c>
      <c r="O237" t="n">
        <v>2.25</v>
      </c>
      <c r="P237" t="n">
        <v>338</v>
      </c>
      <c r="Q237" t="n">
        <v>25.11</v>
      </c>
      <c r="R237" t="n">
        <v>96.83</v>
      </c>
      <c r="S237" t="n">
        <v>4.83</v>
      </c>
      <c r="T237" t="inlineStr">
        <is>
          <t>L1235</t>
        </is>
      </c>
      <c r="U237" t="inlineStr">
        <is>
          <t>Reza</t>
        </is>
      </c>
    </row>
    <row r="238">
      <c r="A238" s="7" t="n">
        <v>45455.83333333334</v>
      </c>
      <c r="B238" t="n">
        <v>10</v>
      </c>
      <c r="C238" t="inlineStr">
        <is>
          <t>C</t>
        </is>
      </c>
      <c r="D238" t="inlineStr">
        <is>
          <t>R2_Magnetite_Blend</t>
        </is>
      </c>
      <c r="E238" t="inlineStr">
        <is>
          <t>Magnetite Blend B</t>
        </is>
      </c>
      <c r="F238" t="n">
        <v>2088.055825956078</v>
      </c>
      <c r="G238" t="n">
        <v>9.298648647343279</v>
      </c>
      <c r="H238" t="n">
        <v>0.834099516094316</v>
      </c>
      <c r="I238" t="n">
        <v>0.5388930982004073</v>
      </c>
      <c r="J238" t="n">
        <v>14.98845475686587</v>
      </c>
      <c r="K238" t="n">
        <v>6.619092375151731</v>
      </c>
      <c r="L238" t="n">
        <v>103.0883364459557</v>
      </c>
      <c r="M238" t="n">
        <v>1331.463951016643</v>
      </c>
      <c r="N238" t="n">
        <v>21.17151051128232</v>
      </c>
      <c r="O238" t="n">
        <v>1.83</v>
      </c>
      <c r="P238" t="n">
        <v>245.9</v>
      </c>
      <c r="Q238" t="n">
        <v>26.32</v>
      </c>
      <c r="R238" t="n">
        <v>95.95999999999999</v>
      </c>
      <c r="S238" t="n">
        <v>5.29</v>
      </c>
      <c r="T238" t="inlineStr">
        <is>
          <t>L1236</t>
        </is>
      </c>
      <c r="U238" t="inlineStr">
        <is>
          <t>Reza</t>
        </is>
      </c>
    </row>
    <row r="239">
      <c r="A239" s="7" t="n">
        <v>45455.875</v>
      </c>
      <c r="B239" t="n">
        <v>10</v>
      </c>
      <c r="C239" t="inlineStr">
        <is>
          <t>C</t>
        </is>
      </c>
      <c r="D239" t="inlineStr">
        <is>
          <t>R2_Magnetite_Blend</t>
        </is>
      </c>
      <c r="E239" t="inlineStr">
        <is>
          <t>Magnetite Blend B</t>
        </is>
      </c>
      <c r="F239" t="n">
        <v>2433.421855747337</v>
      </c>
      <c r="G239" t="n">
        <v>8.873744400730157</v>
      </c>
      <c r="H239" t="n">
        <v>0.8518492755845732</v>
      </c>
      <c r="I239" t="n">
        <v>0.7287646947077997</v>
      </c>
      <c r="J239" t="n">
        <v>13.56578736837426</v>
      </c>
      <c r="K239" t="n">
        <v>6.935102572013951</v>
      </c>
      <c r="L239" t="n">
        <v>91.25597191758273</v>
      </c>
      <c r="M239" t="n">
        <v>1311.281280013413</v>
      </c>
      <c r="N239" t="n">
        <v>22.21038574361326</v>
      </c>
      <c r="O239" t="n">
        <v>1.98</v>
      </c>
      <c r="P239" t="n">
        <v>429.8</v>
      </c>
      <c r="Q239" t="n">
        <v>26.01</v>
      </c>
      <c r="R239" t="n">
        <v>96.79000000000001</v>
      </c>
      <c r="S239" t="n">
        <v>5.41</v>
      </c>
      <c r="T239" t="inlineStr">
        <is>
          <t>L1237</t>
        </is>
      </c>
      <c r="U239" t="inlineStr">
        <is>
          <t>Sara</t>
        </is>
      </c>
    </row>
    <row r="240">
      <c r="A240" s="7" t="n">
        <v>45455.91666666666</v>
      </c>
      <c r="B240" t="n">
        <v>10</v>
      </c>
      <c r="C240" t="inlineStr">
        <is>
          <t>C</t>
        </is>
      </c>
      <c r="D240" t="inlineStr">
        <is>
          <t>R2_Magnetite_Blend</t>
        </is>
      </c>
      <c r="E240" t="inlineStr">
        <is>
          <t>Magnetite Blend B</t>
        </is>
      </c>
      <c r="F240" t="n">
        <v>2568.568515548288</v>
      </c>
      <c r="G240" t="n">
        <v>8.782784906776275</v>
      </c>
      <c r="H240" t="n">
        <v>0.762685260590022</v>
      </c>
      <c r="I240" t="n">
        <v>0.5428944574298726</v>
      </c>
      <c r="J240" t="n">
        <v>12.42612976798738</v>
      </c>
      <c r="K240" t="n">
        <v>6.551415022387138</v>
      </c>
      <c r="L240" t="n">
        <v>90.89350029488301</v>
      </c>
      <c r="M240" t="n">
        <v>1320.996683305819</v>
      </c>
      <c r="N240" t="n">
        <v>21.93755538638484</v>
      </c>
      <c r="O240" t="n">
        <v>2.33</v>
      </c>
      <c r="P240" t="n">
        <v>235.3</v>
      </c>
      <c r="Q240" t="n">
        <v>24.39</v>
      </c>
      <c r="R240" t="n">
        <v>96.91</v>
      </c>
      <c r="S240" t="n">
        <v>4.27</v>
      </c>
      <c r="T240" t="inlineStr">
        <is>
          <t>L1238</t>
        </is>
      </c>
      <c r="U240" t="inlineStr">
        <is>
          <t>Sara</t>
        </is>
      </c>
    </row>
    <row r="241">
      <c r="A241" s="7" t="n">
        <v>45455.95833333334</v>
      </c>
      <c r="B241" t="n">
        <v>10</v>
      </c>
      <c r="C241" t="inlineStr">
        <is>
          <t>C</t>
        </is>
      </c>
      <c r="D241" t="inlineStr">
        <is>
          <t>R2_Magnetite_Blend</t>
        </is>
      </c>
      <c r="E241" t="inlineStr">
        <is>
          <t>Magnetite Blend B</t>
        </is>
      </c>
      <c r="F241" t="n">
        <v>2498.78521225386</v>
      </c>
      <c r="G241" t="n">
        <v>9.626349415662188</v>
      </c>
      <c r="H241" t="n">
        <v>0.7702887634135549</v>
      </c>
      <c r="I241" t="n">
        <v>0.7496274554170427</v>
      </c>
      <c r="J241" t="n">
        <v>13.05122469274681</v>
      </c>
      <c r="K241" t="n">
        <v>7.336699903510008</v>
      </c>
      <c r="L241" t="n">
        <v>92.82232810474483</v>
      </c>
      <c r="M241" t="n">
        <v>1300.552019796689</v>
      </c>
      <c r="N241" t="n">
        <v>21.83115500326592</v>
      </c>
      <c r="O241" t="n">
        <v>2.21</v>
      </c>
      <c r="P241" t="n">
        <v>314.4</v>
      </c>
      <c r="Q241" t="n">
        <v>27.22</v>
      </c>
      <c r="R241" t="n">
        <v>95.38</v>
      </c>
      <c r="S241" t="n">
        <v>5.65</v>
      </c>
      <c r="T241" t="inlineStr">
        <is>
          <t>L1239</t>
        </is>
      </c>
      <c r="U241" t="inlineStr">
        <is>
          <t>Reza</t>
        </is>
      </c>
    </row>
    <row r="242">
      <c r="A242" s="7" t="n">
        <v>45456</v>
      </c>
      <c r="B242" t="n">
        <v>11</v>
      </c>
      <c r="C242" t="inlineStr">
        <is>
          <t>A</t>
        </is>
      </c>
      <c r="D242" t="inlineStr">
        <is>
          <t>R2_Magnetite_Blend</t>
        </is>
      </c>
      <c r="E242" t="inlineStr">
        <is>
          <t>Magnetite Blend B</t>
        </is>
      </c>
      <c r="F242" t="n">
        <v>2424.01335845546</v>
      </c>
      <c r="G242" t="n">
        <v>9.441230286010734</v>
      </c>
      <c r="H242" t="n">
        <v>0.8496354449549921</v>
      </c>
      <c r="I242" t="n">
        <v>0.6547924259594662</v>
      </c>
      <c r="J242" t="n">
        <v>12.62023251298674</v>
      </c>
      <c r="K242" t="n">
        <v>7.188727448623355</v>
      </c>
      <c r="L242" t="n">
        <v>99.15107888754376</v>
      </c>
      <c r="M242" t="n">
        <v>1309.103278944138</v>
      </c>
      <c r="N242" t="n">
        <v>23.23052713714123</v>
      </c>
      <c r="O242" t="n">
        <v>2.16</v>
      </c>
      <c r="P242" t="n">
        <v>356.9</v>
      </c>
      <c r="Q242" t="n">
        <v>25.9</v>
      </c>
      <c r="R242" t="n">
        <v>96.09999999999999</v>
      </c>
      <c r="S242" t="n">
        <v>4.9</v>
      </c>
      <c r="T242" t="inlineStr">
        <is>
          <t>L1240</t>
        </is>
      </c>
      <c r="U242" t="inlineStr">
        <is>
          <t>Reza</t>
        </is>
      </c>
    </row>
    <row r="243">
      <c r="A243" s="7" t="n">
        <v>45456.04166666666</v>
      </c>
      <c r="B243" t="n">
        <v>11</v>
      </c>
      <c r="C243" t="inlineStr">
        <is>
          <t>A</t>
        </is>
      </c>
      <c r="D243" t="inlineStr">
        <is>
          <t>R2_Magnetite_Blend</t>
        </is>
      </c>
      <c r="E243" t="inlineStr">
        <is>
          <t>Magnetite Blend B</t>
        </is>
      </c>
      <c r="F243" t="n">
        <v>2619.185182411243</v>
      </c>
      <c r="G243" t="n">
        <v>9.031136177957995</v>
      </c>
      <c r="H243" t="n">
        <v>0.882801280081043</v>
      </c>
      <c r="I243" t="n">
        <v>0.6240038821764471</v>
      </c>
      <c r="J243" t="n">
        <v>12.5732805759805</v>
      </c>
      <c r="K243" t="n">
        <v>6.840244643938458</v>
      </c>
      <c r="L243" t="n">
        <v>94.10766953157459</v>
      </c>
      <c r="M243" t="n">
        <v>1325.423784917195</v>
      </c>
      <c r="N243" t="n">
        <v>23.44848700289725</v>
      </c>
      <c r="O243" t="n">
        <v>1.89</v>
      </c>
      <c r="P243" t="n">
        <v>394.1</v>
      </c>
      <c r="Q243" t="n">
        <v>24.37</v>
      </c>
      <c r="R243" t="n">
        <v>97.42</v>
      </c>
      <c r="S243" t="n">
        <v>5.07</v>
      </c>
      <c r="T243" t="inlineStr">
        <is>
          <t>L1241</t>
        </is>
      </c>
      <c r="U243" t="inlineStr">
        <is>
          <t>Reza</t>
        </is>
      </c>
    </row>
    <row r="244">
      <c r="A244" s="7" t="n">
        <v>45456.08333333334</v>
      </c>
      <c r="B244" t="n">
        <v>11</v>
      </c>
      <c r="C244" t="inlineStr">
        <is>
          <t>A</t>
        </is>
      </c>
      <c r="D244" t="inlineStr">
        <is>
          <t>R2_Magnetite_Blend</t>
        </is>
      </c>
      <c r="E244" t="inlineStr">
        <is>
          <t>Magnetite Blend B</t>
        </is>
      </c>
      <c r="F244" t="n">
        <v>2406.005703672796</v>
      </c>
      <c r="G244" t="n">
        <v>9.043488837575543</v>
      </c>
      <c r="H244" t="n">
        <v>0.8272007767821431</v>
      </c>
      <c r="I244" t="n">
        <v>0.673829014272457</v>
      </c>
      <c r="J244" t="n">
        <v>15.13174619017937</v>
      </c>
      <c r="K244" t="n">
        <v>7.543478612211562</v>
      </c>
      <c r="L244" t="n">
        <v>102.5927338702718</v>
      </c>
      <c r="M244" t="n">
        <v>1342.138199590546</v>
      </c>
      <c r="N244" t="n">
        <v>20.96230996751144</v>
      </c>
      <c r="O244" t="n">
        <v>1.99</v>
      </c>
      <c r="P244" t="n">
        <v>356.5</v>
      </c>
      <c r="Q244" t="n">
        <v>27.46</v>
      </c>
      <c r="R244" t="n">
        <v>95.93000000000001</v>
      </c>
      <c r="S244" t="n">
        <v>4.86</v>
      </c>
      <c r="T244" t="inlineStr">
        <is>
          <t>L1242</t>
        </is>
      </c>
      <c r="U244" t="inlineStr">
        <is>
          <t>Sara</t>
        </is>
      </c>
    </row>
    <row r="245">
      <c r="A245" s="7" t="n">
        <v>45456.125</v>
      </c>
      <c r="B245" t="n">
        <v>11</v>
      </c>
      <c r="C245" t="inlineStr">
        <is>
          <t>A</t>
        </is>
      </c>
      <c r="D245" t="inlineStr">
        <is>
          <t>R2_Magnetite_Blend</t>
        </is>
      </c>
      <c r="E245" t="inlineStr">
        <is>
          <t>Magnetite Blend B</t>
        </is>
      </c>
      <c r="F245" t="n">
        <v>2200.154095864504</v>
      </c>
      <c r="G245" t="n">
        <v>9.445726040766258</v>
      </c>
      <c r="H245" t="n">
        <v>0.8378954611504933</v>
      </c>
      <c r="I245" t="n">
        <v>0.6324803425079566</v>
      </c>
      <c r="J245" t="n">
        <v>14.56621618676639</v>
      </c>
      <c r="K245" t="n">
        <v>6.972013098196537</v>
      </c>
      <c r="L245" t="n">
        <v>98.68748229090272</v>
      </c>
      <c r="M245" t="n">
        <v>1327.726360434748</v>
      </c>
      <c r="N245" t="n">
        <v>22.78930269476727</v>
      </c>
      <c r="O245" t="n">
        <v>1.5</v>
      </c>
      <c r="P245" t="n">
        <v>368</v>
      </c>
      <c r="Q245" t="n">
        <v>25.2</v>
      </c>
      <c r="R245" t="n">
        <v>97.03</v>
      </c>
      <c r="S245" t="n">
        <v>5.02</v>
      </c>
      <c r="T245" t="inlineStr">
        <is>
          <t>L1243</t>
        </is>
      </c>
      <c r="U245" t="inlineStr">
        <is>
          <t>Sara</t>
        </is>
      </c>
    </row>
    <row r="246">
      <c r="A246" s="7" t="n">
        <v>45456.16666666666</v>
      </c>
      <c r="B246" t="n">
        <v>11</v>
      </c>
      <c r="C246" t="inlineStr">
        <is>
          <t>A</t>
        </is>
      </c>
      <c r="D246" t="inlineStr">
        <is>
          <t>R2_Magnetite_Blend</t>
        </is>
      </c>
      <c r="E246" t="inlineStr">
        <is>
          <t>Magnetite Blend B</t>
        </is>
      </c>
      <c r="F246" t="n">
        <v>2715.738469885159</v>
      </c>
      <c r="G246" t="n">
        <v>9.53428467460814</v>
      </c>
      <c r="H246" t="n">
        <v>0.8488344558811675</v>
      </c>
      <c r="I246" t="n">
        <v>0.7152578729751998</v>
      </c>
      <c r="J246" t="n">
        <v>14.5064602084468</v>
      </c>
      <c r="K246" t="n">
        <v>7.850680980826514</v>
      </c>
      <c r="L246" t="n">
        <v>94.88057911837682</v>
      </c>
      <c r="M246" t="n">
        <v>1317.944262573323</v>
      </c>
      <c r="N246" t="n">
        <v>22.14110606142099</v>
      </c>
      <c r="O246" t="n">
        <v>2</v>
      </c>
      <c r="P246" t="n">
        <v>439</v>
      </c>
      <c r="Q246" t="n">
        <v>26.78</v>
      </c>
      <c r="R246" t="n">
        <v>95.8</v>
      </c>
      <c r="S246" t="n">
        <v>5.56</v>
      </c>
      <c r="T246" t="inlineStr">
        <is>
          <t>L1244</t>
        </is>
      </c>
      <c r="U246" t="inlineStr">
        <is>
          <t>Reza</t>
        </is>
      </c>
    </row>
    <row r="247">
      <c r="A247" s="7" t="n">
        <v>45456.20833333334</v>
      </c>
      <c r="B247" t="n">
        <v>11</v>
      </c>
      <c r="C247" t="inlineStr">
        <is>
          <t>A</t>
        </is>
      </c>
      <c r="D247" t="inlineStr">
        <is>
          <t>R2_Magnetite_Blend</t>
        </is>
      </c>
      <c r="E247" t="inlineStr">
        <is>
          <t>Magnetite Blend B</t>
        </is>
      </c>
      <c r="F247" t="n">
        <v>2127.870261533679</v>
      </c>
      <c r="G247" t="n">
        <v>9.013138195316031</v>
      </c>
      <c r="H247" t="n">
        <v>0.8941501048058382</v>
      </c>
      <c r="I247" t="n">
        <v>0.6064376251777124</v>
      </c>
      <c r="J247" t="n">
        <v>13.40925131345496</v>
      </c>
      <c r="K247" t="n">
        <v>7.458530018236186</v>
      </c>
      <c r="L247" t="n">
        <v>100.2224343230554</v>
      </c>
      <c r="M247" t="n">
        <v>1314.914070168872</v>
      </c>
      <c r="N247" t="n">
        <v>20.95902415809327</v>
      </c>
      <c r="O247" t="n">
        <v>2.22</v>
      </c>
      <c r="P247" t="n">
        <v>319.7</v>
      </c>
      <c r="Q247" t="n">
        <v>25.43</v>
      </c>
      <c r="R247" t="n">
        <v>95.59</v>
      </c>
      <c r="S247" t="n">
        <v>5.22</v>
      </c>
      <c r="T247" t="inlineStr">
        <is>
          <t>L1245</t>
        </is>
      </c>
      <c r="U247" t="inlineStr">
        <is>
          <t>Alireza</t>
        </is>
      </c>
    </row>
    <row r="248">
      <c r="A248" s="7" t="n">
        <v>45456.25</v>
      </c>
      <c r="B248" t="n">
        <v>11</v>
      </c>
      <c r="C248" t="inlineStr">
        <is>
          <t>A</t>
        </is>
      </c>
      <c r="D248" t="inlineStr">
        <is>
          <t>R2_Magnetite_Blend</t>
        </is>
      </c>
      <c r="E248" t="inlineStr">
        <is>
          <t>Magnetite Blend B</t>
        </is>
      </c>
      <c r="F248" t="n">
        <v>2325.78306671203</v>
      </c>
      <c r="G248" t="n">
        <v>8.693157981448152</v>
      </c>
      <c r="H248" t="n">
        <v>0.7216036796840439</v>
      </c>
      <c r="I248" t="n">
        <v>0.6468992622058095</v>
      </c>
      <c r="J248" t="n">
        <v>14.02130297225214</v>
      </c>
      <c r="K248" t="n">
        <v>6.943270684564421</v>
      </c>
      <c r="L248" t="n">
        <v>101.4711502557322</v>
      </c>
      <c r="M248" t="n">
        <v>1302.152483420858</v>
      </c>
      <c r="N248" t="n">
        <v>19.97044063185657</v>
      </c>
      <c r="O248" t="n">
        <v>2.24</v>
      </c>
      <c r="P248" t="n">
        <v>337.2</v>
      </c>
      <c r="Q248" t="n">
        <v>25.65</v>
      </c>
      <c r="R248" t="n">
        <v>96.48999999999999</v>
      </c>
      <c r="S248" t="n">
        <v>6.05</v>
      </c>
      <c r="T248" t="inlineStr">
        <is>
          <t>L1246</t>
        </is>
      </c>
      <c r="U248" t="inlineStr">
        <is>
          <t>Mohsen</t>
        </is>
      </c>
    </row>
    <row r="249">
      <c r="A249" s="7" t="n">
        <v>45456.29166666666</v>
      </c>
      <c r="B249" t="n">
        <v>11</v>
      </c>
      <c r="C249" t="inlineStr">
        <is>
          <t>A</t>
        </is>
      </c>
      <c r="D249" t="inlineStr">
        <is>
          <t>R2_Magnetite_Blend</t>
        </is>
      </c>
      <c r="E249" t="inlineStr">
        <is>
          <t>Magnetite Blend B</t>
        </is>
      </c>
      <c r="F249" t="n">
        <v>2336.847883097854</v>
      </c>
      <c r="G249" t="n">
        <v>9.611856035160733</v>
      </c>
      <c r="H249" t="n">
        <v>0.896123594692702</v>
      </c>
      <c r="I249" t="n">
        <v>0.6040821900677661</v>
      </c>
      <c r="J249" t="n">
        <v>13.69736994983583</v>
      </c>
      <c r="L249" t="n">
        <v>88.69393564840989</v>
      </c>
      <c r="M249" t="n">
        <v>1296.084039324261</v>
      </c>
      <c r="N249" t="n">
        <v>22.87053244010701</v>
      </c>
      <c r="O249" t="n">
        <v>2.16</v>
      </c>
      <c r="P249" t="n">
        <v>327</v>
      </c>
      <c r="Q249" t="n">
        <v>24.7</v>
      </c>
      <c r="R249" t="n">
        <v>96.95</v>
      </c>
      <c r="S249" t="n">
        <v>5.2</v>
      </c>
      <c r="T249" t="inlineStr">
        <is>
          <t>L1247</t>
        </is>
      </c>
      <c r="U249" t="inlineStr">
        <is>
          <t>Sara</t>
        </is>
      </c>
      <c r="V249" t="inlineStr">
        <is>
          <t>Missing</t>
        </is>
      </c>
    </row>
    <row r="250">
      <c r="A250" s="7" t="n">
        <v>45456.33333333334</v>
      </c>
      <c r="B250" t="n">
        <v>11</v>
      </c>
      <c r="C250" t="inlineStr">
        <is>
          <t>B</t>
        </is>
      </c>
      <c r="D250" t="inlineStr">
        <is>
          <t>R2_Magnetite_Blend</t>
        </is>
      </c>
      <c r="E250" t="inlineStr">
        <is>
          <t>Magnetite Blend B</t>
        </is>
      </c>
      <c r="F250" t="n">
        <v>2607.604531836204</v>
      </c>
      <c r="G250" t="n">
        <v>9.036909284744647</v>
      </c>
      <c r="H250" t="n">
        <v>0.7811676359766118</v>
      </c>
      <c r="I250" t="n">
        <v>0.657404317929223</v>
      </c>
      <c r="J250" t="n">
        <v>13.81683042794915</v>
      </c>
      <c r="K250" t="n">
        <v>7.321422548020538</v>
      </c>
      <c r="L250" t="n">
        <v>101.6735792700335</v>
      </c>
      <c r="M250" t="n">
        <v>1328.532133780561</v>
      </c>
      <c r="N250" t="n">
        <v>21.58746502111969</v>
      </c>
      <c r="O250" t="n">
        <v>1.71</v>
      </c>
      <c r="P250" t="n">
        <v>384.8</v>
      </c>
      <c r="Q250" t="n">
        <v>24.84</v>
      </c>
      <c r="R250" t="n">
        <v>97.23999999999999</v>
      </c>
      <c r="S250" t="n">
        <v>4.97</v>
      </c>
      <c r="T250" t="inlineStr">
        <is>
          <t>L1248</t>
        </is>
      </c>
      <c r="U250" t="inlineStr">
        <is>
          <t>Reza</t>
        </is>
      </c>
    </row>
    <row r="251">
      <c r="A251" s="7" t="n">
        <v>45456.375</v>
      </c>
      <c r="B251" t="n">
        <v>11</v>
      </c>
      <c r="C251" t="inlineStr">
        <is>
          <t>B</t>
        </is>
      </c>
      <c r="D251" t="inlineStr">
        <is>
          <t>R2_Magnetite_Blend</t>
        </is>
      </c>
      <c r="E251" t="inlineStr">
        <is>
          <t>Magnetite Blend B</t>
        </is>
      </c>
      <c r="F251" t="n">
        <v>2212.533416767213</v>
      </c>
      <c r="G251" t="n">
        <v>8.651861018507699</v>
      </c>
      <c r="H251" t="n">
        <v>0.8743090512843941</v>
      </c>
      <c r="I251" t="n">
        <v>0.6721729233669562</v>
      </c>
      <c r="J251" t="n">
        <v>13.82895705506525</v>
      </c>
      <c r="K251" t="n">
        <v>8.023231199013408</v>
      </c>
      <c r="L251" t="n">
        <v>97.90180549697666</v>
      </c>
      <c r="M251" t="n">
        <v>1323.574341604983</v>
      </c>
      <c r="N251" t="n">
        <v>21.89034901338009</v>
      </c>
      <c r="O251" t="n">
        <v>2.19</v>
      </c>
      <c r="P251" t="n">
        <v>333</v>
      </c>
      <c r="Q251" t="n">
        <v>24.52</v>
      </c>
      <c r="R251" t="n">
        <v>97.54000000000001</v>
      </c>
      <c r="S251" t="n">
        <v>4.76</v>
      </c>
      <c r="T251" t="inlineStr">
        <is>
          <t>L1249</t>
        </is>
      </c>
      <c r="U251" t="inlineStr">
        <is>
          <t>Alireza</t>
        </is>
      </c>
    </row>
    <row r="252">
      <c r="A252" s="7" t="n">
        <v>45456.41666666666</v>
      </c>
      <c r="B252" t="n">
        <v>11</v>
      </c>
      <c r="C252" t="inlineStr">
        <is>
          <t>B</t>
        </is>
      </c>
      <c r="D252" t="inlineStr">
        <is>
          <t>R2_Magnetite_Blend</t>
        </is>
      </c>
      <c r="E252" t="inlineStr">
        <is>
          <t>Magnetite Blend B</t>
        </is>
      </c>
      <c r="F252" t="n">
        <v>2300.190378043745</v>
      </c>
      <c r="G252" t="n">
        <v>9.228756979322174</v>
      </c>
      <c r="H252" t="n">
        <v>0.8947784610985244</v>
      </c>
      <c r="I252" t="n">
        <v>0.5649137330849552</v>
      </c>
      <c r="J252" t="n">
        <v>14.65524929170783</v>
      </c>
      <c r="K252" t="n">
        <v>6.692188460533551</v>
      </c>
      <c r="L252" t="n">
        <v>86.99071395468972</v>
      </c>
      <c r="M252" t="n">
        <v>1310.478980085092</v>
      </c>
      <c r="N252" t="n">
        <v>23.85644559087881</v>
      </c>
      <c r="O252" t="n">
        <v>1.78</v>
      </c>
      <c r="P252" t="n">
        <v>346</v>
      </c>
      <c r="Q252" t="n">
        <v>24.93</v>
      </c>
      <c r="R252" t="n">
        <v>95.98</v>
      </c>
      <c r="S252" t="n">
        <v>5.46</v>
      </c>
      <c r="T252" t="inlineStr">
        <is>
          <t>L1250</t>
        </is>
      </c>
      <c r="U252" t="inlineStr">
        <is>
          <t>Sara</t>
        </is>
      </c>
    </row>
    <row r="253">
      <c r="A253" s="7" t="n">
        <v>45456.45833333334</v>
      </c>
      <c r="B253" t="n">
        <v>11</v>
      </c>
      <c r="C253" t="inlineStr">
        <is>
          <t>B</t>
        </is>
      </c>
      <c r="D253" t="inlineStr">
        <is>
          <t>R2_Magnetite_Blend</t>
        </is>
      </c>
      <c r="E253" t="inlineStr">
        <is>
          <t>Magnetite Blend B</t>
        </is>
      </c>
      <c r="G253" t="n">
        <v>9.370136754280075</v>
      </c>
      <c r="H253" t="n">
        <v>0.7410485667395919</v>
      </c>
      <c r="I253" t="n">
        <v>0.5485980142588498</v>
      </c>
      <c r="J253" t="n">
        <v>14.19767595994473</v>
      </c>
      <c r="K253" t="n">
        <v>7.762470728505718</v>
      </c>
      <c r="L253" t="n">
        <v>89.58514469514198</v>
      </c>
      <c r="M253" t="n">
        <v>1333.036833901645</v>
      </c>
      <c r="N253" t="n">
        <v>22.48031535029363</v>
      </c>
      <c r="O253" t="n">
        <v>1.84</v>
      </c>
      <c r="P253" t="n">
        <v>239.4</v>
      </c>
      <c r="Q253" t="n">
        <v>27.48</v>
      </c>
      <c r="R253" t="n">
        <v>95.38</v>
      </c>
      <c r="S253" t="n">
        <v>5.12</v>
      </c>
      <c r="T253" t="inlineStr">
        <is>
          <t>L1251</t>
        </is>
      </c>
      <c r="U253" t="inlineStr">
        <is>
          <t>Alireza</t>
        </is>
      </c>
      <c r="V253" t="inlineStr">
        <is>
          <t>Missing</t>
        </is>
      </c>
    </row>
    <row r="254">
      <c r="A254" s="7" t="n">
        <v>45456.5</v>
      </c>
      <c r="B254" t="n">
        <v>11</v>
      </c>
      <c r="C254" t="inlineStr">
        <is>
          <t>B</t>
        </is>
      </c>
      <c r="D254" t="inlineStr">
        <is>
          <t>R2_Magnetite_Blend</t>
        </is>
      </c>
      <c r="E254" t="inlineStr">
        <is>
          <t>Magnetite Blend B</t>
        </is>
      </c>
      <c r="F254" t="n">
        <v>2410.75626478451</v>
      </c>
      <c r="G254" t="n">
        <v>9.634218687132272</v>
      </c>
      <c r="H254" t="n">
        <v>0.9173020557842436</v>
      </c>
      <c r="I254" t="n">
        <v>0.6813924541842163</v>
      </c>
      <c r="J254" t="n">
        <v>14.10298604938366</v>
      </c>
      <c r="K254" t="n">
        <v>7.145051330425608</v>
      </c>
      <c r="L254" t="n">
        <v>88.11840597419487</v>
      </c>
      <c r="M254" t="n">
        <v>1306.626254507912</v>
      </c>
      <c r="N254" t="n">
        <v>21.55048179683556</v>
      </c>
      <c r="O254" t="n">
        <v>1.83</v>
      </c>
      <c r="P254" t="n">
        <v>372</v>
      </c>
      <c r="Q254" t="n">
        <v>26.72</v>
      </c>
      <c r="R254" t="n">
        <v>95.66</v>
      </c>
      <c r="S254" t="n">
        <v>5.55</v>
      </c>
      <c r="T254" t="inlineStr">
        <is>
          <t>L1252</t>
        </is>
      </c>
      <c r="U254" t="inlineStr">
        <is>
          <t>Sara</t>
        </is>
      </c>
    </row>
    <row r="255">
      <c r="A255" s="7" t="n">
        <v>45456.54166666666</v>
      </c>
      <c r="B255" t="n">
        <v>11</v>
      </c>
      <c r="C255" t="inlineStr">
        <is>
          <t>B</t>
        </is>
      </c>
      <c r="D255" t="inlineStr">
        <is>
          <t>R2_Magnetite_Blend</t>
        </is>
      </c>
      <c r="E255" t="inlineStr">
        <is>
          <t>Magnetite Blend B</t>
        </is>
      </c>
      <c r="F255" t="n">
        <v>2430.129247721691</v>
      </c>
      <c r="G255" t="n">
        <v>9.142520924680285</v>
      </c>
      <c r="H255" t="n">
        <v>0.8430690104666373</v>
      </c>
      <c r="I255" t="n">
        <v>0.6704621011437436</v>
      </c>
      <c r="J255" t="n">
        <v>13.86905965977952</v>
      </c>
      <c r="L255" t="n">
        <v>99.86122009681409</v>
      </c>
      <c r="M255" t="n">
        <v>1302.583426513871</v>
      </c>
      <c r="N255" t="n">
        <v>23.48441030394447</v>
      </c>
      <c r="O255" t="n">
        <v>2.12</v>
      </c>
      <c r="P255" t="n">
        <v>431.8</v>
      </c>
      <c r="Q255" t="n">
        <v>24.19</v>
      </c>
      <c r="R255" t="n">
        <v>96.36</v>
      </c>
      <c r="S255" t="n">
        <v>5.11</v>
      </c>
      <c r="T255" t="inlineStr">
        <is>
          <t>L1253</t>
        </is>
      </c>
      <c r="U255" t="inlineStr">
        <is>
          <t>Sara</t>
        </is>
      </c>
      <c r="V255" t="inlineStr">
        <is>
          <t>Missing</t>
        </is>
      </c>
    </row>
    <row r="256">
      <c r="A256" s="7" t="n">
        <v>45456.58333333334</v>
      </c>
      <c r="B256" t="n">
        <v>11</v>
      </c>
      <c r="C256" t="inlineStr">
        <is>
          <t>B</t>
        </is>
      </c>
      <c r="D256" t="inlineStr">
        <is>
          <t>R2_Magnetite_Blend</t>
        </is>
      </c>
      <c r="E256" t="inlineStr">
        <is>
          <t>Magnetite Blend B</t>
        </is>
      </c>
      <c r="F256" t="n">
        <v>2467.121914010195</v>
      </c>
      <c r="G256" t="n">
        <v>9.393498324022826</v>
      </c>
      <c r="H256" t="n">
        <v>0.8006682454522024</v>
      </c>
      <c r="I256" t="n">
        <v>0.6546764035184395</v>
      </c>
      <c r="J256" t="n">
        <v>12.98864670904223</v>
      </c>
      <c r="K256" t="n">
        <v>7.716491857459927</v>
      </c>
      <c r="L256" t="n">
        <v>100.2557192096859</v>
      </c>
      <c r="M256" t="n">
        <v>1307.065605873708</v>
      </c>
      <c r="N256" t="n">
        <v>21.02940456993423</v>
      </c>
      <c r="O256" t="n">
        <v>2.3</v>
      </c>
      <c r="P256" t="n">
        <v>375.2</v>
      </c>
      <c r="Q256" t="n">
        <v>26.56</v>
      </c>
      <c r="R256" t="n">
        <v>95.11</v>
      </c>
      <c r="S256" t="n">
        <v>5.47</v>
      </c>
      <c r="T256" t="inlineStr">
        <is>
          <t>L1254</t>
        </is>
      </c>
      <c r="U256" t="inlineStr">
        <is>
          <t>Sara</t>
        </is>
      </c>
    </row>
    <row r="257">
      <c r="A257" s="7" t="n">
        <v>45456.625</v>
      </c>
      <c r="B257" t="n">
        <v>11</v>
      </c>
      <c r="C257" t="inlineStr">
        <is>
          <t>B</t>
        </is>
      </c>
      <c r="D257" t="inlineStr">
        <is>
          <t>R2_Magnetite_Blend</t>
        </is>
      </c>
      <c r="E257" t="inlineStr">
        <is>
          <t>Magnetite Blend B</t>
        </is>
      </c>
      <c r="F257" t="n">
        <v>2183.187909624068</v>
      </c>
      <c r="G257" t="n">
        <v>8.849280261406104</v>
      </c>
      <c r="H257" t="n">
        <v>0.9632184719315019</v>
      </c>
      <c r="I257" t="n">
        <v>0.5951176266739048</v>
      </c>
      <c r="J257" t="n">
        <v>14.27230652470993</v>
      </c>
      <c r="K257" t="n">
        <v>6.691316837691735</v>
      </c>
      <c r="L257" t="n">
        <v>104.787364251534</v>
      </c>
      <c r="M257" t="n">
        <v>1324.134220629995</v>
      </c>
      <c r="N257" t="n">
        <v>24.11910076063236</v>
      </c>
      <c r="O257" t="n">
        <v>2.03</v>
      </c>
      <c r="P257" t="n">
        <v>361.2</v>
      </c>
      <c r="Q257" t="n">
        <v>23.18</v>
      </c>
      <c r="R257" t="n">
        <v>98.68000000000001</v>
      </c>
      <c r="S257" t="n">
        <v>4.32</v>
      </c>
      <c r="T257" t="inlineStr">
        <is>
          <t>L1255</t>
        </is>
      </c>
      <c r="U257" t="inlineStr">
        <is>
          <t>Sara</t>
        </is>
      </c>
    </row>
    <row r="258">
      <c r="A258" s="7" t="n">
        <v>45456.66666666666</v>
      </c>
      <c r="B258" t="n">
        <v>11</v>
      </c>
      <c r="C258" t="inlineStr">
        <is>
          <t>C</t>
        </is>
      </c>
      <c r="D258" t="inlineStr">
        <is>
          <t>R2_Magnetite_Blend</t>
        </is>
      </c>
      <c r="E258" t="inlineStr">
        <is>
          <t>Magnetite Blend B</t>
        </is>
      </c>
      <c r="F258" t="n">
        <v>2392.545268836865</v>
      </c>
      <c r="G258" t="n">
        <v>9.459822170151361</v>
      </c>
      <c r="H258" t="n">
        <v>0.7488451631353878</v>
      </c>
      <c r="I258" t="n">
        <v>0.5722729112655468</v>
      </c>
      <c r="J258" t="n">
        <v>14.04841917320612</v>
      </c>
      <c r="K258" t="n">
        <v>7.082460696280876</v>
      </c>
      <c r="L258" t="n">
        <v>93.8870260741668</v>
      </c>
      <c r="M258" t="n">
        <v>1311.82236215827</v>
      </c>
      <c r="N258" t="n">
        <v>22.1741364288848</v>
      </c>
      <c r="O258" t="n">
        <v>1.89</v>
      </c>
      <c r="P258" t="n">
        <v>259.5</v>
      </c>
      <c r="Q258" t="n">
        <v>28.09</v>
      </c>
      <c r="R258" t="n">
        <v>94.5</v>
      </c>
      <c r="S258" t="n">
        <v>5.53</v>
      </c>
      <c r="T258" t="inlineStr">
        <is>
          <t>L1256</t>
        </is>
      </c>
      <c r="U258" t="inlineStr">
        <is>
          <t>Alireza</t>
        </is>
      </c>
    </row>
    <row r="259">
      <c r="A259" s="7" t="n">
        <v>45456.70833333334</v>
      </c>
      <c r="B259" t="n">
        <v>11</v>
      </c>
      <c r="C259" t="inlineStr">
        <is>
          <t>C</t>
        </is>
      </c>
      <c r="D259" t="inlineStr">
        <is>
          <t>R2_Magnetite_Blend</t>
        </is>
      </c>
      <c r="E259" t="inlineStr">
        <is>
          <t>Magnetite Blend B</t>
        </is>
      </c>
      <c r="F259" t="n">
        <v>2190.853927733667</v>
      </c>
      <c r="G259" t="n">
        <v>8.752802067711286</v>
      </c>
      <c r="H259" t="n">
        <v>0.7315487271003808</v>
      </c>
      <c r="I259" t="n">
        <v>0.5795181068783877</v>
      </c>
      <c r="J259" t="n">
        <v>15.12763145006108</v>
      </c>
      <c r="K259" t="n">
        <v>7.310915329766711</v>
      </c>
      <c r="L259" t="n">
        <v>113.1635356802828</v>
      </c>
      <c r="M259" t="n">
        <v>1303.722105556169</v>
      </c>
      <c r="N259" t="n">
        <v>20.01931079722394</v>
      </c>
      <c r="O259" t="n">
        <v>2.21</v>
      </c>
      <c r="P259" t="n">
        <v>221.7</v>
      </c>
      <c r="Q259" t="n">
        <v>26.68</v>
      </c>
      <c r="R259" t="n">
        <v>95</v>
      </c>
      <c r="S259" t="n">
        <v>5.49</v>
      </c>
      <c r="T259" t="inlineStr">
        <is>
          <t>L1257</t>
        </is>
      </c>
      <c r="U259" t="inlineStr">
        <is>
          <t>Reza</t>
        </is>
      </c>
    </row>
    <row r="260">
      <c r="A260" s="7" t="n">
        <v>45456.75</v>
      </c>
      <c r="B260" t="n">
        <v>11</v>
      </c>
      <c r="C260" t="inlineStr">
        <is>
          <t>C</t>
        </is>
      </c>
      <c r="D260" t="inlineStr">
        <is>
          <t>R2_Magnetite_Blend</t>
        </is>
      </c>
      <c r="E260" t="inlineStr">
        <is>
          <t>Magnetite Blend B</t>
        </is>
      </c>
      <c r="F260" t="n">
        <v>2263.758604981632</v>
      </c>
      <c r="G260" t="n">
        <v>9.509432138030295</v>
      </c>
      <c r="H260" t="n">
        <v>0.8505125455220325</v>
      </c>
      <c r="I260" t="n">
        <v>0.6316346748882611</v>
      </c>
      <c r="J260" t="n">
        <v>12.85237618793268</v>
      </c>
      <c r="K260" t="n">
        <v>7.612111867149203</v>
      </c>
      <c r="L260" t="n">
        <v>99.40954461391726</v>
      </c>
      <c r="M260" t="n">
        <v>1326.65295875474</v>
      </c>
      <c r="N260" t="n">
        <v>22.41667822749828</v>
      </c>
      <c r="O260" t="n">
        <v>2.04</v>
      </c>
      <c r="P260" t="n">
        <v>266.6</v>
      </c>
      <c r="Q260" t="n">
        <v>23.44</v>
      </c>
      <c r="R260" t="n">
        <v>97.93000000000001</v>
      </c>
      <c r="S260" t="n">
        <v>4.67</v>
      </c>
      <c r="T260" t="inlineStr">
        <is>
          <t>L1258</t>
        </is>
      </c>
      <c r="U260" t="inlineStr">
        <is>
          <t>Reza</t>
        </is>
      </c>
    </row>
    <row r="261">
      <c r="A261" s="7" t="n">
        <v>45456.79166666666</v>
      </c>
      <c r="B261" t="n">
        <v>11</v>
      </c>
      <c r="C261" t="inlineStr">
        <is>
          <t>C</t>
        </is>
      </c>
      <c r="D261" t="inlineStr">
        <is>
          <t>R2_Magnetite_Blend</t>
        </is>
      </c>
      <c r="E261" t="inlineStr">
        <is>
          <t>Magnetite Blend B</t>
        </is>
      </c>
      <c r="F261" t="n">
        <v>2335.855610912753</v>
      </c>
      <c r="G261" t="n">
        <v>9.355342366097538</v>
      </c>
      <c r="H261" t="n">
        <v>0.8675381713912625</v>
      </c>
      <c r="I261" t="n">
        <v>0.5811649373825735</v>
      </c>
      <c r="J261" t="n">
        <v>13.37732531170269</v>
      </c>
      <c r="K261" t="n">
        <v>7.305679647395483</v>
      </c>
      <c r="L261" t="n">
        <v>93.86866568474962</v>
      </c>
      <c r="M261" t="n">
        <v>1317.784445706893</v>
      </c>
      <c r="N261" t="n">
        <v>23.01485196038849</v>
      </c>
      <c r="O261" t="n">
        <v>2.08</v>
      </c>
      <c r="P261" t="n">
        <v>364.5</v>
      </c>
      <c r="Q261" t="n">
        <v>27.14</v>
      </c>
      <c r="R261" t="n">
        <v>95.03</v>
      </c>
      <c r="S261" t="n">
        <v>5.34</v>
      </c>
      <c r="T261" t="inlineStr">
        <is>
          <t>L1259</t>
        </is>
      </c>
      <c r="U261" t="inlineStr">
        <is>
          <t>Alireza</t>
        </is>
      </c>
    </row>
    <row r="262">
      <c r="A262" s="7" t="n">
        <v>45456.83333333334</v>
      </c>
      <c r="B262" t="n">
        <v>11</v>
      </c>
      <c r="C262" t="inlineStr">
        <is>
          <t>C</t>
        </is>
      </c>
      <c r="D262" t="inlineStr">
        <is>
          <t>R2_Magnetite_Blend</t>
        </is>
      </c>
      <c r="E262" t="inlineStr">
        <is>
          <t>Magnetite Blend B</t>
        </is>
      </c>
      <c r="F262" t="n">
        <v>2582.676364107147</v>
      </c>
      <c r="G262" t="n">
        <v>8.759747898650403</v>
      </c>
      <c r="H262" t="n">
        <v>0.8215332258692444</v>
      </c>
      <c r="I262" t="n">
        <v>0.580730868261175</v>
      </c>
      <c r="J262" t="n">
        <v>14.02489274671414</v>
      </c>
      <c r="K262" t="n">
        <v>6.769467008174329</v>
      </c>
      <c r="L262" t="n">
        <v>93.65430644039351</v>
      </c>
      <c r="M262" t="n">
        <v>1313.115351152005</v>
      </c>
      <c r="N262" t="n">
        <v>22.46115153134816</v>
      </c>
      <c r="O262" t="n">
        <v>2.21</v>
      </c>
      <c r="P262" t="n">
        <v>161.1519522466024</v>
      </c>
      <c r="Q262" t="n">
        <v>27.7</v>
      </c>
      <c r="R262" t="n">
        <v>94.61</v>
      </c>
      <c r="S262" t="n">
        <v>5.75</v>
      </c>
      <c r="T262" t="inlineStr">
        <is>
          <t>L1260</t>
        </is>
      </c>
      <c r="U262" t="inlineStr">
        <is>
          <t>Mohsen</t>
        </is>
      </c>
      <c r="V262" t="inlineStr">
        <is>
          <t>Outlier: suspected lab error</t>
        </is>
      </c>
    </row>
    <row r="263">
      <c r="A263" s="7" t="n">
        <v>45456.875</v>
      </c>
      <c r="B263" t="n">
        <v>11</v>
      </c>
      <c r="C263" t="inlineStr">
        <is>
          <t>C</t>
        </is>
      </c>
      <c r="D263" t="inlineStr">
        <is>
          <t>R2_Magnetite_Blend</t>
        </is>
      </c>
      <c r="E263" t="inlineStr">
        <is>
          <t>Magnetite Blend B</t>
        </is>
      </c>
      <c r="F263" t="n">
        <v>2270.74934677314</v>
      </c>
      <c r="G263" t="n">
        <v>9.074161222665422</v>
      </c>
      <c r="H263" t="n">
        <v>0.8772310750020313</v>
      </c>
      <c r="I263" t="n">
        <v>0.649448054380341</v>
      </c>
      <c r="J263" t="n">
        <v>14.26660715664468</v>
      </c>
      <c r="K263" t="n">
        <v>7.433570617967485</v>
      </c>
      <c r="L263" t="n">
        <v>94.39099992625461</v>
      </c>
      <c r="M263" t="n">
        <v>1291.697042203641</v>
      </c>
      <c r="N263" t="n">
        <v>21.50734246012737</v>
      </c>
      <c r="O263" t="n">
        <v>2.31</v>
      </c>
      <c r="P263" t="n">
        <v>363</v>
      </c>
      <c r="Q263" t="n">
        <v>27.48</v>
      </c>
      <c r="R263" t="n">
        <v>94.5</v>
      </c>
      <c r="S263" t="n">
        <v>5.74</v>
      </c>
      <c r="T263" t="inlineStr">
        <is>
          <t>L1261</t>
        </is>
      </c>
      <c r="U263" t="inlineStr">
        <is>
          <t>Reza</t>
        </is>
      </c>
    </row>
    <row r="264">
      <c r="A264" s="7" t="n">
        <v>45456.91666666666</v>
      </c>
      <c r="B264" t="n">
        <v>11</v>
      </c>
      <c r="C264" t="inlineStr">
        <is>
          <t>C</t>
        </is>
      </c>
      <c r="D264" t="inlineStr">
        <is>
          <t>R2_Magnetite_Blend</t>
        </is>
      </c>
      <c r="E264" t="inlineStr">
        <is>
          <t>Magnetite Blend B</t>
        </is>
      </c>
      <c r="F264" t="n">
        <v>2381.315121222947</v>
      </c>
      <c r="G264" t="n">
        <v>9.879721603006217</v>
      </c>
      <c r="H264" t="n">
        <v>0.6714849799132988</v>
      </c>
      <c r="I264" t="n">
        <v>0.7158742417955752</v>
      </c>
      <c r="J264" t="n">
        <v>14.31250595090557</v>
      </c>
      <c r="L264" t="n">
        <v>89.45033209526302</v>
      </c>
      <c r="M264" t="n">
        <v>1310.705193374373</v>
      </c>
      <c r="N264" t="n">
        <v>22.45618811289761</v>
      </c>
      <c r="O264" t="n">
        <v>2.31</v>
      </c>
      <c r="P264" t="n">
        <v>353.4</v>
      </c>
      <c r="Q264" t="n">
        <v>26.17</v>
      </c>
      <c r="R264" t="n">
        <v>95.77</v>
      </c>
      <c r="S264" t="n">
        <v>5.32</v>
      </c>
      <c r="T264" t="inlineStr">
        <is>
          <t>L1262</t>
        </is>
      </c>
      <c r="U264" t="inlineStr">
        <is>
          <t>Reza</t>
        </is>
      </c>
      <c r="V264" t="inlineStr">
        <is>
          <t>Missing</t>
        </is>
      </c>
    </row>
    <row r="265">
      <c r="A265" s="7" t="n">
        <v>45456.95833333334</v>
      </c>
      <c r="B265" t="n">
        <v>11</v>
      </c>
      <c r="C265" t="inlineStr">
        <is>
          <t>C</t>
        </is>
      </c>
      <c r="D265" t="inlineStr">
        <is>
          <t>R2_Magnetite_Blend</t>
        </is>
      </c>
      <c r="E265" t="inlineStr">
        <is>
          <t>Magnetite Blend B</t>
        </is>
      </c>
      <c r="F265" t="n">
        <v>2197.461835900021</v>
      </c>
      <c r="G265" t="n">
        <v>8.922717375836546</v>
      </c>
      <c r="H265" t="n">
        <v>0.9069620356476558</v>
      </c>
      <c r="I265" t="n">
        <v>0.7289726221306349</v>
      </c>
      <c r="J265" t="n">
        <v>13.94679010265868</v>
      </c>
      <c r="K265" t="n">
        <v>6.370310269928754</v>
      </c>
      <c r="L265" t="n">
        <v>99.72682952957028</v>
      </c>
      <c r="M265" t="n">
        <v>1299.902948005743</v>
      </c>
      <c r="N265" t="n">
        <v>23.22827702221873</v>
      </c>
      <c r="O265" t="n">
        <v>2.19</v>
      </c>
      <c r="P265" t="n">
        <v>387.1</v>
      </c>
      <c r="Q265" t="n">
        <v>24.39</v>
      </c>
      <c r="R265" t="n">
        <v>96.43000000000001</v>
      </c>
      <c r="S265" t="n">
        <v>5.42</v>
      </c>
      <c r="T265" t="inlineStr">
        <is>
          <t>L1263</t>
        </is>
      </c>
      <c r="U265" t="inlineStr">
        <is>
          <t>Sara</t>
        </is>
      </c>
    </row>
    <row r="266">
      <c r="A266" s="7" t="n">
        <v>45457</v>
      </c>
      <c r="B266" t="n">
        <v>12</v>
      </c>
      <c r="C266" t="inlineStr">
        <is>
          <t>A</t>
        </is>
      </c>
      <c r="D266" t="inlineStr">
        <is>
          <t>R2_Magnetite_Blend</t>
        </is>
      </c>
      <c r="E266" t="inlineStr">
        <is>
          <t>Magnetite Blend B</t>
        </is>
      </c>
      <c r="F266" t="n">
        <v>2246.808804496984</v>
      </c>
      <c r="G266" t="n">
        <v>8.715141643172609</v>
      </c>
      <c r="H266" t="n">
        <v>0.8496082440945775</v>
      </c>
      <c r="I266" t="n">
        <v>0.6440530396423924</v>
      </c>
      <c r="J266" t="n">
        <v>13.63200181686704</v>
      </c>
      <c r="K266" t="n">
        <v>6.653376165324145</v>
      </c>
      <c r="L266" t="n">
        <v>92.29313075953699</v>
      </c>
      <c r="M266" t="n">
        <v>1304.125098481393</v>
      </c>
      <c r="N266" t="n">
        <v>22.87259035757079</v>
      </c>
      <c r="O266" t="n">
        <v>2</v>
      </c>
      <c r="P266" t="n">
        <v>353.9</v>
      </c>
      <c r="Q266" t="n">
        <v>24.5</v>
      </c>
      <c r="R266" t="n">
        <v>97</v>
      </c>
      <c r="S266" t="n">
        <v>4.92</v>
      </c>
      <c r="T266" t="inlineStr">
        <is>
          <t>L1264</t>
        </is>
      </c>
      <c r="U266" t="inlineStr">
        <is>
          <t>Sara</t>
        </is>
      </c>
    </row>
    <row r="267">
      <c r="A267" s="7" t="n">
        <v>45457.04166666666</v>
      </c>
      <c r="B267" t="n">
        <v>12</v>
      </c>
      <c r="C267" t="inlineStr">
        <is>
          <t>A</t>
        </is>
      </c>
      <c r="D267" t="inlineStr">
        <is>
          <t>R2_Magnetite_Blend</t>
        </is>
      </c>
      <c r="E267" t="inlineStr">
        <is>
          <t>Magnetite Blend B</t>
        </is>
      </c>
      <c r="F267" t="n">
        <v>2223.066098100667</v>
      </c>
      <c r="G267" t="n">
        <v>9.19384927317069</v>
      </c>
      <c r="H267" t="n">
        <v>0.7616848920190583</v>
      </c>
      <c r="I267" t="n">
        <v>0.6897726534342815</v>
      </c>
      <c r="J267" t="n">
        <v>14.05805284030032</v>
      </c>
      <c r="K267" t="n">
        <v>7.515695511442295</v>
      </c>
      <c r="L267" t="n">
        <v>96.18709470169485</v>
      </c>
      <c r="M267" t="n">
        <v>1314.811575996706</v>
      </c>
      <c r="N267" t="n">
        <v>22.09234423625619</v>
      </c>
      <c r="O267" t="n">
        <v>1.98</v>
      </c>
      <c r="P267" t="n">
        <v>283.6</v>
      </c>
      <c r="Q267" t="n">
        <v>26.68</v>
      </c>
      <c r="R267" t="n">
        <v>95.87</v>
      </c>
      <c r="S267" t="n">
        <v>5.37</v>
      </c>
      <c r="T267" t="inlineStr">
        <is>
          <t>L1265</t>
        </is>
      </c>
      <c r="U267" t="inlineStr">
        <is>
          <t>Sara</t>
        </is>
      </c>
    </row>
    <row r="268">
      <c r="A268" s="7" t="n">
        <v>45457.08333333334</v>
      </c>
      <c r="B268" t="n">
        <v>12</v>
      </c>
      <c r="C268" t="inlineStr">
        <is>
          <t>A</t>
        </is>
      </c>
      <c r="D268" t="inlineStr">
        <is>
          <t>R2_Magnetite_Blend</t>
        </is>
      </c>
      <c r="E268" t="inlineStr">
        <is>
          <t>Magnetite Blend B</t>
        </is>
      </c>
      <c r="F268" t="n">
        <v>2320.651326584333</v>
      </c>
      <c r="G268" t="n">
        <v>9.353954181563719</v>
      </c>
      <c r="H268" t="n">
        <v>0.7535450693850362</v>
      </c>
      <c r="I268" t="n">
        <v>0.6564632846136114</v>
      </c>
      <c r="J268" t="n">
        <v>15.12342368375614</v>
      </c>
      <c r="K268" t="n">
        <v>6.774108232884142</v>
      </c>
      <c r="L268" t="n">
        <v>103.3002749906293</v>
      </c>
      <c r="M268" t="n">
        <v>1295.606154114395</v>
      </c>
      <c r="N268" t="n">
        <v>23.20292894542955</v>
      </c>
      <c r="O268" t="n">
        <v>2.49</v>
      </c>
      <c r="P268" t="n">
        <v>255</v>
      </c>
      <c r="Q268" t="n">
        <v>26.86</v>
      </c>
      <c r="R268" t="n">
        <v>95.05</v>
      </c>
      <c r="S268" t="n">
        <v>5.34</v>
      </c>
      <c r="T268" t="inlineStr">
        <is>
          <t>L1266</t>
        </is>
      </c>
      <c r="U268" t="inlineStr">
        <is>
          <t>Alireza</t>
        </is>
      </c>
    </row>
    <row r="269">
      <c r="A269" s="7" t="n">
        <v>45457.125</v>
      </c>
      <c r="B269" t="n">
        <v>12</v>
      </c>
      <c r="C269" t="inlineStr">
        <is>
          <t>A</t>
        </is>
      </c>
      <c r="D269" t="inlineStr">
        <is>
          <t>R2_Magnetite_Blend</t>
        </is>
      </c>
      <c r="E269" t="inlineStr">
        <is>
          <t>Magnetite Blend B</t>
        </is>
      </c>
      <c r="F269" t="n">
        <v>2487.136708278792</v>
      </c>
      <c r="G269" t="n">
        <v>9.583747600092796</v>
      </c>
      <c r="H269" t="n">
        <v>0.8706304846690424</v>
      </c>
      <c r="I269" t="n">
        <v>0.6507823506487859</v>
      </c>
      <c r="J269" t="n">
        <v>14.59218631071447</v>
      </c>
      <c r="K269" t="n">
        <v>7.355417526009535</v>
      </c>
      <c r="L269" t="n">
        <v>98.6640676316438</v>
      </c>
      <c r="M269" t="n">
        <v>1322.35436985868</v>
      </c>
      <c r="N269" t="n">
        <v>20.94501313277474</v>
      </c>
      <c r="O269" t="n">
        <v>1.72</v>
      </c>
      <c r="P269" t="n">
        <v>312.9</v>
      </c>
      <c r="Q269" t="n">
        <v>24.76</v>
      </c>
      <c r="R269" t="n">
        <v>96.65000000000001</v>
      </c>
      <c r="S269" t="n">
        <v>5.11</v>
      </c>
      <c r="T269" t="inlineStr">
        <is>
          <t>L1267</t>
        </is>
      </c>
      <c r="U269" t="inlineStr">
        <is>
          <t>Alireza</t>
        </is>
      </c>
    </row>
    <row r="270">
      <c r="A270" s="7" t="n">
        <v>45457.16666666666</v>
      </c>
      <c r="B270" t="n">
        <v>12</v>
      </c>
      <c r="C270" t="inlineStr">
        <is>
          <t>A</t>
        </is>
      </c>
      <c r="D270" t="inlineStr">
        <is>
          <t>R2_Magnetite_Blend</t>
        </is>
      </c>
      <c r="E270" t="inlineStr">
        <is>
          <t>Magnetite Blend B</t>
        </is>
      </c>
      <c r="F270" t="n">
        <v>2149.965516813592</v>
      </c>
      <c r="G270" t="n">
        <v>9.244150699740041</v>
      </c>
      <c r="H270" t="n">
        <v>0.8662337043288956</v>
      </c>
      <c r="I270" t="n">
        <v>0.627832456251736</v>
      </c>
      <c r="J270" t="n">
        <v>13.22688463326366</v>
      </c>
      <c r="K270" t="n">
        <v>7.111170932866505</v>
      </c>
      <c r="L270" t="n">
        <v>98.36590013094803</v>
      </c>
      <c r="M270" t="n">
        <v>1314.421102163552</v>
      </c>
      <c r="N270" t="n">
        <v>22.78365924787462</v>
      </c>
      <c r="O270" t="n">
        <v>1.87</v>
      </c>
      <c r="P270" t="n">
        <v>306.4</v>
      </c>
      <c r="Q270" t="n">
        <v>28.04</v>
      </c>
      <c r="R270" t="n">
        <v>93.52</v>
      </c>
      <c r="S270" t="n">
        <v>6.08</v>
      </c>
      <c r="T270" t="inlineStr">
        <is>
          <t>L1268</t>
        </is>
      </c>
      <c r="U270" t="inlineStr">
        <is>
          <t>Alireza</t>
        </is>
      </c>
    </row>
    <row r="271">
      <c r="A271" s="7" t="n">
        <v>45457.20833333334</v>
      </c>
      <c r="B271" t="n">
        <v>12</v>
      </c>
      <c r="C271" t="inlineStr">
        <is>
          <t>A</t>
        </is>
      </c>
      <c r="D271" t="inlineStr">
        <is>
          <t>R2_Magnetite_Blend</t>
        </is>
      </c>
      <c r="E271" t="inlineStr">
        <is>
          <t>Magnetite Blend B</t>
        </is>
      </c>
      <c r="F271" t="n">
        <v>2478.292086902652</v>
      </c>
      <c r="G271" t="n">
        <v>9.131917942014027</v>
      </c>
      <c r="H271" t="n">
        <v>0.7925694617758944</v>
      </c>
      <c r="I271" t="n">
        <v>0.6007669037379749</v>
      </c>
      <c r="J271" t="n">
        <v>13.67822757655474</v>
      </c>
      <c r="K271" t="n">
        <v>6.915805487685231</v>
      </c>
      <c r="L271" t="n">
        <v>92.0843717446577</v>
      </c>
      <c r="M271" t="n">
        <v>1272.253518679713</v>
      </c>
      <c r="N271" t="n">
        <v>21.61315923001398</v>
      </c>
      <c r="O271" t="n">
        <v>2.57</v>
      </c>
      <c r="P271" t="n">
        <v>285.2</v>
      </c>
      <c r="Q271" t="n">
        <v>26.68</v>
      </c>
      <c r="R271" t="n">
        <v>95.68000000000001</v>
      </c>
      <c r="S271" t="n">
        <v>5.82</v>
      </c>
      <c r="T271" t="inlineStr">
        <is>
          <t>L1269</t>
        </is>
      </c>
      <c r="U271" t="inlineStr">
        <is>
          <t>Sara</t>
        </is>
      </c>
    </row>
    <row r="272">
      <c r="A272" s="7" t="n">
        <v>45457.25</v>
      </c>
      <c r="B272" t="n">
        <v>12</v>
      </c>
      <c r="C272" t="inlineStr">
        <is>
          <t>A</t>
        </is>
      </c>
      <c r="D272" t="inlineStr">
        <is>
          <t>R2_Magnetite_Blend</t>
        </is>
      </c>
      <c r="E272" t="inlineStr">
        <is>
          <t>Magnetite Blend B</t>
        </is>
      </c>
      <c r="F272" t="n">
        <v>2177.391584011298</v>
      </c>
      <c r="G272" t="n">
        <v>9.213448793927441</v>
      </c>
      <c r="H272" t="n">
        <v>0.8467213702831659</v>
      </c>
      <c r="I272" t="n">
        <v>0.6053157710278657</v>
      </c>
      <c r="J272" t="n">
        <v>12.9324080654871</v>
      </c>
      <c r="K272" t="n">
        <v>7.123874498099843</v>
      </c>
      <c r="L272" t="n">
        <v>103.2292642210056</v>
      </c>
      <c r="M272" t="n">
        <v>1325.883680341831</v>
      </c>
      <c r="N272" t="n">
        <v>23.52176758254714</v>
      </c>
      <c r="O272" t="n">
        <v>2.07</v>
      </c>
      <c r="P272" t="n">
        <v>301.6</v>
      </c>
      <c r="Q272" t="n">
        <v>24.93</v>
      </c>
      <c r="R272" t="n">
        <v>96.78</v>
      </c>
      <c r="S272" t="n">
        <v>4.8</v>
      </c>
      <c r="T272" t="inlineStr">
        <is>
          <t>L1270</t>
        </is>
      </c>
      <c r="U272" t="inlineStr">
        <is>
          <t>Alireza</t>
        </is>
      </c>
    </row>
    <row r="273">
      <c r="A273" s="7" t="n">
        <v>45457.29166666666</v>
      </c>
      <c r="B273" t="n">
        <v>12</v>
      </c>
      <c r="C273" t="inlineStr">
        <is>
          <t>A</t>
        </is>
      </c>
      <c r="D273" t="inlineStr">
        <is>
          <t>R2_Magnetite_Blend</t>
        </is>
      </c>
      <c r="E273" t="inlineStr">
        <is>
          <t>Magnetite Blend B</t>
        </is>
      </c>
      <c r="F273" t="n">
        <v>2408.861352511363</v>
      </c>
      <c r="G273" t="n">
        <v>9.567583388880042</v>
      </c>
      <c r="H273" t="n">
        <v>0.8418211903513345</v>
      </c>
      <c r="I273" t="n">
        <v>0.6442742507474839</v>
      </c>
      <c r="J273" t="n">
        <v>13.28182946458161</v>
      </c>
      <c r="K273" t="n">
        <v>8.126688613815965</v>
      </c>
      <c r="L273" t="n">
        <v>92.88604462722999</v>
      </c>
      <c r="M273" t="n">
        <v>1304.909685528892</v>
      </c>
      <c r="N273" t="n">
        <v>22.81389730046319</v>
      </c>
      <c r="O273" t="n">
        <v>2.4</v>
      </c>
      <c r="P273" t="n">
        <v>302.4</v>
      </c>
      <c r="Q273" t="n">
        <v>24.99</v>
      </c>
      <c r="R273" t="n">
        <v>96.54000000000001</v>
      </c>
      <c r="S273" t="n">
        <v>5.14</v>
      </c>
      <c r="T273" t="inlineStr">
        <is>
          <t>L1271</t>
        </is>
      </c>
      <c r="U273" t="inlineStr">
        <is>
          <t>Mohsen</t>
        </is>
      </c>
    </row>
    <row r="274">
      <c r="A274" s="7" t="n">
        <v>45457.33333333334</v>
      </c>
      <c r="B274" t="n">
        <v>12</v>
      </c>
      <c r="C274" t="inlineStr">
        <is>
          <t>B</t>
        </is>
      </c>
      <c r="D274" t="inlineStr">
        <is>
          <t>R2_Magnetite_Blend</t>
        </is>
      </c>
      <c r="E274" t="inlineStr">
        <is>
          <t>Magnetite Blend B</t>
        </is>
      </c>
      <c r="F274" t="n">
        <v>2249.043226180072</v>
      </c>
      <c r="G274" t="n">
        <v>9.232709638541483</v>
      </c>
      <c r="H274" t="n">
        <v>0.9153528673104826</v>
      </c>
      <c r="I274" t="n">
        <v>0.7056148161209945</v>
      </c>
      <c r="J274" t="n">
        <v>14.5602126960009</v>
      </c>
      <c r="K274" t="n">
        <v>7.722188288295391</v>
      </c>
      <c r="L274" t="n">
        <v>95.25284139275166</v>
      </c>
      <c r="M274" t="n">
        <v>1320.192749901966</v>
      </c>
      <c r="N274" t="n">
        <v>23.34255011525393</v>
      </c>
      <c r="O274" t="n">
        <v>1.65</v>
      </c>
      <c r="P274" t="n">
        <v>360.7</v>
      </c>
      <c r="Q274" t="n">
        <v>24.91</v>
      </c>
      <c r="R274" t="n">
        <v>96.31999999999999</v>
      </c>
      <c r="S274" t="n">
        <v>5.5</v>
      </c>
      <c r="T274" t="inlineStr">
        <is>
          <t>L1272</t>
        </is>
      </c>
      <c r="U274" t="inlineStr">
        <is>
          <t>Mohsen</t>
        </is>
      </c>
    </row>
    <row r="275">
      <c r="A275" s="7" t="n">
        <v>45457.375</v>
      </c>
      <c r="B275" t="n">
        <v>12</v>
      </c>
      <c r="C275" t="inlineStr">
        <is>
          <t>B</t>
        </is>
      </c>
      <c r="D275" t="inlineStr">
        <is>
          <t>R2_Magnetite_Blend</t>
        </is>
      </c>
      <c r="E275" t="inlineStr">
        <is>
          <t>Magnetite Blend B</t>
        </is>
      </c>
      <c r="F275" t="n">
        <v>2293.796475511792</v>
      </c>
      <c r="G275" t="n">
        <v>9.492082034680381</v>
      </c>
      <c r="H275" t="n">
        <v>0.7748846545586772</v>
      </c>
      <c r="I275" t="n">
        <v>0.5639894408655274</v>
      </c>
      <c r="J275" t="n">
        <v>14.81428645063794</v>
      </c>
      <c r="K275" t="n">
        <v>7.203646386254319</v>
      </c>
      <c r="L275" t="n">
        <v>106.7994414265412</v>
      </c>
      <c r="M275" t="n">
        <v>1297.350955679413</v>
      </c>
      <c r="N275" t="n">
        <v>21.5787538655973</v>
      </c>
      <c r="O275" t="n">
        <v>1.83</v>
      </c>
      <c r="P275" t="n">
        <v>258.9</v>
      </c>
      <c r="Q275" t="n">
        <v>24.01</v>
      </c>
      <c r="R275" t="n">
        <v>98.01000000000001</v>
      </c>
      <c r="S275" t="n">
        <v>5.18</v>
      </c>
      <c r="T275" t="inlineStr">
        <is>
          <t>L1273</t>
        </is>
      </c>
      <c r="U275" t="inlineStr">
        <is>
          <t>Reza</t>
        </is>
      </c>
    </row>
    <row r="276">
      <c r="A276" s="7" t="n">
        <v>45457.41666666666</v>
      </c>
      <c r="B276" t="n">
        <v>12</v>
      </c>
      <c r="C276" t="inlineStr">
        <is>
          <t>B</t>
        </is>
      </c>
      <c r="D276" t="inlineStr">
        <is>
          <t>R2_Magnetite_Blend</t>
        </is>
      </c>
      <c r="E276" t="inlineStr">
        <is>
          <t>Magnetite Blend B</t>
        </is>
      </c>
      <c r="F276" t="n">
        <v>2277.60953774981</v>
      </c>
      <c r="G276" t="n">
        <v>8.666519272763439</v>
      </c>
      <c r="H276" t="n">
        <v>0.9116314922504959</v>
      </c>
      <c r="I276" t="n">
        <v>0.6037511972128469</v>
      </c>
      <c r="J276" t="n">
        <v>13.5868848792103</v>
      </c>
      <c r="K276" t="n">
        <v>7.124721939641658</v>
      </c>
      <c r="L276" t="n">
        <v>83.54752306630475</v>
      </c>
      <c r="M276" t="n">
        <v>1334.756647826074</v>
      </c>
      <c r="N276" t="n">
        <v>20.79712128574582</v>
      </c>
      <c r="O276" t="n">
        <v>1.89</v>
      </c>
      <c r="P276" t="n">
        <v>267.1</v>
      </c>
      <c r="Q276" t="n">
        <v>23.65</v>
      </c>
      <c r="R276" t="n">
        <v>98.29000000000001</v>
      </c>
      <c r="S276" t="n">
        <v>4.86</v>
      </c>
      <c r="T276" t="inlineStr">
        <is>
          <t>L1274</t>
        </is>
      </c>
      <c r="U276" t="inlineStr">
        <is>
          <t>Alireza</t>
        </is>
      </c>
    </row>
    <row r="277">
      <c r="A277" s="7" t="n">
        <v>45457.45833333334</v>
      </c>
      <c r="B277" t="n">
        <v>12</v>
      </c>
      <c r="C277" t="inlineStr">
        <is>
          <t>B</t>
        </is>
      </c>
      <c r="D277" t="inlineStr">
        <is>
          <t>R2_Magnetite_Blend</t>
        </is>
      </c>
      <c r="E277" t="inlineStr">
        <is>
          <t>Magnetite Blend B</t>
        </is>
      </c>
      <c r="F277" t="n">
        <v>2545.671039202476</v>
      </c>
      <c r="G277" t="n">
        <v>9.169177187695524</v>
      </c>
      <c r="H277" t="n">
        <v>0.8483727396674395</v>
      </c>
      <c r="I277" t="n">
        <v>0.5733382172426418</v>
      </c>
      <c r="J277" t="n">
        <v>14.4429497904271</v>
      </c>
      <c r="K277" t="n">
        <v>6.142561748795543</v>
      </c>
      <c r="L277" t="n">
        <v>99.73492087423033</v>
      </c>
      <c r="M277" t="n">
        <v>1332.759995271858</v>
      </c>
      <c r="N277" t="n">
        <v>22.6101854859596</v>
      </c>
      <c r="O277" t="n">
        <v>1.95</v>
      </c>
      <c r="P277" t="n">
        <v>319.3</v>
      </c>
      <c r="Q277" t="n">
        <v>25.77</v>
      </c>
      <c r="R277" t="n">
        <v>96.33</v>
      </c>
      <c r="S277" t="n">
        <v>5.3</v>
      </c>
      <c r="T277" t="inlineStr">
        <is>
          <t>L1275</t>
        </is>
      </c>
      <c r="U277" t="inlineStr">
        <is>
          <t>Mohsen</t>
        </is>
      </c>
    </row>
    <row r="278">
      <c r="A278" s="7" t="n">
        <v>45457.5</v>
      </c>
      <c r="B278" t="n">
        <v>12</v>
      </c>
      <c r="C278" t="inlineStr">
        <is>
          <t>B</t>
        </is>
      </c>
      <c r="D278" t="inlineStr">
        <is>
          <t>R2_Magnetite_Blend</t>
        </is>
      </c>
      <c r="E278" t="inlineStr">
        <is>
          <t>Magnetite Blend B</t>
        </is>
      </c>
      <c r="F278" t="n">
        <v>2393.103906288147</v>
      </c>
      <c r="G278" t="n">
        <v>9.264879710170922</v>
      </c>
      <c r="H278" t="n">
        <v>0.8450058164691489</v>
      </c>
      <c r="I278" t="n">
        <v>0.6659991399178372</v>
      </c>
      <c r="J278" t="n">
        <v>13.25854192275086</v>
      </c>
      <c r="K278" t="n">
        <v>7.8500744291764</v>
      </c>
      <c r="L278" t="n">
        <v>94.48400444748194</v>
      </c>
      <c r="M278" t="n">
        <v>1312.025332771003</v>
      </c>
      <c r="N278" t="n">
        <v>21.24976186445232</v>
      </c>
      <c r="O278" t="n">
        <v>2.05</v>
      </c>
      <c r="P278" t="n">
        <v>324.9</v>
      </c>
      <c r="Q278" t="n">
        <v>26.23</v>
      </c>
      <c r="R278" t="n">
        <v>95.95</v>
      </c>
      <c r="S278" t="n">
        <v>5.43</v>
      </c>
      <c r="T278" t="inlineStr">
        <is>
          <t>L1276</t>
        </is>
      </c>
      <c r="U278" t="inlineStr">
        <is>
          <t>Alireza</t>
        </is>
      </c>
    </row>
    <row r="279">
      <c r="A279" s="7" t="n">
        <v>45457.54166666666</v>
      </c>
      <c r="B279" t="n">
        <v>12</v>
      </c>
      <c r="C279" t="inlineStr">
        <is>
          <t>B</t>
        </is>
      </c>
      <c r="D279" t="inlineStr">
        <is>
          <t>R2_Magnetite_Blend</t>
        </is>
      </c>
      <c r="E279" t="inlineStr">
        <is>
          <t>Magnetite Blend B</t>
        </is>
      </c>
      <c r="F279" t="n">
        <v>2540.077709916397</v>
      </c>
      <c r="G279" t="n">
        <v>9.660032666689698</v>
      </c>
      <c r="H279" t="n">
        <v>0.8792660400053918</v>
      </c>
      <c r="I279" t="n">
        <v>0.7561888445778374</v>
      </c>
      <c r="J279" t="n">
        <v>14.63237643559287</v>
      </c>
      <c r="K279" t="n">
        <v>7.307919389712158</v>
      </c>
      <c r="L279" t="n">
        <v>85.61950748028997</v>
      </c>
      <c r="M279" t="n">
        <v>1295.842847527256</v>
      </c>
      <c r="N279" t="n">
        <v>20.7456039892949</v>
      </c>
      <c r="O279" t="n">
        <v>2.82</v>
      </c>
      <c r="P279" t="n">
        <v>409.3</v>
      </c>
      <c r="Q279" t="n">
        <v>26.88</v>
      </c>
      <c r="R279" t="n">
        <v>95.68000000000001</v>
      </c>
      <c r="S279" t="n">
        <v>6.24</v>
      </c>
      <c r="T279" t="inlineStr">
        <is>
          <t>L1277</t>
        </is>
      </c>
      <c r="U279" t="inlineStr">
        <is>
          <t>Sara</t>
        </is>
      </c>
    </row>
    <row r="280">
      <c r="A280" s="7" t="n">
        <v>45457.58333333334</v>
      </c>
      <c r="B280" t="n">
        <v>12</v>
      </c>
      <c r="C280" t="inlineStr">
        <is>
          <t>B</t>
        </is>
      </c>
      <c r="D280" t="inlineStr">
        <is>
          <t>R2_Magnetite_Blend</t>
        </is>
      </c>
      <c r="E280" t="inlineStr">
        <is>
          <t>Magnetite Blend B</t>
        </is>
      </c>
      <c r="F280" t="n">
        <v>2280.987945208401</v>
      </c>
      <c r="G280" t="n">
        <v>9.458315134703348</v>
      </c>
      <c r="H280" t="n">
        <v>0.8082744699945223</v>
      </c>
      <c r="I280" t="n">
        <v>0.6564145727718645</v>
      </c>
      <c r="J280" t="n">
        <v>13.76207115161968</v>
      </c>
      <c r="K280" t="n">
        <v>7.591246021046851</v>
      </c>
      <c r="L280" t="n">
        <v>94.26029135832829</v>
      </c>
      <c r="M280" t="n">
        <v>1294.54931743655</v>
      </c>
      <c r="N280" t="n">
        <v>21.47312317591293</v>
      </c>
      <c r="O280" t="n">
        <v>1.46</v>
      </c>
      <c r="Q280" t="n">
        <v>26.23</v>
      </c>
      <c r="R280" t="n">
        <v>95.54000000000001</v>
      </c>
      <c r="S280" t="n">
        <v>5.57</v>
      </c>
      <c r="T280" t="inlineStr">
        <is>
          <t>L1278</t>
        </is>
      </c>
      <c r="U280" t="inlineStr">
        <is>
          <t>Mohsen</t>
        </is>
      </c>
      <c r="V280" t="inlineStr">
        <is>
          <t>Missing</t>
        </is>
      </c>
    </row>
    <row r="281">
      <c r="A281" s="7" t="n">
        <v>45457.625</v>
      </c>
      <c r="B281" t="n">
        <v>12</v>
      </c>
      <c r="C281" t="inlineStr">
        <is>
          <t>B</t>
        </is>
      </c>
      <c r="D281" t="inlineStr">
        <is>
          <t>R2_Magnetite_Blend</t>
        </is>
      </c>
      <c r="E281" t="inlineStr">
        <is>
          <t>Magnetite Blend B</t>
        </is>
      </c>
      <c r="F281" t="n">
        <v>2303.513135590017</v>
      </c>
      <c r="G281" t="n">
        <v>9.371856124750606</v>
      </c>
      <c r="H281" t="n">
        <v>0.7421970991113652</v>
      </c>
      <c r="I281" t="n">
        <v>0.5656405186034201</v>
      </c>
      <c r="J281" t="n">
        <v>13.89560627942204</v>
      </c>
      <c r="K281" t="n">
        <v>7.945067503370316</v>
      </c>
      <c r="L281" t="n">
        <v>99.97457219364208</v>
      </c>
      <c r="M281" t="n">
        <v>1288.385382566245</v>
      </c>
      <c r="N281" t="n">
        <v>21.58449234508697</v>
      </c>
      <c r="O281" t="n">
        <v>2.41</v>
      </c>
      <c r="P281" t="n">
        <v>284.4</v>
      </c>
      <c r="Q281" t="n">
        <v>28.39</v>
      </c>
      <c r="R281" t="n">
        <v>93.56</v>
      </c>
      <c r="S281" t="n">
        <v>5.94</v>
      </c>
      <c r="T281" t="inlineStr">
        <is>
          <t>L1279</t>
        </is>
      </c>
      <c r="U281" t="inlineStr">
        <is>
          <t>Reza</t>
        </is>
      </c>
    </row>
    <row r="282">
      <c r="A282" s="7" t="n">
        <v>45457.66666666666</v>
      </c>
      <c r="B282" t="n">
        <v>12</v>
      </c>
      <c r="C282" t="inlineStr">
        <is>
          <t>C</t>
        </is>
      </c>
      <c r="D282" t="inlineStr">
        <is>
          <t>R2_Magnetite_Blend</t>
        </is>
      </c>
      <c r="E282" t="inlineStr">
        <is>
          <t>Magnetite Blend B</t>
        </is>
      </c>
      <c r="F282" t="n">
        <v>2636.626367492785</v>
      </c>
      <c r="G282" t="n">
        <v>9.677413352885061</v>
      </c>
      <c r="H282" t="n">
        <v>0.7276627946805299</v>
      </c>
      <c r="I282" t="n">
        <v>0.6559781929173373</v>
      </c>
      <c r="J282" t="n">
        <v>13.50514208094468</v>
      </c>
      <c r="K282" t="n">
        <v>6.992952839646303</v>
      </c>
      <c r="L282" t="n">
        <v>93.01930234879993</v>
      </c>
      <c r="M282" t="n">
        <v>1299.865754156918</v>
      </c>
      <c r="N282" t="n">
        <v>22.60152856615061</v>
      </c>
      <c r="O282" t="n">
        <v>2.79</v>
      </c>
      <c r="P282" t="n">
        <v>242.4</v>
      </c>
      <c r="Q282" t="n">
        <v>26.79</v>
      </c>
      <c r="R282" t="n">
        <v>95.19</v>
      </c>
      <c r="S282" t="n">
        <v>5.22</v>
      </c>
      <c r="T282" t="inlineStr">
        <is>
          <t>L1280</t>
        </is>
      </c>
      <c r="U282" t="inlineStr">
        <is>
          <t>Reza</t>
        </is>
      </c>
    </row>
    <row r="283">
      <c r="A283" s="7" t="n">
        <v>45457.70833333334</v>
      </c>
      <c r="B283" t="n">
        <v>12</v>
      </c>
      <c r="C283" t="inlineStr">
        <is>
          <t>C</t>
        </is>
      </c>
      <c r="D283" t="inlineStr">
        <is>
          <t>R2_Magnetite_Blend</t>
        </is>
      </c>
      <c r="E283" t="inlineStr">
        <is>
          <t>Magnetite Blend B</t>
        </is>
      </c>
      <c r="F283" t="n">
        <v>2049.316948306242</v>
      </c>
      <c r="G283" t="n">
        <v>9.357122437163577</v>
      </c>
      <c r="H283" t="n">
        <v>0.9138985874603841</v>
      </c>
      <c r="I283" t="n">
        <v>0.7326205438006769</v>
      </c>
      <c r="J283" t="n">
        <v>13.64804687500361</v>
      </c>
      <c r="K283" t="n">
        <v>8.111877034440006</v>
      </c>
      <c r="L283" t="n">
        <v>101.3474454347895</v>
      </c>
      <c r="M283" t="n">
        <v>1307.006384444116</v>
      </c>
      <c r="N283" t="n">
        <v>23.60996224533578</v>
      </c>
      <c r="O283" t="n">
        <v>2.35</v>
      </c>
      <c r="P283" t="n">
        <v>410.9</v>
      </c>
      <c r="Q283" t="n">
        <v>25.05</v>
      </c>
      <c r="R283" t="n">
        <v>96.76000000000001</v>
      </c>
      <c r="S283" t="n">
        <v>4.8</v>
      </c>
      <c r="T283" t="inlineStr">
        <is>
          <t>L1281</t>
        </is>
      </c>
      <c r="U283" t="inlineStr">
        <is>
          <t>Reza</t>
        </is>
      </c>
    </row>
    <row r="284">
      <c r="A284" s="7" t="n">
        <v>45457.75</v>
      </c>
      <c r="B284" t="n">
        <v>12</v>
      </c>
      <c r="C284" t="inlineStr">
        <is>
          <t>C</t>
        </is>
      </c>
      <c r="D284" t="inlineStr">
        <is>
          <t>R2_Magnetite_Blend</t>
        </is>
      </c>
      <c r="E284" t="inlineStr">
        <is>
          <t>Magnetite Blend B</t>
        </is>
      </c>
      <c r="F284" t="n">
        <v>2187.735725925734</v>
      </c>
      <c r="G284" t="n">
        <v>10.40545291012353</v>
      </c>
      <c r="H284" t="n">
        <v>0.7207484147626807</v>
      </c>
      <c r="I284" t="n">
        <v>0.5915592452785077</v>
      </c>
      <c r="J284" t="n">
        <v>15.17040958727068</v>
      </c>
      <c r="K284" t="n">
        <v>6.363408911483699</v>
      </c>
      <c r="L284" t="n">
        <v>92.82160308806036</v>
      </c>
      <c r="N284" t="n">
        <v>22.78645377029762</v>
      </c>
      <c r="O284" t="n">
        <v>2.3</v>
      </c>
      <c r="P284" t="n">
        <v>239.3</v>
      </c>
      <c r="Q284" t="n">
        <v>28.74</v>
      </c>
      <c r="R284" t="n">
        <v>94.06999999999999</v>
      </c>
      <c r="S284" t="n">
        <v>5.57</v>
      </c>
      <c r="T284" t="inlineStr">
        <is>
          <t>L1282</t>
        </is>
      </c>
      <c r="U284" t="inlineStr">
        <is>
          <t>Alireza</t>
        </is>
      </c>
      <c r="V284" t="inlineStr">
        <is>
          <t>Missing</t>
        </is>
      </c>
    </row>
    <row r="285">
      <c r="A285" s="7" t="n">
        <v>45457.79166666666</v>
      </c>
      <c r="B285" t="n">
        <v>12</v>
      </c>
      <c r="C285" t="inlineStr">
        <is>
          <t>C</t>
        </is>
      </c>
      <c r="D285" t="inlineStr">
        <is>
          <t>R2_Magnetite_Blend</t>
        </is>
      </c>
      <c r="E285" t="inlineStr">
        <is>
          <t>Magnetite Blend B</t>
        </is>
      </c>
      <c r="F285" t="n">
        <v>2313.733665618926</v>
      </c>
      <c r="G285" t="n">
        <v>8.976851239940707</v>
      </c>
      <c r="H285" t="n">
        <v>0.9156708378160296</v>
      </c>
      <c r="I285" t="n">
        <v>0.5153970729279811</v>
      </c>
      <c r="J285" t="n">
        <v>14.26511630578769</v>
      </c>
      <c r="K285" t="n">
        <v>6.964070097062226</v>
      </c>
      <c r="L285" t="n">
        <v>98.57712640736065</v>
      </c>
      <c r="M285" t="n">
        <v>1317.081303375158</v>
      </c>
      <c r="N285" t="n">
        <v>23.26917601611777</v>
      </c>
      <c r="O285" t="n">
        <v>2.08</v>
      </c>
      <c r="P285" t="n">
        <v>290.5</v>
      </c>
      <c r="Q285" t="n">
        <v>26.19</v>
      </c>
      <c r="R285" t="n">
        <v>95.87</v>
      </c>
      <c r="S285" t="n">
        <v>5.38</v>
      </c>
      <c r="T285" t="inlineStr">
        <is>
          <t>L1283</t>
        </is>
      </c>
      <c r="U285" t="inlineStr">
        <is>
          <t>Alireza</t>
        </is>
      </c>
    </row>
    <row r="286">
      <c r="A286" s="7" t="n">
        <v>45457.83333333334</v>
      </c>
      <c r="B286" t="n">
        <v>12</v>
      </c>
      <c r="C286" t="inlineStr">
        <is>
          <t>C</t>
        </is>
      </c>
      <c r="D286" t="inlineStr">
        <is>
          <t>R2_Magnetite_Blend</t>
        </is>
      </c>
      <c r="E286" t="inlineStr">
        <is>
          <t>Magnetite Blend B</t>
        </is>
      </c>
      <c r="F286" t="n">
        <v>2673.590086035657</v>
      </c>
      <c r="G286" t="n">
        <v>9.3416190623738</v>
      </c>
      <c r="H286" t="n">
        <v>0.7931137780413559</v>
      </c>
      <c r="I286" t="n">
        <v>0.5293565435639964</v>
      </c>
      <c r="J286" t="n">
        <v>14.40336785713254</v>
      </c>
      <c r="K286" t="n">
        <v>6.766087109868444</v>
      </c>
      <c r="L286" t="n">
        <v>91.06152879839856</v>
      </c>
      <c r="M286" t="n">
        <v>1311.796914333319</v>
      </c>
      <c r="N286" t="n">
        <v>22.13303280801001</v>
      </c>
      <c r="O286" t="n">
        <v>2.17</v>
      </c>
      <c r="P286" t="n">
        <v>263.1</v>
      </c>
      <c r="Q286" t="n">
        <v>27.42</v>
      </c>
      <c r="R286" t="n">
        <v>95.62</v>
      </c>
      <c r="S286" t="n">
        <v>5.81</v>
      </c>
      <c r="T286" t="inlineStr">
        <is>
          <t>L1284</t>
        </is>
      </c>
      <c r="U286" t="inlineStr">
        <is>
          <t>Alireza</t>
        </is>
      </c>
    </row>
    <row r="287">
      <c r="A287" s="7" t="n">
        <v>45457.875</v>
      </c>
      <c r="B287" t="n">
        <v>12</v>
      </c>
      <c r="C287" t="inlineStr">
        <is>
          <t>C</t>
        </is>
      </c>
      <c r="D287" t="inlineStr">
        <is>
          <t>R2_Magnetite_Blend</t>
        </is>
      </c>
      <c r="E287" t="inlineStr">
        <is>
          <t>Magnetite Blend B</t>
        </is>
      </c>
      <c r="F287" t="n">
        <v>2235.988086322207</v>
      </c>
      <c r="G287" t="n">
        <v>9.947389186265502</v>
      </c>
      <c r="H287" t="n">
        <v>0.9201225213487488</v>
      </c>
      <c r="I287" t="n">
        <v>0.6539971010531448</v>
      </c>
      <c r="J287" t="n">
        <v>13.79745558882934</v>
      </c>
      <c r="K287" t="n">
        <v>6.819575770862968</v>
      </c>
      <c r="L287" t="n">
        <v>80.44926792008144</v>
      </c>
      <c r="M287" t="n">
        <v>1335.650900887602</v>
      </c>
      <c r="N287" t="n">
        <v>22.21063345850819</v>
      </c>
      <c r="O287" t="n">
        <v>1.96</v>
      </c>
      <c r="P287" t="n">
        <v>350.5</v>
      </c>
      <c r="Q287" t="n">
        <v>24.24</v>
      </c>
      <c r="R287" t="n">
        <v>97.53</v>
      </c>
      <c r="S287" t="n">
        <v>5.11</v>
      </c>
      <c r="T287" t="inlineStr">
        <is>
          <t>L1285</t>
        </is>
      </c>
      <c r="U287" t="inlineStr">
        <is>
          <t>Reza</t>
        </is>
      </c>
    </row>
    <row r="288">
      <c r="A288" s="7" t="n">
        <v>45457.91666666666</v>
      </c>
      <c r="B288" t="n">
        <v>12</v>
      </c>
      <c r="C288" t="inlineStr">
        <is>
          <t>C</t>
        </is>
      </c>
      <c r="D288" t="inlineStr">
        <is>
          <t>R2_Magnetite_Blend</t>
        </is>
      </c>
      <c r="E288" t="inlineStr">
        <is>
          <t>Magnetite Blend B</t>
        </is>
      </c>
      <c r="F288" t="n">
        <v>2488.589401580238</v>
      </c>
      <c r="G288" t="n">
        <v>9.574417835109648</v>
      </c>
      <c r="H288" t="n">
        <v>0.7782912915499045</v>
      </c>
      <c r="I288" t="n">
        <v>0.5336020394198996</v>
      </c>
      <c r="J288" t="n">
        <v>13.81947248037556</v>
      </c>
      <c r="K288" t="n">
        <v>7.888797168927904</v>
      </c>
      <c r="L288" t="n">
        <v>93.46911142642679</v>
      </c>
      <c r="M288" t="n">
        <v>1299.694184002341</v>
      </c>
      <c r="N288" t="n">
        <v>22.23507260700605</v>
      </c>
      <c r="O288" t="n">
        <v>2.29</v>
      </c>
      <c r="P288" t="n">
        <v>242.7</v>
      </c>
      <c r="Q288" t="n">
        <v>26.01</v>
      </c>
      <c r="R288" t="n">
        <v>95.03</v>
      </c>
      <c r="S288" t="n">
        <v>5.57</v>
      </c>
      <c r="T288" t="inlineStr">
        <is>
          <t>L1286</t>
        </is>
      </c>
      <c r="U288" t="inlineStr">
        <is>
          <t>Sara</t>
        </is>
      </c>
    </row>
    <row r="289">
      <c r="A289" s="7" t="n">
        <v>45457.95833333334</v>
      </c>
      <c r="B289" t="n">
        <v>12</v>
      </c>
      <c r="C289" t="inlineStr">
        <is>
          <t>C</t>
        </is>
      </c>
      <c r="D289" t="inlineStr">
        <is>
          <t>R2_Magnetite_Blend</t>
        </is>
      </c>
      <c r="E289" t="inlineStr">
        <is>
          <t>Magnetite Blend B</t>
        </is>
      </c>
      <c r="F289" t="n">
        <v>2630.497937161037</v>
      </c>
      <c r="G289" t="n">
        <v>9.409875950343135</v>
      </c>
      <c r="H289" t="n">
        <v>0.8646954026384895</v>
      </c>
      <c r="I289" t="n">
        <v>0.7088359471155959</v>
      </c>
      <c r="J289" t="n">
        <v>13.79087012408919</v>
      </c>
      <c r="K289" t="n">
        <v>7.565487731297106</v>
      </c>
      <c r="L289" t="n">
        <v>80.51177147797114</v>
      </c>
      <c r="M289" t="n">
        <v>1297.868284147638</v>
      </c>
      <c r="N289" t="n">
        <v>21.82075724007156</v>
      </c>
      <c r="O289" t="n">
        <v>2.03</v>
      </c>
      <c r="P289" t="n">
        <v>451.7</v>
      </c>
      <c r="Q289" t="n">
        <v>25.89</v>
      </c>
      <c r="R289" t="n">
        <v>95.81</v>
      </c>
      <c r="S289" t="n">
        <v>5.08</v>
      </c>
      <c r="T289" t="inlineStr">
        <is>
          <t>L1287</t>
        </is>
      </c>
      <c r="U289" t="inlineStr">
        <is>
          <t>Sara</t>
        </is>
      </c>
    </row>
    <row r="290">
      <c r="A290" s="7" t="n">
        <v>45458</v>
      </c>
      <c r="B290" t="n">
        <v>13</v>
      </c>
      <c r="C290" t="inlineStr">
        <is>
          <t>A</t>
        </is>
      </c>
      <c r="D290" t="inlineStr">
        <is>
          <t>R3_Optimized</t>
        </is>
      </c>
      <c r="E290" t="inlineStr">
        <is>
          <t>Blend C (Optimized)</t>
        </is>
      </c>
      <c r="F290" t="n">
        <v>2403.042582897922</v>
      </c>
      <c r="G290" t="n">
        <v>9.655916396883807</v>
      </c>
      <c r="H290" t="n">
        <v>0.7763943705146479</v>
      </c>
      <c r="I290" t="n">
        <v>0.4279556116528794</v>
      </c>
      <c r="J290" t="n">
        <v>13.44210758512939</v>
      </c>
      <c r="K290" t="n">
        <v>7.627405019823858</v>
      </c>
      <c r="L290" t="n">
        <v>101.018585248425</v>
      </c>
      <c r="M290" t="n">
        <v>1299.338092636178</v>
      </c>
      <c r="N290" t="n">
        <v>21.13919491705835</v>
      </c>
      <c r="O290" t="n">
        <v>2.35</v>
      </c>
      <c r="P290" t="n">
        <v>235.6</v>
      </c>
      <c r="Q290" t="n">
        <v>27.72</v>
      </c>
      <c r="R290" t="n">
        <v>95.18000000000001</v>
      </c>
      <c r="S290" t="n">
        <v>6.37</v>
      </c>
      <c r="T290" t="inlineStr">
        <is>
          <t>L1288</t>
        </is>
      </c>
      <c r="U290" t="inlineStr">
        <is>
          <t>Sara</t>
        </is>
      </c>
    </row>
    <row r="291">
      <c r="A291" s="7" t="n">
        <v>45458.04166666666</v>
      </c>
      <c r="B291" t="n">
        <v>13</v>
      </c>
      <c r="C291" t="inlineStr">
        <is>
          <t>A</t>
        </is>
      </c>
      <c r="D291" t="inlineStr">
        <is>
          <t>R3_Optimized</t>
        </is>
      </c>
      <c r="E291" t="inlineStr">
        <is>
          <t>Blend C (Optimized)</t>
        </is>
      </c>
      <c r="F291" t="n">
        <v>2414.292482992238</v>
      </c>
      <c r="G291" t="n">
        <v>9.136356194249343</v>
      </c>
      <c r="H291" t="n">
        <v>0.8183373437439155</v>
      </c>
      <c r="I291" t="n">
        <v>0.5415608950627054</v>
      </c>
      <c r="J291" t="n">
        <v>14.44163552530577</v>
      </c>
      <c r="K291" t="n">
        <v>6.87560258349772</v>
      </c>
      <c r="L291" t="n">
        <v>104.4890657230858</v>
      </c>
      <c r="M291" t="n">
        <v>1325.286481858085</v>
      </c>
      <c r="N291" t="n">
        <v>22.09528339615137</v>
      </c>
      <c r="O291" t="n">
        <v>1.96</v>
      </c>
      <c r="P291" t="n">
        <v>317.9</v>
      </c>
      <c r="Q291" t="n">
        <v>26.84</v>
      </c>
      <c r="R291" t="n">
        <v>94.36</v>
      </c>
      <c r="S291" t="n">
        <v>5.51</v>
      </c>
      <c r="T291" t="inlineStr">
        <is>
          <t>L1289</t>
        </is>
      </c>
      <c r="U291" t="inlineStr">
        <is>
          <t>Reza</t>
        </is>
      </c>
    </row>
    <row r="292">
      <c r="A292" s="7" t="n">
        <v>45458.08333333334</v>
      </c>
      <c r="B292" t="n">
        <v>13</v>
      </c>
      <c r="C292" t="inlineStr">
        <is>
          <t>A</t>
        </is>
      </c>
      <c r="D292" t="inlineStr">
        <is>
          <t>R3_Optimized</t>
        </is>
      </c>
      <c r="E292" t="inlineStr">
        <is>
          <t>Blend C (Optimized)</t>
        </is>
      </c>
      <c r="F292" t="n">
        <v>2746.310750225769</v>
      </c>
      <c r="G292" t="n">
        <v>9.342379179115737</v>
      </c>
      <c r="H292" t="n">
        <v>0.7360220042794557</v>
      </c>
      <c r="I292" t="n">
        <v>0.4835829588168205</v>
      </c>
      <c r="J292" t="n">
        <v>13.37143021703895</v>
      </c>
      <c r="K292" t="n">
        <v>7.400234869484197</v>
      </c>
      <c r="L292" t="n">
        <v>112.251833584292</v>
      </c>
      <c r="M292" t="n">
        <v>1292.965991261355</v>
      </c>
      <c r="N292" t="n">
        <v>22.52280053785459</v>
      </c>
      <c r="O292" t="n">
        <v>2.42</v>
      </c>
      <c r="P292" t="n">
        <v>258.9</v>
      </c>
      <c r="Q292" t="n">
        <v>26.03</v>
      </c>
      <c r="R292" t="n">
        <v>96.09999999999999</v>
      </c>
      <c r="S292" t="n">
        <v>5.54</v>
      </c>
      <c r="T292" t="inlineStr">
        <is>
          <t>L1290</t>
        </is>
      </c>
      <c r="U292" t="inlineStr">
        <is>
          <t>Reza</t>
        </is>
      </c>
    </row>
    <row r="293">
      <c r="A293" s="7" t="n">
        <v>45458.125</v>
      </c>
      <c r="B293" t="n">
        <v>13</v>
      </c>
      <c r="C293" t="inlineStr">
        <is>
          <t>A</t>
        </is>
      </c>
      <c r="D293" t="inlineStr">
        <is>
          <t>R3_Optimized</t>
        </is>
      </c>
      <c r="E293" t="inlineStr">
        <is>
          <t>Blend C (Optimized)</t>
        </is>
      </c>
      <c r="F293" t="n">
        <v>2345.818658964424</v>
      </c>
      <c r="G293" t="n">
        <v>9.363862081096102</v>
      </c>
      <c r="H293" t="n">
        <v>0.7955133082285302</v>
      </c>
      <c r="I293" t="n">
        <v>0.5934425527832758</v>
      </c>
      <c r="J293" t="n">
        <v>14.42321889519132</v>
      </c>
      <c r="K293" t="n">
        <v>6.361636092270233</v>
      </c>
      <c r="L293" t="n">
        <v>102.9868778384126</v>
      </c>
      <c r="M293" t="n">
        <v>1291.596667761618</v>
      </c>
      <c r="N293" t="n">
        <v>19.35023792399008</v>
      </c>
      <c r="O293" t="n">
        <v>2.69</v>
      </c>
      <c r="P293" t="n">
        <v>241.2</v>
      </c>
      <c r="Q293" t="n">
        <v>28.15</v>
      </c>
      <c r="R293" t="n">
        <v>93.04000000000001</v>
      </c>
      <c r="S293" t="n">
        <v>5.99</v>
      </c>
      <c r="T293" t="inlineStr">
        <is>
          <t>L1291</t>
        </is>
      </c>
      <c r="U293" t="inlineStr">
        <is>
          <t>Reza</t>
        </is>
      </c>
    </row>
    <row r="294">
      <c r="A294" s="7" t="n">
        <v>45458.16666666666</v>
      </c>
      <c r="B294" t="n">
        <v>13</v>
      </c>
      <c r="C294" t="inlineStr">
        <is>
          <t>A</t>
        </is>
      </c>
      <c r="D294" t="inlineStr">
        <is>
          <t>R3_Optimized</t>
        </is>
      </c>
      <c r="E294" t="inlineStr">
        <is>
          <t>Blend C (Optimized)</t>
        </is>
      </c>
      <c r="F294" t="n">
        <v>2255.843091253822</v>
      </c>
      <c r="G294" t="n">
        <v>9.986243919442563</v>
      </c>
      <c r="H294" t="n">
        <v>0.8747952103978642</v>
      </c>
      <c r="I294" t="n">
        <v>0.5681338253733246</v>
      </c>
      <c r="J294" t="n">
        <v>14.90957914891733</v>
      </c>
      <c r="K294" t="n">
        <v>7.545905457010093</v>
      </c>
      <c r="L294" t="n">
        <v>95.74003750599607</v>
      </c>
      <c r="M294" t="n">
        <v>1298.925923471487</v>
      </c>
      <c r="N294" t="n">
        <v>21.33635716524811</v>
      </c>
      <c r="O294" t="n">
        <v>2.16</v>
      </c>
      <c r="P294" t="n">
        <v>379.2</v>
      </c>
      <c r="Q294" t="n">
        <v>25.75</v>
      </c>
      <c r="R294" t="n">
        <v>96.78</v>
      </c>
      <c r="S294" t="n">
        <v>5.3</v>
      </c>
      <c r="T294" t="inlineStr">
        <is>
          <t>L1292</t>
        </is>
      </c>
      <c r="U294" t="inlineStr">
        <is>
          <t>Alireza</t>
        </is>
      </c>
    </row>
    <row r="295">
      <c r="A295" s="7" t="n">
        <v>45458.20833333334</v>
      </c>
      <c r="B295" t="n">
        <v>13</v>
      </c>
      <c r="C295" t="inlineStr">
        <is>
          <t>A</t>
        </is>
      </c>
      <c r="D295" t="inlineStr">
        <is>
          <t>R3_Optimized</t>
        </is>
      </c>
      <c r="E295" t="inlineStr">
        <is>
          <t>Blend C (Optimized)</t>
        </is>
      </c>
      <c r="F295" t="n">
        <v>2594.533344683479</v>
      </c>
      <c r="G295" t="n">
        <v>9.41803609193048</v>
      </c>
      <c r="H295" t="n">
        <v>0.6688510519098285</v>
      </c>
      <c r="I295" t="n">
        <v>0.581647003370161</v>
      </c>
      <c r="J295" t="n">
        <v>14.51583965077441</v>
      </c>
      <c r="K295" t="n">
        <v>6.437685754930057</v>
      </c>
      <c r="L295" t="n">
        <v>109.7141226797618</v>
      </c>
      <c r="M295" t="n">
        <v>1295.875599901949</v>
      </c>
      <c r="N295" t="n">
        <v>23.20948059906683</v>
      </c>
      <c r="O295" t="n">
        <v>2.01</v>
      </c>
      <c r="P295" t="n">
        <v>271.5</v>
      </c>
      <c r="Q295" t="n">
        <v>26.9</v>
      </c>
      <c r="R295" t="n">
        <v>95.2</v>
      </c>
      <c r="S295" t="n">
        <v>5.57</v>
      </c>
      <c r="T295" t="inlineStr">
        <is>
          <t>L1293</t>
        </is>
      </c>
      <c r="U295" t="inlineStr">
        <is>
          <t>Alireza</t>
        </is>
      </c>
    </row>
    <row r="296">
      <c r="A296" s="7" t="n">
        <v>45458.25</v>
      </c>
      <c r="B296" t="n">
        <v>13</v>
      </c>
      <c r="C296" t="inlineStr">
        <is>
          <t>A</t>
        </is>
      </c>
      <c r="D296" t="inlineStr">
        <is>
          <t>R3_Optimized</t>
        </is>
      </c>
      <c r="E296" t="inlineStr">
        <is>
          <t>Blend C (Optimized)</t>
        </is>
      </c>
      <c r="F296" t="n">
        <v>2352.46012632265</v>
      </c>
      <c r="G296" t="n">
        <v>10.03480044759622</v>
      </c>
      <c r="H296" t="n">
        <v>0.837045125691638</v>
      </c>
      <c r="I296" t="n">
        <v>0.5870161714256852</v>
      </c>
      <c r="J296" t="n">
        <v>13.35564697909337</v>
      </c>
      <c r="K296" t="n">
        <v>6.86817176445886</v>
      </c>
      <c r="L296" t="n">
        <v>98.87700516505957</v>
      </c>
      <c r="M296" t="n">
        <v>1301.381263606173</v>
      </c>
      <c r="N296" t="n">
        <v>21.13233935705444</v>
      </c>
      <c r="O296" t="n">
        <v>2.09</v>
      </c>
      <c r="P296" t="n">
        <v>234.7</v>
      </c>
      <c r="Q296" t="n">
        <v>27.47</v>
      </c>
      <c r="R296" t="n">
        <v>94.62</v>
      </c>
      <c r="S296" t="n">
        <v>5.7</v>
      </c>
      <c r="T296" t="inlineStr">
        <is>
          <t>L1294</t>
        </is>
      </c>
      <c r="U296" t="inlineStr">
        <is>
          <t>Reza</t>
        </is>
      </c>
    </row>
    <row r="297">
      <c r="A297" s="7" t="n">
        <v>45458.29166666666</v>
      </c>
      <c r="B297" t="n">
        <v>13</v>
      </c>
      <c r="C297" t="inlineStr">
        <is>
          <t>A</t>
        </is>
      </c>
      <c r="D297" t="inlineStr">
        <is>
          <t>R3_Optimized</t>
        </is>
      </c>
      <c r="E297" t="inlineStr">
        <is>
          <t>Blend C (Optimized)</t>
        </is>
      </c>
      <c r="F297" t="n">
        <v>2678.993165401194</v>
      </c>
      <c r="G297" t="n">
        <v>9.2938819676643</v>
      </c>
      <c r="H297" t="n">
        <v>0.6905547924717025</v>
      </c>
      <c r="I297" t="n">
        <v>0.5085288597842981</v>
      </c>
      <c r="J297" t="n">
        <v>15.01664807692148</v>
      </c>
      <c r="K297" t="n">
        <v>6.623281954273833</v>
      </c>
      <c r="L297" t="n">
        <v>108.0823271418102</v>
      </c>
      <c r="M297" t="n">
        <v>1276.915628100205</v>
      </c>
      <c r="N297" t="n">
        <v>23.73616177913642</v>
      </c>
      <c r="O297" t="n">
        <v>2.76</v>
      </c>
      <c r="P297" t="n">
        <v>307.5</v>
      </c>
      <c r="Q297" t="n">
        <v>26.82</v>
      </c>
      <c r="R297" t="n">
        <v>95.01000000000001</v>
      </c>
      <c r="S297" t="n">
        <v>6.04</v>
      </c>
      <c r="T297" t="inlineStr">
        <is>
          <t>L1295</t>
        </is>
      </c>
      <c r="U297" t="inlineStr">
        <is>
          <t>Alireza</t>
        </is>
      </c>
    </row>
    <row r="298">
      <c r="A298" s="7" t="n">
        <v>45458.33333333334</v>
      </c>
      <c r="B298" t="n">
        <v>13</v>
      </c>
      <c r="C298" t="inlineStr">
        <is>
          <t>B</t>
        </is>
      </c>
      <c r="D298" t="inlineStr">
        <is>
          <t>R3_Optimized</t>
        </is>
      </c>
      <c r="E298" t="inlineStr">
        <is>
          <t>Blend C (Optimized)</t>
        </is>
      </c>
      <c r="F298" t="n">
        <v>2542.43854921721</v>
      </c>
      <c r="G298" t="n">
        <v>9.397065891648577</v>
      </c>
      <c r="H298" t="n">
        <v>0.8333311480247734</v>
      </c>
      <c r="I298" t="n">
        <v>0.55468529199076</v>
      </c>
      <c r="J298" t="n">
        <v>13.47479300134249</v>
      </c>
      <c r="K298" t="n">
        <v>7.414641222457997</v>
      </c>
      <c r="L298" t="n">
        <v>99.3768561813763</v>
      </c>
      <c r="M298" t="n">
        <v>1288.543925085769</v>
      </c>
      <c r="N298" t="n">
        <v>21.23094842637039</v>
      </c>
      <c r="O298" t="n">
        <v>2.07</v>
      </c>
      <c r="P298" t="n">
        <v>355.7</v>
      </c>
      <c r="Q298" t="n">
        <v>28.58</v>
      </c>
      <c r="R298" t="n">
        <v>94.11</v>
      </c>
      <c r="S298" t="n">
        <v>5.88</v>
      </c>
      <c r="T298" t="inlineStr">
        <is>
          <t>L1296</t>
        </is>
      </c>
      <c r="U298" t="inlineStr">
        <is>
          <t>Sara</t>
        </is>
      </c>
    </row>
    <row r="299">
      <c r="A299" s="7" t="n">
        <v>45458.375</v>
      </c>
      <c r="B299" t="n">
        <v>13</v>
      </c>
      <c r="C299" t="inlineStr">
        <is>
          <t>B</t>
        </is>
      </c>
      <c r="D299" t="inlineStr">
        <is>
          <t>R3_Optimized</t>
        </is>
      </c>
      <c r="E299" t="inlineStr">
        <is>
          <t>Blend C (Optimized)</t>
        </is>
      </c>
      <c r="F299" t="n">
        <v>2129.616220280217</v>
      </c>
      <c r="G299" t="n">
        <v>8.703256539796447</v>
      </c>
      <c r="H299" t="n">
        <v>0.7386053164938817</v>
      </c>
      <c r="I299" t="n">
        <v>0.5028492035500842</v>
      </c>
      <c r="J299" t="n">
        <v>13.85644151964643</v>
      </c>
      <c r="K299" t="n">
        <v>6.622733045572449</v>
      </c>
      <c r="L299" t="n">
        <v>90.81032610346618</v>
      </c>
      <c r="M299" t="n">
        <v>1288.509608783219</v>
      </c>
      <c r="N299" t="n">
        <v>21.63853229000003</v>
      </c>
      <c r="O299" t="n">
        <v>2.47</v>
      </c>
      <c r="P299" t="n">
        <v>181.5</v>
      </c>
      <c r="Q299" t="n">
        <v>26.43</v>
      </c>
      <c r="R299" t="n">
        <v>94.89</v>
      </c>
      <c r="S299" t="n">
        <v>5.52</v>
      </c>
      <c r="T299" t="inlineStr">
        <is>
          <t>L1297</t>
        </is>
      </c>
      <c r="U299" t="inlineStr">
        <is>
          <t>Sara</t>
        </is>
      </c>
    </row>
    <row r="300">
      <c r="A300" s="7" t="n">
        <v>45458.41666666666</v>
      </c>
      <c r="B300" t="n">
        <v>13</v>
      </c>
      <c r="C300" t="inlineStr">
        <is>
          <t>B</t>
        </is>
      </c>
      <c r="D300" t="inlineStr">
        <is>
          <t>R3_Optimized</t>
        </is>
      </c>
      <c r="E300" t="inlineStr">
        <is>
          <t>Blend C (Optimized)</t>
        </is>
      </c>
      <c r="F300" t="n">
        <v>2495.598445844929</v>
      </c>
      <c r="G300" t="n">
        <v>9.524600426854203</v>
      </c>
      <c r="H300" t="n">
        <v>0.8668961428275963</v>
      </c>
      <c r="I300" t="n">
        <v>0.5306642709426898</v>
      </c>
      <c r="J300" t="n">
        <v>13.68680140757142</v>
      </c>
      <c r="K300" t="n">
        <v>7.440246976159309</v>
      </c>
      <c r="L300" t="n">
        <v>95.17601660603361</v>
      </c>
      <c r="M300" t="n">
        <v>1295.576337046695</v>
      </c>
      <c r="N300" t="n">
        <v>21.52094650394372</v>
      </c>
      <c r="O300" t="n">
        <v>2.61</v>
      </c>
      <c r="P300" t="n">
        <v>290.2</v>
      </c>
      <c r="Q300" t="n">
        <v>26.02</v>
      </c>
      <c r="R300" t="n">
        <v>95.72</v>
      </c>
      <c r="S300" t="n">
        <v>5.41</v>
      </c>
      <c r="T300" t="inlineStr">
        <is>
          <t>L1298</t>
        </is>
      </c>
      <c r="U300" t="inlineStr">
        <is>
          <t>Reza</t>
        </is>
      </c>
    </row>
    <row r="301">
      <c r="A301" s="7" t="n">
        <v>45458.45833333334</v>
      </c>
      <c r="B301" t="n">
        <v>13</v>
      </c>
      <c r="C301" t="inlineStr">
        <is>
          <t>B</t>
        </is>
      </c>
      <c r="D301" t="inlineStr">
        <is>
          <t>R3_Optimized</t>
        </is>
      </c>
      <c r="E301" t="inlineStr">
        <is>
          <t>Blend C (Optimized)</t>
        </is>
      </c>
      <c r="F301" t="n">
        <v>2447.4415075953</v>
      </c>
      <c r="G301" t="n">
        <v>8.605966928370476</v>
      </c>
      <c r="H301" t="n">
        <v>0.7479236668925022</v>
      </c>
      <c r="I301" t="n">
        <v>0.5587909488654556</v>
      </c>
      <c r="J301" t="n">
        <v>13.44152621417324</v>
      </c>
      <c r="K301" t="n">
        <v>7.465846682537607</v>
      </c>
      <c r="L301" t="n">
        <v>95.10665094691488</v>
      </c>
      <c r="M301" t="n">
        <v>1306.528888912884</v>
      </c>
      <c r="N301" t="n">
        <v>23.05940681911364</v>
      </c>
      <c r="O301" t="n">
        <v>2.31</v>
      </c>
      <c r="P301" t="n">
        <v>259</v>
      </c>
      <c r="Q301" t="n">
        <v>27.08</v>
      </c>
      <c r="R301" t="n">
        <v>94.78</v>
      </c>
      <c r="S301" t="n">
        <v>5.16</v>
      </c>
      <c r="T301" t="inlineStr">
        <is>
          <t>L1299</t>
        </is>
      </c>
      <c r="U301" t="inlineStr">
        <is>
          <t>Alireza</t>
        </is>
      </c>
    </row>
    <row r="302">
      <c r="A302" s="7" t="n">
        <v>45458.5</v>
      </c>
      <c r="B302" t="n">
        <v>13</v>
      </c>
      <c r="C302" t="inlineStr">
        <is>
          <t>B</t>
        </is>
      </c>
      <c r="D302" t="inlineStr">
        <is>
          <t>R3_Optimized</t>
        </is>
      </c>
      <c r="E302" t="inlineStr">
        <is>
          <t>Blend C (Optimized)</t>
        </is>
      </c>
      <c r="F302" t="n">
        <v>2325.92059997174</v>
      </c>
      <c r="G302" t="n">
        <v>9.540295541273222</v>
      </c>
      <c r="H302" t="n">
        <v>0.7307143210047281</v>
      </c>
      <c r="I302" t="n">
        <v>0.5284054077189602</v>
      </c>
      <c r="J302" t="n">
        <v>13.36066561100767</v>
      </c>
      <c r="K302" t="n">
        <v>6.415370067459348</v>
      </c>
      <c r="L302" t="n">
        <v>101.9125460497741</v>
      </c>
      <c r="M302" t="n">
        <v>1272.604182287628</v>
      </c>
      <c r="N302" t="n">
        <v>21.95856683353728</v>
      </c>
      <c r="O302" t="n">
        <v>2.84</v>
      </c>
      <c r="P302" t="n">
        <v>267</v>
      </c>
      <c r="Q302" t="n">
        <v>27.87</v>
      </c>
      <c r="R302" t="n">
        <v>94.59999999999999</v>
      </c>
      <c r="S302" t="n">
        <v>5.84</v>
      </c>
      <c r="T302" t="inlineStr">
        <is>
          <t>L1300</t>
        </is>
      </c>
      <c r="U302" t="inlineStr">
        <is>
          <t>Sara</t>
        </is>
      </c>
    </row>
    <row r="303">
      <c r="A303" s="7" t="n">
        <v>45458.54166666666</v>
      </c>
      <c r="B303" t="n">
        <v>13</v>
      </c>
      <c r="C303" t="inlineStr">
        <is>
          <t>B</t>
        </is>
      </c>
      <c r="D303" t="inlineStr">
        <is>
          <t>R3_Optimized</t>
        </is>
      </c>
      <c r="E303" t="inlineStr">
        <is>
          <t>Blend C (Optimized)</t>
        </is>
      </c>
      <c r="F303" t="n">
        <v>2644.144730410052</v>
      </c>
      <c r="G303" t="n">
        <v>9.649008653472245</v>
      </c>
      <c r="H303" t="n">
        <v>0.8393851958897643</v>
      </c>
      <c r="I303" t="n">
        <v>0.4776821558127426</v>
      </c>
      <c r="J303" t="n">
        <v>13.71724109268127</v>
      </c>
      <c r="K303" t="n">
        <v>7.894229485392805</v>
      </c>
      <c r="L303" t="n">
        <v>103.3179611638656</v>
      </c>
      <c r="M303" t="n">
        <v>1294.448623441148</v>
      </c>
      <c r="N303" t="n">
        <v>22.58186287171533</v>
      </c>
      <c r="O303" t="n">
        <v>2.27</v>
      </c>
      <c r="P303" t="n">
        <v>216.7</v>
      </c>
      <c r="Q303" t="n">
        <v>25.94</v>
      </c>
      <c r="R303" t="n">
        <v>95.84999999999999</v>
      </c>
      <c r="S303" t="n">
        <v>4.88</v>
      </c>
      <c r="T303" t="inlineStr">
        <is>
          <t>L1301</t>
        </is>
      </c>
      <c r="U303" t="inlineStr">
        <is>
          <t>Sara</t>
        </is>
      </c>
    </row>
    <row r="304">
      <c r="A304" s="7" t="n">
        <v>45458.58333333334</v>
      </c>
      <c r="B304" t="n">
        <v>13</v>
      </c>
      <c r="C304" t="inlineStr">
        <is>
          <t>B</t>
        </is>
      </c>
      <c r="D304" t="inlineStr">
        <is>
          <t>R3_Optimized</t>
        </is>
      </c>
      <c r="E304" t="inlineStr">
        <is>
          <t>Blend C (Optimized)</t>
        </is>
      </c>
      <c r="F304" t="n">
        <v>2126.391468386239</v>
      </c>
      <c r="G304" t="n">
        <v>9.445035777216404</v>
      </c>
      <c r="H304" t="n">
        <v>0.7492637822078823</v>
      </c>
      <c r="I304" t="n">
        <v>0.4815617518108442</v>
      </c>
      <c r="J304" t="n">
        <v>13.98228070948039</v>
      </c>
      <c r="K304" t="n">
        <v>7.515178100730322</v>
      </c>
      <c r="L304" t="n">
        <v>95.5172301252112</v>
      </c>
      <c r="M304" t="n">
        <v>1302.139147565591</v>
      </c>
      <c r="N304" t="n">
        <v>20.31713792268158</v>
      </c>
      <c r="O304" t="n">
        <v>2.37</v>
      </c>
      <c r="P304" t="n">
        <v>191.3</v>
      </c>
      <c r="Q304" t="n">
        <v>27.93</v>
      </c>
      <c r="R304" t="n">
        <v>95.38</v>
      </c>
      <c r="S304" t="n">
        <v>5.95</v>
      </c>
      <c r="T304" t="inlineStr">
        <is>
          <t>L1302</t>
        </is>
      </c>
      <c r="U304" t="inlineStr">
        <is>
          <t>Sara</t>
        </is>
      </c>
    </row>
    <row r="305">
      <c r="A305" s="7" t="n">
        <v>45458.625</v>
      </c>
      <c r="B305" t="n">
        <v>13</v>
      </c>
      <c r="C305" t="inlineStr">
        <is>
          <t>B</t>
        </is>
      </c>
      <c r="D305" t="inlineStr">
        <is>
          <t>R3_Optimized</t>
        </is>
      </c>
      <c r="E305" t="inlineStr">
        <is>
          <t>Blend C (Optimized)</t>
        </is>
      </c>
      <c r="F305" t="n">
        <v>2219.596245628856</v>
      </c>
      <c r="G305" t="n">
        <v>8.932817878667079</v>
      </c>
      <c r="H305" t="n">
        <v>0.7523597324873461</v>
      </c>
      <c r="I305" t="n">
        <v>0.4891352163684579</v>
      </c>
      <c r="J305" t="n">
        <v>14.09979164786146</v>
      </c>
      <c r="K305" t="n">
        <v>6.880973655418721</v>
      </c>
      <c r="L305" t="n">
        <v>97.06219966316958</v>
      </c>
      <c r="M305" t="n">
        <v>1290.675017172418</v>
      </c>
      <c r="N305" t="n">
        <v>23.41520979929381</v>
      </c>
      <c r="O305" t="n">
        <v>2.51</v>
      </c>
      <c r="P305" t="n">
        <v>231.2</v>
      </c>
      <c r="Q305" t="n">
        <v>27.36</v>
      </c>
      <c r="R305" t="n">
        <v>95.34999999999999</v>
      </c>
      <c r="S305" t="n">
        <v>5.99</v>
      </c>
      <c r="T305" t="inlineStr">
        <is>
          <t>L1303</t>
        </is>
      </c>
      <c r="U305" t="inlineStr">
        <is>
          <t>Alireza</t>
        </is>
      </c>
    </row>
    <row r="306">
      <c r="A306" s="7" t="n">
        <v>45458.66666666666</v>
      </c>
      <c r="B306" t="n">
        <v>13</v>
      </c>
      <c r="C306" t="inlineStr">
        <is>
          <t>C</t>
        </is>
      </c>
      <c r="D306" t="inlineStr">
        <is>
          <t>R3_Optimized</t>
        </is>
      </c>
      <c r="E306" t="inlineStr">
        <is>
          <t>Blend C (Optimized)</t>
        </is>
      </c>
      <c r="F306" t="n">
        <v>2355.783194915048</v>
      </c>
      <c r="G306" t="n">
        <v>9.201863744704834</v>
      </c>
      <c r="H306" t="n">
        <v>0.8339091551541534</v>
      </c>
      <c r="I306" t="n">
        <v>0.4926579849761672</v>
      </c>
      <c r="J306" t="n">
        <v>13.11014382517615</v>
      </c>
      <c r="K306" t="n">
        <v>6.919745628448438</v>
      </c>
      <c r="L306" t="n">
        <v>91.25106829445929</v>
      </c>
      <c r="M306" t="n">
        <v>1297.337705083056</v>
      </c>
      <c r="N306" t="n">
        <v>22.4109337480132</v>
      </c>
      <c r="O306" t="n">
        <v>2.05</v>
      </c>
      <c r="P306" t="n">
        <v>264</v>
      </c>
      <c r="Q306" t="n">
        <v>24.94</v>
      </c>
      <c r="R306" t="n">
        <v>97.47</v>
      </c>
      <c r="S306" t="n">
        <v>4.85</v>
      </c>
      <c r="T306" t="inlineStr">
        <is>
          <t>L1304</t>
        </is>
      </c>
      <c r="U306" t="inlineStr">
        <is>
          <t>Mohsen</t>
        </is>
      </c>
    </row>
    <row r="307">
      <c r="A307" s="7" t="n">
        <v>45458.70833333334</v>
      </c>
      <c r="B307" t="n">
        <v>13</v>
      </c>
      <c r="C307" t="inlineStr">
        <is>
          <t>C</t>
        </is>
      </c>
      <c r="D307" t="inlineStr">
        <is>
          <t>R3_Optimized</t>
        </is>
      </c>
      <c r="E307" t="inlineStr">
        <is>
          <t>Blend C (Optimized)</t>
        </is>
      </c>
      <c r="F307" t="n">
        <v>2587.918544778793</v>
      </c>
      <c r="G307" t="n">
        <v>8.366506667140214</v>
      </c>
      <c r="H307" t="n">
        <v>0.867491833598809</v>
      </c>
      <c r="I307" t="n">
        <v>0.4898386092023417</v>
      </c>
      <c r="J307" t="n">
        <v>14.9533270132674</v>
      </c>
      <c r="K307" t="n">
        <v>7.113972826316962</v>
      </c>
      <c r="L307" t="n">
        <v>100.0344513977624</v>
      </c>
      <c r="M307" t="n">
        <v>1290.299704471074</v>
      </c>
      <c r="N307" t="n">
        <v>21.79008590085511</v>
      </c>
      <c r="O307" t="n">
        <v>2.23</v>
      </c>
      <c r="P307" t="n">
        <v>239.6</v>
      </c>
      <c r="Q307" t="n">
        <v>24.42</v>
      </c>
      <c r="R307" t="n">
        <v>95.75</v>
      </c>
      <c r="S307" t="n">
        <v>5.59</v>
      </c>
      <c r="T307" t="inlineStr">
        <is>
          <t>L1305</t>
        </is>
      </c>
      <c r="U307" t="inlineStr">
        <is>
          <t>Sara</t>
        </is>
      </c>
    </row>
    <row r="308">
      <c r="A308" s="7" t="n">
        <v>45458.75</v>
      </c>
      <c r="B308" t="n">
        <v>13</v>
      </c>
      <c r="C308" t="inlineStr">
        <is>
          <t>C</t>
        </is>
      </c>
      <c r="D308" t="inlineStr">
        <is>
          <t>R3_Optimized</t>
        </is>
      </c>
      <c r="E308" t="inlineStr">
        <is>
          <t>Blend C (Optimized)</t>
        </is>
      </c>
      <c r="F308" t="n">
        <v>2167.493572191383</v>
      </c>
      <c r="G308" t="n">
        <v>9.047163400855215</v>
      </c>
      <c r="H308" t="n">
        <v>0.8281109356434699</v>
      </c>
      <c r="I308" t="n">
        <v>0.6188274450738173</v>
      </c>
      <c r="J308" t="n">
        <v>14.16056988257716</v>
      </c>
      <c r="K308" t="n">
        <v>7.338276479674997</v>
      </c>
      <c r="L308" t="n">
        <v>98.00210707584097</v>
      </c>
      <c r="M308" t="n">
        <v>1271.623025629627</v>
      </c>
      <c r="N308" t="n">
        <v>21.14235715170632</v>
      </c>
      <c r="O308" t="n">
        <v>2.5</v>
      </c>
      <c r="P308" t="n">
        <v>314</v>
      </c>
      <c r="Q308" t="n">
        <v>27.69</v>
      </c>
      <c r="R308" t="n">
        <v>95.16</v>
      </c>
      <c r="S308" t="n">
        <v>6.13</v>
      </c>
      <c r="T308" t="inlineStr">
        <is>
          <t>L1306</t>
        </is>
      </c>
      <c r="U308" t="inlineStr">
        <is>
          <t>Alireza</t>
        </is>
      </c>
    </row>
    <row r="309">
      <c r="A309" s="7" t="n">
        <v>45458.79166666666</v>
      </c>
      <c r="B309" t="n">
        <v>13</v>
      </c>
      <c r="C309" t="inlineStr">
        <is>
          <t>C</t>
        </is>
      </c>
      <c r="D309" t="inlineStr">
        <is>
          <t>R3_Optimized</t>
        </is>
      </c>
      <c r="E309" t="inlineStr">
        <is>
          <t>Blend C (Optimized)</t>
        </is>
      </c>
      <c r="F309" t="n">
        <v>2330.097100162945</v>
      </c>
      <c r="G309" t="n">
        <v>9.383143335347443</v>
      </c>
      <c r="H309" t="n">
        <v>0.634617652391581</v>
      </c>
      <c r="I309" t="n">
        <v>0.5913488720928604</v>
      </c>
      <c r="J309" t="n">
        <v>14.08957206681862</v>
      </c>
      <c r="K309" t="n">
        <v>7.289461269780968</v>
      </c>
      <c r="L309" t="n">
        <v>88.71441258909472</v>
      </c>
      <c r="M309" t="n">
        <v>1292.423286369797</v>
      </c>
      <c r="N309" t="n">
        <v>20.32830873220581</v>
      </c>
      <c r="O309" t="n">
        <v>2.22</v>
      </c>
      <c r="P309" t="n">
        <v>186.1</v>
      </c>
      <c r="Q309" t="n">
        <v>30.11</v>
      </c>
      <c r="R309" t="n">
        <v>92.61</v>
      </c>
      <c r="S309" t="n">
        <v>6.39</v>
      </c>
      <c r="T309" t="inlineStr">
        <is>
          <t>L1307</t>
        </is>
      </c>
      <c r="U309" t="inlineStr">
        <is>
          <t>Reza</t>
        </is>
      </c>
    </row>
    <row r="310">
      <c r="A310" s="7" t="n">
        <v>45458.83333333334</v>
      </c>
      <c r="B310" t="n">
        <v>13</v>
      </c>
      <c r="C310" t="inlineStr">
        <is>
          <t>C</t>
        </is>
      </c>
      <c r="D310" t="inlineStr">
        <is>
          <t>R3_Optimized</t>
        </is>
      </c>
      <c r="E310" t="inlineStr">
        <is>
          <t>Blend C (Optimized)</t>
        </is>
      </c>
      <c r="F310" t="n">
        <v>2315.877362813064</v>
      </c>
      <c r="G310" t="n">
        <v>9.301086194242028</v>
      </c>
      <c r="H310" t="n">
        <v>0.7922402739888011</v>
      </c>
      <c r="I310" t="n">
        <v>0.5644201459357782</v>
      </c>
      <c r="J310" t="n">
        <v>14.08945247353134</v>
      </c>
      <c r="K310" t="n">
        <v>6.800708271353995</v>
      </c>
      <c r="L310" t="n">
        <v>103.3906325853128</v>
      </c>
      <c r="M310" t="n">
        <v>1291.966006429614</v>
      </c>
      <c r="N310" t="n">
        <v>22.81467421385103</v>
      </c>
      <c r="O310" t="n">
        <v>2.34</v>
      </c>
      <c r="P310" t="n">
        <v>293.4</v>
      </c>
      <c r="Q310" t="n">
        <v>26.01</v>
      </c>
      <c r="R310" t="n">
        <v>95.53</v>
      </c>
      <c r="S310" t="n">
        <v>5.22</v>
      </c>
      <c r="T310" t="inlineStr">
        <is>
          <t>L1308</t>
        </is>
      </c>
      <c r="U310" t="inlineStr">
        <is>
          <t>Alireza</t>
        </is>
      </c>
    </row>
    <row r="311">
      <c r="A311" s="7" t="n">
        <v>45458.875</v>
      </c>
      <c r="B311" t="n">
        <v>13</v>
      </c>
      <c r="C311" t="inlineStr">
        <is>
          <t>C</t>
        </is>
      </c>
      <c r="D311" t="inlineStr">
        <is>
          <t>R3_Optimized</t>
        </is>
      </c>
      <c r="E311" t="inlineStr">
        <is>
          <t>Blend C (Optimized)</t>
        </is>
      </c>
      <c r="F311" t="n">
        <v>2172.35030361102</v>
      </c>
      <c r="G311" t="n">
        <v>9.168856760784463</v>
      </c>
      <c r="H311" t="n">
        <v>0.7895395173556227</v>
      </c>
      <c r="I311" t="n">
        <v>0.6200680969828262</v>
      </c>
      <c r="J311" t="n">
        <v>14.50180973699504</v>
      </c>
      <c r="K311" t="n">
        <v>7.572100872788224</v>
      </c>
      <c r="L311" t="n">
        <v>105.3328355705788</v>
      </c>
      <c r="M311" t="n">
        <v>1300.466558469387</v>
      </c>
      <c r="N311" t="n">
        <v>23.90982367481964</v>
      </c>
      <c r="O311" t="n">
        <v>2.36</v>
      </c>
      <c r="P311" t="n">
        <v>418.1</v>
      </c>
      <c r="Q311" t="n">
        <v>28.01</v>
      </c>
      <c r="R311" t="n">
        <v>94.69</v>
      </c>
      <c r="S311" t="n">
        <v>6.35</v>
      </c>
      <c r="T311" t="inlineStr">
        <is>
          <t>L1309</t>
        </is>
      </c>
      <c r="U311" t="inlineStr">
        <is>
          <t>Mohsen</t>
        </is>
      </c>
    </row>
    <row r="312">
      <c r="A312" s="7" t="n">
        <v>45458.91666666666</v>
      </c>
      <c r="B312" t="n">
        <v>13</v>
      </c>
      <c r="C312" t="inlineStr">
        <is>
          <t>C</t>
        </is>
      </c>
      <c r="D312" t="inlineStr">
        <is>
          <t>R3_Optimized</t>
        </is>
      </c>
      <c r="E312" t="inlineStr">
        <is>
          <t>Blend C (Optimized)</t>
        </is>
      </c>
      <c r="F312" t="n">
        <v>2374.424779024619</v>
      </c>
      <c r="G312" t="n">
        <v>9.759141143106971</v>
      </c>
      <c r="H312" t="n">
        <v>0.8301507826505828</v>
      </c>
      <c r="I312" t="n">
        <v>0.5756301496953345</v>
      </c>
      <c r="J312" t="n">
        <v>14.32043566953778</v>
      </c>
      <c r="K312" t="n">
        <v>6.958612076675585</v>
      </c>
      <c r="L312" t="n">
        <v>98.65945818330545</v>
      </c>
      <c r="M312" t="n">
        <v>1300.062833630353</v>
      </c>
      <c r="N312" t="n">
        <v>22.06961913316539</v>
      </c>
      <c r="O312" t="n">
        <v>2.44</v>
      </c>
      <c r="P312" t="n">
        <v>219</v>
      </c>
      <c r="Q312" t="n">
        <v>25.09</v>
      </c>
      <c r="R312" t="n">
        <v>95.83</v>
      </c>
      <c r="S312" t="n">
        <v>5.14</v>
      </c>
      <c r="T312" t="inlineStr">
        <is>
          <t>L1310</t>
        </is>
      </c>
      <c r="U312" t="inlineStr">
        <is>
          <t>Mohsen</t>
        </is>
      </c>
    </row>
    <row r="313">
      <c r="A313" s="7" t="n">
        <v>45458.95833333334</v>
      </c>
      <c r="B313" t="n">
        <v>13</v>
      </c>
      <c r="C313" t="inlineStr">
        <is>
          <t>C</t>
        </is>
      </c>
      <c r="D313" t="inlineStr">
        <is>
          <t>R3_Optimized</t>
        </is>
      </c>
      <c r="E313" t="inlineStr">
        <is>
          <t>Blend C (Optimized)</t>
        </is>
      </c>
      <c r="F313" t="n">
        <v>2236.572046401704</v>
      </c>
      <c r="G313" t="n">
        <v>9.421119858948733</v>
      </c>
      <c r="H313" t="n">
        <v>0.8439426218361733</v>
      </c>
      <c r="I313" t="n">
        <v>0.524472845690612</v>
      </c>
      <c r="J313" t="n">
        <v>14.18067690254099</v>
      </c>
      <c r="K313" t="n">
        <v>7.074895929982039</v>
      </c>
      <c r="L313" t="n">
        <v>107.1444147333445</v>
      </c>
      <c r="M313" t="n">
        <v>1287.742895564568</v>
      </c>
      <c r="N313" t="n">
        <v>21.19618777438222</v>
      </c>
      <c r="O313" t="n">
        <v>2.38</v>
      </c>
      <c r="P313" t="n">
        <v>263.1</v>
      </c>
      <c r="Q313" t="n">
        <v>26.46</v>
      </c>
      <c r="R313" t="n">
        <v>95.31</v>
      </c>
      <c r="S313" t="n">
        <v>5.5</v>
      </c>
      <c r="T313" t="inlineStr">
        <is>
          <t>L1311</t>
        </is>
      </c>
      <c r="U313" t="inlineStr">
        <is>
          <t>Alireza</t>
        </is>
      </c>
    </row>
    <row r="314">
      <c r="A314" s="7" t="n">
        <v>45459</v>
      </c>
      <c r="B314" t="n">
        <v>14</v>
      </c>
      <c r="C314" t="inlineStr">
        <is>
          <t>A</t>
        </is>
      </c>
      <c r="D314" t="inlineStr">
        <is>
          <t>R3_Optimized</t>
        </is>
      </c>
      <c r="E314" t="inlineStr">
        <is>
          <t>Blend C (Optimized)</t>
        </is>
      </c>
      <c r="F314" t="n">
        <v>2361.982223082211</v>
      </c>
      <c r="G314" t="n">
        <v>9.296669812445087</v>
      </c>
      <c r="H314" t="n">
        <v>0.8421345284657897</v>
      </c>
      <c r="I314" t="n">
        <v>0.6080549290077953</v>
      </c>
      <c r="J314" t="n">
        <v>13.51030752842103</v>
      </c>
      <c r="K314" t="n">
        <v>6.816905987363953</v>
      </c>
      <c r="L314" t="n">
        <v>112.0623856892336</v>
      </c>
      <c r="M314" t="n">
        <v>1305.641849710032</v>
      </c>
      <c r="N314" t="n">
        <v>21.71839282638511</v>
      </c>
      <c r="O314" t="n">
        <v>2.39</v>
      </c>
      <c r="P314" t="n">
        <v>344.5</v>
      </c>
      <c r="Q314" t="n">
        <v>26.15</v>
      </c>
      <c r="R314" t="n">
        <v>95.63</v>
      </c>
      <c r="S314" t="n">
        <v>5.14</v>
      </c>
      <c r="T314" t="inlineStr">
        <is>
          <t>L1312</t>
        </is>
      </c>
      <c r="U314" t="inlineStr">
        <is>
          <t>Reza</t>
        </is>
      </c>
    </row>
    <row r="315">
      <c r="A315" s="7" t="n">
        <v>45459.04166666666</v>
      </c>
      <c r="B315" t="n">
        <v>14</v>
      </c>
      <c r="C315" t="inlineStr">
        <is>
          <t>A</t>
        </is>
      </c>
      <c r="D315" t="inlineStr">
        <is>
          <t>R3_Optimized</t>
        </is>
      </c>
      <c r="E315" t="inlineStr">
        <is>
          <t>Blend C (Optimized)</t>
        </is>
      </c>
      <c r="F315" t="n">
        <v>2494.763893027801</v>
      </c>
      <c r="G315" t="n">
        <v>9.363621166443743</v>
      </c>
      <c r="H315" t="n">
        <v>0.8051852100391383</v>
      </c>
      <c r="I315" t="n">
        <v>0.5752297940797375</v>
      </c>
      <c r="J315" t="n">
        <v>14.43886307468908</v>
      </c>
      <c r="K315" t="n">
        <v>7.620583446824564</v>
      </c>
      <c r="L315" t="n">
        <v>113.6561099553899</v>
      </c>
      <c r="M315" t="n">
        <v>1299.102207928888</v>
      </c>
      <c r="N315" t="n">
        <v>21.38193728932499</v>
      </c>
      <c r="O315" t="n">
        <v>1.85</v>
      </c>
      <c r="P315" t="n">
        <v>230.4</v>
      </c>
      <c r="Q315" t="n">
        <v>26.48</v>
      </c>
      <c r="R315" t="n">
        <v>94.70999999999999</v>
      </c>
      <c r="S315" t="n">
        <v>5.58</v>
      </c>
      <c r="T315" t="inlineStr">
        <is>
          <t>L1313</t>
        </is>
      </c>
      <c r="U315" t="inlineStr">
        <is>
          <t>Alireza</t>
        </is>
      </c>
    </row>
    <row r="316">
      <c r="A316" s="7" t="n">
        <v>45459.08333333334</v>
      </c>
      <c r="B316" t="n">
        <v>14</v>
      </c>
      <c r="C316" t="inlineStr">
        <is>
          <t>A</t>
        </is>
      </c>
      <c r="D316" t="inlineStr">
        <is>
          <t>R3_Optimized</t>
        </is>
      </c>
      <c r="E316" t="inlineStr">
        <is>
          <t>Blend C (Optimized)</t>
        </is>
      </c>
      <c r="F316" t="n">
        <v>2278.385869827426</v>
      </c>
      <c r="G316" t="n">
        <v>8.920722667212951</v>
      </c>
      <c r="H316" t="n">
        <v>0.9137087644352322</v>
      </c>
      <c r="I316" t="n">
        <v>0.4423676511727094</v>
      </c>
      <c r="J316" t="n">
        <v>14.00940142949788</v>
      </c>
      <c r="K316" t="n">
        <v>7.605958974271173</v>
      </c>
      <c r="L316" t="n">
        <v>103.4570981409063</v>
      </c>
      <c r="M316" t="n">
        <v>1292.349458040457</v>
      </c>
      <c r="N316" t="n">
        <v>22.36034389353579</v>
      </c>
      <c r="O316" t="n">
        <v>2.77</v>
      </c>
      <c r="P316" t="n">
        <v>260.3</v>
      </c>
      <c r="Q316" t="n">
        <v>25.22</v>
      </c>
      <c r="R316" t="n">
        <v>96.40000000000001</v>
      </c>
      <c r="S316" t="n">
        <v>5.06</v>
      </c>
      <c r="T316" t="inlineStr">
        <is>
          <t>L1314</t>
        </is>
      </c>
      <c r="U316" t="inlineStr">
        <is>
          <t>Alireza</t>
        </is>
      </c>
    </row>
    <row r="317">
      <c r="A317" s="7" t="n">
        <v>45459.125</v>
      </c>
      <c r="B317" t="n">
        <v>14</v>
      </c>
      <c r="C317" t="inlineStr">
        <is>
          <t>A</t>
        </is>
      </c>
      <c r="D317" t="inlineStr">
        <is>
          <t>R3_Optimized</t>
        </is>
      </c>
      <c r="E317" t="inlineStr">
        <is>
          <t>Blend C (Optimized)</t>
        </is>
      </c>
      <c r="F317" t="n">
        <v>2285.429120606671</v>
      </c>
      <c r="G317" t="n">
        <v>9.232251529378614</v>
      </c>
      <c r="H317" t="n">
        <v>0.7617751698750477</v>
      </c>
      <c r="I317" t="n">
        <v>0.6645241214766781</v>
      </c>
      <c r="J317" t="n">
        <v>14.00962586110692</v>
      </c>
      <c r="K317" t="n">
        <v>7.809132072595096</v>
      </c>
      <c r="L317" t="n">
        <v>101.1198545985449</v>
      </c>
      <c r="M317" t="n">
        <v>1267.38773017884</v>
      </c>
      <c r="N317" t="n">
        <v>22.64219420229603</v>
      </c>
      <c r="O317" t="n">
        <v>2.6</v>
      </c>
      <c r="P317" t="n">
        <v>294.9</v>
      </c>
      <c r="Q317" t="n">
        <v>26.91</v>
      </c>
      <c r="R317" t="n">
        <v>94.06</v>
      </c>
      <c r="S317" t="n">
        <v>5.78</v>
      </c>
      <c r="T317" t="inlineStr">
        <is>
          <t>L1315</t>
        </is>
      </c>
      <c r="U317" t="inlineStr">
        <is>
          <t>Alireza</t>
        </is>
      </c>
    </row>
    <row r="318">
      <c r="A318" s="7" t="n">
        <v>45459.16666666666</v>
      </c>
      <c r="B318" t="n">
        <v>14</v>
      </c>
      <c r="C318" t="inlineStr">
        <is>
          <t>A</t>
        </is>
      </c>
      <c r="D318" t="inlineStr">
        <is>
          <t>R3_Optimized</t>
        </is>
      </c>
      <c r="E318" t="inlineStr">
        <is>
          <t>Blend C (Optimized)</t>
        </is>
      </c>
      <c r="F318" t="n">
        <v>2264.302790510713</v>
      </c>
      <c r="G318" t="n">
        <v>8.603884727365331</v>
      </c>
      <c r="H318" t="n">
        <v>0.7259580321004988</v>
      </c>
      <c r="I318" t="n">
        <v>0.5426806409954418</v>
      </c>
      <c r="J318" t="n">
        <v>13.81391014354468</v>
      </c>
      <c r="K318" t="n">
        <v>6.83548110450395</v>
      </c>
      <c r="L318" t="n">
        <v>104.9887632353143</v>
      </c>
      <c r="M318" t="n">
        <v>1323.771174053229</v>
      </c>
      <c r="N318" t="n">
        <v>21.32307905487102</v>
      </c>
      <c r="O318" t="n">
        <v>2.32</v>
      </c>
      <c r="P318" t="n">
        <v>219.8</v>
      </c>
      <c r="Q318" t="n">
        <v>24.77</v>
      </c>
      <c r="R318" t="n">
        <v>96.91</v>
      </c>
      <c r="S318" t="n">
        <v>4.73</v>
      </c>
      <c r="T318" t="inlineStr">
        <is>
          <t>L1316</t>
        </is>
      </c>
      <c r="U318" t="inlineStr">
        <is>
          <t>Alireza</t>
        </is>
      </c>
    </row>
    <row r="319">
      <c r="A319" s="7" t="n">
        <v>45459.20833333334</v>
      </c>
      <c r="B319" t="n">
        <v>14</v>
      </c>
      <c r="C319" t="inlineStr">
        <is>
          <t>A</t>
        </is>
      </c>
      <c r="D319" t="inlineStr">
        <is>
          <t>R3_Optimized</t>
        </is>
      </c>
      <c r="E319" t="inlineStr">
        <is>
          <t>Blend C (Optimized)</t>
        </is>
      </c>
      <c r="F319" t="n">
        <v>2289.205010943527</v>
      </c>
      <c r="G319" t="n">
        <v>8.320449783098228</v>
      </c>
      <c r="H319" t="n">
        <v>0.6848847243652081</v>
      </c>
      <c r="I319" t="n">
        <v>0.4602312919757984</v>
      </c>
      <c r="J319" t="n">
        <v>14.25354500929703</v>
      </c>
      <c r="K319" t="n">
        <v>7.198366363756281</v>
      </c>
      <c r="L319" t="n">
        <v>109.4213773693259</v>
      </c>
      <c r="M319" t="n">
        <v>1300.616188546876</v>
      </c>
      <c r="N319" t="n">
        <v>22.56923561119629</v>
      </c>
      <c r="O319" t="n">
        <v>2.41</v>
      </c>
      <c r="P319" t="n">
        <v>171.4</v>
      </c>
      <c r="Q319" t="n">
        <v>28.22</v>
      </c>
      <c r="R319" t="n">
        <v>94.56</v>
      </c>
      <c r="S319" t="n">
        <v>6.01</v>
      </c>
      <c r="T319" t="inlineStr">
        <is>
          <t>L1317</t>
        </is>
      </c>
      <c r="U319" t="inlineStr">
        <is>
          <t>Alireza</t>
        </is>
      </c>
    </row>
    <row r="320">
      <c r="A320" s="7" t="n">
        <v>45459.25</v>
      </c>
      <c r="B320" t="n">
        <v>14</v>
      </c>
      <c r="C320" t="inlineStr">
        <is>
          <t>A</t>
        </is>
      </c>
      <c r="D320" t="inlineStr">
        <is>
          <t>R3_Optimized</t>
        </is>
      </c>
      <c r="E320" t="inlineStr">
        <is>
          <t>Blend C (Optimized)</t>
        </is>
      </c>
      <c r="F320" t="n">
        <v>2159.335556159113</v>
      </c>
      <c r="G320" t="n">
        <v>9.167948277824259</v>
      </c>
      <c r="H320" t="n">
        <v>0.7467543640365043</v>
      </c>
      <c r="I320" t="n">
        <v>0.6168432656985883</v>
      </c>
      <c r="J320" t="n">
        <v>14.29324041787656</v>
      </c>
      <c r="K320" t="n">
        <v>7.495656901191511</v>
      </c>
      <c r="L320" t="n">
        <v>102.9568857730546</v>
      </c>
      <c r="M320" t="n">
        <v>1279.945664021859</v>
      </c>
      <c r="N320" t="n">
        <v>22.76978771623328</v>
      </c>
      <c r="O320" t="n">
        <v>2.42</v>
      </c>
      <c r="P320" t="n">
        <v>249.4</v>
      </c>
      <c r="Q320" t="n">
        <v>26.17</v>
      </c>
      <c r="R320" t="n">
        <v>95.47</v>
      </c>
      <c r="S320" t="n">
        <v>5.65</v>
      </c>
      <c r="T320" t="inlineStr">
        <is>
          <t>L1318</t>
        </is>
      </c>
      <c r="U320" t="inlineStr">
        <is>
          <t>Alireza</t>
        </is>
      </c>
    </row>
    <row r="321">
      <c r="A321" s="7" t="n">
        <v>45459.29166666666</v>
      </c>
      <c r="B321" t="n">
        <v>14</v>
      </c>
      <c r="C321" t="inlineStr">
        <is>
          <t>A</t>
        </is>
      </c>
      <c r="D321" t="inlineStr">
        <is>
          <t>R3_Optimized</t>
        </is>
      </c>
      <c r="E321" t="inlineStr">
        <is>
          <t>Blend C (Optimized)</t>
        </is>
      </c>
      <c r="F321" t="n">
        <v>2229.248015434842</v>
      </c>
      <c r="G321" t="n">
        <v>9.617197877568465</v>
      </c>
      <c r="H321" t="n">
        <v>0.8285356092006942</v>
      </c>
      <c r="I321" t="n">
        <v>0.5557199625616525</v>
      </c>
      <c r="J321" t="n">
        <v>14.22270202670917</v>
      </c>
      <c r="K321" t="n">
        <v>6.672913546571663</v>
      </c>
      <c r="L321" t="n">
        <v>104.7942249631602</v>
      </c>
      <c r="M321" t="n">
        <v>1297.550634220705</v>
      </c>
      <c r="N321" t="n">
        <v>23.06413896607065</v>
      </c>
      <c r="O321" t="n">
        <v>2.51</v>
      </c>
      <c r="Q321" t="n">
        <v>26.08</v>
      </c>
      <c r="R321" t="n">
        <v>95</v>
      </c>
      <c r="S321" t="n">
        <v>5.64</v>
      </c>
      <c r="T321" t="inlineStr">
        <is>
          <t>L1319</t>
        </is>
      </c>
      <c r="U321" t="inlineStr">
        <is>
          <t>Mohsen</t>
        </is>
      </c>
      <c r="V321" t="inlineStr">
        <is>
          <t>Missing</t>
        </is>
      </c>
    </row>
    <row r="322">
      <c r="A322" s="7" t="n">
        <v>45459.33333333334</v>
      </c>
      <c r="B322" t="n">
        <v>14</v>
      </c>
      <c r="C322" t="inlineStr">
        <is>
          <t>B</t>
        </is>
      </c>
      <c r="D322" t="inlineStr">
        <is>
          <t>R3_Optimized</t>
        </is>
      </c>
      <c r="E322" t="inlineStr">
        <is>
          <t>Blend C (Optimized)</t>
        </is>
      </c>
      <c r="F322" t="n">
        <v>2463.894545523821</v>
      </c>
      <c r="G322" t="n">
        <v>8.902163103336013</v>
      </c>
      <c r="H322" t="n">
        <v>0.7763158544630677</v>
      </c>
      <c r="I322" t="n">
        <v>0.5572194666604251</v>
      </c>
      <c r="J322" t="n">
        <v>15.04650977261706</v>
      </c>
      <c r="K322" t="n">
        <v>6.589536453937125</v>
      </c>
      <c r="L322" t="n">
        <v>94.14826922542832</v>
      </c>
      <c r="M322" t="n">
        <v>1287.321637208159</v>
      </c>
      <c r="N322" t="n">
        <v>21.56504995652958</v>
      </c>
      <c r="O322" t="n">
        <v>2.5</v>
      </c>
      <c r="P322" t="n">
        <v>211.2</v>
      </c>
      <c r="Q322" t="n">
        <v>27.82</v>
      </c>
      <c r="R322" t="n">
        <v>93.59999999999999</v>
      </c>
      <c r="S322" t="n">
        <v>5.69</v>
      </c>
      <c r="T322" t="inlineStr">
        <is>
          <t>L1320</t>
        </is>
      </c>
      <c r="U322" t="inlineStr">
        <is>
          <t>Sara</t>
        </is>
      </c>
    </row>
    <row r="323">
      <c r="A323" s="7" t="n">
        <v>45459.375</v>
      </c>
      <c r="B323" t="n">
        <v>14</v>
      </c>
      <c r="C323" t="inlineStr">
        <is>
          <t>B</t>
        </is>
      </c>
      <c r="D323" t="inlineStr">
        <is>
          <t>R3_Optimized</t>
        </is>
      </c>
      <c r="E323" t="inlineStr">
        <is>
          <t>Blend C (Optimized)</t>
        </is>
      </c>
      <c r="F323" t="n">
        <v>2283.616197496924</v>
      </c>
      <c r="G323" t="n">
        <v>9.42704363308756</v>
      </c>
      <c r="H323" t="n">
        <v>0.8729741139696227</v>
      </c>
      <c r="I323" t="n">
        <v>0.6223893265768921</v>
      </c>
      <c r="J323" t="n">
        <v>14.55185267495654</v>
      </c>
      <c r="K323" t="n">
        <v>7.442817333163008</v>
      </c>
      <c r="L323" t="n">
        <v>104.9209628075056</v>
      </c>
      <c r="M323" t="n">
        <v>1291.930921766439</v>
      </c>
      <c r="N323" t="n">
        <v>22.20728112543471</v>
      </c>
      <c r="O323" t="n">
        <v>2.6</v>
      </c>
      <c r="P323" t="n">
        <v>247.3</v>
      </c>
      <c r="Q323" t="n">
        <v>25.44</v>
      </c>
      <c r="R323" t="n">
        <v>96.14</v>
      </c>
      <c r="S323" t="n">
        <v>6</v>
      </c>
      <c r="T323" t="inlineStr">
        <is>
          <t>L1321</t>
        </is>
      </c>
      <c r="U323" t="inlineStr">
        <is>
          <t>Reza</t>
        </is>
      </c>
    </row>
    <row r="324">
      <c r="A324" s="7" t="n">
        <v>45459.41666666666</v>
      </c>
      <c r="B324" t="n">
        <v>14</v>
      </c>
      <c r="C324" t="inlineStr">
        <is>
          <t>B</t>
        </is>
      </c>
      <c r="D324" t="inlineStr">
        <is>
          <t>R3_Optimized</t>
        </is>
      </c>
      <c r="E324" t="inlineStr">
        <is>
          <t>Blend C (Optimized)</t>
        </is>
      </c>
      <c r="F324" t="n">
        <v>3032.102341959871</v>
      </c>
      <c r="G324" t="n">
        <v>8.67358453947708</v>
      </c>
      <c r="H324" t="n">
        <v>0.7744393814851399</v>
      </c>
      <c r="I324" t="n">
        <v>0.5938895126322198</v>
      </c>
      <c r="J324" t="n">
        <v>14.08247621463313</v>
      </c>
      <c r="K324" t="n">
        <v>6.715567369144739</v>
      </c>
      <c r="L324" t="n">
        <v>104.1362698251444</v>
      </c>
      <c r="M324" t="n">
        <v>1295.278312201662</v>
      </c>
      <c r="N324" t="n">
        <v>22.60836226857356</v>
      </c>
      <c r="O324" t="n">
        <v>2.89</v>
      </c>
      <c r="P324" t="n">
        <v>288.1</v>
      </c>
      <c r="Q324" t="n">
        <v>25.04</v>
      </c>
      <c r="R324" t="n">
        <v>97.22</v>
      </c>
      <c r="S324" t="n">
        <v>4.27</v>
      </c>
      <c r="T324" t="inlineStr">
        <is>
          <t>L1322</t>
        </is>
      </c>
      <c r="U324" t="inlineStr">
        <is>
          <t>Reza</t>
        </is>
      </c>
    </row>
    <row r="325">
      <c r="A325" s="7" t="n">
        <v>45459.45833333334</v>
      </c>
      <c r="B325" t="n">
        <v>14</v>
      </c>
      <c r="C325" t="inlineStr">
        <is>
          <t>B</t>
        </is>
      </c>
      <c r="D325" t="inlineStr">
        <is>
          <t>R3_Optimized</t>
        </is>
      </c>
      <c r="E325" t="inlineStr">
        <is>
          <t>Blend C (Optimized)</t>
        </is>
      </c>
      <c r="F325" t="n">
        <v>2295.197648816514</v>
      </c>
      <c r="G325" t="n">
        <v>9.280177281363823</v>
      </c>
      <c r="H325" t="n">
        <v>0.7375644741297381</v>
      </c>
      <c r="I325" t="n">
        <v>0.5666219828984856</v>
      </c>
      <c r="J325" t="n">
        <v>14.31760595852066</v>
      </c>
      <c r="K325" t="n">
        <v>7.062429235350315</v>
      </c>
      <c r="L325" t="n">
        <v>99.90673549930501</v>
      </c>
      <c r="M325" t="n">
        <v>1312.459519345202</v>
      </c>
      <c r="N325" t="n">
        <v>20.65684661928436</v>
      </c>
      <c r="O325" t="n">
        <v>1.91</v>
      </c>
      <c r="P325" t="n">
        <v>210.3</v>
      </c>
      <c r="Q325" t="n">
        <v>25.8</v>
      </c>
      <c r="R325" t="n">
        <v>96.51000000000001</v>
      </c>
      <c r="S325" t="n">
        <v>5.46</v>
      </c>
      <c r="T325" t="inlineStr">
        <is>
          <t>L1323</t>
        </is>
      </c>
      <c r="U325" t="inlineStr">
        <is>
          <t>Alireza</t>
        </is>
      </c>
    </row>
    <row r="326">
      <c r="A326" s="7" t="n">
        <v>45459.5</v>
      </c>
      <c r="B326" t="n">
        <v>14</v>
      </c>
      <c r="C326" t="inlineStr">
        <is>
          <t>B</t>
        </is>
      </c>
      <c r="D326" t="inlineStr">
        <is>
          <t>R3_Optimized</t>
        </is>
      </c>
      <c r="E326" t="inlineStr">
        <is>
          <t>Blend C (Optimized)</t>
        </is>
      </c>
      <c r="F326" t="n">
        <v>2524.884176730753</v>
      </c>
      <c r="G326" t="n">
        <v>9.295877664247568</v>
      </c>
      <c r="H326" t="n">
        <v>0.8819075236342123</v>
      </c>
      <c r="I326" t="n">
        <v>0.5612715015859165</v>
      </c>
      <c r="J326" t="n">
        <v>13.00952451978484</v>
      </c>
      <c r="K326" t="n">
        <v>6.737927012949883</v>
      </c>
      <c r="L326" t="n">
        <v>99.00451448927981</v>
      </c>
      <c r="M326" t="n">
        <v>1304.081861443082</v>
      </c>
      <c r="N326" t="n">
        <v>21.52474797511578</v>
      </c>
      <c r="O326" t="n">
        <v>2.12</v>
      </c>
      <c r="P326" t="n">
        <v>287</v>
      </c>
      <c r="Q326" t="n">
        <v>25.74</v>
      </c>
      <c r="R326" t="n">
        <v>95.65000000000001</v>
      </c>
      <c r="S326" t="n">
        <v>5.41</v>
      </c>
      <c r="T326" t="inlineStr">
        <is>
          <t>L1324</t>
        </is>
      </c>
      <c r="U326" t="inlineStr">
        <is>
          <t>Sara</t>
        </is>
      </c>
    </row>
    <row r="327">
      <c r="A327" s="7" t="n">
        <v>45459.54166666666</v>
      </c>
      <c r="B327" t="n">
        <v>14</v>
      </c>
      <c r="C327" t="inlineStr">
        <is>
          <t>B</t>
        </is>
      </c>
      <c r="D327" t="inlineStr">
        <is>
          <t>R3_Optimized</t>
        </is>
      </c>
      <c r="E327" t="inlineStr">
        <is>
          <t>Blend C (Optimized)</t>
        </is>
      </c>
      <c r="F327" t="n">
        <v>2170.61293373403</v>
      </c>
      <c r="G327" t="n">
        <v>9.287336634967845</v>
      </c>
      <c r="H327" t="n">
        <v>0.7616371604168832</v>
      </c>
      <c r="I327" t="n">
        <v>0.5549607662554276</v>
      </c>
      <c r="J327" t="n">
        <v>14.55512037510107</v>
      </c>
      <c r="K327" t="n">
        <v>7.861367855894835</v>
      </c>
      <c r="L327" t="n">
        <v>98.45145740365723</v>
      </c>
      <c r="M327" t="n">
        <v>1297.948404888129</v>
      </c>
      <c r="N327" t="n">
        <v>22.68030314320429</v>
      </c>
      <c r="O327" t="n">
        <v>2.02</v>
      </c>
      <c r="P327" t="n">
        <v>248.6</v>
      </c>
      <c r="Q327" t="n">
        <v>26.5</v>
      </c>
      <c r="R327" t="n">
        <v>95.70999999999999</v>
      </c>
      <c r="S327" t="n">
        <v>5.78</v>
      </c>
      <c r="T327" t="inlineStr">
        <is>
          <t>L1325</t>
        </is>
      </c>
      <c r="U327" t="inlineStr">
        <is>
          <t>Mohsen</t>
        </is>
      </c>
    </row>
    <row r="328">
      <c r="A328" s="7" t="n">
        <v>45459.58333333334</v>
      </c>
      <c r="B328" t="n">
        <v>14</v>
      </c>
      <c r="C328" t="inlineStr">
        <is>
          <t>B</t>
        </is>
      </c>
      <c r="D328" t="inlineStr">
        <is>
          <t>R3_Optimized</t>
        </is>
      </c>
      <c r="E328" t="inlineStr">
        <is>
          <t>Blend C (Optimized)</t>
        </is>
      </c>
      <c r="F328" t="n">
        <v>2393.737732534411</v>
      </c>
      <c r="G328" t="n">
        <v>8.781241747512667</v>
      </c>
      <c r="H328" t="n">
        <v>0.8560085747561442</v>
      </c>
      <c r="I328" t="n">
        <v>0.5408415717663302</v>
      </c>
      <c r="J328" t="n">
        <v>13.73987392021075</v>
      </c>
      <c r="K328" t="n">
        <v>7.552259151497472</v>
      </c>
      <c r="L328" t="n">
        <v>102.5975518953792</v>
      </c>
      <c r="M328" t="n">
        <v>1292.697186224658</v>
      </c>
      <c r="N328" t="n">
        <v>21.41556523823605</v>
      </c>
      <c r="O328" t="n">
        <v>2.54</v>
      </c>
      <c r="P328" t="n">
        <v>284.5</v>
      </c>
      <c r="Q328" t="n">
        <v>25.85</v>
      </c>
      <c r="R328" t="n">
        <v>96.48</v>
      </c>
      <c r="S328" t="n">
        <v>5.12</v>
      </c>
      <c r="T328" t="inlineStr">
        <is>
          <t>L1326</t>
        </is>
      </c>
      <c r="U328" t="inlineStr">
        <is>
          <t>Mohsen</t>
        </is>
      </c>
    </row>
    <row r="329">
      <c r="A329" s="7" t="n">
        <v>45459.625</v>
      </c>
      <c r="B329" t="n">
        <v>14</v>
      </c>
      <c r="C329" t="inlineStr">
        <is>
          <t>B</t>
        </is>
      </c>
      <c r="D329" t="inlineStr">
        <is>
          <t>R3_Optimized</t>
        </is>
      </c>
      <c r="E329" t="inlineStr">
        <is>
          <t>Blend C (Optimized)</t>
        </is>
      </c>
      <c r="G329" t="n">
        <v>9.484208122184269</v>
      </c>
      <c r="H329" t="n">
        <v>0.6190221900407947</v>
      </c>
      <c r="I329" t="n">
        <v>0.4795842409330018</v>
      </c>
      <c r="J329" t="n">
        <v>13.54873452839351</v>
      </c>
      <c r="K329" t="n">
        <v>7.346884788854541</v>
      </c>
      <c r="L329" t="n">
        <v>99.38795703190662</v>
      </c>
      <c r="M329" t="n">
        <v>1303.003681109477</v>
      </c>
      <c r="N329" t="n">
        <v>21.17453306595047</v>
      </c>
      <c r="O329" t="n">
        <v>1.88</v>
      </c>
      <c r="P329" t="n">
        <v>173.8</v>
      </c>
      <c r="Q329" t="n">
        <v>29.41</v>
      </c>
      <c r="R329" t="n">
        <v>93.86</v>
      </c>
      <c r="S329" t="n">
        <v>6.07</v>
      </c>
      <c r="T329" t="inlineStr">
        <is>
          <t>L1327</t>
        </is>
      </c>
      <c r="U329" t="inlineStr">
        <is>
          <t>Sara</t>
        </is>
      </c>
      <c r="V329" t="inlineStr">
        <is>
          <t>Missing</t>
        </is>
      </c>
    </row>
    <row r="330">
      <c r="A330" s="7" t="n">
        <v>45459.66666666666</v>
      </c>
      <c r="B330" t="n">
        <v>14</v>
      </c>
      <c r="C330" t="inlineStr">
        <is>
          <t>C</t>
        </is>
      </c>
      <c r="D330" t="inlineStr">
        <is>
          <t>R3_Optimized</t>
        </is>
      </c>
      <c r="E330" t="inlineStr">
        <is>
          <t>Blend C (Optimized)</t>
        </is>
      </c>
      <c r="F330" t="n">
        <v>2428.105893210506</v>
      </c>
      <c r="G330" t="n">
        <v>9.535284141988367</v>
      </c>
      <c r="H330" t="n">
        <v>0.6844738625256547</v>
      </c>
      <c r="I330" t="n">
        <v>0.6048472074364443</v>
      </c>
      <c r="J330" t="n">
        <v>14.39296161467031</v>
      </c>
      <c r="K330" t="n">
        <v>7.70577337085959</v>
      </c>
      <c r="L330" t="n">
        <v>102.4028249166634</v>
      </c>
      <c r="M330" t="n">
        <v>1315.977683253564</v>
      </c>
      <c r="N330" t="n">
        <v>20.65776147731708</v>
      </c>
      <c r="O330" t="n">
        <v>2</v>
      </c>
      <c r="P330" t="n">
        <v>269.4</v>
      </c>
      <c r="Q330" t="n">
        <v>26.93</v>
      </c>
      <c r="R330" t="n">
        <v>95.86</v>
      </c>
      <c r="S330" t="n">
        <v>4.98</v>
      </c>
      <c r="T330" t="inlineStr">
        <is>
          <t>L1328</t>
        </is>
      </c>
      <c r="U330" t="inlineStr">
        <is>
          <t>Alireza</t>
        </is>
      </c>
    </row>
    <row r="331">
      <c r="A331" s="7" t="n">
        <v>45459.70833333334</v>
      </c>
      <c r="B331" t="n">
        <v>14</v>
      </c>
      <c r="C331" t="inlineStr">
        <is>
          <t>C</t>
        </is>
      </c>
      <c r="D331" t="inlineStr">
        <is>
          <t>R3_Optimized</t>
        </is>
      </c>
      <c r="E331" t="inlineStr">
        <is>
          <t>Blend C (Optimized)</t>
        </is>
      </c>
      <c r="F331" t="n">
        <v>2683.017314694902</v>
      </c>
      <c r="G331" t="n">
        <v>9.481672536492761</v>
      </c>
      <c r="H331" t="n">
        <v>0.7393549627723066</v>
      </c>
      <c r="I331" t="n">
        <v>0.5500260785520451</v>
      </c>
      <c r="J331" t="n">
        <v>13.37948075961403</v>
      </c>
      <c r="K331" t="n">
        <v>7.267191652224274</v>
      </c>
      <c r="L331" t="n">
        <v>104.8058161288984</v>
      </c>
      <c r="M331" t="n">
        <v>1291.839398615167</v>
      </c>
      <c r="N331" t="n">
        <v>22.39185145761026</v>
      </c>
      <c r="O331" t="n">
        <v>2.3</v>
      </c>
      <c r="P331" t="n">
        <v>280.5</v>
      </c>
      <c r="Q331" t="n">
        <v>27.23</v>
      </c>
      <c r="R331" t="n">
        <v>95.17</v>
      </c>
      <c r="S331" t="n">
        <v>6.18</v>
      </c>
      <c r="T331" t="inlineStr">
        <is>
          <t>L1329</t>
        </is>
      </c>
      <c r="U331" t="inlineStr">
        <is>
          <t>Alireza</t>
        </is>
      </c>
    </row>
    <row r="332">
      <c r="A332" s="7" t="n">
        <v>45459.75</v>
      </c>
      <c r="B332" t="n">
        <v>14</v>
      </c>
      <c r="C332" t="inlineStr">
        <is>
          <t>C</t>
        </is>
      </c>
      <c r="D332" t="inlineStr">
        <is>
          <t>R3_Optimized</t>
        </is>
      </c>
      <c r="E332" t="inlineStr">
        <is>
          <t>Blend C (Optimized)</t>
        </is>
      </c>
      <c r="F332" t="n">
        <v>2412.51079898931</v>
      </c>
      <c r="G332" t="n">
        <v>10.09324810494476</v>
      </c>
      <c r="H332" t="n">
        <v>0.7032847011864594</v>
      </c>
      <c r="I332" t="n">
        <v>0.5441631059261018</v>
      </c>
      <c r="J332" t="n">
        <v>14.43734413349868</v>
      </c>
      <c r="K332" t="n">
        <v>6.94193410979603</v>
      </c>
      <c r="L332" t="n">
        <v>98.53107756224664</v>
      </c>
      <c r="M332" t="n">
        <v>1306.265350365717</v>
      </c>
      <c r="N332" t="n">
        <v>21.76744482555366</v>
      </c>
      <c r="O332" t="n">
        <v>1.73</v>
      </c>
      <c r="P332" t="n">
        <v>224</v>
      </c>
      <c r="Q332" t="n">
        <v>27.51</v>
      </c>
      <c r="R332" t="n">
        <v>94.26000000000001</v>
      </c>
      <c r="S332" t="n">
        <v>5.59</v>
      </c>
      <c r="T332" t="inlineStr">
        <is>
          <t>L1330</t>
        </is>
      </c>
      <c r="U332" t="inlineStr">
        <is>
          <t>Reza</t>
        </is>
      </c>
    </row>
    <row r="333">
      <c r="A333" s="7" t="n">
        <v>45459.79166666666</v>
      </c>
      <c r="B333" t="n">
        <v>14</v>
      </c>
      <c r="C333" t="inlineStr">
        <is>
          <t>C</t>
        </is>
      </c>
      <c r="D333" t="inlineStr">
        <is>
          <t>R3_Optimized</t>
        </is>
      </c>
      <c r="E333" t="inlineStr">
        <is>
          <t>Blend C (Optimized)</t>
        </is>
      </c>
      <c r="F333" t="n">
        <v>2224.964067422825</v>
      </c>
      <c r="G333" t="n">
        <v>9.1678028299273</v>
      </c>
      <c r="H333" t="n">
        <v>0.7932520696088202</v>
      </c>
      <c r="I333" t="n">
        <v>0.5882531792164439</v>
      </c>
      <c r="J333" t="n">
        <v>13.60957662023425</v>
      </c>
      <c r="K333" t="n">
        <v>8.306568232271477</v>
      </c>
      <c r="L333" t="n">
        <v>103.1223836793459</v>
      </c>
      <c r="M333" t="n">
        <v>1284.836550999216</v>
      </c>
      <c r="N333" t="n">
        <v>22.39366628693134</v>
      </c>
      <c r="O333" t="n">
        <v>2.54</v>
      </c>
      <c r="P333" t="n">
        <v>294.6</v>
      </c>
      <c r="Q333" t="n">
        <v>26.83</v>
      </c>
      <c r="R333" t="n">
        <v>95.23999999999999</v>
      </c>
      <c r="S333" t="n">
        <v>5.18</v>
      </c>
      <c r="T333" t="inlineStr">
        <is>
          <t>L1331</t>
        </is>
      </c>
      <c r="U333" t="inlineStr">
        <is>
          <t>Reza</t>
        </is>
      </c>
    </row>
    <row r="334">
      <c r="A334" s="7" t="n">
        <v>45459.83333333334</v>
      </c>
      <c r="B334" t="n">
        <v>14</v>
      </c>
      <c r="C334" t="inlineStr">
        <is>
          <t>C</t>
        </is>
      </c>
      <c r="D334" t="inlineStr">
        <is>
          <t>R3_Optimized</t>
        </is>
      </c>
      <c r="E334" t="inlineStr">
        <is>
          <t>Blend C (Optimized)</t>
        </is>
      </c>
      <c r="F334" t="n">
        <v>2465.024607979894</v>
      </c>
      <c r="G334" t="n">
        <v>9.361007642858882</v>
      </c>
      <c r="H334" t="n">
        <v>0.7815432921561011</v>
      </c>
      <c r="I334" t="n">
        <v>0.5146486135465711</v>
      </c>
      <c r="J334" t="n">
        <v>13.15114171532337</v>
      </c>
      <c r="K334" t="n">
        <v>6.917816413770153</v>
      </c>
      <c r="L334" t="n">
        <v>96.61635493944395</v>
      </c>
      <c r="M334" t="n">
        <v>1306.900322390163</v>
      </c>
      <c r="N334" t="n">
        <v>20.93482243622372</v>
      </c>
      <c r="O334" t="n">
        <v>2.68</v>
      </c>
      <c r="P334" t="n">
        <v>244.3</v>
      </c>
      <c r="Q334" t="n">
        <v>26.49</v>
      </c>
      <c r="R334" t="n">
        <v>96.09</v>
      </c>
      <c r="S334" t="n">
        <v>4.64</v>
      </c>
      <c r="T334" t="inlineStr">
        <is>
          <t>L1332</t>
        </is>
      </c>
      <c r="U334" t="inlineStr">
        <is>
          <t>Mohsen</t>
        </is>
      </c>
    </row>
    <row r="335">
      <c r="A335" s="7" t="n">
        <v>45459.875</v>
      </c>
      <c r="B335" t="n">
        <v>14</v>
      </c>
      <c r="C335" t="inlineStr">
        <is>
          <t>C</t>
        </is>
      </c>
      <c r="D335" t="inlineStr">
        <is>
          <t>R3_Optimized</t>
        </is>
      </c>
      <c r="E335" t="inlineStr">
        <is>
          <t>Blend C (Optimized)</t>
        </is>
      </c>
      <c r="F335" t="n">
        <v>2269.3133133264</v>
      </c>
      <c r="G335" t="n">
        <v>9.722796529041233</v>
      </c>
      <c r="H335" t="n">
        <v>0.791637355776401</v>
      </c>
      <c r="I335" t="n">
        <v>0.5286615064600211</v>
      </c>
      <c r="J335" t="n">
        <v>13.89302552139984</v>
      </c>
      <c r="K335" t="n">
        <v>9.008936561368651</v>
      </c>
      <c r="L335" t="n">
        <v>96.95145337527981</v>
      </c>
      <c r="M335" t="n">
        <v>1315.983484621565</v>
      </c>
      <c r="N335" t="n">
        <v>22.61661312588026</v>
      </c>
      <c r="O335" t="n">
        <v>2.43</v>
      </c>
      <c r="P335" t="n">
        <v>264.3</v>
      </c>
      <c r="Q335" t="n">
        <v>25.91</v>
      </c>
      <c r="R335" t="n">
        <v>96.19</v>
      </c>
      <c r="S335" t="n">
        <v>5.18</v>
      </c>
      <c r="T335" t="inlineStr">
        <is>
          <t>L1333</t>
        </is>
      </c>
      <c r="U335" t="inlineStr">
        <is>
          <t>Sara</t>
        </is>
      </c>
    </row>
    <row r="336">
      <c r="A336" s="7" t="n">
        <v>45459.91666666666</v>
      </c>
      <c r="B336" t="n">
        <v>14</v>
      </c>
      <c r="C336" t="inlineStr">
        <is>
          <t>C</t>
        </is>
      </c>
      <c r="D336" t="inlineStr">
        <is>
          <t>R3_Optimized</t>
        </is>
      </c>
      <c r="E336" t="inlineStr">
        <is>
          <t>Blend C (Optimized)</t>
        </is>
      </c>
      <c r="F336" t="n">
        <v>2422.467972992952</v>
      </c>
      <c r="G336" t="n">
        <v>8.822092746034178</v>
      </c>
      <c r="H336" t="n">
        <v>0.7140090207356158</v>
      </c>
      <c r="I336" t="n">
        <v>0.5843844762585912</v>
      </c>
      <c r="J336" t="n">
        <v>14.52171333680685</v>
      </c>
      <c r="K336" t="n">
        <v>6.919155227772593</v>
      </c>
      <c r="L336" t="n">
        <v>98.14705295513042</v>
      </c>
      <c r="M336" t="n">
        <v>1300.010914803618</v>
      </c>
      <c r="N336" t="n">
        <v>22.27142475243317</v>
      </c>
      <c r="O336" t="n">
        <v>1.98</v>
      </c>
      <c r="P336" t="n">
        <v>318.5</v>
      </c>
      <c r="Q336" t="n">
        <v>24.91</v>
      </c>
      <c r="R336" t="n">
        <v>94.76000000000001</v>
      </c>
      <c r="S336" t="n">
        <v>4.76</v>
      </c>
      <c r="T336" t="inlineStr">
        <is>
          <t>L1334</t>
        </is>
      </c>
      <c r="U336" t="inlineStr">
        <is>
          <t>Reza</t>
        </is>
      </c>
    </row>
    <row r="337">
      <c r="A337" s="7" t="n">
        <v>45459.95833333334</v>
      </c>
      <c r="B337" t="n">
        <v>14</v>
      </c>
      <c r="C337" t="inlineStr">
        <is>
          <t>C</t>
        </is>
      </c>
      <c r="D337" t="inlineStr">
        <is>
          <t>R3_Optimized</t>
        </is>
      </c>
      <c r="E337" t="inlineStr">
        <is>
          <t>Blend C (Optimized)</t>
        </is>
      </c>
      <c r="F337" t="n">
        <v>2733.14981532077</v>
      </c>
      <c r="G337" t="n">
        <v>8.97320006992711</v>
      </c>
      <c r="H337" t="n">
        <v>0.7153232504941684</v>
      </c>
      <c r="I337" t="n">
        <v>0.5381821553643611</v>
      </c>
      <c r="J337" t="n">
        <v>13.66145144842543</v>
      </c>
      <c r="K337" t="n">
        <v>7.609765842472615</v>
      </c>
      <c r="L337" t="n">
        <v>95.82573087548145</v>
      </c>
      <c r="M337" t="n">
        <v>1284.663274327488</v>
      </c>
      <c r="N337" t="n">
        <v>22.17099305867498</v>
      </c>
      <c r="O337" t="n">
        <v>2.48</v>
      </c>
      <c r="P337" t="n">
        <v>218</v>
      </c>
      <c r="Q337" t="n">
        <v>25.38</v>
      </c>
      <c r="R337" t="n">
        <v>94.34999999999999</v>
      </c>
      <c r="S337" t="n">
        <v>4.9</v>
      </c>
      <c r="T337" t="inlineStr">
        <is>
          <t>L1335</t>
        </is>
      </c>
      <c r="U337" t="inlineStr">
        <is>
          <t>Mohsen</t>
        </is>
      </c>
    </row>
    <row r="338">
      <c r="A338" s="7" t="n">
        <v>45460</v>
      </c>
      <c r="B338" t="n">
        <v>15</v>
      </c>
      <c r="C338" t="inlineStr">
        <is>
          <t>A</t>
        </is>
      </c>
      <c r="D338" t="inlineStr">
        <is>
          <t>R3_Optimized</t>
        </is>
      </c>
      <c r="E338" t="inlineStr">
        <is>
          <t>Blend C (Optimized)</t>
        </is>
      </c>
      <c r="F338" t="n">
        <v>2617.449687986025</v>
      </c>
      <c r="G338" t="n">
        <v>9.682826783881058</v>
      </c>
      <c r="H338" t="n">
        <v>0.7299191671734068</v>
      </c>
      <c r="I338" t="n">
        <v>0.4933796639227659</v>
      </c>
      <c r="J338" t="n">
        <v>14.40159073768538</v>
      </c>
      <c r="K338" t="n">
        <v>6.34121508295236</v>
      </c>
      <c r="L338" t="n">
        <v>98.14219360212853</v>
      </c>
      <c r="M338" t="n">
        <v>1284.220864671271</v>
      </c>
      <c r="N338" t="n">
        <v>21.55781755586705</v>
      </c>
      <c r="O338" t="n">
        <v>2</v>
      </c>
      <c r="P338" t="n">
        <v>217</v>
      </c>
      <c r="Q338" t="n">
        <v>29.31</v>
      </c>
      <c r="R338" t="n">
        <v>94.38</v>
      </c>
      <c r="S338" t="n">
        <v>6.33</v>
      </c>
      <c r="T338" t="inlineStr">
        <is>
          <t>L1336</t>
        </is>
      </c>
      <c r="U338" t="inlineStr">
        <is>
          <t>Alireza</t>
        </is>
      </c>
    </row>
    <row r="339">
      <c r="A339" s="7" t="n">
        <v>45460.04166666666</v>
      </c>
      <c r="B339" t="n">
        <v>15</v>
      </c>
      <c r="C339" t="inlineStr">
        <is>
          <t>A</t>
        </is>
      </c>
      <c r="D339" t="inlineStr">
        <is>
          <t>R3_Optimized</t>
        </is>
      </c>
      <c r="E339" t="inlineStr">
        <is>
          <t>Blend C (Optimized)</t>
        </is>
      </c>
      <c r="F339" t="n">
        <v>2642.092171579106</v>
      </c>
      <c r="G339" t="n">
        <v>9.174292187832222</v>
      </c>
      <c r="H339" t="n">
        <v>0.879464023297848</v>
      </c>
      <c r="I339" t="n">
        <v>0.4957311441053626</v>
      </c>
      <c r="J339" t="n">
        <v>13.96054023146141</v>
      </c>
      <c r="K339" t="n">
        <v>7.439435831384035</v>
      </c>
      <c r="L339" t="n">
        <v>102.2359299606343</v>
      </c>
      <c r="M339" t="n">
        <v>1281.691946497137</v>
      </c>
      <c r="N339" t="n">
        <v>21.69304088002976</v>
      </c>
      <c r="O339" t="n">
        <v>2.33</v>
      </c>
      <c r="P339" t="n">
        <v>266.9</v>
      </c>
      <c r="Q339" t="n">
        <v>24.77</v>
      </c>
      <c r="R339" t="n">
        <v>97.14</v>
      </c>
      <c r="S339" t="n">
        <v>5</v>
      </c>
      <c r="T339" t="inlineStr">
        <is>
          <t>L1337</t>
        </is>
      </c>
      <c r="U339" t="inlineStr">
        <is>
          <t>Sara</t>
        </is>
      </c>
    </row>
    <row r="340">
      <c r="A340" s="7" t="n">
        <v>45460.08333333334</v>
      </c>
      <c r="B340" t="n">
        <v>15</v>
      </c>
      <c r="C340" t="inlineStr">
        <is>
          <t>A</t>
        </is>
      </c>
      <c r="D340" t="inlineStr">
        <is>
          <t>R3_Optimized</t>
        </is>
      </c>
      <c r="E340" t="inlineStr">
        <is>
          <t>Blend C (Optimized)</t>
        </is>
      </c>
      <c r="F340" t="n">
        <v>2543.833984169478</v>
      </c>
      <c r="G340" t="n">
        <v>9.014026693582748</v>
      </c>
      <c r="H340" t="n">
        <v>0.7545575538594116</v>
      </c>
      <c r="I340" t="n">
        <v>0.6984007583390831</v>
      </c>
      <c r="J340" t="n">
        <v>14.02806297306107</v>
      </c>
      <c r="K340" t="n">
        <v>7.055121188663207</v>
      </c>
      <c r="L340" t="n">
        <v>100.4088697989092</v>
      </c>
      <c r="M340" t="n">
        <v>1295.451375993511</v>
      </c>
      <c r="N340" t="n">
        <v>22.22703190970795</v>
      </c>
      <c r="O340" t="n">
        <v>2.21</v>
      </c>
      <c r="P340" t="n">
        <v>358.4</v>
      </c>
      <c r="Q340" t="n">
        <v>27.93</v>
      </c>
      <c r="R340" t="n">
        <v>94.67</v>
      </c>
      <c r="S340" t="n">
        <v>6.11</v>
      </c>
      <c r="T340" t="inlineStr">
        <is>
          <t>L1338</t>
        </is>
      </c>
      <c r="U340" t="inlineStr">
        <is>
          <t>Reza</t>
        </is>
      </c>
    </row>
    <row r="341">
      <c r="A341" s="7" t="n">
        <v>45460.125</v>
      </c>
      <c r="B341" t="n">
        <v>15</v>
      </c>
      <c r="C341" t="inlineStr">
        <is>
          <t>A</t>
        </is>
      </c>
      <c r="D341" t="inlineStr">
        <is>
          <t>R3_Optimized</t>
        </is>
      </c>
      <c r="E341" t="inlineStr">
        <is>
          <t>Blend C (Optimized)</t>
        </is>
      </c>
      <c r="F341" t="n">
        <v>2444.314821769</v>
      </c>
      <c r="G341" t="n">
        <v>9.470104064010018</v>
      </c>
      <c r="H341" t="n">
        <v>0.8382419730339303</v>
      </c>
      <c r="I341" t="n">
        <v>0.5212021588377189</v>
      </c>
      <c r="J341" t="n">
        <v>14.61662079792799</v>
      </c>
      <c r="K341" t="n">
        <v>6.990491490704295</v>
      </c>
      <c r="L341" t="n">
        <v>94.87565876227573</v>
      </c>
      <c r="M341" t="n">
        <v>1292.028669191163</v>
      </c>
      <c r="N341" t="n">
        <v>23.31595691203728</v>
      </c>
      <c r="O341" t="n">
        <v>2.14</v>
      </c>
      <c r="P341" t="n">
        <v>239.9</v>
      </c>
      <c r="Q341" t="n">
        <v>24.83</v>
      </c>
      <c r="R341" t="n">
        <v>96</v>
      </c>
      <c r="S341" t="n">
        <v>5.13</v>
      </c>
      <c r="T341" t="inlineStr">
        <is>
          <t>L1339</t>
        </is>
      </c>
      <c r="U341" t="inlineStr">
        <is>
          <t>Sara</t>
        </is>
      </c>
    </row>
    <row r="342">
      <c r="A342" s="7" t="n">
        <v>45460.16666666666</v>
      </c>
      <c r="B342" t="n">
        <v>15</v>
      </c>
      <c r="C342" t="inlineStr">
        <is>
          <t>A</t>
        </is>
      </c>
      <c r="D342" t="inlineStr">
        <is>
          <t>R3_Optimized</t>
        </is>
      </c>
      <c r="E342" t="inlineStr">
        <is>
          <t>Blend C (Optimized)</t>
        </is>
      </c>
      <c r="F342" t="n">
        <v>2169.574090852212</v>
      </c>
      <c r="G342" t="n">
        <v>8.819084979557156</v>
      </c>
      <c r="H342" t="n">
        <v>0.7162181706833771</v>
      </c>
      <c r="I342" t="n">
        <v>0.662832460703807</v>
      </c>
      <c r="J342" t="n">
        <v>14.04265607843568</v>
      </c>
      <c r="K342" t="n">
        <v>7.105509301142281</v>
      </c>
      <c r="L342" t="n">
        <v>102.4319538455663</v>
      </c>
      <c r="M342" t="n">
        <v>1302.338825225951</v>
      </c>
      <c r="N342" t="n">
        <v>21.35617403418952</v>
      </c>
      <c r="O342" t="n">
        <v>2.16</v>
      </c>
      <c r="P342" t="n">
        <v>237.1</v>
      </c>
      <c r="Q342" t="n">
        <v>26.64</v>
      </c>
      <c r="R342" t="n">
        <v>96.73999999999999</v>
      </c>
      <c r="S342" t="n">
        <v>5.31</v>
      </c>
      <c r="T342" t="inlineStr">
        <is>
          <t>L1340</t>
        </is>
      </c>
      <c r="U342" t="inlineStr">
        <is>
          <t>Mohsen</t>
        </is>
      </c>
    </row>
    <row r="343">
      <c r="A343" s="7" t="n">
        <v>45460.20833333334</v>
      </c>
      <c r="B343" t="n">
        <v>15</v>
      </c>
      <c r="C343" t="inlineStr">
        <is>
          <t>A</t>
        </is>
      </c>
      <c r="D343" t="inlineStr">
        <is>
          <t>R3_Optimized</t>
        </is>
      </c>
      <c r="E343" t="inlineStr">
        <is>
          <t>Blend C (Optimized)</t>
        </is>
      </c>
      <c r="F343" t="n">
        <v>2362.76188519245</v>
      </c>
      <c r="G343" t="n">
        <v>9.348356999998584</v>
      </c>
      <c r="H343" t="n">
        <v>0.6737145546516703</v>
      </c>
      <c r="I343" t="n">
        <v>0.5120885518879232</v>
      </c>
      <c r="J343" t="n">
        <v>15.73331015678686</v>
      </c>
      <c r="K343" t="n">
        <v>7.010099531582802</v>
      </c>
      <c r="L343" t="n">
        <v>101.0254196535275</v>
      </c>
      <c r="M343" t="n">
        <v>1282.386138393461</v>
      </c>
      <c r="N343" t="n">
        <v>21.18569332330339</v>
      </c>
      <c r="O343" t="n">
        <v>2.78</v>
      </c>
      <c r="P343" t="n">
        <v>168.7</v>
      </c>
      <c r="R343" t="n">
        <v>94.41</v>
      </c>
      <c r="S343" t="n">
        <v>5.69</v>
      </c>
      <c r="T343" t="inlineStr">
        <is>
          <t>L1341</t>
        </is>
      </c>
      <c r="U343" t="inlineStr">
        <is>
          <t>Alireza</t>
        </is>
      </c>
      <c r="V343" t="inlineStr">
        <is>
          <t>Missing</t>
        </is>
      </c>
    </row>
    <row r="344">
      <c r="A344" s="7" t="n">
        <v>45460.25</v>
      </c>
      <c r="B344" t="n">
        <v>15</v>
      </c>
      <c r="C344" t="inlineStr">
        <is>
          <t>A</t>
        </is>
      </c>
      <c r="D344" t="inlineStr">
        <is>
          <t>R3_Optimized</t>
        </is>
      </c>
      <c r="E344" t="inlineStr">
        <is>
          <t>Blend C (Optimized)</t>
        </is>
      </c>
      <c r="F344" t="n">
        <v>2352.675599864927</v>
      </c>
      <c r="G344" t="n">
        <v>8.932268932027373</v>
      </c>
      <c r="H344" t="n">
        <v>0.7813145299763069</v>
      </c>
      <c r="I344" t="n">
        <v>0.5679917240268516</v>
      </c>
      <c r="J344" t="n">
        <v>13.82237225683236</v>
      </c>
      <c r="K344" t="n">
        <v>7.50198946028396</v>
      </c>
      <c r="L344" t="n">
        <v>105.4549179900211</v>
      </c>
      <c r="M344" t="n">
        <v>1303.054963009767</v>
      </c>
      <c r="N344" t="n">
        <v>23.67686288189397</v>
      </c>
      <c r="O344" t="n">
        <v>1.93</v>
      </c>
      <c r="P344" t="n">
        <v>212.2</v>
      </c>
      <c r="Q344" t="n">
        <v>26.19</v>
      </c>
      <c r="S344" t="n">
        <v>5.54</v>
      </c>
      <c r="T344" t="inlineStr">
        <is>
          <t>L1342</t>
        </is>
      </c>
      <c r="U344" t="inlineStr">
        <is>
          <t>Reza</t>
        </is>
      </c>
      <c r="V344" t="inlineStr">
        <is>
          <t>Missing</t>
        </is>
      </c>
    </row>
    <row r="345">
      <c r="A345" s="7" t="n">
        <v>45460.29166666666</v>
      </c>
      <c r="B345" t="n">
        <v>15</v>
      </c>
      <c r="C345" t="inlineStr">
        <is>
          <t>A</t>
        </is>
      </c>
      <c r="D345" t="inlineStr">
        <is>
          <t>R3_Optimized</t>
        </is>
      </c>
      <c r="E345" t="inlineStr">
        <is>
          <t>Blend C (Optimized)</t>
        </is>
      </c>
      <c r="F345" t="n">
        <v>2571.697672404947</v>
      </c>
      <c r="G345" t="n">
        <v>9.068210108813611</v>
      </c>
      <c r="H345" t="n">
        <v>0.8392961987145187</v>
      </c>
      <c r="I345" t="n">
        <v>0.5258438599658086</v>
      </c>
      <c r="J345" t="n">
        <v>13.46857354194502</v>
      </c>
      <c r="K345" t="n">
        <v>8.14089083559564</v>
      </c>
      <c r="L345" t="n">
        <v>98.48789886177272</v>
      </c>
      <c r="M345" t="n">
        <v>1290.491591903925</v>
      </c>
      <c r="N345" t="n">
        <v>21.98939427036654</v>
      </c>
      <c r="O345" t="n">
        <v>2.16</v>
      </c>
      <c r="P345" t="n">
        <v>244</v>
      </c>
      <c r="Q345" t="n">
        <v>27.44</v>
      </c>
      <c r="R345" t="n">
        <v>95.44</v>
      </c>
      <c r="S345" t="n">
        <v>6.09</v>
      </c>
      <c r="T345" t="inlineStr">
        <is>
          <t>L1343</t>
        </is>
      </c>
      <c r="U345" t="inlineStr">
        <is>
          <t>Alireza</t>
        </is>
      </c>
    </row>
    <row r="346">
      <c r="A346" s="7" t="n">
        <v>45460.33333333334</v>
      </c>
      <c r="B346" t="n">
        <v>15</v>
      </c>
      <c r="C346" t="inlineStr">
        <is>
          <t>B</t>
        </is>
      </c>
      <c r="D346" t="inlineStr">
        <is>
          <t>R3_Optimized</t>
        </is>
      </c>
      <c r="E346" t="inlineStr">
        <is>
          <t>Blend C (Optimized)</t>
        </is>
      </c>
      <c r="F346" t="n">
        <v>2629.012021454172</v>
      </c>
      <c r="G346" t="n">
        <v>8.361785950083689</v>
      </c>
      <c r="H346" t="n">
        <v>0.6545474717727294</v>
      </c>
      <c r="I346" t="n">
        <v>0.4889942812744801</v>
      </c>
      <c r="J346" t="n">
        <v>12.79972814161835</v>
      </c>
      <c r="K346" t="n">
        <v>6.89712920027451</v>
      </c>
      <c r="L346" t="n">
        <v>101.3703957380102</v>
      </c>
      <c r="M346" t="n">
        <v>1274.943481056266</v>
      </c>
      <c r="N346" t="n">
        <v>24.02116586372377</v>
      </c>
      <c r="O346" t="n">
        <v>2.38</v>
      </c>
      <c r="P346" t="n">
        <v>191.4</v>
      </c>
      <c r="Q346" t="n">
        <v>27.1</v>
      </c>
      <c r="R346" t="n">
        <v>95</v>
      </c>
      <c r="S346" t="n">
        <v>5.86</v>
      </c>
      <c r="T346" t="inlineStr">
        <is>
          <t>L1344</t>
        </is>
      </c>
      <c r="U346" t="inlineStr">
        <is>
          <t>Sara</t>
        </is>
      </c>
    </row>
    <row r="347">
      <c r="A347" s="7" t="n">
        <v>45460.375</v>
      </c>
      <c r="B347" t="n">
        <v>15</v>
      </c>
      <c r="C347" t="inlineStr">
        <is>
          <t>B</t>
        </is>
      </c>
      <c r="D347" t="inlineStr">
        <is>
          <t>R3_Optimized</t>
        </is>
      </c>
      <c r="E347" t="inlineStr">
        <is>
          <t>Blend C (Optimized)</t>
        </is>
      </c>
      <c r="F347" t="n">
        <v>2536.134542715558</v>
      </c>
      <c r="G347" t="n">
        <v>9.372426121672358</v>
      </c>
      <c r="H347" t="n">
        <v>0.7331238531147982</v>
      </c>
      <c r="I347" t="n">
        <v>0.532265576677236</v>
      </c>
      <c r="J347" t="n">
        <v>13.25040044693664</v>
      </c>
      <c r="K347" t="n">
        <v>6.278273114253506</v>
      </c>
      <c r="L347" t="n">
        <v>96.18960050980438</v>
      </c>
      <c r="M347" t="n">
        <v>1302.050253676293</v>
      </c>
      <c r="N347" t="n">
        <v>22.94582827485628</v>
      </c>
      <c r="O347" t="n">
        <v>2.12</v>
      </c>
      <c r="P347" t="n">
        <v>251.6</v>
      </c>
      <c r="Q347" t="n">
        <v>29.49</v>
      </c>
      <c r="R347" t="n">
        <v>94.08</v>
      </c>
      <c r="S347" t="n">
        <v>6.31</v>
      </c>
      <c r="T347" t="inlineStr">
        <is>
          <t>L1345</t>
        </is>
      </c>
      <c r="U347" t="inlineStr">
        <is>
          <t>Reza</t>
        </is>
      </c>
    </row>
    <row r="348">
      <c r="A348" s="7" t="n">
        <v>45460.41666666666</v>
      </c>
      <c r="B348" t="n">
        <v>15</v>
      </c>
      <c r="C348" t="inlineStr">
        <is>
          <t>B</t>
        </is>
      </c>
      <c r="D348" t="inlineStr">
        <is>
          <t>R3_Optimized</t>
        </is>
      </c>
      <c r="E348" t="inlineStr">
        <is>
          <t>Blend C (Optimized)</t>
        </is>
      </c>
      <c r="F348" t="n">
        <v>2306.074782606323</v>
      </c>
      <c r="G348" t="n">
        <v>9.384631396703279</v>
      </c>
      <c r="H348" t="n">
        <v>0.8139739082359826</v>
      </c>
      <c r="I348" t="n">
        <v>0.6556957406908307</v>
      </c>
      <c r="J348" t="n">
        <v>13.96431328496829</v>
      </c>
      <c r="K348" t="n">
        <v>6.810068584862169</v>
      </c>
      <c r="L348" t="n">
        <v>95.69874231365458</v>
      </c>
      <c r="M348" t="n">
        <v>1291.798391294208</v>
      </c>
      <c r="N348" t="n">
        <v>24.13392256503783</v>
      </c>
      <c r="O348" t="n">
        <v>2.66</v>
      </c>
      <c r="P348" t="n">
        <v>375.9</v>
      </c>
      <c r="Q348" t="n">
        <v>24.33</v>
      </c>
      <c r="R348" t="n">
        <v>96.69</v>
      </c>
      <c r="S348" t="n">
        <v>4.8</v>
      </c>
      <c r="T348" t="inlineStr">
        <is>
          <t>L1346</t>
        </is>
      </c>
      <c r="U348" t="inlineStr">
        <is>
          <t>Mohsen</t>
        </is>
      </c>
    </row>
    <row r="349">
      <c r="A349" s="7" t="n">
        <v>45460.45833333334</v>
      </c>
      <c r="B349" t="n">
        <v>15</v>
      </c>
      <c r="C349" t="inlineStr">
        <is>
          <t>B</t>
        </is>
      </c>
      <c r="D349" t="inlineStr">
        <is>
          <t>R3_Optimized</t>
        </is>
      </c>
      <c r="E349" t="inlineStr">
        <is>
          <t>Blend C (Optimized)</t>
        </is>
      </c>
      <c r="F349" t="n">
        <v>2783.083909182885</v>
      </c>
      <c r="G349" t="n">
        <v>9.234979513633414</v>
      </c>
      <c r="H349" t="n">
        <v>0.7511913057519833</v>
      </c>
      <c r="I349" t="n">
        <v>0.5092441956634682</v>
      </c>
      <c r="J349" t="n">
        <v>12.89668931494977</v>
      </c>
      <c r="K349" t="n">
        <v>7.111886280266908</v>
      </c>
      <c r="L349" t="n">
        <v>104.0108695431267</v>
      </c>
      <c r="M349" t="n">
        <v>1306.487740847646</v>
      </c>
      <c r="N349" t="n">
        <v>20.22951621960948</v>
      </c>
      <c r="O349" t="n">
        <v>1.84</v>
      </c>
      <c r="P349" t="n">
        <v>248.6</v>
      </c>
      <c r="Q349" t="n">
        <v>25.17</v>
      </c>
      <c r="R349" t="n">
        <v>95.73999999999999</v>
      </c>
      <c r="S349" t="n">
        <v>5.24</v>
      </c>
      <c r="T349" t="inlineStr">
        <is>
          <t>L1347</t>
        </is>
      </c>
      <c r="U349" t="inlineStr">
        <is>
          <t>Reza</t>
        </is>
      </c>
    </row>
    <row r="350">
      <c r="A350" s="7" t="n">
        <v>45460.5</v>
      </c>
      <c r="B350" t="n">
        <v>15</v>
      </c>
      <c r="C350" t="inlineStr">
        <is>
          <t>B</t>
        </is>
      </c>
      <c r="D350" t="inlineStr">
        <is>
          <t>R3_Optimized</t>
        </is>
      </c>
      <c r="E350" t="inlineStr">
        <is>
          <t>Blend C (Optimized)</t>
        </is>
      </c>
      <c r="F350" t="n">
        <v>2705.572015544616</v>
      </c>
      <c r="G350" t="n">
        <v>9.063485687728598</v>
      </c>
      <c r="H350" t="n">
        <v>0.7484360675617077</v>
      </c>
      <c r="I350" t="n">
        <v>0.4964769889811466</v>
      </c>
      <c r="J350" t="n">
        <v>13.10013231435786</v>
      </c>
      <c r="K350" t="n">
        <v>6.724386627102113</v>
      </c>
      <c r="L350" t="n">
        <v>103.349394399084</v>
      </c>
      <c r="M350" t="n">
        <v>1290.907257255911</v>
      </c>
      <c r="N350" t="n">
        <v>22.00018433678283</v>
      </c>
      <c r="O350" t="n">
        <v>2.55</v>
      </c>
      <c r="P350" t="n">
        <v>211.3</v>
      </c>
      <c r="Q350" t="n">
        <v>26.92</v>
      </c>
      <c r="R350" t="n">
        <v>94.48999999999999</v>
      </c>
      <c r="S350" t="n">
        <v>5.2</v>
      </c>
      <c r="T350" t="inlineStr">
        <is>
          <t>L1348</t>
        </is>
      </c>
      <c r="U350" t="inlineStr">
        <is>
          <t>Mohsen</t>
        </is>
      </c>
    </row>
    <row r="351">
      <c r="A351" s="7" t="n">
        <v>45460.54166666666</v>
      </c>
      <c r="B351" t="n">
        <v>15</v>
      </c>
      <c r="C351" t="inlineStr">
        <is>
          <t>B</t>
        </is>
      </c>
      <c r="D351" t="inlineStr">
        <is>
          <t>R3_Optimized</t>
        </is>
      </c>
      <c r="E351" t="inlineStr">
        <is>
          <t>Blend C (Optimized)</t>
        </is>
      </c>
      <c r="F351" t="n">
        <v>2410.823438514406</v>
      </c>
      <c r="G351" t="n">
        <v>9.379920733331215</v>
      </c>
      <c r="H351" t="n">
        <v>0.8230228064442753</v>
      </c>
      <c r="I351" t="n">
        <v>0.5689184671575033</v>
      </c>
      <c r="J351" t="n">
        <v>14.25875002063338</v>
      </c>
      <c r="K351" t="n">
        <v>7.380671435364998</v>
      </c>
      <c r="L351" t="n">
        <v>101.1392329026258</v>
      </c>
      <c r="M351" t="n">
        <v>1300.771696612842</v>
      </c>
      <c r="N351" t="n">
        <v>20.98121173041352</v>
      </c>
      <c r="O351" t="n">
        <v>2.48</v>
      </c>
      <c r="P351" t="n">
        <v>308.8</v>
      </c>
      <c r="Q351" t="n">
        <v>24.75</v>
      </c>
      <c r="R351" t="n">
        <v>95.45999999999999</v>
      </c>
      <c r="S351" t="n">
        <v>5.03</v>
      </c>
      <c r="T351" t="inlineStr">
        <is>
          <t>L1349</t>
        </is>
      </c>
      <c r="U351" t="inlineStr">
        <is>
          <t>Alireza</t>
        </is>
      </c>
    </row>
    <row r="352">
      <c r="A352" s="7" t="n">
        <v>45460.58333333334</v>
      </c>
      <c r="B352" t="n">
        <v>15</v>
      </c>
      <c r="C352" t="inlineStr">
        <is>
          <t>B</t>
        </is>
      </c>
      <c r="D352" t="inlineStr">
        <is>
          <t>R3_Optimized</t>
        </is>
      </c>
      <c r="E352" t="inlineStr">
        <is>
          <t>Blend C (Optimized)</t>
        </is>
      </c>
      <c r="F352" t="n">
        <v>2485.480623699485</v>
      </c>
      <c r="G352" t="n">
        <v>9.817670657268826</v>
      </c>
      <c r="H352" t="n">
        <v>0.7803725028617171</v>
      </c>
      <c r="I352" t="n">
        <v>0.4964630431222548</v>
      </c>
      <c r="J352" t="n">
        <v>13.8148086921097</v>
      </c>
      <c r="K352" t="n">
        <v>6.899440341277513</v>
      </c>
      <c r="L352" t="n">
        <v>93.46805904333046</v>
      </c>
      <c r="M352" t="n">
        <v>1288.499631005697</v>
      </c>
      <c r="N352" t="n">
        <v>23.08918281687599</v>
      </c>
      <c r="O352" t="n">
        <v>2.7</v>
      </c>
      <c r="P352" t="n">
        <v>299.5</v>
      </c>
      <c r="Q352" t="n">
        <v>27.82</v>
      </c>
      <c r="R352" t="n">
        <v>94.31</v>
      </c>
      <c r="S352" t="n">
        <v>5.98</v>
      </c>
      <c r="T352" t="inlineStr">
        <is>
          <t>L1350</t>
        </is>
      </c>
      <c r="U352" t="inlineStr">
        <is>
          <t>Mohsen</t>
        </is>
      </c>
    </row>
    <row r="353">
      <c r="A353" s="7" t="n">
        <v>45460.625</v>
      </c>
      <c r="B353" t="n">
        <v>15</v>
      </c>
      <c r="C353" t="inlineStr">
        <is>
          <t>B</t>
        </is>
      </c>
      <c r="D353" t="inlineStr">
        <is>
          <t>R3_Optimized</t>
        </is>
      </c>
      <c r="E353" t="inlineStr">
        <is>
          <t>Blend C (Optimized)</t>
        </is>
      </c>
      <c r="F353" t="n">
        <v>2565.250380753347</v>
      </c>
      <c r="G353" t="n">
        <v>9.607767350078488</v>
      </c>
      <c r="H353" t="n">
        <v>0.781579540285066</v>
      </c>
      <c r="I353" t="n">
        <v>0.5064949503224586</v>
      </c>
      <c r="J353" t="n">
        <v>13.40300620263562</v>
      </c>
      <c r="K353" t="n">
        <v>7.72797760152682</v>
      </c>
      <c r="L353" t="n">
        <v>111.5192606556099</v>
      </c>
      <c r="M353" t="n">
        <v>1308.209024631846</v>
      </c>
      <c r="N353" t="n">
        <v>20.11934247659849</v>
      </c>
      <c r="O353" t="n">
        <v>1.38</v>
      </c>
      <c r="P353" t="n">
        <v>248.2</v>
      </c>
      <c r="R353" t="n">
        <v>94.84999999999999</v>
      </c>
      <c r="S353" t="n">
        <v>5.31</v>
      </c>
      <c r="T353" t="inlineStr">
        <is>
          <t>L1351</t>
        </is>
      </c>
      <c r="U353" t="inlineStr">
        <is>
          <t>Reza</t>
        </is>
      </c>
      <c r="V353" t="inlineStr">
        <is>
          <t>Missing</t>
        </is>
      </c>
    </row>
    <row r="354">
      <c r="A354" s="7" t="n">
        <v>45460.66666666666</v>
      </c>
      <c r="B354" t="n">
        <v>15</v>
      </c>
      <c r="C354" t="inlineStr">
        <is>
          <t>C</t>
        </is>
      </c>
      <c r="D354" t="inlineStr">
        <is>
          <t>R3_Optimized</t>
        </is>
      </c>
      <c r="E354" t="inlineStr">
        <is>
          <t>Blend C (Optimized)</t>
        </is>
      </c>
      <c r="F354" t="n">
        <v>2468.700439977961</v>
      </c>
      <c r="G354" t="n">
        <v>9.049193413470078</v>
      </c>
      <c r="H354" t="n">
        <v>0.7337626304453326</v>
      </c>
      <c r="I354" t="n">
        <v>0.4738895894793659</v>
      </c>
      <c r="J354" t="n">
        <v>12.92532855059632</v>
      </c>
      <c r="K354" t="n">
        <v>7.303359084131865</v>
      </c>
      <c r="L354" t="n">
        <v>99.40183681223971</v>
      </c>
      <c r="M354" t="n">
        <v>1304.676233603973</v>
      </c>
      <c r="N354" t="n">
        <v>21.35476651016084</v>
      </c>
      <c r="O354" t="n">
        <v>2.02</v>
      </c>
      <c r="P354" t="n">
        <v>226.4</v>
      </c>
      <c r="Q354" t="n">
        <v>25.83</v>
      </c>
      <c r="R354" t="n">
        <v>95.79000000000001</v>
      </c>
      <c r="S354" t="n">
        <v>4.99</v>
      </c>
      <c r="T354" t="inlineStr">
        <is>
          <t>L1352</t>
        </is>
      </c>
      <c r="U354" t="inlineStr">
        <is>
          <t>Alireza</t>
        </is>
      </c>
    </row>
    <row r="355">
      <c r="A355" s="7" t="n">
        <v>45460.70833333334</v>
      </c>
      <c r="B355" t="n">
        <v>15</v>
      </c>
      <c r="C355" t="inlineStr">
        <is>
          <t>C</t>
        </is>
      </c>
      <c r="D355" t="inlineStr">
        <is>
          <t>R3_Optimized</t>
        </is>
      </c>
      <c r="E355" t="inlineStr">
        <is>
          <t>Blend C (Optimized)</t>
        </is>
      </c>
      <c r="F355" t="n">
        <v>2432.26359391159</v>
      </c>
      <c r="G355" t="n">
        <v>9.385561772057123</v>
      </c>
      <c r="H355" t="n">
        <v>0.7879906009417115</v>
      </c>
      <c r="I355" t="n">
        <v>0.5978591558400589</v>
      </c>
      <c r="J355" t="n">
        <v>13.48067357822049</v>
      </c>
      <c r="K355" t="n">
        <v>7.442941804547155</v>
      </c>
      <c r="L355" t="n">
        <v>99.19318337187391</v>
      </c>
      <c r="M355" t="n">
        <v>1308.872833204228</v>
      </c>
      <c r="N355" t="n">
        <v>20.1364678026883</v>
      </c>
      <c r="O355" t="n">
        <v>2.01</v>
      </c>
      <c r="P355" t="n">
        <v>251.4</v>
      </c>
      <c r="Q355" t="n">
        <v>25.34</v>
      </c>
      <c r="R355" t="n">
        <v>96.73</v>
      </c>
      <c r="S355" t="n">
        <v>5.59</v>
      </c>
      <c r="T355" t="inlineStr">
        <is>
          <t>L1353</t>
        </is>
      </c>
      <c r="U355" t="inlineStr">
        <is>
          <t>Mohsen</t>
        </is>
      </c>
    </row>
    <row r="356">
      <c r="A356" s="7" t="n">
        <v>45460.75</v>
      </c>
      <c r="B356" t="n">
        <v>15</v>
      </c>
      <c r="C356" t="inlineStr">
        <is>
          <t>C</t>
        </is>
      </c>
      <c r="D356" t="inlineStr">
        <is>
          <t>R3_Optimized</t>
        </is>
      </c>
      <c r="E356" t="inlineStr">
        <is>
          <t>Blend C (Optimized)</t>
        </is>
      </c>
      <c r="F356" t="n">
        <v>2538.995556510954</v>
      </c>
      <c r="G356" t="n">
        <v>9.21179837284868</v>
      </c>
      <c r="H356" t="n">
        <v>0.7333312599308697</v>
      </c>
      <c r="I356" t="n">
        <v>0.5829476596004344</v>
      </c>
      <c r="J356" t="n">
        <v>13.84938126400802</v>
      </c>
      <c r="K356" t="n">
        <v>6.991984049627764</v>
      </c>
      <c r="L356" t="n">
        <v>107.3055255226906</v>
      </c>
      <c r="M356" t="n">
        <v>1303.273101237732</v>
      </c>
      <c r="N356" t="n">
        <v>21.97257638955184</v>
      </c>
      <c r="O356" t="n">
        <v>2.23</v>
      </c>
      <c r="P356" t="n">
        <v>302.1</v>
      </c>
      <c r="Q356" t="n">
        <v>27.24</v>
      </c>
      <c r="R356" t="n">
        <v>95.13</v>
      </c>
      <c r="S356" t="n">
        <v>5.57</v>
      </c>
      <c r="T356" t="inlineStr">
        <is>
          <t>L1354</t>
        </is>
      </c>
      <c r="U356" t="inlineStr">
        <is>
          <t>Sara</t>
        </is>
      </c>
    </row>
    <row r="357">
      <c r="A357" s="7" t="n">
        <v>45460.79166666666</v>
      </c>
      <c r="B357" t="n">
        <v>15</v>
      </c>
      <c r="C357" t="inlineStr">
        <is>
          <t>C</t>
        </is>
      </c>
      <c r="D357" t="inlineStr">
        <is>
          <t>R3_Optimized</t>
        </is>
      </c>
      <c r="E357" t="inlineStr">
        <is>
          <t>Blend C (Optimized)</t>
        </is>
      </c>
      <c r="F357" t="n">
        <v>2451.873096903699</v>
      </c>
      <c r="G357" t="n">
        <v>9.490911493454703</v>
      </c>
      <c r="H357" t="n">
        <v>0.867937518097874</v>
      </c>
      <c r="I357" t="n">
        <v>0.4254804852292483</v>
      </c>
      <c r="J357" t="n">
        <v>13.7980640255365</v>
      </c>
      <c r="K357" t="n">
        <v>7.263216273444714</v>
      </c>
      <c r="L357" t="n">
        <v>89.27226722912712</v>
      </c>
      <c r="M357" t="n">
        <v>1299.496303806973</v>
      </c>
      <c r="N357" t="n">
        <v>20.29552042094832</v>
      </c>
      <c r="O357" t="n">
        <v>2.14</v>
      </c>
      <c r="P357" t="n">
        <v>264.9</v>
      </c>
      <c r="Q357" t="n">
        <v>26.08</v>
      </c>
      <c r="R357" t="n">
        <v>95.02</v>
      </c>
      <c r="S357" t="n">
        <v>5.38</v>
      </c>
      <c r="T357" t="inlineStr">
        <is>
          <t>L1355</t>
        </is>
      </c>
      <c r="U357" t="inlineStr">
        <is>
          <t>Alireza</t>
        </is>
      </c>
    </row>
    <row r="358">
      <c r="A358" s="7" t="n">
        <v>45460.83333333334</v>
      </c>
      <c r="B358" t="n">
        <v>15</v>
      </c>
      <c r="C358" t="inlineStr">
        <is>
          <t>C</t>
        </is>
      </c>
      <c r="D358" t="inlineStr">
        <is>
          <t>R3_Optimized</t>
        </is>
      </c>
      <c r="E358" t="inlineStr">
        <is>
          <t>Blend C (Optimized)</t>
        </is>
      </c>
      <c r="F358" t="n">
        <v>2486.7760451336</v>
      </c>
      <c r="G358" t="n">
        <v>9.018660864917363</v>
      </c>
      <c r="H358" t="n">
        <v>0.5526889872915514</v>
      </c>
      <c r="I358" t="n">
        <v>0.5826998356772308</v>
      </c>
      <c r="J358" t="n">
        <v>13.83659485785198</v>
      </c>
      <c r="K358" t="n">
        <v>6.833329780362506</v>
      </c>
      <c r="L358" t="n">
        <v>104.9845336251609</v>
      </c>
      <c r="M358" t="n">
        <v>1299.274021173064</v>
      </c>
      <c r="N358" t="n">
        <v>21.63735405107212</v>
      </c>
      <c r="O358" t="n">
        <v>2.29</v>
      </c>
      <c r="P358" t="n">
        <v>193.2</v>
      </c>
      <c r="Q358" t="n">
        <v>29.18</v>
      </c>
      <c r="R358" t="n">
        <v>93.68000000000001</v>
      </c>
      <c r="S358" t="n">
        <v>5.99</v>
      </c>
      <c r="T358" t="inlineStr">
        <is>
          <t>L1356</t>
        </is>
      </c>
      <c r="U358" t="inlineStr">
        <is>
          <t>Sara</t>
        </is>
      </c>
    </row>
    <row r="359">
      <c r="A359" s="7" t="n">
        <v>45460.875</v>
      </c>
      <c r="B359" t="n">
        <v>15</v>
      </c>
      <c r="C359" t="inlineStr">
        <is>
          <t>C</t>
        </is>
      </c>
      <c r="D359" t="inlineStr">
        <is>
          <t>R3_Optimized</t>
        </is>
      </c>
      <c r="E359" t="inlineStr">
        <is>
          <t>Blend C (Optimized)</t>
        </is>
      </c>
      <c r="F359" t="n">
        <v>2159.956972148046</v>
      </c>
      <c r="G359" t="n">
        <v>9.825805529958414</v>
      </c>
      <c r="H359" t="n">
        <v>0.7766208422397263</v>
      </c>
      <c r="I359" t="n">
        <v>0.5353394302663231</v>
      </c>
      <c r="J359" t="n">
        <v>13.78006288287457</v>
      </c>
      <c r="K359" t="n">
        <v>7.543869715709465</v>
      </c>
      <c r="L359" t="n">
        <v>98.76386793093889</v>
      </c>
      <c r="M359" t="n">
        <v>1311.748130752666</v>
      </c>
      <c r="N359" t="n">
        <v>21.64053112446013</v>
      </c>
      <c r="O359" t="n">
        <v>2.02</v>
      </c>
      <c r="P359" t="n">
        <v>271.1</v>
      </c>
      <c r="Q359" t="n">
        <v>27.76</v>
      </c>
      <c r="R359" t="n">
        <v>94.89</v>
      </c>
      <c r="S359" t="n">
        <v>5.68</v>
      </c>
      <c r="T359" t="inlineStr">
        <is>
          <t>L1357</t>
        </is>
      </c>
      <c r="U359" t="inlineStr">
        <is>
          <t>Alireza</t>
        </is>
      </c>
    </row>
    <row r="360">
      <c r="A360" s="7" t="n">
        <v>45460.91666666666</v>
      </c>
      <c r="B360" t="n">
        <v>15</v>
      </c>
      <c r="C360" t="inlineStr">
        <is>
          <t>C</t>
        </is>
      </c>
      <c r="D360" t="inlineStr">
        <is>
          <t>R3_Optimized</t>
        </is>
      </c>
      <c r="E360" t="inlineStr">
        <is>
          <t>Blend C (Optimized)</t>
        </is>
      </c>
      <c r="F360" t="n">
        <v>2160.633927364174</v>
      </c>
      <c r="G360" t="n">
        <v>9.026897855126059</v>
      </c>
      <c r="H360" t="n">
        <v>0.8198124610277353</v>
      </c>
      <c r="I360" t="n">
        <v>0.543246370528393</v>
      </c>
      <c r="J360" t="n">
        <v>13.71302079824808</v>
      </c>
      <c r="K360" t="n">
        <v>7.206980022083949</v>
      </c>
      <c r="L360" t="n">
        <v>96.77359299423453</v>
      </c>
      <c r="M360" t="n">
        <v>1282.42380827643</v>
      </c>
      <c r="N360" t="n">
        <v>22.77362391558943</v>
      </c>
      <c r="O360" t="n">
        <v>2.33</v>
      </c>
      <c r="P360" t="n">
        <v>238.2</v>
      </c>
      <c r="Q360" t="n">
        <v>26.25</v>
      </c>
      <c r="R360" t="n">
        <v>96.23</v>
      </c>
      <c r="S360" t="n">
        <v>5.2</v>
      </c>
      <c r="T360" t="inlineStr">
        <is>
          <t>L1358</t>
        </is>
      </c>
      <c r="U360" t="inlineStr">
        <is>
          <t>Reza</t>
        </is>
      </c>
    </row>
    <row r="361">
      <c r="A361" s="7" t="n">
        <v>45460.95833333334</v>
      </c>
      <c r="B361" t="n">
        <v>15</v>
      </c>
      <c r="C361" t="inlineStr">
        <is>
          <t>C</t>
        </is>
      </c>
      <c r="D361" t="inlineStr">
        <is>
          <t>R3_Optimized</t>
        </is>
      </c>
      <c r="E361" t="inlineStr">
        <is>
          <t>Blend C (Optimized)</t>
        </is>
      </c>
      <c r="F361" t="n">
        <v>2763.395608243055</v>
      </c>
      <c r="G361" t="n">
        <v>8.950618804554848</v>
      </c>
      <c r="H361" t="n">
        <v>0.702330171785201</v>
      </c>
      <c r="I361" t="n">
        <v>0.5092476637447901</v>
      </c>
      <c r="J361" t="n">
        <v>14.18291038991039</v>
      </c>
      <c r="K361" t="n">
        <v>6.705471216619977</v>
      </c>
      <c r="L361" t="n">
        <v>106.5022808577705</v>
      </c>
      <c r="M361" t="n">
        <v>1295.038527932204</v>
      </c>
      <c r="N361" t="n">
        <v>22.59842777192959</v>
      </c>
      <c r="O361" t="n">
        <v>2.73</v>
      </c>
      <c r="P361" t="n">
        <v>234.9</v>
      </c>
      <c r="Q361" t="n">
        <v>26.07</v>
      </c>
      <c r="R361" t="n">
        <v>95.34999999999999</v>
      </c>
      <c r="S361" t="n">
        <v>5.12</v>
      </c>
      <c r="T361" t="inlineStr">
        <is>
          <t>L1359</t>
        </is>
      </c>
      <c r="U361" t="inlineStr">
        <is>
          <t>Alireza</t>
        </is>
      </c>
    </row>
    <row r="362">
      <c r="A362" s="7" t="n">
        <v>45461</v>
      </c>
      <c r="B362" t="n">
        <v>16</v>
      </c>
      <c r="C362" t="inlineStr">
        <is>
          <t>A</t>
        </is>
      </c>
      <c r="D362" t="inlineStr">
        <is>
          <t>R3_Optimized</t>
        </is>
      </c>
      <c r="E362" t="inlineStr">
        <is>
          <t>Blend C (Optimized)</t>
        </is>
      </c>
      <c r="F362" t="n">
        <v>2175.973510351124</v>
      </c>
      <c r="G362" t="n">
        <v>9.425292016819062</v>
      </c>
      <c r="H362" t="n">
        <v>0.8104110105357114</v>
      </c>
      <c r="I362" t="n">
        <v>0.5586535836584313</v>
      </c>
      <c r="J362" t="n">
        <v>14.55796738590781</v>
      </c>
      <c r="K362" t="n">
        <v>7.849273892087195</v>
      </c>
      <c r="L362" t="n">
        <v>91.69598137022223</v>
      </c>
      <c r="M362" t="n">
        <v>1289.316634175188</v>
      </c>
      <c r="N362" t="n">
        <v>21.77321321386696</v>
      </c>
      <c r="O362" t="n">
        <v>2.29</v>
      </c>
      <c r="P362" t="n">
        <v>350.4</v>
      </c>
      <c r="Q362" t="n">
        <v>26.96</v>
      </c>
      <c r="R362" t="n">
        <v>95.45999999999999</v>
      </c>
      <c r="S362" t="n">
        <v>5.4</v>
      </c>
      <c r="T362" t="inlineStr">
        <is>
          <t>L1360</t>
        </is>
      </c>
      <c r="U362" t="inlineStr">
        <is>
          <t>Mohsen</t>
        </is>
      </c>
    </row>
    <row r="363">
      <c r="A363" s="7" t="n">
        <v>45461.04166666666</v>
      </c>
      <c r="B363" t="n">
        <v>16</v>
      </c>
      <c r="C363" t="inlineStr">
        <is>
          <t>A</t>
        </is>
      </c>
      <c r="D363" t="inlineStr">
        <is>
          <t>R3_Optimized</t>
        </is>
      </c>
      <c r="E363" t="inlineStr">
        <is>
          <t>Blend C (Optimized)</t>
        </is>
      </c>
      <c r="F363" t="n">
        <v>2537.70118889107</v>
      </c>
      <c r="G363" t="n">
        <v>9.881399084185526</v>
      </c>
      <c r="H363" t="n">
        <v>0.7188509839232617</v>
      </c>
      <c r="I363" t="n">
        <v>0.5796384980030771</v>
      </c>
      <c r="J363" t="n">
        <v>14.37788302674775</v>
      </c>
      <c r="K363" t="n">
        <v>7.001709981600637</v>
      </c>
      <c r="L363" t="n">
        <v>93.78895942792926</v>
      </c>
      <c r="M363" t="n">
        <v>1289.361118488628</v>
      </c>
      <c r="N363" t="n">
        <v>21.95183576920068</v>
      </c>
      <c r="O363" t="n">
        <v>2.55</v>
      </c>
      <c r="P363" t="n">
        <v>292.2</v>
      </c>
      <c r="Q363" t="n">
        <v>27.43</v>
      </c>
      <c r="R363" t="n">
        <v>94.29000000000001</v>
      </c>
      <c r="S363" t="n">
        <v>5.83</v>
      </c>
      <c r="T363" t="inlineStr">
        <is>
          <t>L1361</t>
        </is>
      </c>
      <c r="U363" t="inlineStr">
        <is>
          <t>Mohsen</t>
        </is>
      </c>
    </row>
    <row r="364">
      <c r="A364" s="7" t="n">
        <v>45461.08333333334</v>
      </c>
      <c r="B364" t="n">
        <v>16</v>
      </c>
      <c r="C364" t="inlineStr">
        <is>
          <t>A</t>
        </is>
      </c>
      <c r="D364" t="inlineStr">
        <is>
          <t>R3_Optimized</t>
        </is>
      </c>
      <c r="E364" t="inlineStr">
        <is>
          <t>Blend C (Optimized)</t>
        </is>
      </c>
      <c r="F364" t="n">
        <v>2507.667854490041</v>
      </c>
      <c r="G364" t="n">
        <v>8.712260521899264</v>
      </c>
      <c r="H364" t="n">
        <v>0.8175669609656212</v>
      </c>
      <c r="I364" t="n">
        <v>0.5058710331289363</v>
      </c>
      <c r="J364" t="n">
        <v>13.64657520056286</v>
      </c>
      <c r="K364" t="n">
        <v>7.539089307806096</v>
      </c>
      <c r="L364" t="n">
        <v>107.94348893885</v>
      </c>
      <c r="M364" t="n">
        <v>1275.401078461456</v>
      </c>
      <c r="N364" t="n">
        <v>21.10260913945106</v>
      </c>
      <c r="O364" t="n">
        <v>2.29</v>
      </c>
      <c r="P364" t="n">
        <v>308</v>
      </c>
      <c r="Q364" t="n">
        <v>27.97</v>
      </c>
      <c r="R364" t="n">
        <v>94.54000000000001</v>
      </c>
      <c r="S364" t="n">
        <v>5.98</v>
      </c>
      <c r="T364" t="inlineStr">
        <is>
          <t>L1362</t>
        </is>
      </c>
      <c r="U364" t="inlineStr">
        <is>
          <t>Mohsen</t>
        </is>
      </c>
    </row>
    <row r="365">
      <c r="A365" s="7" t="n">
        <v>45461.125</v>
      </c>
      <c r="B365" t="n">
        <v>16</v>
      </c>
      <c r="C365" t="inlineStr">
        <is>
          <t>A</t>
        </is>
      </c>
      <c r="D365" t="inlineStr">
        <is>
          <t>R3_Optimized</t>
        </is>
      </c>
      <c r="E365" t="inlineStr">
        <is>
          <t>Blend C (Optimized)</t>
        </is>
      </c>
      <c r="F365" t="n">
        <v>2490.051576515217</v>
      </c>
      <c r="G365" t="n">
        <v>9.325617131717596</v>
      </c>
      <c r="H365" t="n">
        <v>0.8844866759128472</v>
      </c>
      <c r="I365" t="n">
        <v>0.5465889079456595</v>
      </c>
      <c r="J365" t="n">
        <v>14.50429548342635</v>
      </c>
      <c r="K365" t="n">
        <v>7.235193803001827</v>
      </c>
      <c r="L365" t="n">
        <v>84.66713297911598</v>
      </c>
      <c r="M365" t="n">
        <v>1286.139774758044</v>
      </c>
      <c r="N365" t="n">
        <v>24.03109010271826</v>
      </c>
      <c r="O365" t="n">
        <v>2.44</v>
      </c>
      <c r="P365" t="n">
        <v>268.1</v>
      </c>
      <c r="Q365" t="n">
        <v>25.57</v>
      </c>
      <c r="R365" t="n">
        <v>96.01000000000001</v>
      </c>
      <c r="S365" t="n">
        <v>5.9</v>
      </c>
      <c r="T365" t="inlineStr">
        <is>
          <t>L1363</t>
        </is>
      </c>
      <c r="U365" t="inlineStr">
        <is>
          <t>Reza</t>
        </is>
      </c>
    </row>
    <row r="366">
      <c r="A366" s="7" t="n">
        <v>45461.16666666666</v>
      </c>
      <c r="B366" t="n">
        <v>16</v>
      </c>
      <c r="C366" t="inlineStr">
        <is>
          <t>A</t>
        </is>
      </c>
      <c r="D366" t="inlineStr">
        <is>
          <t>R3_Optimized</t>
        </is>
      </c>
      <c r="E366" t="inlineStr">
        <is>
          <t>Blend C (Optimized)</t>
        </is>
      </c>
      <c r="F366" t="n">
        <v>2325.15114892228</v>
      </c>
      <c r="G366" t="n">
        <v>9.526537748195635</v>
      </c>
      <c r="H366" t="n">
        <v>0.7521831784399828</v>
      </c>
      <c r="I366" t="n">
        <v>0.5446436163935081</v>
      </c>
      <c r="J366" t="n">
        <v>14.29275237336018</v>
      </c>
      <c r="K366" t="n">
        <v>7.912958002822821</v>
      </c>
      <c r="L366" t="n">
        <v>97.54961060037249</v>
      </c>
      <c r="M366" t="n">
        <v>1310.764559449715</v>
      </c>
      <c r="N366" t="n">
        <v>22.89795062882321</v>
      </c>
      <c r="O366" t="n">
        <v>2.32</v>
      </c>
      <c r="P366" t="n">
        <v>306.3</v>
      </c>
      <c r="Q366" t="n">
        <v>27.91</v>
      </c>
      <c r="R366" t="n">
        <v>94.34999999999999</v>
      </c>
      <c r="S366" t="n">
        <v>5.81</v>
      </c>
      <c r="T366" t="inlineStr">
        <is>
          <t>L1364</t>
        </is>
      </c>
      <c r="U366" t="inlineStr">
        <is>
          <t>Reza</t>
        </is>
      </c>
    </row>
    <row r="367">
      <c r="A367" s="7" t="n">
        <v>45461.20833333334</v>
      </c>
      <c r="B367" t="n">
        <v>16</v>
      </c>
      <c r="C367" t="inlineStr">
        <is>
          <t>A</t>
        </is>
      </c>
      <c r="D367" t="inlineStr">
        <is>
          <t>R3_Optimized</t>
        </is>
      </c>
      <c r="E367" t="inlineStr">
        <is>
          <t>Blend C (Optimized)</t>
        </is>
      </c>
      <c r="F367" t="n">
        <v>2632.83998618944</v>
      </c>
      <c r="G367" t="n">
        <v>10.25468780381408</v>
      </c>
      <c r="H367" t="n">
        <v>0.9243935256887902</v>
      </c>
      <c r="I367" t="n">
        <v>0.5057832653016615</v>
      </c>
      <c r="J367" t="n">
        <v>14.29044217505257</v>
      </c>
      <c r="K367" t="n">
        <v>7.064436348681887</v>
      </c>
      <c r="L367" t="n">
        <v>94.88520434117476</v>
      </c>
      <c r="M367" t="n">
        <v>1282.806085319416</v>
      </c>
      <c r="N367" t="n">
        <v>22.6200342022318</v>
      </c>
      <c r="O367" t="n">
        <v>2.37</v>
      </c>
      <c r="P367" t="n">
        <v>407.2</v>
      </c>
      <c r="Q367" t="n">
        <v>26.24</v>
      </c>
      <c r="R367" t="n">
        <v>94.67</v>
      </c>
      <c r="S367" t="n">
        <v>5.1</v>
      </c>
      <c r="T367" t="inlineStr">
        <is>
          <t>L1365</t>
        </is>
      </c>
      <c r="U367" t="inlineStr">
        <is>
          <t>Sara</t>
        </is>
      </c>
    </row>
    <row r="368">
      <c r="A368" s="7" t="n">
        <v>45461.25</v>
      </c>
      <c r="B368" t="n">
        <v>16</v>
      </c>
      <c r="C368" t="inlineStr">
        <is>
          <t>A</t>
        </is>
      </c>
      <c r="D368" t="inlineStr">
        <is>
          <t>R3_Optimized</t>
        </is>
      </c>
      <c r="E368" t="inlineStr">
        <is>
          <t>Blend C (Optimized)</t>
        </is>
      </c>
      <c r="F368" t="n">
        <v>2513.183264296104</v>
      </c>
      <c r="G368" t="n">
        <v>8.777160562596261</v>
      </c>
      <c r="H368" t="n">
        <v>0.7669918443884467</v>
      </c>
      <c r="I368" t="n">
        <v>0.519180241653512</v>
      </c>
      <c r="J368" t="n">
        <v>14.39372770976189</v>
      </c>
      <c r="K368" t="n">
        <v>7.102319304817528</v>
      </c>
      <c r="L368" t="n">
        <v>98.73905054330456</v>
      </c>
      <c r="M368" t="n">
        <v>1292.561336704478</v>
      </c>
      <c r="N368" t="n">
        <v>20.77842478485267</v>
      </c>
      <c r="O368" t="n">
        <v>2.53</v>
      </c>
      <c r="P368" t="n">
        <v>229</v>
      </c>
      <c r="Q368" t="n">
        <v>26.1</v>
      </c>
      <c r="R368" t="n">
        <v>95.36</v>
      </c>
      <c r="S368" t="n">
        <v>5.68</v>
      </c>
      <c r="T368" t="inlineStr">
        <is>
          <t>L1366</t>
        </is>
      </c>
      <c r="U368" t="inlineStr">
        <is>
          <t>Mohsen</t>
        </is>
      </c>
    </row>
    <row r="369">
      <c r="A369" s="7" t="n">
        <v>45461.29166666666</v>
      </c>
      <c r="B369" t="n">
        <v>16</v>
      </c>
      <c r="C369" t="inlineStr">
        <is>
          <t>A</t>
        </is>
      </c>
      <c r="D369" t="inlineStr">
        <is>
          <t>R3_Optimized</t>
        </is>
      </c>
      <c r="E369" t="inlineStr">
        <is>
          <t>Blend C (Optimized)</t>
        </is>
      </c>
      <c r="F369" t="n">
        <v>2388.410996731257</v>
      </c>
      <c r="G369" t="n">
        <v>9.702840560195188</v>
      </c>
      <c r="H369" t="n">
        <v>0.5991159381114493</v>
      </c>
      <c r="I369" t="n">
        <v>0.5413943508589388</v>
      </c>
      <c r="J369" t="n">
        <v>14.38403559519725</v>
      </c>
      <c r="K369" t="n">
        <v>7.340369108515351</v>
      </c>
      <c r="L369" t="n">
        <v>97.44319286742579</v>
      </c>
      <c r="M369" t="n">
        <v>1300.233136335263</v>
      </c>
      <c r="N369" t="n">
        <v>22.68171887353778</v>
      </c>
      <c r="O369" t="n">
        <v>2.1</v>
      </c>
      <c r="P369" t="n">
        <v>234</v>
      </c>
      <c r="Q369" t="n">
        <v>30.07</v>
      </c>
      <c r="R369" t="n">
        <v>93.02</v>
      </c>
      <c r="S369" t="n">
        <v>6.41</v>
      </c>
      <c r="T369" t="inlineStr">
        <is>
          <t>L1367</t>
        </is>
      </c>
      <c r="U369" t="inlineStr">
        <is>
          <t>Reza</t>
        </is>
      </c>
    </row>
    <row r="370">
      <c r="A370" s="7" t="n">
        <v>45461.33333333334</v>
      </c>
      <c r="B370" t="n">
        <v>16</v>
      </c>
      <c r="C370" t="inlineStr">
        <is>
          <t>B</t>
        </is>
      </c>
      <c r="D370" t="inlineStr">
        <is>
          <t>R3_Optimized</t>
        </is>
      </c>
      <c r="E370" t="inlineStr">
        <is>
          <t>Blend C (Optimized)</t>
        </is>
      </c>
      <c r="F370" t="n">
        <v>2196.701597020641</v>
      </c>
      <c r="G370" t="n">
        <v>9.048842103122968</v>
      </c>
      <c r="H370" t="n">
        <v>0.7398616371755299</v>
      </c>
      <c r="I370" t="n">
        <v>0.5897443419109687</v>
      </c>
      <c r="J370" t="n">
        <v>13.32209255565735</v>
      </c>
      <c r="K370" t="n">
        <v>6.66040047206022</v>
      </c>
      <c r="L370" t="n">
        <v>96.82153058046028</v>
      </c>
      <c r="M370" t="n">
        <v>1274.186851207097</v>
      </c>
      <c r="N370" t="n">
        <v>23.76069266412537</v>
      </c>
      <c r="O370" t="n">
        <v>2.63</v>
      </c>
      <c r="P370" t="n">
        <v>255.6</v>
      </c>
      <c r="Q370" t="n">
        <v>26.15</v>
      </c>
      <c r="R370" t="n">
        <v>95.22</v>
      </c>
      <c r="S370" t="n">
        <v>6</v>
      </c>
      <c r="T370" t="inlineStr">
        <is>
          <t>L1368</t>
        </is>
      </c>
      <c r="U370" t="inlineStr">
        <is>
          <t>Alireza</t>
        </is>
      </c>
    </row>
    <row r="371">
      <c r="A371" s="7" t="n">
        <v>45461.375</v>
      </c>
      <c r="B371" t="n">
        <v>16</v>
      </c>
      <c r="C371" t="inlineStr">
        <is>
          <t>B</t>
        </is>
      </c>
      <c r="D371" t="inlineStr">
        <is>
          <t>R3_Optimized</t>
        </is>
      </c>
      <c r="E371" t="inlineStr">
        <is>
          <t>Blend C (Optimized)</t>
        </is>
      </c>
      <c r="F371" t="n">
        <v>2408.652638287019</v>
      </c>
      <c r="G371" t="n">
        <v>9.190102835757825</v>
      </c>
      <c r="H371" t="n">
        <v>0.7772548666114376</v>
      </c>
      <c r="I371" t="n">
        <v>0.5129744529221655</v>
      </c>
      <c r="J371" t="n">
        <v>13.9908768885875</v>
      </c>
      <c r="K371" t="n">
        <v>7.185453432235856</v>
      </c>
      <c r="L371" t="n">
        <v>103.9217355799934</v>
      </c>
      <c r="M371" t="n">
        <v>1287.570120387862</v>
      </c>
      <c r="N371" t="n">
        <v>23.35616149799203</v>
      </c>
      <c r="O371" t="n">
        <v>2.17</v>
      </c>
      <c r="P371" t="n">
        <v>258.3</v>
      </c>
      <c r="Q371" t="n">
        <v>26.15</v>
      </c>
      <c r="R371" t="n">
        <v>95.38</v>
      </c>
      <c r="S371" t="n">
        <v>5.61</v>
      </c>
      <c r="T371" t="inlineStr">
        <is>
          <t>L1369</t>
        </is>
      </c>
      <c r="U371" t="inlineStr">
        <is>
          <t>Reza</t>
        </is>
      </c>
    </row>
    <row r="372">
      <c r="A372" s="7" t="n">
        <v>45461.41666666666</v>
      </c>
      <c r="B372" t="n">
        <v>16</v>
      </c>
      <c r="C372" t="inlineStr">
        <is>
          <t>B</t>
        </is>
      </c>
      <c r="D372" t="inlineStr">
        <is>
          <t>R3_Optimized</t>
        </is>
      </c>
      <c r="E372" t="inlineStr">
        <is>
          <t>Blend C (Optimized)</t>
        </is>
      </c>
      <c r="F372" t="n">
        <v>2342.187835663387</v>
      </c>
      <c r="G372" t="n">
        <v>9.642325405131078</v>
      </c>
      <c r="H372" t="n">
        <v>0.783819780145145</v>
      </c>
      <c r="I372" t="n">
        <v>0.5478119429461059</v>
      </c>
      <c r="J372" t="n">
        <v>13.76138427749047</v>
      </c>
      <c r="K372" t="n">
        <v>7.478193875601466</v>
      </c>
      <c r="L372" t="n">
        <v>100.2214483919922</v>
      </c>
      <c r="M372" t="n">
        <v>1307.202884354268</v>
      </c>
      <c r="N372" t="n">
        <v>22.93525722281619</v>
      </c>
      <c r="O372" t="n">
        <v>1.68</v>
      </c>
      <c r="P372" t="n">
        <v>238.6</v>
      </c>
      <c r="Q372" t="n">
        <v>25.08</v>
      </c>
      <c r="R372" t="n">
        <v>96.01000000000001</v>
      </c>
      <c r="S372" t="n">
        <v>5.34</v>
      </c>
      <c r="T372" t="inlineStr">
        <is>
          <t>L1370</t>
        </is>
      </c>
      <c r="U372" t="inlineStr">
        <is>
          <t>Sara</t>
        </is>
      </c>
    </row>
    <row r="373">
      <c r="A373" s="7" t="n">
        <v>45461.45833333334</v>
      </c>
      <c r="B373" t="n">
        <v>16</v>
      </c>
      <c r="C373" t="inlineStr">
        <is>
          <t>B</t>
        </is>
      </c>
      <c r="D373" t="inlineStr">
        <is>
          <t>R3_Optimized</t>
        </is>
      </c>
      <c r="E373" t="inlineStr">
        <is>
          <t>Blend C (Optimized)</t>
        </is>
      </c>
      <c r="F373" t="n">
        <v>2223.502741297165</v>
      </c>
      <c r="G373" t="n">
        <v>9.325601466177273</v>
      </c>
      <c r="H373" t="n">
        <v>0.7667489420048612</v>
      </c>
      <c r="I373" t="n">
        <v>0.5987944117722138</v>
      </c>
      <c r="J373" t="n">
        <v>13.35392949211593</v>
      </c>
      <c r="K373" t="n">
        <v>7.030975344595716</v>
      </c>
      <c r="L373" t="n">
        <v>99.20361029627392</v>
      </c>
      <c r="M373" t="n">
        <v>1301.841261147262</v>
      </c>
      <c r="N373" t="n">
        <v>23.07360939792649</v>
      </c>
      <c r="O373" t="n">
        <v>2.06</v>
      </c>
      <c r="P373" t="n">
        <v>146.7675159656393</v>
      </c>
      <c r="Q373" t="n">
        <v>29.05</v>
      </c>
      <c r="R373" t="n">
        <v>94.31</v>
      </c>
      <c r="S373" t="n">
        <v>6.27</v>
      </c>
      <c r="T373" t="inlineStr">
        <is>
          <t>L1371</t>
        </is>
      </c>
      <c r="U373" t="inlineStr">
        <is>
          <t>Mohsen</t>
        </is>
      </c>
      <c r="V373" t="inlineStr">
        <is>
          <t>Outlier: suspected lab error</t>
        </is>
      </c>
    </row>
    <row r="374">
      <c r="A374" s="7" t="n">
        <v>45461.5</v>
      </c>
      <c r="B374" t="n">
        <v>16</v>
      </c>
      <c r="C374" t="inlineStr">
        <is>
          <t>B</t>
        </is>
      </c>
      <c r="D374" t="inlineStr">
        <is>
          <t>R3_Optimized</t>
        </is>
      </c>
      <c r="E374" t="inlineStr">
        <is>
          <t>Blend C (Optimized)</t>
        </is>
      </c>
      <c r="F374" t="n">
        <v>2518.601695940426</v>
      </c>
      <c r="G374" t="n">
        <v>8.827041808071289</v>
      </c>
      <c r="H374" t="n">
        <v>0.7945683560699839</v>
      </c>
      <c r="I374" t="n">
        <v>0.6180762716611868</v>
      </c>
      <c r="J374" t="n">
        <v>15.79494727917444</v>
      </c>
      <c r="K374" t="n">
        <v>7.119398396272902</v>
      </c>
      <c r="L374" t="n">
        <v>91.02521780500867</v>
      </c>
      <c r="M374" t="n">
        <v>1280.942718321181</v>
      </c>
      <c r="N374" t="n">
        <v>24.69017481897103</v>
      </c>
      <c r="O374" t="n">
        <v>2.99</v>
      </c>
      <c r="P374" t="n">
        <v>333.9</v>
      </c>
      <c r="Q374" t="n">
        <v>27.88</v>
      </c>
      <c r="R374" t="n">
        <v>93.81</v>
      </c>
      <c r="S374" t="n">
        <v>6.28</v>
      </c>
      <c r="T374" t="inlineStr">
        <is>
          <t>L1372</t>
        </is>
      </c>
      <c r="U374" t="inlineStr">
        <is>
          <t>Sara</t>
        </is>
      </c>
    </row>
    <row r="375">
      <c r="A375" s="7" t="n">
        <v>45461.54166666666</v>
      </c>
      <c r="B375" t="n">
        <v>16</v>
      </c>
      <c r="C375" t="inlineStr">
        <is>
          <t>B</t>
        </is>
      </c>
      <c r="D375" t="inlineStr">
        <is>
          <t>R3_Optimized</t>
        </is>
      </c>
      <c r="E375" t="inlineStr">
        <is>
          <t>Blend C (Optimized)</t>
        </is>
      </c>
      <c r="F375" t="n">
        <v>2554.909063940821</v>
      </c>
      <c r="G375" t="n">
        <v>9.228934249777488</v>
      </c>
      <c r="H375" t="n">
        <v>0.754295115044042</v>
      </c>
      <c r="I375" t="n">
        <v>0.4735637092420428</v>
      </c>
      <c r="J375" t="n">
        <v>13.81490282565506</v>
      </c>
      <c r="K375" t="n">
        <v>7.025807545476583</v>
      </c>
      <c r="L375" t="n">
        <v>103.3024235490348</v>
      </c>
      <c r="M375" t="n">
        <v>1314.173169537174</v>
      </c>
      <c r="N375" t="n">
        <v>22.28365523935608</v>
      </c>
      <c r="O375" t="n">
        <v>2.08</v>
      </c>
      <c r="P375" t="n">
        <v>211.4</v>
      </c>
      <c r="Q375" t="n">
        <v>26.39</v>
      </c>
      <c r="R375" t="n">
        <v>95.70999999999999</v>
      </c>
      <c r="S375" t="n">
        <v>5.27</v>
      </c>
      <c r="T375" t="inlineStr">
        <is>
          <t>L1373</t>
        </is>
      </c>
      <c r="U375" t="inlineStr">
        <is>
          <t>Reza</t>
        </is>
      </c>
    </row>
    <row r="376">
      <c r="A376" s="7" t="n">
        <v>45461.58333333334</v>
      </c>
      <c r="B376" t="n">
        <v>16</v>
      </c>
      <c r="C376" t="inlineStr">
        <is>
          <t>B</t>
        </is>
      </c>
      <c r="D376" t="inlineStr">
        <is>
          <t>R3_Optimized</t>
        </is>
      </c>
      <c r="E376" t="inlineStr">
        <is>
          <t>Blend C (Optimized)</t>
        </is>
      </c>
      <c r="F376" t="n">
        <v>2600.382138376804</v>
      </c>
      <c r="G376" t="n">
        <v>9.169462207690628</v>
      </c>
      <c r="H376" t="n">
        <v>0.8608052525140439</v>
      </c>
      <c r="I376" t="n">
        <v>0.5584414133594395</v>
      </c>
      <c r="J376" t="n">
        <v>13.51482662188228</v>
      </c>
      <c r="K376" t="n">
        <v>7.491231810505736</v>
      </c>
      <c r="L376" t="n">
        <v>105.6210866654158</v>
      </c>
      <c r="M376" t="n">
        <v>1255.125057933836</v>
      </c>
      <c r="N376" t="n">
        <v>23.22143356757027</v>
      </c>
      <c r="O376" t="n">
        <v>2.89</v>
      </c>
      <c r="P376" t="n">
        <v>306.3</v>
      </c>
      <c r="Q376" t="n">
        <v>28.46</v>
      </c>
      <c r="R376" t="n">
        <v>94.56</v>
      </c>
      <c r="S376" t="n">
        <v>6.39</v>
      </c>
      <c r="T376" t="inlineStr">
        <is>
          <t>L1374</t>
        </is>
      </c>
      <c r="U376" t="inlineStr">
        <is>
          <t>Mohsen</t>
        </is>
      </c>
    </row>
    <row r="377">
      <c r="A377" s="7" t="n">
        <v>45461.625</v>
      </c>
      <c r="B377" t="n">
        <v>16</v>
      </c>
      <c r="C377" t="inlineStr">
        <is>
          <t>B</t>
        </is>
      </c>
      <c r="D377" t="inlineStr">
        <is>
          <t>R3_Optimized</t>
        </is>
      </c>
      <c r="E377" t="inlineStr">
        <is>
          <t>Blend C (Optimized)</t>
        </is>
      </c>
      <c r="F377" t="n">
        <v>2472.357848478553</v>
      </c>
      <c r="G377" t="n">
        <v>9.368121971281145</v>
      </c>
      <c r="H377" t="n">
        <v>0.7902098435106621</v>
      </c>
      <c r="I377" t="n">
        <v>0.5355433178496136</v>
      </c>
      <c r="J377" t="n">
        <v>14.31662196117193</v>
      </c>
      <c r="K377" t="n">
        <v>7.392060748406695</v>
      </c>
      <c r="L377" t="n">
        <v>96.47401116809809</v>
      </c>
      <c r="M377" t="n">
        <v>1298.183481496412</v>
      </c>
      <c r="N377" t="n">
        <v>21.62261495477184</v>
      </c>
      <c r="O377" t="n">
        <v>2.62</v>
      </c>
      <c r="P377" t="n">
        <v>225</v>
      </c>
      <c r="Q377" t="n">
        <v>25.84</v>
      </c>
      <c r="R377" t="n">
        <v>95.53</v>
      </c>
      <c r="S377" t="n">
        <v>5.55</v>
      </c>
      <c r="T377" t="inlineStr">
        <is>
          <t>L1375</t>
        </is>
      </c>
      <c r="U377" t="inlineStr">
        <is>
          <t>Mohsen</t>
        </is>
      </c>
    </row>
    <row r="378">
      <c r="A378" s="7" t="n">
        <v>45461.66666666666</v>
      </c>
      <c r="B378" t="n">
        <v>16</v>
      </c>
      <c r="C378" t="inlineStr">
        <is>
          <t>C</t>
        </is>
      </c>
      <c r="D378" t="inlineStr">
        <is>
          <t>R3_Optimized</t>
        </is>
      </c>
      <c r="E378" t="inlineStr">
        <is>
          <t>Blend C (Optimized)</t>
        </is>
      </c>
      <c r="F378" t="n">
        <v>2407.094819732687</v>
      </c>
      <c r="G378" t="n">
        <v>8.973178594202876</v>
      </c>
      <c r="H378" t="n">
        <v>0.7577742947439028</v>
      </c>
      <c r="I378" t="n">
        <v>0.5198215937409632</v>
      </c>
      <c r="J378" t="n">
        <v>13.84255937639882</v>
      </c>
      <c r="K378" t="n">
        <v>7.670548080049865</v>
      </c>
      <c r="L378" t="n">
        <v>103.468440252744</v>
      </c>
      <c r="M378" t="n">
        <v>1311.574182455377</v>
      </c>
      <c r="N378" t="n">
        <v>23.72875226980931</v>
      </c>
      <c r="O378" t="n">
        <v>2.14</v>
      </c>
      <c r="P378" t="n">
        <v>257.1</v>
      </c>
      <c r="Q378" t="n">
        <v>27.71</v>
      </c>
      <c r="R378" t="n">
        <v>94.31</v>
      </c>
      <c r="S378" t="n">
        <v>5.24</v>
      </c>
      <c r="T378" t="inlineStr">
        <is>
          <t>L1376</t>
        </is>
      </c>
      <c r="U378" t="inlineStr">
        <is>
          <t>Alireza</t>
        </is>
      </c>
    </row>
    <row r="379">
      <c r="A379" s="7" t="n">
        <v>45461.70833333334</v>
      </c>
      <c r="B379" t="n">
        <v>16</v>
      </c>
      <c r="C379" t="inlineStr">
        <is>
          <t>C</t>
        </is>
      </c>
      <c r="D379" t="inlineStr">
        <is>
          <t>R3_Optimized</t>
        </is>
      </c>
      <c r="E379" t="inlineStr">
        <is>
          <t>Blend C (Optimized)</t>
        </is>
      </c>
      <c r="F379" t="n">
        <v>2656.836355854166</v>
      </c>
      <c r="G379" t="n">
        <v>9.059472328747241</v>
      </c>
      <c r="H379" t="n">
        <v>0.8958296438198827</v>
      </c>
      <c r="I379" t="n">
        <v>0.5109875675106244</v>
      </c>
      <c r="J379" t="n">
        <v>13.68130020998963</v>
      </c>
      <c r="K379" t="n">
        <v>6.992934929431216</v>
      </c>
      <c r="L379" t="n">
        <v>98.77830452408887</v>
      </c>
      <c r="M379" t="n">
        <v>1286.128355746238</v>
      </c>
      <c r="N379" t="n">
        <v>22.35147618599805</v>
      </c>
      <c r="O379" t="n">
        <v>2.38</v>
      </c>
      <c r="P379" t="n">
        <v>292.8</v>
      </c>
      <c r="Q379" t="n">
        <v>25.97</v>
      </c>
      <c r="R379" t="n">
        <v>94.77</v>
      </c>
      <c r="S379" t="n">
        <v>5.55</v>
      </c>
      <c r="T379" t="inlineStr">
        <is>
          <t>L1377</t>
        </is>
      </c>
      <c r="U379" t="inlineStr">
        <is>
          <t>Alireza</t>
        </is>
      </c>
    </row>
    <row r="380">
      <c r="A380" s="7" t="n">
        <v>45461.75</v>
      </c>
      <c r="B380" t="n">
        <v>16</v>
      </c>
      <c r="C380" t="inlineStr">
        <is>
          <t>C</t>
        </is>
      </c>
      <c r="D380" t="inlineStr">
        <is>
          <t>R3_Optimized</t>
        </is>
      </c>
      <c r="E380" t="inlineStr">
        <is>
          <t>Blend C (Optimized)</t>
        </is>
      </c>
      <c r="F380" t="n">
        <v>2590.990084560735</v>
      </c>
      <c r="G380" t="n">
        <v>9.183345106583046</v>
      </c>
      <c r="H380" t="n">
        <v>0.6778581690451699</v>
      </c>
      <c r="I380" t="n">
        <v>0.6338719035241982</v>
      </c>
      <c r="J380" t="n">
        <v>14.15279497953101</v>
      </c>
      <c r="K380" t="n">
        <v>7.855460252342205</v>
      </c>
      <c r="L380" t="n">
        <v>98.90963289897779</v>
      </c>
      <c r="M380" t="n">
        <v>1296.657211348618</v>
      </c>
      <c r="N380" t="n">
        <v>19.89477630230561</v>
      </c>
      <c r="O380" t="n">
        <v>2.12</v>
      </c>
      <c r="P380" t="n">
        <v>225.6</v>
      </c>
      <c r="Q380" t="n">
        <v>26.32</v>
      </c>
      <c r="R380" t="n">
        <v>96.69</v>
      </c>
      <c r="S380" t="n">
        <v>5.39</v>
      </c>
      <c r="T380" t="inlineStr">
        <is>
          <t>L1378</t>
        </is>
      </c>
      <c r="U380" t="inlineStr">
        <is>
          <t>Mohsen</t>
        </is>
      </c>
    </row>
    <row r="381">
      <c r="A381" s="7" t="n">
        <v>45461.79166666666</v>
      </c>
      <c r="B381" t="n">
        <v>16</v>
      </c>
      <c r="C381" t="inlineStr">
        <is>
          <t>C</t>
        </is>
      </c>
      <c r="D381" t="inlineStr">
        <is>
          <t>R3_Optimized</t>
        </is>
      </c>
      <c r="E381" t="inlineStr">
        <is>
          <t>Blend C (Optimized)</t>
        </is>
      </c>
      <c r="F381" t="n">
        <v>2867.734834342546</v>
      </c>
      <c r="G381" t="n">
        <v>9.310121073137669</v>
      </c>
      <c r="H381" t="n">
        <v>0.63532431030696</v>
      </c>
      <c r="I381" t="n">
        <v>0.5989755309531021</v>
      </c>
      <c r="J381" t="n">
        <v>14.410926118343</v>
      </c>
      <c r="K381" t="n">
        <v>7.075651783433557</v>
      </c>
      <c r="L381" t="n">
        <v>109.3248835212534</v>
      </c>
      <c r="M381" t="n">
        <v>1293.732509731324</v>
      </c>
      <c r="N381" t="n">
        <v>20.40371876395242</v>
      </c>
      <c r="O381" t="n">
        <v>2.45</v>
      </c>
      <c r="P381" t="n">
        <v>231.2</v>
      </c>
      <c r="R381" t="n">
        <v>93.69</v>
      </c>
      <c r="S381" t="n">
        <v>5.5</v>
      </c>
      <c r="T381" t="inlineStr">
        <is>
          <t>L1379</t>
        </is>
      </c>
      <c r="U381" t="inlineStr">
        <is>
          <t>Sara</t>
        </is>
      </c>
      <c r="V381" t="inlineStr">
        <is>
          <t>Missing</t>
        </is>
      </c>
    </row>
    <row r="382">
      <c r="A382" s="7" t="n">
        <v>45461.83333333334</v>
      </c>
      <c r="B382" t="n">
        <v>16</v>
      </c>
      <c r="C382" t="inlineStr">
        <is>
          <t>C</t>
        </is>
      </c>
      <c r="D382" t="inlineStr">
        <is>
          <t>R3_Optimized</t>
        </is>
      </c>
      <c r="E382" t="inlineStr">
        <is>
          <t>Blend C (Optimized)</t>
        </is>
      </c>
      <c r="F382" t="n">
        <v>2553.886695118503</v>
      </c>
      <c r="G382" t="n">
        <v>9.241041146578842</v>
      </c>
      <c r="H382" t="n">
        <v>0.7190448597096633</v>
      </c>
      <c r="I382" t="n">
        <v>0.5345854632161187</v>
      </c>
      <c r="J382" t="n">
        <v>14.25105844910601</v>
      </c>
      <c r="K382" t="n">
        <v>7.412857231876212</v>
      </c>
      <c r="L382" t="n">
        <v>105.7159980072911</v>
      </c>
      <c r="M382" t="n">
        <v>1309.47500462454</v>
      </c>
      <c r="N382" t="n">
        <v>21.89154812364175</v>
      </c>
      <c r="O382" t="n">
        <v>2.22</v>
      </c>
      <c r="P382" t="n">
        <v>346.4</v>
      </c>
      <c r="Q382" t="n">
        <v>28.4</v>
      </c>
      <c r="R382" t="n">
        <v>93.78</v>
      </c>
      <c r="S382" t="n">
        <v>5.38</v>
      </c>
      <c r="T382" t="inlineStr">
        <is>
          <t>L1380</t>
        </is>
      </c>
      <c r="U382" t="inlineStr">
        <is>
          <t>Mohsen</t>
        </is>
      </c>
    </row>
    <row r="383">
      <c r="A383" s="7" t="n">
        <v>45461.875</v>
      </c>
      <c r="B383" t="n">
        <v>16</v>
      </c>
      <c r="C383" t="inlineStr">
        <is>
          <t>C</t>
        </is>
      </c>
      <c r="D383" t="inlineStr">
        <is>
          <t>R3_Optimized</t>
        </is>
      </c>
      <c r="E383" t="inlineStr">
        <is>
          <t>Blend C (Optimized)</t>
        </is>
      </c>
      <c r="F383" t="n">
        <v>2284.796588485038</v>
      </c>
      <c r="G383" t="n">
        <v>9.451646077939749</v>
      </c>
      <c r="H383" t="n">
        <v>0.588302125874979</v>
      </c>
      <c r="I383" t="n">
        <v>0.5531695895116551</v>
      </c>
      <c r="J383" t="n">
        <v>14.47868665027363</v>
      </c>
      <c r="K383" t="n">
        <v>6.7133675748414</v>
      </c>
      <c r="L383" t="n">
        <v>104.3052411900265</v>
      </c>
      <c r="M383" t="n">
        <v>1304.991136105039</v>
      </c>
      <c r="N383" t="n">
        <v>22.08167846843732</v>
      </c>
      <c r="O383" t="n">
        <v>2.11</v>
      </c>
      <c r="P383" t="n">
        <v>231.5</v>
      </c>
      <c r="Q383" t="n">
        <v>27.69</v>
      </c>
      <c r="R383" t="n">
        <v>94.38</v>
      </c>
      <c r="S383" t="n">
        <v>6.23</v>
      </c>
      <c r="T383" t="inlineStr">
        <is>
          <t>L1381</t>
        </is>
      </c>
      <c r="U383" t="inlineStr">
        <is>
          <t>Alireza</t>
        </is>
      </c>
    </row>
    <row r="384">
      <c r="A384" s="7" t="n">
        <v>45461.91666666666</v>
      </c>
      <c r="B384" t="n">
        <v>16</v>
      </c>
      <c r="C384" t="inlineStr">
        <is>
          <t>C</t>
        </is>
      </c>
      <c r="D384" t="inlineStr">
        <is>
          <t>R3_Optimized</t>
        </is>
      </c>
      <c r="E384" t="inlineStr">
        <is>
          <t>Blend C (Optimized)</t>
        </is>
      </c>
      <c r="F384" t="n">
        <v>2627.923375006612</v>
      </c>
      <c r="G384" t="n">
        <v>9.525147255628911</v>
      </c>
      <c r="H384" t="n">
        <v>0.8022332400123576</v>
      </c>
      <c r="I384" t="n">
        <v>0.544007580954477</v>
      </c>
      <c r="J384" t="n">
        <v>13.49382099224583</v>
      </c>
      <c r="K384" t="n">
        <v>6.397632255686807</v>
      </c>
      <c r="L384" t="n">
        <v>97.59543644944014</v>
      </c>
      <c r="N384" t="n">
        <v>19.53822103806851</v>
      </c>
      <c r="O384" t="n">
        <v>2.24</v>
      </c>
      <c r="P384" t="n">
        <v>251.6</v>
      </c>
      <c r="Q384" t="n">
        <v>27.99</v>
      </c>
      <c r="R384" t="n">
        <v>94.23</v>
      </c>
      <c r="S384" t="n">
        <v>5.81</v>
      </c>
      <c r="T384" t="inlineStr">
        <is>
          <t>L1382</t>
        </is>
      </c>
      <c r="U384" t="inlineStr">
        <is>
          <t>Sara</t>
        </is>
      </c>
      <c r="V384" t="inlineStr">
        <is>
          <t>Missing</t>
        </is>
      </c>
    </row>
    <row r="385">
      <c r="A385" s="7" t="n">
        <v>45461.95833333334</v>
      </c>
      <c r="B385" t="n">
        <v>16</v>
      </c>
      <c r="C385" t="inlineStr">
        <is>
          <t>C</t>
        </is>
      </c>
      <c r="D385" t="inlineStr">
        <is>
          <t>R3_Optimized</t>
        </is>
      </c>
      <c r="E385" t="inlineStr">
        <is>
          <t>Blend C (Optimized)</t>
        </is>
      </c>
      <c r="F385" t="n">
        <v>2874.264811725785</v>
      </c>
      <c r="G385" t="n">
        <v>9.414597807403421</v>
      </c>
      <c r="H385" t="n">
        <v>0.7456883646644701</v>
      </c>
      <c r="I385" t="n">
        <v>0.5380770011312663</v>
      </c>
      <c r="J385" t="n">
        <v>13.43630009540252</v>
      </c>
      <c r="K385" t="n">
        <v>7.513858674335844</v>
      </c>
      <c r="L385" t="n">
        <v>97.9741309399425</v>
      </c>
      <c r="M385" t="n">
        <v>1312.7937765926</v>
      </c>
      <c r="N385" t="n">
        <v>22.74980120912323</v>
      </c>
      <c r="O385" t="n">
        <v>2.27</v>
      </c>
      <c r="P385" t="n">
        <v>224.5</v>
      </c>
      <c r="Q385" t="n">
        <v>25.97</v>
      </c>
      <c r="R385" t="n">
        <v>96.52</v>
      </c>
      <c r="S385" t="n">
        <v>4.93</v>
      </c>
      <c r="T385" t="inlineStr">
        <is>
          <t>L1383</t>
        </is>
      </c>
      <c r="U385" t="inlineStr">
        <is>
          <t>Sara</t>
        </is>
      </c>
    </row>
    <row r="386">
      <c r="A386" s="7" t="n">
        <v>45462</v>
      </c>
      <c r="B386" t="n">
        <v>17</v>
      </c>
      <c r="C386" t="inlineStr">
        <is>
          <t>A</t>
        </is>
      </c>
      <c r="D386" t="inlineStr">
        <is>
          <t>R3_Optimized</t>
        </is>
      </c>
      <c r="E386" t="inlineStr">
        <is>
          <t>Blend C (Optimized)</t>
        </is>
      </c>
      <c r="F386" t="n">
        <v>2503.887984210493</v>
      </c>
      <c r="G386" t="n">
        <v>9.067004068246783</v>
      </c>
      <c r="H386" t="n">
        <v>0.9144287919973456</v>
      </c>
      <c r="I386" t="n">
        <v>0.5898177101503217</v>
      </c>
      <c r="J386" t="n">
        <v>14.85610999866671</v>
      </c>
      <c r="K386" t="n">
        <v>6.607237648557393</v>
      </c>
      <c r="L386" t="n">
        <v>79.86718971735374</v>
      </c>
      <c r="M386" t="n">
        <v>1249.529524578264</v>
      </c>
      <c r="N386" t="n">
        <v>17.17802621593448</v>
      </c>
      <c r="O386" t="n">
        <v>2.72</v>
      </c>
      <c r="P386" t="n">
        <v>223.4</v>
      </c>
      <c r="Q386" t="n">
        <v>27.81</v>
      </c>
      <c r="R386" t="n">
        <v>94.16</v>
      </c>
      <c r="S386" t="n">
        <v>6.39</v>
      </c>
      <c r="T386" t="inlineStr">
        <is>
          <t>L1384</t>
        </is>
      </c>
      <c r="U386" t="inlineStr">
        <is>
          <t>Mohsen</t>
        </is>
      </c>
      <c r="V386" t="inlineStr">
        <is>
          <t>SpecialCause: FiringTemp drop</t>
        </is>
      </c>
    </row>
    <row r="387">
      <c r="A387" s="7" t="n">
        <v>45462.04166666666</v>
      </c>
      <c r="B387" t="n">
        <v>17</v>
      </c>
      <c r="C387" t="inlineStr">
        <is>
          <t>A</t>
        </is>
      </c>
      <c r="D387" t="inlineStr">
        <is>
          <t>R3_Optimized</t>
        </is>
      </c>
      <c r="E387" t="inlineStr">
        <is>
          <t>Blend C (Optimized)</t>
        </is>
      </c>
      <c r="F387" t="n">
        <v>2421.901925863341</v>
      </c>
      <c r="G387" t="n">
        <v>8.752854636834101</v>
      </c>
      <c r="H387" t="n">
        <v>0.7014935882627129</v>
      </c>
      <c r="I387" t="n">
        <v>0.5244717988725321</v>
      </c>
      <c r="J387" t="n">
        <v>13.35485413951056</v>
      </c>
      <c r="K387" t="n">
        <v>7.855380290155563</v>
      </c>
      <c r="L387" t="n">
        <v>85.03259436909764</v>
      </c>
      <c r="M387" t="n">
        <v>1248.209369034084</v>
      </c>
      <c r="N387" t="n">
        <v>19.25095440666701</v>
      </c>
      <c r="O387" t="n">
        <v>2.36</v>
      </c>
      <c r="P387" t="n">
        <v>150</v>
      </c>
      <c r="Q387" t="n">
        <v>30.09</v>
      </c>
      <c r="R387" t="n">
        <v>91.41</v>
      </c>
      <c r="S387" t="n">
        <v>6.98</v>
      </c>
      <c r="T387" t="inlineStr">
        <is>
          <t>L1385</t>
        </is>
      </c>
      <c r="U387" t="inlineStr">
        <is>
          <t>Mohsen</t>
        </is>
      </c>
      <c r="V387" t="inlineStr">
        <is>
          <t>SpecialCause: FiringTemp drop</t>
        </is>
      </c>
    </row>
    <row r="388">
      <c r="A388" s="7" t="n">
        <v>45462.08333333334</v>
      </c>
      <c r="B388" t="n">
        <v>17</v>
      </c>
      <c r="C388" t="inlineStr">
        <is>
          <t>A</t>
        </is>
      </c>
      <c r="D388" t="inlineStr">
        <is>
          <t>R3_Optimized</t>
        </is>
      </c>
      <c r="E388" t="inlineStr">
        <is>
          <t>Blend C (Optimized)</t>
        </is>
      </c>
      <c r="F388" t="n">
        <v>2347.631478041521</v>
      </c>
      <c r="G388" t="n">
        <v>8.98457444112738</v>
      </c>
      <c r="H388" t="n">
        <v>0.6834328943842547</v>
      </c>
      <c r="I388" t="n">
        <v>0.5852600048378607</v>
      </c>
      <c r="J388" t="n">
        <v>14.33953427599826</v>
      </c>
      <c r="K388" t="n">
        <v>6.445397385669781</v>
      </c>
      <c r="L388" t="n">
        <v>88.25692356936274</v>
      </c>
      <c r="M388" t="n">
        <v>1234.643908221153</v>
      </c>
      <c r="N388" t="n">
        <v>17.79346831924131</v>
      </c>
      <c r="O388" t="n">
        <v>3.27</v>
      </c>
      <c r="P388" t="n">
        <v>194.4</v>
      </c>
      <c r="Q388" t="n">
        <v>29.48</v>
      </c>
      <c r="R388" t="n">
        <v>92.73</v>
      </c>
      <c r="S388" t="n">
        <v>6.5</v>
      </c>
      <c r="T388" t="inlineStr">
        <is>
          <t>L1386</t>
        </is>
      </c>
      <c r="U388" t="inlineStr">
        <is>
          <t>Sara</t>
        </is>
      </c>
      <c r="V388" t="inlineStr">
        <is>
          <t>SpecialCause: FiringTemp drop</t>
        </is>
      </c>
    </row>
    <row r="389">
      <c r="A389" s="7" t="n">
        <v>45462.125</v>
      </c>
      <c r="B389" t="n">
        <v>17</v>
      </c>
      <c r="C389" t="inlineStr">
        <is>
          <t>A</t>
        </is>
      </c>
      <c r="D389" t="inlineStr">
        <is>
          <t>R3_Optimized</t>
        </is>
      </c>
      <c r="E389" t="inlineStr">
        <is>
          <t>Blend C (Optimized)</t>
        </is>
      </c>
      <c r="F389" t="n">
        <v>2799.798550388484</v>
      </c>
      <c r="G389" t="n">
        <v>9.055344350364074</v>
      </c>
      <c r="H389" t="n">
        <v>0.8144601696001293</v>
      </c>
      <c r="I389" t="n">
        <v>0.475952525436424</v>
      </c>
      <c r="J389" t="n">
        <v>13.74926638032638</v>
      </c>
      <c r="K389" t="n">
        <v>6.504940814301895</v>
      </c>
      <c r="L389" t="n">
        <v>82.70834201932509</v>
      </c>
      <c r="M389" t="n">
        <v>1240.840384056435</v>
      </c>
      <c r="N389" t="n">
        <v>20.06436172725596</v>
      </c>
      <c r="O389" t="n">
        <v>2.44</v>
      </c>
      <c r="P389" t="n">
        <v>208.6</v>
      </c>
      <c r="Q389" t="n">
        <v>27.53</v>
      </c>
      <c r="R389" t="n">
        <v>92.63</v>
      </c>
      <c r="S389" t="n">
        <v>5.85</v>
      </c>
      <c r="T389" t="inlineStr">
        <is>
          <t>L1387</t>
        </is>
      </c>
      <c r="U389" t="inlineStr">
        <is>
          <t>Mohsen</t>
        </is>
      </c>
      <c r="V389" t="inlineStr">
        <is>
          <t>SpecialCause: FiringTemp drop</t>
        </is>
      </c>
    </row>
    <row r="390">
      <c r="A390" s="7" t="n">
        <v>45462.16666666666</v>
      </c>
      <c r="B390" t="n">
        <v>17</v>
      </c>
      <c r="C390" t="inlineStr">
        <is>
          <t>A</t>
        </is>
      </c>
      <c r="D390" t="inlineStr">
        <is>
          <t>R3_Optimized</t>
        </is>
      </c>
      <c r="E390" t="inlineStr">
        <is>
          <t>Blend C (Optimized)</t>
        </is>
      </c>
      <c r="F390" t="n">
        <v>2422.328069990262</v>
      </c>
      <c r="G390" t="n">
        <v>9.201878882825168</v>
      </c>
      <c r="H390" t="n">
        <v>0.8113554756693334</v>
      </c>
      <c r="I390" t="n">
        <v>0.5616317367429852</v>
      </c>
      <c r="J390" t="n">
        <v>13.15771935346379</v>
      </c>
      <c r="K390" t="n">
        <v>6.476653776921054</v>
      </c>
      <c r="L390" t="n">
        <v>96.64389451409436</v>
      </c>
      <c r="M390" t="n">
        <v>1257.014075608603</v>
      </c>
      <c r="N390" t="n">
        <v>19.84496128162324</v>
      </c>
      <c r="O390" t="n">
        <v>2.68</v>
      </c>
      <c r="P390" t="n">
        <v>270.9</v>
      </c>
      <c r="Q390" t="n">
        <v>26.64</v>
      </c>
      <c r="R390" t="n">
        <v>94.02</v>
      </c>
      <c r="S390" t="n">
        <v>5.47</v>
      </c>
      <c r="T390" t="inlineStr">
        <is>
          <t>L1388</t>
        </is>
      </c>
      <c r="U390" t="inlineStr">
        <is>
          <t>Mohsen</t>
        </is>
      </c>
      <c r="V390" t="inlineStr">
        <is>
          <t>SpecialCause: FiringTemp drop</t>
        </is>
      </c>
    </row>
    <row r="391">
      <c r="A391" s="7" t="n">
        <v>45462.20833333334</v>
      </c>
      <c r="B391" t="n">
        <v>17</v>
      </c>
      <c r="C391" t="inlineStr">
        <is>
          <t>A</t>
        </is>
      </c>
      <c r="D391" t="inlineStr">
        <is>
          <t>R3_Optimized</t>
        </is>
      </c>
      <c r="E391" t="inlineStr">
        <is>
          <t>Blend C (Optimized)</t>
        </is>
      </c>
      <c r="F391" t="n">
        <v>2411.973287181742</v>
      </c>
      <c r="G391" t="n">
        <v>9.611942558980289</v>
      </c>
      <c r="H391" t="n">
        <v>0.8135886574123957</v>
      </c>
      <c r="I391" t="n">
        <v>0.5428972348096782</v>
      </c>
      <c r="J391" t="n">
        <v>14.36071343406804</v>
      </c>
      <c r="K391" t="n">
        <v>7.274316040778177</v>
      </c>
      <c r="L391" t="n">
        <v>92.25546059546987</v>
      </c>
      <c r="M391" t="n">
        <v>1274.18543080435</v>
      </c>
      <c r="N391" t="n">
        <v>19.90838657718055</v>
      </c>
      <c r="O391" t="n">
        <v>2.71</v>
      </c>
      <c r="P391" t="n">
        <v>218</v>
      </c>
      <c r="Q391" t="n">
        <v>28.1</v>
      </c>
      <c r="R391" t="n">
        <v>93.65000000000001</v>
      </c>
      <c r="S391" t="n">
        <v>5.95</v>
      </c>
      <c r="T391" t="inlineStr">
        <is>
          <t>L1389</t>
        </is>
      </c>
      <c r="U391" t="inlineStr">
        <is>
          <t>Sara</t>
        </is>
      </c>
      <c r="V391" t="inlineStr">
        <is>
          <t>SpecialCause: FiringTemp drop</t>
        </is>
      </c>
    </row>
    <row r="392">
      <c r="A392" s="7" t="n">
        <v>45462.25</v>
      </c>
      <c r="B392" t="n">
        <v>17</v>
      </c>
      <c r="C392" t="inlineStr">
        <is>
          <t>A</t>
        </is>
      </c>
      <c r="D392" t="inlineStr">
        <is>
          <t>R3_Optimized</t>
        </is>
      </c>
      <c r="E392" t="inlineStr">
        <is>
          <t>Blend C (Optimized)</t>
        </is>
      </c>
      <c r="F392" t="n">
        <v>2511.525888359872</v>
      </c>
      <c r="G392" t="n">
        <v>9.260931085120578</v>
      </c>
      <c r="H392" t="n">
        <v>0.7261888404408477</v>
      </c>
      <c r="I392" t="n">
        <v>0.519927242441845</v>
      </c>
      <c r="J392" t="n">
        <v>14.49144726619695</v>
      </c>
      <c r="K392" t="n">
        <v>6.700128432174919</v>
      </c>
      <c r="L392" t="n">
        <v>91.2512400945953</v>
      </c>
      <c r="M392" t="n">
        <v>1239.529586958678</v>
      </c>
      <c r="N392" t="n">
        <v>18.53570265438639</v>
      </c>
      <c r="O392" t="n">
        <v>2.67</v>
      </c>
      <c r="P392" t="n">
        <v>175.3</v>
      </c>
      <c r="Q392" t="n">
        <v>30.64</v>
      </c>
      <c r="R392" t="n">
        <v>91.81</v>
      </c>
      <c r="S392" t="n">
        <v>6.56</v>
      </c>
      <c r="T392" t="inlineStr">
        <is>
          <t>L1390</t>
        </is>
      </c>
      <c r="U392" t="inlineStr">
        <is>
          <t>Mohsen</t>
        </is>
      </c>
      <c r="V392" t="inlineStr">
        <is>
          <t>SpecialCause: FiringTemp drop</t>
        </is>
      </c>
    </row>
    <row r="393">
      <c r="A393" s="7" t="n">
        <v>45462.29166666666</v>
      </c>
      <c r="B393" t="n">
        <v>17</v>
      </c>
      <c r="C393" t="inlineStr">
        <is>
          <t>A</t>
        </is>
      </c>
      <c r="D393" t="inlineStr">
        <is>
          <t>R3_Optimized</t>
        </is>
      </c>
      <c r="E393" t="inlineStr">
        <is>
          <t>Blend C (Optimized)</t>
        </is>
      </c>
      <c r="F393" t="n">
        <v>2200.565284485148</v>
      </c>
      <c r="G393" t="n">
        <v>8.950912669423552</v>
      </c>
      <c r="H393" t="n">
        <v>0.725835689105461</v>
      </c>
      <c r="I393" t="n">
        <v>0.5704848841270241</v>
      </c>
      <c r="J393" t="n">
        <v>12.58424437326723</v>
      </c>
      <c r="K393" t="n">
        <v>6.750915864978976</v>
      </c>
      <c r="L393" t="n">
        <v>85.22908527031549</v>
      </c>
      <c r="M393" t="n">
        <v>1241.717011238829</v>
      </c>
      <c r="N393" t="n">
        <v>20.34977242475521</v>
      </c>
      <c r="O393" t="n">
        <v>3.05</v>
      </c>
      <c r="P393" t="n">
        <v>178</v>
      </c>
      <c r="Q393" t="n">
        <v>25.78</v>
      </c>
      <c r="R393" t="n">
        <v>96.06999999999999</v>
      </c>
      <c r="S393" t="n">
        <v>6.07</v>
      </c>
      <c r="T393" t="inlineStr">
        <is>
          <t>L1391</t>
        </is>
      </c>
      <c r="U393" t="inlineStr">
        <is>
          <t>Alireza</t>
        </is>
      </c>
      <c r="V393" t="inlineStr">
        <is>
          <t>SpecialCause: FiringTemp drop</t>
        </is>
      </c>
    </row>
    <row r="394">
      <c r="A394" s="7" t="n">
        <v>45462.33333333334</v>
      </c>
      <c r="B394" t="n">
        <v>17</v>
      </c>
      <c r="C394" t="inlineStr">
        <is>
          <t>B</t>
        </is>
      </c>
      <c r="D394" t="inlineStr">
        <is>
          <t>R3_Optimized</t>
        </is>
      </c>
      <c r="E394" t="inlineStr">
        <is>
          <t>Blend C (Optimized)</t>
        </is>
      </c>
      <c r="F394" t="n">
        <v>2408.051679013516</v>
      </c>
      <c r="G394" t="n">
        <v>8.821723565328337</v>
      </c>
      <c r="H394" t="n">
        <v>0.8051414125367149</v>
      </c>
      <c r="I394" t="n">
        <v>0.5561177002790705</v>
      </c>
      <c r="J394" t="n">
        <v>13.47910113282683</v>
      </c>
      <c r="K394" t="n">
        <v>7.497181993271403</v>
      </c>
      <c r="L394" t="n">
        <v>111.4039202124188</v>
      </c>
      <c r="M394" t="n">
        <v>1276.252671006843</v>
      </c>
      <c r="N394" t="n">
        <v>21.70842343405798</v>
      </c>
      <c r="O394" t="n">
        <v>2.43</v>
      </c>
      <c r="P394" t="n">
        <v>236.5</v>
      </c>
      <c r="Q394" t="n">
        <v>27.63</v>
      </c>
      <c r="R394" t="n">
        <v>94.48999999999999</v>
      </c>
      <c r="S394" t="n">
        <v>6.09</v>
      </c>
      <c r="T394" t="inlineStr">
        <is>
          <t>L1392</t>
        </is>
      </c>
      <c r="U394" t="inlineStr">
        <is>
          <t>Sara</t>
        </is>
      </c>
    </row>
    <row r="395">
      <c r="A395" s="7" t="n">
        <v>45462.375</v>
      </c>
      <c r="B395" t="n">
        <v>17</v>
      </c>
      <c r="C395" t="inlineStr">
        <is>
          <t>B</t>
        </is>
      </c>
      <c r="D395" t="inlineStr">
        <is>
          <t>R3_Optimized</t>
        </is>
      </c>
      <c r="E395" t="inlineStr">
        <is>
          <t>Blend C (Optimized)</t>
        </is>
      </c>
      <c r="F395" t="n">
        <v>2228.888151520277</v>
      </c>
      <c r="G395" t="n">
        <v>9.240145591926378</v>
      </c>
      <c r="H395" t="n">
        <v>0.75595887997147</v>
      </c>
      <c r="I395" t="n">
        <v>0.5330243530266287</v>
      </c>
      <c r="J395" t="n">
        <v>14.04998275291515</v>
      </c>
      <c r="K395" t="n">
        <v>6.622104234363711</v>
      </c>
      <c r="L395" t="n">
        <v>99.15344840594067</v>
      </c>
      <c r="M395" t="n">
        <v>1298.989340171832</v>
      </c>
      <c r="N395" t="n">
        <v>21.77803164949469</v>
      </c>
      <c r="O395" t="n">
        <v>2.56</v>
      </c>
      <c r="P395" t="n">
        <v>239</v>
      </c>
      <c r="Q395" t="n">
        <v>28.37</v>
      </c>
      <c r="R395" t="n">
        <v>94.33</v>
      </c>
      <c r="S395" t="n">
        <v>6.4</v>
      </c>
      <c r="T395" t="inlineStr">
        <is>
          <t>L1393</t>
        </is>
      </c>
      <c r="U395" t="inlineStr">
        <is>
          <t>Mohsen</t>
        </is>
      </c>
    </row>
    <row r="396">
      <c r="A396" s="7" t="n">
        <v>45462.41666666666</v>
      </c>
      <c r="B396" t="n">
        <v>17</v>
      </c>
      <c r="C396" t="inlineStr">
        <is>
          <t>B</t>
        </is>
      </c>
      <c r="D396" t="inlineStr">
        <is>
          <t>R3_Optimized</t>
        </is>
      </c>
      <c r="E396" t="inlineStr">
        <is>
          <t>Blend C (Optimized)</t>
        </is>
      </c>
      <c r="F396" t="n">
        <v>2432.104364028341</v>
      </c>
      <c r="G396" t="n">
        <v>9.190691465762361</v>
      </c>
      <c r="H396" t="n">
        <v>0.8072061778015954</v>
      </c>
      <c r="I396" t="n">
        <v>0.6169251346532145</v>
      </c>
      <c r="J396" t="n">
        <v>12.75208368600664</v>
      </c>
      <c r="K396" t="n">
        <v>7.320932744092286</v>
      </c>
      <c r="L396" t="n">
        <v>96.84199995497656</v>
      </c>
      <c r="M396" t="n">
        <v>1329.638851358033</v>
      </c>
      <c r="N396" t="n">
        <v>20.21436758768072</v>
      </c>
      <c r="O396" t="n">
        <v>2.35</v>
      </c>
      <c r="P396" t="n">
        <v>223.2</v>
      </c>
      <c r="Q396" t="n">
        <v>24.45</v>
      </c>
      <c r="R396" t="n">
        <v>96.66</v>
      </c>
      <c r="S396" t="n">
        <v>4.73</v>
      </c>
      <c r="T396" t="inlineStr">
        <is>
          <t>L1394</t>
        </is>
      </c>
      <c r="U396" t="inlineStr">
        <is>
          <t>Reza</t>
        </is>
      </c>
    </row>
    <row r="397">
      <c r="A397" s="7" t="n">
        <v>45462.45833333334</v>
      </c>
      <c r="B397" t="n">
        <v>17</v>
      </c>
      <c r="C397" t="inlineStr">
        <is>
          <t>B</t>
        </is>
      </c>
      <c r="D397" t="inlineStr">
        <is>
          <t>R3_Optimized</t>
        </is>
      </c>
      <c r="E397" t="inlineStr">
        <is>
          <t>Blend C (Optimized)</t>
        </is>
      </c>
      <c r="F397" t="n">
        <v>2547.66876075996</v>
      </c>
      <c r="G397" t="n">
        <v>8.905377390549116</v>
      </c>
      <c r="H397" t="n">
        <v>0.8457068905083847</v>
      </c>
      <c r="I397" t="n">
        <v>0.54335801294571</v>
      </c>
      <c r="J397" t="n">
        <v>14.28158974916482</v>
      </c>
      <c r="K397" t="n">
        <v>8.027824095514609</v>
      </c>
      <c r="L397" t="n">
        <v>104.3614332947891</v>
      </c>
      <c r="M397" t="n">
        <v>1300.591768489203</v>
      </c>
      <c r="N397" t="n">
        <v>22.28670097229721</v>
      </c>
      <c r="O397" t="n">
        <v>2.7</v>
      </c>
      <c r="P397" t="n">
        <v>279.2</v>
      </c>
      <c r="Q397" t="n">
        <v>24.28</v>
      </c>
      <c r="R397" t="n">
        <v>97.28</v>
      </c>
      <c r="S397" t="n">
        <v>5.54</v>
      </c>
      <c r="T397" t="inlineStr">
        <is>
          <t>L1395</t>
        </is>
      </c>
      <c r="U397" t="inlineStr">
        <is>
          <t>Sara</t>
        </is>
      </c>
    </row>
    <row r="398">
      <c r="A398" s="7" t="n">
        <v>45462.5</v>
      </c>
      <c r="B398" t="n">
        <v>17</v>
      </c>
      <c r="C398" t="inlineStr">
        <is>
          <t>B</t>
        </is>
      </c>
      <c r="D398" t="inlineStr">
        <is>
          <t>R3_Optimized</t>
        </is>
      </c>
      <c r="E398" t="inlineStr">
        <is>
          <t>Blend C (Optimized)</t>
        </is>
      </c>
      <c r="F398" t="n">
        <v>2625.364902081483</v>
      </c>
      <c r="G398" t="n">
        <v>8.701100660630894</v>
      </c>
      <c r="H398" t="n">
        <v>0.7471013251317324</v>
      </c>
      <c r="I398" t="n">
        <v>0.5401298781899491</v>
      </c>
      <c r="J398" t="n">
        <v>12.65809795040595</v>
      </c>
      <c r="K398" t="n">
        <v>6.669181365655994</v>
      </c>
      <c r="L398" t="n">
        <v>103.7217194493199</v>
      </c>
      <c r="M398" t="n">
        <v>1282.638470642169</v>
      </c>
      <c r="N398" t="n">
        <v>22.89341660899811</v>
      </c>
      <c r="O398" t="n">
        <v>2.71</v>
      </c>
      <c r="P398" t="n">
        <v>355.1</v>
      </c>
      <c r="Q398" t="n">
        <v>26.99</v>
      </c>
      <c r="R398" t="n">
        <v>94.43000000000001</v>
      </c>
      <c r="S398" t="n">
        <v>5.46</v>
      </c>
      <c r="T398" t="inlineStr">
        <is>
          <t>L1396</t>
        </is>
      </c>
      <c r="U398" t="inlineStr">
        <is>
          <t>Reza</t>
        </is>
      </c>
    </row>
    <row r="399">
      <c r="A399" s="7" t="n">
        <v>45462.54166666666</v>
      </c>
      <c r="B399" t="n">
        <v>17</v>
      </c>
      <c r="C399" t="inlineStr">
        <is>
          <t>B</t>
        </is>
      </c>
      <c r="D399" t="inlineStr">
        <is>
          <t>R3_Optimized</t>
        </is>
      </c>
      <c r="E399" t="inlineStr">
        <is>
          <t>Blend C (Optimized)</t>
        </is>
      </c>
      <c r="F399" t="n">
        <v>2383.077430425973</v>
      </c>
      <c r="G399" t="n">
        <v>9.155381292602465</v>
      </c>
      <c r="H399" t="n">
        <v>0.807053312151839</v>
      </c>
      <c r="I399" t="n">
        <v>0.5226229816632674</v>
      </c>
      <c r="J399" t="n">
        <v>14.85212237006766</v>
      </c>
      <c r="K399" t="n">
        <v>6.226385456678408</v>
      </c>
      <c r="L399" t="n">
        <v>102.6596249684984</v>
      </c>
      <c r="M399" t="n">
        <v>1290.764648302169</v>
      </c>
      <c r="N399" t="n">
        <v>22.42186908415639</v>
      </c>
      <c r="O399" t="n">
        <v>2.38</v>
      </c>
      <c r="P399" t="n">
        <v>231.5</v>
      </c>
      <c r="Q399" t="n">
        <v>25.6</v>
      </c>
      <c r="R399" t="n">
        <v>95.34999999999999</v>
      </c>
      <c r="S399" t="n">
        <v>4.77</v>
      </c>
      <c r="T399" t="inlineStr">
        <is>
          <t>L1397</t>
        </is>
      </c>
      <c r="U399" t="inlineStr">
        <is>
          <t>Reza</t>
        </is>
      </c>
    </row>
    <row r="400">
      <c r="A400" s="7" t="n">
        <v>45462.58333333334</v>
      </c>
      <c r="B400" t="n">
        <v>17</v>
      </c>
      <c r="C400" t="inlineStr">
        <is>
          <t>B</t>
        </is>
      </c>
      <c r="D400" t="inlineStr">
        <is>
          <t>R3_Optimized</t>
        </is>
      </c>
      <c r="E400" t="inlineStr">
        <is>
          <t>Blend C (Optimized)</t>
        </is>
      </c>
      <c r="F400" t="n">
        <v>2606.792924929409</v>
      </c>
      <c r="G400" t="n">
        <v>9.412233346147756</v>
      </c>
      <c r="H400" t="n">
        <v>0.6326175732546012</v>
      </c>
      <c r="I400" t="n">
        <v>0.6054494195753745</v>
      </c>
      <c r="J400" t="n">
        <v>13.32126450114822</v>
      </c>
      <c r="K400" t="n">
        <v>7.859914082559282</v>
      </c>
      <c r="L400" t="n">
        <v>100.8807310016654</v>
      </c>
      <c r="M400" t="n">
        <v>1294.672652577502</v>
      </c>
      <c r="N400" t="n">
        <v>22.68818154320518</v>
      </c>
      <c r="O400" t="n">
        <v>2.26</v>
      </c>
      <c r="P400" t="n">
        <v>278.3</v>
      </c>
      <c r="Q400" t="n">
        <v>24.51</v>
      </c>
      <c r="R400" t="n">
        <v>97.67</v>
      </c>
      <c r="S400" t="n">
        <v>5.11</v>
      </c>
      <c r="T400" t="inlineStr">
        <is>
          <t>L1398</t>
        </is>
      </c>
      <c r="U400" t="inlineStr">
        <is>
          <t>Reza</t>
        </is>
      </c>
    </row>
    <row r="401">
      <c r="A401" s="7" t="n">
        <v>45462.625</v>
      </c>
      <c r="B401" t="n">
        <v>17</v>
      </c>
      <c r="C401" t="inlineStr">
        <is>
          <t>B</t>
        </is>
      </c>
      <c r="D401" t="inlineStr">
        <is>
          <t>R3_Optimized</t>
        </is>
      </c>
      <c r="E401" t="inlineStr">
        <is>
          <t>Blend C (Optimized)</t>
        </is>
      </c>
      <c r="F401" t="n">
        <v>2388.177862350696</v>
      </c>
      <c r="G401" t="n">
        <v>9.34863125936225</v>
      </c>
      <c r="H401" t="n">
        <v>0.8789006784145446</v>
      </c>
      <c r="I401" t="n">
        <v>0.5979400294323376</v>
      </c>
      <c r="J401" t="n">
        <v>14.04691504011299</v>
      </c>
      <c r="K401" t="n">
        <v>7.482414727956241</v>
      </c>
      <c r="L401" t="n">
        <v>101.2609508339906</v>
      </c>
      <c r="M401" t="n">
        <v>1284.253129425169</v>
      </c>
      <c r="N401" t="n">
        <v>22.79530607630586</v>
      </c>
      <c r="O401" t="n">
        <v>2.3</v>
      </c>
      <c r="P401" t="n">
        <v>359.7</v>
      </c>
      <c r="Q401" t="n">
        <v>24.82</v>
      </c>
      <c r="R401" t="n">
        <v>96.06999999999999</v>
      </c>
      <c r="S401" t="n">
        <v>5.35</v>
      </c>
      <c r="T401" t="inlineStr">
        <is>
          <t>L1399</t>
        </is>
      </c>
      <c r="U401" t="inlineStr">
        <is>
          <t>Sara</t>
        </is>
      </c>
    </row>
    <row r="402">
      <c r="A402" s="7" t="n">
        <v>45462.66666666666</v>
      </c>
      <c r="B402" t="n">
        <v>17</v>
      </c>
      <c r="C402" t="inlineStr">
        <is>
          <t>C</t>
        </is>
      </c>
      <c r="D402" t="inlineStr">
        <is>
          <t>R3_Optimized</t>
        </is>
      </c>
      <c r="E402" t="inlineStr">
        <is>
          <t>Blend C (Optimized)</t>
        </is>
      </c>
      <c r="F402" t="n">
        <v>2160.735381015457</v>
      </c>
      <c r="G402" t="n">
        <v>8.764759560496039</v>
      </c>
      <c r="H402" t="n">
        <v>0.8744567151586865</v>
      </c>
      <c r="I402" t="n">
        <v>0.431027649617398</v>
      </c>
      <c r="J402" t="n">
        <v>13.11133427837633</v>
      </c>
      <c r="K402" t="n">
        <v>6.273765479941369</v>
      </c>
      <c r="L402" t="n">
        <v>96.76905188465156</v>
      </c>
      <c r="M402" t="n">
        <v>1290.24764024578</v>
      </c>
      <c r="N402" t="n">
        <v>21.26131229585891</v>
      </c>
      <c r="O402" t="n">
        <v>1.68</v>
      </c>
      <c r="P402" t="n">
        <v>188</v>
      </c>
      <c r="Q402" t="n">
        <v>25.62</v>
      </c>
      <c r="R402" t="n">
        <v>94.84</v>
      </c>
      <c r="S402" t="n">
        <v>5.13</v>
      </c>
      <c r="T402" t="inlineStr">
        <is>
          <t>L1400</t>
        </is>
      </c>
      <c r="U402" t="inlineStr">
        <is>
          <t>Sara</t>
        </is>
      </c>
    </row>
    <row r="403">
      <c r="A403" s="7" t="n">
        <v>45462.70833333334</v>
      </c>
      <c r="B403" t="n">
        <v>17</v>
      </c>
      <c r="C403" t="inlineStr">
        <is>
          <t>C</t>
        </is>
      </c>
      <c r="D403" t="inlineStr">
        <is>
          <t>R3_Optimized</t>
        </is>
      </c>
      <c r="E403" t="inlineStr">
        <is>
          <t>Blend C (Optimized)</t>
        </is>
      </c>
      <c r="F403" t="n">
        <v>2562.658435732755</v>
      </c>
      <c r="G403" t="n">
        <v>9.120932766218951</v>
      </c>
      <c r="H403" t="n">
        <v>0.7803195795572283</v>
      </c>
      <c r="I403" t="n">
        <v>0.5038462766106293</v>
      </c>
      <c r="J403" t="n">
        <v>14.77040951451936</v>
      </c>
      <c r="K403" t="n">
        <v>7.247476069203142</v>
      </c>
      <c r="L403" t="n">
        <v>99.41606741986907</v>
      </c>
      <c r="M403" t="n">
        <v>1283.940381633918</v>
      </c>
      <c r="N403" t="n">
        <v>24.36394238315422</v>
      </c>
      <c r="O403" t="n">
        <v>1.99</v>
      </c>
      <c r="P403" t="n">
        <v>310.6</v>
      </c>
      <c r="Q403" t="n">
        <v>27.15</v>
      </c>
      <c r="R403" t="n">
        <v>95.34999999999999</v>
      </c>
      <c r="S403" t="n">
        <v>5.61</v>
      </c>
      <c r="T403" t="inlineStr">
        <is>
          <t>L1401</t>
        </is>
      </c>
      <c r="U403" t="inlineStr">
        <is>
          <t>Alireza</t>
        </is>
      </c>
    </row>
    <row r="404">
      <c r="A404" s="7" t="n">
        <v>45462.75</v>
      </c>
      <c r="B404" t="n">
        <v>17</v>
      </c>
      <c r="C404" t="inlineStr">
        <is>
          <t>C</t>
        </is>
      </c>
      <c r="D404" t="inlineStr">
        <is>
          <t>R3_Optimized</t>
        </is>
      </c>
      <c r="E404" t="inlineStr">
        <is>
          <t>Blend C (Optimized)</t>
        </is>
      </c>
      <c r="F404" t="n">
        <v>2422.347487209585</v>
      </c>
      <c r="G404" t="n">
        <v>9.205598886562791</v>
      </c>
      <c r="H404" t="n">
        <v>0.753599622063167</v>
      </c>
      <c r="I404" t="n">
        <v>0.5679198354817312</v>
      </c>
      <c r="J404" t="n">
        <v>13.6825673668455</v>
      </c>
      <c r="K404" t="n">
        <v>6.132138283779326</v>
      </c>
      <c r="L404" t="n">
        <v>107.875285998821</v>
      </c>
      <c r="M404" t="n">
        <v>1295.605275403275</v>
      </c>
      <c r="N404" t="n">
        <v>23.44436124207841</v>
      </c>
      <c r="O404" t="n">
        <v>1.81</v>
      </c>
      <c r="P404" t="n">
        <v>254.2</v>
      </c>
      <c r="Q404" t="n">
        <v>26.6</v>
      </c>
      <c r="R404" t="n">
        <v>94.62</v>
      </c>
      <c r="S404" t="n">
        <v>5.72</v>
      </c>
      <c r="T404" t="inlineStr">
        <is>
          <t>L1402</t>
        </is>
      </c>
      <c r="U404" t="inlineStr">
        <is>
          <t>Reza</t>
        </is>
      </c>
    </row>
    <row r="405">
      <c r="A405" s="7" t="n">
        <v>45462.79166666666</v>
      </c>
      <c r="B405" t="n">
        <v>17</v>
      </c>
      <c r="C405" t="inlineStr">
        <is>
          <t>C</t>
        </is>
      </c>
      <c r="D405" t="inlineStr">
        <is>
          <t>R3_Optimized</t>
        </is>
      </c>
      <c r="E405" t="inlineStr">
        <is>
          <t>Blend C (Optimized)</t>
        </is>
      </c>
      <c r="G405" t="n">
        <v>8.934094674457837</v>
      </c>
      <c r="H405" t="n">
        <v>0.7798138820868189</v>
      </c>
      <c r="I405" t="n">
        <v>0.5981795368717522</v>
      </c>
      <c r="J405" t="n">
        <v>13.40991849358488</v>
      </c>
      <c r="K405" t="n">
        <v>7.572497423678501</v>
      </c>
      <c r="L405" t="n">
        <v>100.1843127599024</v>
      </c>
      <c r="M405" t="n">
        <v>1302.081286016662</v>
      </c>
      <c r="N405" t="n">
        <v>22.71796820332447</v>
      </c>
      <c r="O405" t="n">
        <v>2.29</v>
      </c>
      <c r="P405" t="n">
        <v>294.1</v>
      </c>
      <c r="Q405" t="n">
        <v>25.74</v>
      </c>
      <c r="R405" t="n">
        <v>96.13</v>
      </c>
      <c r="S405" t="n">
        <v>5.13</v>
      </c>
      <c r="T405" t="inlineStr">
        <is>
          <t>L1403</t>
        </is>
      </c>
      <c r="U405" t="inlineStr">
        <is>
          <t>Alireza</t>
        </is>
      </c>
      <c r="V405" t="inlineStr">
        <is>
          <t>Missing</t>
        </is>
      </c>
    </row>
    <row r="406">
      <c r="A406" s="7" t="n">
        <v>45462.83333333334</v>
      </c>
      <c r="B406" t="n">
        <v>17</v>
      </c>
      <c r="C406" t="inlineStr">
        <is>
          <t>C</t>
        </is>
      </c>
      <c r="D406" t="inlineStr">
        <is>
          <t>R3_Optimized</t>
        </is>
      </c>
      <c r="E406" t="inlineStr">
        <is>
          <t>Blend C (Optimized)</t>
        </is>
      </c>
      <c r="F406" t="n">
        <v>1987.548715460935</v>
      </c>
      <c r="G406" t="n">
        <v>9.24266785240321</v>
      </c>
      <c r="H406" t="n">
        <v>0.7880819929305466</v>
      </c>
      <c r="I406" t="n">
        <v>0.5760117605499793</v>
      </c>
      <c r="J406" t="n">
        <v>14.0465848518089</v>
      </c>
      <c r="K406" t="n">
        <v>7.706515740041852</v>
      </c>
      <c r="L406" t="n">
        <v>101.5194021976166</v>
      </c>
      <c r="M406" t="n">
        <v>1296.500728341022</v>
      </c>
      <c r="N406" t="n">
        <v>22.25238366172685</v>
      </c>
      <c r="O406" t="n">
        <v>2.63</v>
      </c>
      <c r="P406" t="n">
        <v>201.6</v>
      </c>
      <c r="Q406" t="n">
        <v>27.2</v>
      </c>
      <c r="R406" t="n">
        <v>95.84</v>
      </c>
      <c r="S406" t="n">
        <v>5.47</v>
      </c>
      <c r="T406" t="inlineStr">
        <is>
          <t>L1404</t>
        </is>
      </c>
      <c r="U406" t="inlineStr">
        <is>
          <t>Sara</t>
        </is>
      </c>
    </row>
    <row r="407">
      <c r="A407" s="7" t="n">
        <v>45462.875</v>
      </c>
      <c r="B407" t="n">
        <v>17</v>
      </c>
      <c r="C407" t="inlineStr">
        <is>
          <t>C</t>
        </is>
      </c>
      <c r="D407" t="inlineStr">
        <is>
          <t>R3_Optimized</t>
        </is>
      </c>
      <c r="E407" t="inlineStr">
        <is>
          <t>Blend C (Optimized)</t>
        </is>
      </c>
      <c r="F407" t="n">
        <v>2499.238064576813</v>
      </c>
      <c r="G407" t="n">
        <v>9.047931226999275</v>
      </c>
      <c r="H407" t="n">
        <v>0.766247419998666</v>
      </c>
      <c r="I407" t="n">
        <v>0.5453761998542209</v>
      </c>
      <c r="J407" t="n">
        <v>13.79913728897648</v>
      </c>
      <c r="K407" t="n">
        <v>6.576610651342253</v>
      </c>
      <c r="L407" t="n">
        <v>107.590047982066</v>
      </c>
      <c r="M407" t="n">
        <v>1307.422993879963</v>
      </c>
      <c r="N407" t="n">
        <v>22.51664469074262</v>
      </c>
      <c r="O407" t="n">
        <v>1.91</v>
      </c>
      <c r="P407" t="n">
        <v>222.4</v>
      </c>
      <c r="Q407" t="n">
        <v>25.46</v>
      </c>
      <c r="R407" t="n">
        <v>96.36</v>
      </c>
      <c r="S407" t="n">
        <v>5.36</v>
      </c>
      <c r="T407" t="inlineStr">
        <is>
          <t>L1405</t>
        </is>
      </c>
      <c r="U407" t="inlineStr">
        <is>
          <t>Mohsen</t>
        </is>
      </c>
    </row>
    <row r="408">
      <c r="A408" s="7" t="n">
        <v>45462.91666666666</v>
      </c>
      <c r="B408" t="n">
        <v>17</v>
      </c>
      <c r="C408" t="inlineStr">
        <is>
          <t>C</t>
        </is>
      </c>
      <c r="D408" t="inlineStr">
        <is>
          <t>R3_Optimized</t>
        </is>
      </c>
      <c r="E408" t="inlineStr">
        <is>
          <t>Blend C (Optimized)</t>
        </is>
      </c>
      <c r="F408" t="n">
        <v>2505.996532076055</v>
      </c>
      <c r="G408" t="n">
        <v>9.596674792051926</v>
      </c>
      <c r="H408" t="n">
        <v>0.7262218755402786</v>
      </c>
      <c r="I408" t="n">
        <v>0.6244909404608149</v>
      </c>
      <c r="J408" t="n">
        <v>12.21264855728104</v>
      </c>
      <c r="K408" t="n">
        <v>7.711392411782158</v>
      </c>
      <c r="L408" t="n">
        <v>99.48716879545077</v>
      </c>
      <c r="M408" t="n">
        <v>1263.78753517979</v>
      </c>
      <c r="N408" t="n">
        <v>20.39674054878045</v>
      </c>
      <c r="O408" t="n">
        <v>2.84</v>
      </c>
      <c r="P408" t="n">
        <v>251.4</v>
      </c>
      <c r="Q408" t="n">
        <v>30.05</v>
      </c>
      <c r="R408" t="n">
        <v>92.64</v>
      </c>
      <c r="S408" t="n">
        <v>6.24</v>
      </c>
      <c r="T408" t="inlineStr">
        <is>
          <t>L1406</t>
        </is>
      </c>
      <c r="U408" t="inlineStr">
        <is>
          <t>Reza</t>
        </is>
      </c>
    </row>
    <row r="409">
      <c r="A409" s="7" t="n">
        <v>45462.95833333334</v>
      </c>
      <c r="B409" t="n">
        <v>17</v>
      </c>
      <c r="C409" t="inlineStr">
        <is>
          <t>C</t>
        </is>
      </c>
      <c r="D409" t="inlineStr">
        <is>
          <t>R3_Optimized</t>
        </is>
      </c>
      <c r="E409" t="inlineStr">
        <is>
          <t>Blend C (Optimized)</t>
        </is>
      </c>
      <c r="F409" t="n">
        <v>2506.058878493892</v>
      </c>
      <c r="G409" t="n">
        <v>9.043906439493677</v>
      </c>
      <c r="H409" t="n">
        <v>0.792087068379184</v>
      </c>
      <c r="I409" t="n">
        <v>0.5248083786673547</v>
      </c>
      <c r="J409" t="n">
        <v>13.60021032181475</v>
      </c>
      <c r="K409" t="n">
        <v>7.356147987231845</v>
      </c>
      <c r="L409" t="n">
        <v>104.2742086367906</v>
      </c>
      <c r="M409" t="n">
        <v>1290.514073754816</v>
      </c>
      <c r="N409" t="n">
        <v>20.61738789957206</v>
      </c>
      <c r="O409" t="n">
        <v>2.4</v>
      </c>
      <c r="P409" t="n">
        <v>228.1</v>
      </c>
      <c r="Q409" t="n">
        <v>26.38</v>
      </c>
      <c r="R409" t="n">
        <v>95.54000000000001</v>
      </c>
      <c r="S409" t="n">
        <v>5.24</v>
      </c>
      <c r="T409" t="inlineStr">
        <is>
          <t>L1407</t>
        </is>
      </c>
      <c r="U409" t="inlineStr">
        <is>
          <t>Sara</t>
        </is>
      </c>
    </row>
    <row r="410">
      <c r="A410" s="7" t="n">
        <v>45463</v>
      </c>
      <c r="B410" t="n">
        <v>18</v>
      </c>
      <c r="C410" t="inlineStr">
        <is>
          <t>A</t>
        </is>
      </c>
      <c r="D410" t="inlineStr">
        <is>
          <t>R3_Optimized</t>
        </is>
      </c>
      <c r="E410" t="inlineStr">
        <is>
          <t>Blend C (Optimized)</t>
        </is>
      </c>
      <c r="F410" t="n">
        <v>2649.613689076038</v>
      </c>
      <c r="G410" t="n">
        <v>9.841960951372057</v>
      </c>
      <c r="H410" t="n">
        <v>0.8569551173895921</v>
      </c>
      <c r="I410" t="n">
        <v>0.5561897551295575</v>
      </c>
      <c r="J410" t="n">
        <v>14.10241555454763</v>
      </c>
      <c r="K410" t="n">
        <v>7.614368019269588</v>
      </c>
      <c r="L410" t="n">
        <v>83.68075044929257</v>
      </c>
      <c r="M410" t="n">
        <v>1241.917148160331</v>
      </c>
      <c r="N410" t="n">
        <v>18.0852202877769</v>
      </c>
      <c r="O410" t="n">
        <v>2.86</v>
      </c>
      <c r="P410" t="n">
        <v>194.2</v>
      </c>
      <c r="Q410" t="n">
        <v>26.57</v>
      </c>
      <c r="R410" t="n">
        <v>94.39</v>
      </c>
      <c r="S410" t="n">
        <v>5.85</v>
      </c>
      <c r="T410" t="inlineStr">
        <is>
          <t>L1408</t>
        </is>
      </c>
      <c r="U410" t="inlineStr">
        <is>
          <t>Alireza</t>
        </is>
      </c>
      <c r="V410" t="inlineStr">
        <is>
          <t>SpecialCause: FiringTemp drop</t>
        </is>
      </c>
    </row>
    <row r="411">
      <c r="A411" s="7" t="n">
        <v>45463.04166666666</v>
      </c>
      <c r="B411" t="n">
        <v>18</v>
      </c>
      <c r="C411" t="inlineStr">
        <is>
          <t>A</t>
        </is>
      </c>
      <c r="D411" t="inlineStr">
        <is>
          <t>R3_Optimized</t>
        </is>
      </c>
      <c r="E411" t="inlineStr">
        <is>
          <t>Blend C (Optimized)</t>
        </is>
      </c>
      <c r="F411" t="n">
        <v>2397.202339762842</v>
      </c>
      <c r="G411" t="n">
        <v>9.631009858205527</v>
      </c>
      <c r="H411" t="n">
        <v>0.637959442703245</v>
      </c>
      <c r="I411" t="n">
        <v>0.5515576244747591</v>
      </c>
      <c r="J411" t="n">
        <v>13.4043946262142</v>
      </c>
      <c r="K411" t="n">
        <v>7.63465219188227</v>
      </c>
      <c r="L411" t="n">
        <v>95.36355694365693</v>
      </c>
      <c r="M411" t="n">
        <v>1258.25208972681</v>
      </c>
      <c r="N411" t="n">
        <v>17.84957407936919</v>
      </c>
      <c r="O411" t="n">
        <v>2.83</v>
      </c>
      <c r="P411" t="n">
        <v>176.8</v>
      </c>
      <c r="Q411" t="n">
        <v>27.51</v>
      </c>
      <c r="R411" t="n">
        <v>94.11</v>
      </c>
      <c r="S411" t="n">
        <v>6.08</v>
      </c>
      <c r="T411" t="inlineStr">
        <is>
          <t>L1409</t>
        </is>
      </c>
      <c r="U411" t="inlineStr">
        <is>
          <t>Alireza</t>
        </is>
      </c>
      <c r="V411" t="inlineStr">
        <is>
          <t>SpecialCause: FiringTemp drop</t>
        </is>
      </c>
    </row>
    <row r="412">
      <c r="A412" s="7" t="n">
        <v>45463.08333333334</v>
      </c>
      <c r="B412" t="n">
        <v>18</v>
      </c>
      <c r="C412" t="inlineStr">
        <is>
          <t>A</t>
        </is>
      </c>
      <c r="D412" t="inlineStr">
        <is>
          <t>R3_Optimized</t>
        </is>
      </c>
      <c r="E412" t="inlineStr">
        <is>
          <t>Blend C (Optimized)</t>
        </is>
      </c>
      <c r="F412" t="n">
        <v>2850.270316875145</v>
      </c>
      <c r="G412" t="n">
        <v>9.414348563382582</v>
      </c>
      <c r="H412" t="n">
        <v>0.7365741039577359</v>
      </c>
      <c r="I412" t="n">
        <v>0.5577828782513237</v>
      </c>
      <c r="J412" t="n">
        <v>14.0899289807502</v>
      </c>
      <c r="K412" t="n">
        <v>6.949476633008371</v>
      </c>
      <c r="L412" t="n">
        <v>94.74490477242949</v>
      </c>
      <c r="M412" t="n">
        <v>1256.850456425988</v>
      </c>
      <c r="N412" t="n">
        <v>18.09307680740014</v>
      </c>
      <c r="O412" t="n">
        <v>2.82</v>
      </c>
      <c r="P412" t="n">
        <v>212.2</v>
      </c>
      <c r="Q412" t="n">
        <v>26.9</v>
      </c>
      <c r="R412" t="n">
        <v>95.41</v>
      </c>
      <c r="S412" t="n">
        <v>6.28</v>
      </c>
      <c r="T412" t="inlineStr">
        <is>
          <t>L1410</t>
        </is>
      </c>
      <c r="U412" t="inlineStr">
        <is>
          <t>Alireza</t>
        </is>
      </c>
      <c r="V412" t="inlineStr">
        <is>
          <t>SpecialCause: FiringTemp drop</t>
        </is>
      </c>
    </row>
    <row r="413">
      <c r="A413" s="7" t="n">
        <v>45463.125</v>
      </c>
      <c r="B413" t="n">
        <v>18</v>
      </c>
      <c r="C413" t="inlineStr">
        <is>
          <t>A</t>
        </is>
      </c>
      <c r="D413" t="inlineStr">
        <is>
          <t>R3_Optimized</t>
        </is>
      </c>
      <c r="E413" t="inlineStr">
        <is>
          <t>Blend C (Optimized)</t>
        </is>
      </c>
      <c r="F413" t="n">
        <v>2594.558620868034</v>
      </c>
      <c r="G413" t="n">
        <v>9.374595252629907</v>
      </c>
      <c r="H413" t="n">
        <v>0.7147596034521529</v>
      </c>
      <c r="I413" t="n">
        <v>0.5043752280269036</v>
      </c>
      <c r="J413" t="n">
        <v>13.8112361897951</v>
      </c>
      <c r="K413" t="n">
        <v>7.565744915380153</v>
      </c>
      <c r="L413" t="n">
        <v>93.78785735529689</v>
      </c>
      <c r="M413" t="n">
        <v>1236.60860957317</v>
      </c>
      <c r="N413" t="n">
        <v>17.34885914878044</v>
      </c>
      <c r="O413" t="n">
        <v>3.28</v>
      </c>
      <c r="P413" t="n">
        <v>150</v>
      </c>
      <c r="Q413" t="n">
        <v>26.25</v>
      </c>
      <c r="R413" t="n">
        <v>94.20999999999999</v>
      </c>
      <c r="S413" t="n">
        <v>5.35</v>
      </c>
      <c r="T413" t="inlineStr">
        <is>
          <t>L1411</t>
        </is>
      </c>
      <c r="U413" t="inlineStr">
        <is>
          <t>Sara</t>
        </is>
      </c>
      <c r="V413" t="inlineStr">
        <is>
          <t>SpecialCause: FiringTemp drop</t>
        </is>
      </c>
    </row>
    <row r="414">
      <c r="A414" s="7" t="n">
        <v>45463.16666666666</v>
      </c>
      <c r="B414" t="n">
        <v>18</v>
      </c>
      <c r="C414" t="inlineStr">
        <is>
          <t>A</t>
        </is>
      </c>
      <c r="D414" t="inlineStr">
        <is>
          <t>R3_Optimized</t>
        </is>
      </c>
      <c r="E414" t="inlineStr">
        <is>
          <t>Blend C (Optimized)</t>
        </is>
      </c>
      <c r="F414" t="n">
        <v>2562.321116393228</v>
      </c>
      <c r="G414" t="n">
        <v>9.779814771624764</v>
      </c>
      <c r="H414" t="n">
        <v>0.6921853166885924</v>
      </c>
      <c r="I414" t="n">
        <v>0.5379625297159193</v>
      </c>
      <c r="J414" t="n">
        <v>14.45721185557666</v>
      </c>
      <c r="K414" t="n">
        <v>7.258091914417601</v>
      </c>
      <c r="L414" t="n">
        <v>94.29691761168472</v>
      </c>
      <c r="M414" t="n">
        <v>1258.349473149099</v>
      </c>
      <c r="N414" t="n">
        <v>19.67974863184455</v>
      </c>
      <c r="O414" t="n">
        <v>2.96</v>
      </c>
      <c r="P414" t="n">
        <v>154.5</v>
      </c>
      <c r="Q414" t="n">
        <v>28.98</v>
      </c>
      <c r="R414" t="n">
        <v>93.31</v>
      </c>
      <c r="S414" t="n">
        <v>6.32</v>
      </c>
      <c r="T414" t="inlineStr">
        <is>
          <t>L1412</t>
        </is>
      </c>
      <c r="U414" t="inlineStr">
        <is>
          <t>Reza</t>
        </is>
      </c>
      <c r="V414" t="inlineStr">
        <is>
          <t>SpecialCause: FiringTemp drop</t>
        </is>
      </c>
    </row>
    <row r="415">
      <c r="A415" s="7" t="n">
        <v>45463.20833333334</v>
      </c>
      <c r="B415" t="n">
        <v>18</v>
      </c>
      <c r="C415" t="inlineStr">
        <is>
          <t>A</t>
        </is>
      </c>
      <c r="D415" t="inlineStr">
        <is>
          <t>R3_Optimized</t>
        </is>
      </c>
      <c r="E415" t="inlineStr">
        <is>
          <t>Blend C (Optimized)</t>
        </is>
      </c>
      <c r="F415" t="n">
        <v>2014.133102508673</v>
      </c>
      <c r="G415" t="n">
        <v>9.162974627399345</v>
      </c>
      <c r="H415" t="n">
        <v>0.7699282158679784</v>
      </c>
      <c r="I415" t="n">
        <v>0.5870503597921746</v>
      </c>
      <c r="J415" t="n">
        <v>13.65731128938746</v>
      </c>
      <c r="K415" t="n">
        <v>7.516551761444573</v>
      </c>
      <c r="L415" t="n">
        <v>86.93982364603325</v>
      </c>
      <c r="N415" t="n">
        <v>20.52609134643097</v>
      </c>
      <c r="O415" t="n">
        <v>2.98</v>
      </c>
      <c r="P415" t="n">
        <v>171.4</v>
      </c>
      <c r="Q415" t="n">
        <v>28.05</v>
      </c>
      <c r="R415" t="n">
        <v>93.7</v>
      </c>
      <c r="S415" t="n">
        <v>6.16</v>
      </c>
      <c r="T415" t="inlineStr">
        <is>
          <t>L1413</t>
        </is>
      </c>
      <c r="U415" t="inlineStr">
        <is>
          <t>Reza</t>
        </is>
      </c>
      <c r="V415" t="inlineStr">
        <is>
          <t>SpecialCause: FiringTemp drop;Missing</t>
        </is>
      </c>
    </row>
    <row r="416">
      <c r="A416" s="7" t="n">
        <v>45463.25</v>
      </c>
      <c r="B416" t="n">
        <v>18</v>
      </c>
      <c r="C416" t="inlineStr">
        <is>
          <t>A</t>
        </is>
      </c>
      <c r="D416" t="inlineStr">
        <is>
          <t>R3_Optimized</t>
        </is>
      </c>
      <c r="E416" t="inlineStr">
        <is>
          <t>Blend C (Optimized)</t>
        </is>
      </c>
      <c r="F416" t="n">
        <v>2109.240391963529</v>
      </c>
      <c r="G416" t="n">
        <v>9.439069482747996</v>
      </c>
      <c r="H416" t="n">
        <v>0.6175213206341954</v>
      </c>
      <c r="I416" t="n">
        <v>0.6026439511866817</v>
      </c>
      <c r="J416" t="n">
        <v>14.90171643374706</v>
      </c>
      <c r="K416" t="n">
        <v>6.756358980684897</v>
      </c>
      <c r="L416" t="n">
        <v>93.29113657767046</v>
      </c>
      <c r="M416" t="n">
        <v>1245.271659623612</v>
      </c>
      <c r="N416" t="n">
        <v>20.0367906541761</v>
      </c>
      <c r="O416" t="n">
        <v>2.74</v>
      </c>
      <c r="P416" t="n">
        <v>199.7</v>
      </c>
      <c r="Q416" t="n">
        <v>29.5</v>
      </c>
      <c r="R416" t="n">
        <v>92.31999999999999</v>
      </c>
      <c r="S416" t="n">
        <v>6.47</v>
      </c>
      <c r="T416" t="inlineStr">
        <is>
          <t>L1414</t>
        </is>
      </c>
      <c r="U416" t="inlineStr">
        <is>
          <t>Sara</t>
        </is>
      </c>
      <c r="V416" t="inlineStr">
        <is>
          <t>SpecialCause: FiringTemp drop</t>
        </is>
      </c>
    </row>
    <row r="417">
      <c r="A417" s="7" t="n">
        <v>45463.29166666666</v>
      </c>
      <c r="B417" t="n">
        <v>18</v>
      </c>
      <c r="C417" t="inlineStr">
        <is>
          <t>A</t>
        </is>
      </c>
      <c r="D417" t="inlineStr">
        <is>
          <t>R3_Optimized</t>
        </is>
      </c>
      <c r="E417" t="inlineStr">
        <is>
          <t>Blend C (Optimized)</t>
        </is>
      </c>
      <c r="F417" t="n">
        <v>2735.201958486698</v>
      </c>
      <c r="G417" t="n">
        <v>9.206890183375494</v>
      </c>
      <c r="H417" t="n">
        <v>0.741399114417299</v>
      </c>
      <c r="I417" t="n">
        <v>0.593341135526308</v>
      </c>
      <c r="J417" t="n">
        <v>13.61795044654866</v>
      </c>
      <c r="K417" t="n">
        <v>6.109190499195576</v>
      </c>
      <c r="L417" t="n">
        <v>80.85113416375825</v>
      </c>
      <c r="M417" t="n">
        <v>1252.677115010954</v>
      </c>
      <c r="N417" t="n">
        <v>19.1877752415032</v>
      </c>
      <c r="O417" t="n">
        <v>3.12</v>
      </c>
      <c r="P417" t="n">
        <v>206.4</v>
      </c>
      <c r="Q417" t="n">
        <v>27.98</v>
      </c>
      <c r="R417" t="n">
        <v>93.53</v>
      </c>
      <c r="S417" t="n">
        <v>6.25</v>
      </c>
      <c r="T417" t="inlineStr">
        <is>
          <t>L1415</t>
        </is>
      </c>
      <c r="U417" t="inlineStr">
        <is>
          <t>Mohsen</t>
        </is>
      </c>
      <c r="V417" t="inlineStr">
        <is>
          <t>SpecialCause: FiringTemp drop</t>
        </is>
      </c>
    </row>
    <row r="418">
      <c r="A418" s="7" t="n">
        <v>45463.33333333334</v>
      </c>
      <c r="B418" t="n">
        <v>18</v>
      </c>
      <c r="C418" t="inlineStr">
        <is>
          <t>B</t>
        </is>
      </c>
      <c r="D418" t="inlineStr">
        <is>
          <t>R3_Optimized</t>
        </is>
      </c>
      <c r="E418" t="inlineStr">
        <is>
          <t>Blend C (Optimized)</t>
        </is>
      </c>
      <c r="F418" t="n">
        <v>2535.759772168476</v>
      </c>
      <c r="G418" t="n">
        <v>9.832570145198849</v>
      </c>
      <c r="H418" t="n">
        <v>0.8299642508108299</v>
      </c>
      <c r="I418" t="n">
        <v>0.5760479384544457</v>
      </c>
      <c r="J418" t="n">
        <v>13.94123351277251</v>
      </c>
      <c r="K418" t="n">
        <v>8.623728271399074</v>
      </c>
      <c r="L418" t="n">
        <v>91.65144750698225</v>
      </c>
      <c r="M418" t="n">
        <v>1296.603509603451</v>
      </c>
      <c r="N418" t="n">
        <v>21.36429046550236</v>
      </c>
      <c r="O418" t="n">
        <v>2.39</v>
      </c>
      <c r="P418" t="n">
        <v>304</v>
      </c>
      <c r="Q418" t="n">
        <v>27.6</v>
      </c>
      <c r="R418" t="n">
        <v>93.54000000000001</v>
      </c>
      <c r="S418" t="n">
        <v>5.8</v>
      </c>
      <c r="T418" t="inlineStr">
        <is>
          <t>L1416</t>
        </is>
      </c>
      <c r="U418" t="inlineStr">
        <is>
          <t>Reza</t>
        </is>
      </c>
    </row>
    <row r="419">
      <c r="A419" s="7" t="n">
        <v>45463.375</v>
      </c>
      <c r="B419" t="n">
        <v>18</v>
      </c>
      <c r="C419" t="inlineStr">
        <is>
          <t>B</t>
        </is>
      </c>
      <c r="D419" t="inlineStr">
        <is>
          <t>R3_Optimized</t>
        </is>
      </c>
      <c r="E419" t="inlineStr">
        <is>
          <t>Blend C (Optimized)</t>
        </is>
      </c>
      <c r="F419" t="n">
        <v>2633.62009318876</v>
      </c>
      <c r="G419" t="n">
        <v>9.190181731232565</v>
      </c>
      <c r="H419" t="n">
        <v>0.8332627390779459</v>
      </c>
      <c r="I419" t="n">
        <v>0.5386228255134398</v>
      </c>
      <c r="J419" t="n">
        <v>13.70287405477126</v>
      </c>
      <c r="K419" t="n">
        <v>6.881159826642676</v>
      </c>
      <c r="L419" t="n">
        <v>96.66739765214889</v>
      </c>
      <c r="M419" t="n">
        <v>1272.971408008351</v>
      </c>
      <c r="N419" t="n">
        <v>21.292775585448</v>
      </c>
      <c r="O419" t="n">
        <v>2.19</v>
      </c>
      <c r="P419" t="n">
        <v>259.9</v>
      </c>
      <c r="Q419" t="n">
        <v>26.77</v>
      </c>
      <c r="R419" t="n">
        <v>94.78</v>
      </c>
      <c r="S419" t="n">
        <v>5.35</v>
      </c>
      <c r="T419" t="inlineStr">
        <is>
          <t>L1417</t>
        </is>
      </c>
      <c r="U419" t="inlineStr">
        <is>
          <t>Sara</t>
        </is>
      </c>
    </row>
    <row r="420">
      <c r="A420" s="7" t="n">
        <v>45463.41666666666</v>
      </c>
      <c r="B420" t="n">
        <v>18</v>
      </c>
      <c r="C420" t="inlineStr">
        <is>
          <t>B</t>
        </is>
      </c>
      <c r="D420" t="inlineStr">
        <is>
          <t>R3_Optimized</t>
        </is>
      </c>
      <c r="E420" t="inlineStr">
        <is>
          <t>Blend C (Optimized)</t>
        </is>
      </c>
      <c r="F420" t="n">
        <v>2397.672491883724</v>
      </c>
      <c r="G420" t="n">
        <v>9.20738623373302</v>
      </c>
      <c r="H420" t="n">
        <v>0.8179363941275928</v>
      </c>
      <c r="I420" t="n">
        <v>0.5846862389137035</v>
      </c>
      <c r="J420" t="n">
        <v>13.28011587010279</v>
      </c>
      <c r="K420" t="n">
        <v>6.928161600352293</v>
      </c>
      <c r="L420" t="n">
        <v>92.68960797855159</v>
      </c>
      <c r="M420" t="n">
        <v>1261.112393138884</v>
      </c>
      <c r="N420" t="n">
        <v>23.40576527255084</v>
      </c>
      <c r="O420" t="n">
        <v>2.84</v>
      </c>
      <c r="P420" t="n">
        <v>290.2</v>
      </c>
      <c r="Q420" t="n">
        <v>25.76</v>
      </c>
      <c r="R420" t="n">
        <v>95.67</v>
      </c>
      <c r="S420" t="n">
        <v>5.77</v>
      </c>
      <c r="T420" t="inlineStr">
        <is>
          <t>L1418</t>
        </is>
      </c>
      <c r="U420" t="inlineStr">
        <is>
          <t>Reza</t>
        </is>
      </c>
    </row>
    <row r="421">
      <c r="A421" s="7" t="n">
        <v>45463.45833333334</v>
      </c>
      <c r="B421" t="n">
        <v>18</v>
      </c>
      <c r="C421" t="inlineStr">
        <is>
          <t>B</t>
        </is>
      </c>
      <c r="D421" t="inlineStr">
        <is>
          <t>R3_Optimized</t>
        </is>
      </c>
      <c r="E421" t="inlineStr">
        <is>
          <t>Blend C (Optimized)</t>
        </is>
      </c>
      <c r="F421" t="n">
        <v>2445.132834991558</v>
      </c>
      <c r="G421" t="n">
        <v>8.370922484919548</v>
      </c>
      <c r="H421" t="n">
        <v>0.794332499306414</v>
      </c>
      <c r="I421" t="n">
        <v>0.5504886704975823</v>
      </c>
      <c r="J421" t="n">
        <v>13.9044222052511</v>
      </c>
      <c r="K421" t="n">
        <v>6.267840005655552</v>
      </c>
      <c r="L421" t="n">
        <v>99.98324589395997</v>
      </c>
      <c r="M421" t="n">
        <v>1310.712297583497</v>
      </c>
      <c r="N421" t="n">
        <v>22.15033925006122</v>
      </c>
      <c r="O421" t="n">
        <v>2.08</v>
      </c>
      <c r="P421" t="n">
        <v>269.4</v>
      </c>
      <c r="Q421" t="n">
        <v>26.32</v>
      </c>
      <c r="R421" t="n">
        <v>95.20999999999999</v>
      </c>
      <c r="S421" t="n">
        <v>5.16</v>
      </c>
      <c r="T421" t="inlineStr">
        <is>
          <t>L1419</t>
        </is>
      </c>
      <c r="U421" t="inlineStr">
        <is>
          <t>Reza</t>
        </is>
      </c>
    </row>
    <row r="422">
      <c r="A422" s="7" t="n">
        <v>45463.5</v>
      </c>
      <c r="B422" t="n">
        <v>18</v>
      </c>
      <c r="C422" t="inlineStr">
        <is>
          <t>B</t>
        </is>
      </c>
      <c r="D422" t="inlineStr">
        <is>
          <t>R3_Optimized</t>
        </is>
      </c>
      <c r="E422" t="inlineStr">
        <is>
          <t>Blend C (Optimized)</t>
        </is>
      </c>
      <c r="F422" t="n">
        <v>2573.326599365725</v>
      </c>
      <c r="G422" t="n">
        <v>9.381505167357584</v>
      </c>
      <c r="H422" t="n">
        <v>0.8285390044200469</v>
      </c>
      <c r="I422" t="n">
        <v>0.559210288424395</v>
      </c>
      <c r="J422" t="n">
        <v>13.58707754702191</v>
      </c>
      <c r="K422" t="n">
        <v>7.93977702742125</v>
      </c>
      <c r="L422" t="n">
        <v>109.1319295726495</v>
      </c>
      <c r="M422" t="n">
        <v>1291.844824338653</v>
      </c>
      <c r="N422" t="n">
        <v>21.68264230990726</v>
      </c>
      <c r="O422" t="n">
        <v>2.79</v>
      </c>
      <c r="P422" t="n">
        <v>316.2</v>
      </c>
      <c r="Q422" t="n">
        <v>25.3</v>
      </c>
      <c r="R422" t="n">
        <v>96.43000000000001</v>
      </c>
      <c r="S422" t="n">
        <v>5.61</v>
      </c>
      <c r="T422" t="inlineStr">
        <is>
          <t>L1420</t>
        </is>
      </c>
      <c r="U422" t="inlineStr">
        <is>
          <t>Alireza</t>
        </is>
      </c>
    </row>
    <row r="423">
      <c r="A423" s="7" t="n">
        <v>45463.54166666666</v>
      </c>
      <c r="B423" t="n">
        <v>18</v>
      </c>
      <c r="C423" t="inlineStr">
        <is>
          <t>B</t>
        </is>
      </c>
      <c r="D423" t="inlineStr">
        <is>
          <t>R3_Optimized</t>
        </is>
      </c>
      <c r="E423" t="inlineStr">
        <is>
          <t>Blend C (Optimized)</t>
        </is>
      </c>
      <c r="F423" t="n">
        <v>2325.392076627367</v>
      </c>
      <c r="G423" t="n">
        <v>9.168812149632085</v>
      </c>
      <c r="H423" t="n">
        <v>0.7820629505332863</v>
      </c>
      <c r="I423" t="n">
        <v>0.5747016574473592</v>
      </c>
      <c r="J423" t="n">
        <v>14.49161593990918</v>
      </c>
      <c r="K423" t="n">
        <v>6.519682373130191</v>
      </c>
      <c r="L423" t="n">
        <v>95.14623166079667</v>
      </c>
      <c r="M423" t="n">
        <v>1286.700697042011</v>
      </c>
      <c r="N423" t="n">
        <v>22.51858634381823</v>
      </c>
      <c r="O423" t="n">
        <v>2.94</v>
      </c>
      <c r="P423" t="n">
        <v>273.4</v>
      </c>
      <c r="Q423" t="n">
        <v>27.25</v>
      </c>
      <c r="R423" t="n">
        <v>94.62</v>
      </c>
      <c r="S423" t="n">
        <v>5.44</v>
      </c>
      <c r="T423" t="inlineStr">
        <is>
          <t>L1421</t>
        </is>
      </c>
      <c r="U423" t="inlineStr">
        <is>
          <t>Sara</t>
        </is>
      </c>
    </row>
    <row r="424">
      <c r="A424" s="7" t="n">
        <v>45463.58333333334</v>
      </c>
      <c r="B424" t="n">
        <v>18</v>
      </c>
      <c r="C424" t="inlineStr">
        <is>
          <t>B</t>
        </is>
      </c>
      <c r="D424" t="inlineStr">
        <is>
          <t>R3_Optimized</t>
        </is>
      </c>
      <c r="E424" t="inlineStr">
        <is>
          <t>Blend C (Optimized)</t>
        </is>
      </c>
      <c r="F424" t="n">
        <v>2707.259377505178</v>
      </c>
      <c r="G424" t="n">
        <v>9.493422331465466</v>
      </c>
      <c r="H424" t="n">
        <v>0.8057861349584782</v>
      </c>
      <c r="I424" t="n">
        <v>0.5109173168826733</v>
      </c>
      <c r="J424" t="n">
        <v>13.93764070917617</v>
      </c>
      <c r="K424" t="n">
        <v>6.345398142985887</v>
      </c>
      <c r="L424" t="n">
        <v>97.60791508964026</v>
      </c>
      <c r="M424" t="n">
        <v>1298.235309861022</v>
      </c>
      <c r="N424" t="n">
        <v>22.76153528364464</v>
      </c>
      <c r="O424" t="n">
        <v>2.32</v>
      </c>
      <c r="P424" t="n">
        <v>281.6</v>
      </c>
      <c r="Q424" t="n">
        <v>27.82</v>
      </c>
      <c r="R424" t="n">
        <v>94.58</v>
      </c>
      <c r="S424" t="n">
        <v>6.03</v>
      </c>
      <c r="T424" t="inlineStr">
        <is>
          <t>L1422</t>
        </is>
      </c>
      <c r="U424" t="inlineStr">
        <is>
          <t>Mohsen</t>
        </is>
      </c>
    </row>
    <row r="425">
      <c r="A425" s="7" t="n">
        <v>45463.625</v>
      </c>
      <c r="B425" t="n">
        <v>18</v>
      </c>
      <c r="C425" t="inlineStr">
        <is>
          <t>B</t>
        </is>
      </c>
      <c r="D425" t="inlineStr">
        <is>
          <t>R3_Optimized</t>
        </is>
      </c>
      <c r="E425" t="inlineStr">
        <is>
          <t>Blend C (Optimized)</t>
        </is>
      </c>
      <c r="F425" t="n">
        <v>2269.204512629432</v>
      </c>
      <c r="G425" t="n">
        <v>8.780604431085621</v>
      </c>
      <c r="H425" t="n">
        <v>0.8230695322029642</v>
      </c>
      <c r="I425" t="n">
        <v>0.5807074173576364</v>
      </c>
      <c r="J425" t="n">
        <v>14.5522320438926</v>
      </c>
      <c r="K425" t="n">
        <v>6.831563320605292</v>
      </c>
      <c r="L425" t="n">
        <v>93.5613981174188</v>
      </c>
      <c r="M425" t="n">
        <v>1319.299036717667</v>
      </c>
      <c r="N425" t="n">
        <v>22.25045573179859</v>
      </c>
      <c r="O425" t="n">
        <v>1.94</v>
      </c>
      <c r="P425" t="n">
        <v>322.1</v>
      </c>
      <c r="Q425" t="n">
        <v>26.04</v>
      </c>
      <c r="R425" t="n">
        <v>95.31999999999999</v>
      </c>
      <c r="S425" t="n">
        <v>5.13</v>
      </c>
      <c r="T425" t="inlineStr">
        <is>
          <t>L1423</t>
        </is>
      </c>
      <c r="U425" t="inlineStr">
        <is>
          <t>Sara</t>
        </is>
      </c>
    </row>
    <row r="426">
      <c r="A426" s="7" t="n">
        <v>45463.66666666666</v>
      </c>
      <c r="B426" t="n">
        <v>18</v>
      </c>
      <c r="C426" t="inlineStr">
        <is>
          <t>C</t>
        </is>
      </c>
      <c r="D426" t="inlineStr">
        <is>
          <t>R3_Optimized</t>
        </is>
      </c>
      <c r="E426" t="inlineStr">
        <is>
          <t>Blend C (Optimized)</t>
        </is>
      </c>
      <c r="F426" t="n">
        <v>2509.723002043972</v>
      </c>
      <c r="G426" t="n">
        <v>8.989321344513558</v>
      </c>
      <c r="H426" t="n">
        <v>0.8768122400586305</v>
      </c>
      <c r="I426" t="n">
        <v>0.6084586021895402</v>
      </c>
      <c r="J426" t="n">
        <v>14.54029143052355</v>
      </c>
      <c r="K426" t="n">
        <v>7.329506092136049</v>
      </c>
      <c r="L426" t="n">
        <v>104.4552989586425</v>
      </c>
      <c r="M426" t="n">
        <v>1267.358889767427</v>
      </c>
      <c r="N426" t="n">
        <v>22.98665166350553</v>
      </c>
      <c r="O426" t="n">
        <v>2.82</v>
      </c>
      <c r="P426" t="n">
        <v>327.8</v>
      </c>
      <c r="Q426" t="n">
        <v>23.4</v>
      </c>
      <c r="R426" t="n">
        <v>96.42</v>
      </c>
      <c r="S426" t="n">
        <v>4.76</v>
      </c>
      <c r="T426" t="inlineStr">
        <is>
          <t>L1424</t>
        </is>
      </c>
      <c r="U426" t="inlineStr">
        <is>
          <t>Reza</t>
        </is>
      </c>
    </row>
    <row r="427">
      <c r="A427" s="7" t="n">
        <v>45463.70833333334</v>
      </c>
      <c r="B427" t="n">
        <v>18</v>
      </c>
      <c r="C427" t="inlineStr">
        <is>
          <t>C</t>
        </is>
      </c>
      <c r="D427" t="inlineStr">
        <is>
          <t>R3_Optimized</t>
        </is>
      </c>
      <c r="E427" t="inlineStr">
        <is>
          <t>Blend C (Optimized)</t>
        </is>
      </c>
      <c r="F427" t="n">
        <v>2421.756661152586</v>
      </c>
      <c r="G427" t="n">
        <v>9.752469551761415</v>
      </c>
      <c r="H427" t="n">
        <v>0.8453034198901401</v>
      </c>
      <c r="I427" t="n">
        <v>0.4712124399080275</v>
      </c>
      <c r="J427" t="n">
        <v>13.73905647731443</v>
      </c>
      <c r="K427" t="n">
        <v>7.177497496213929</v>
      </c>
      <c r="L427" t="n">
        <v>104.8417671076498</v>
      </c>
      <c r="M427" t="n">
        <v>1293.871101614122</v>
      </c>
      <c r="N427" t="n">
        <v>19.6463448393596</v>
      </c>
      <c r="O427" t="n">
        <v>2.45</v>
      </c>
      <c r="P427" t="n">
        <v>252.7</v>
      </c>
      <c r="Q427" t="n">
        <v>26.03</v>
      </c>
      <c r="R427" t="n">
        <v>95.26000000000001</v>
      </c>
      <c r="S427" t="n">
        <v>5.79</v>
      </c>
      <c r="T427" t="inlineStr">
        <is>
          <t>L1425</t>
        </is>
      </c>
      <c r="U427" t="inlineStr">
        <is>
          <t>Alireza</t>
        </is>
      </c>
    </row>
    <row r="428">
      <c r="A428" s="7" t="n">
        <v>45463.75</v>
      </c>
      <c r="B428" t="n">
        <v>18</v>
      </c>
      <c r="C428" t="inlineStr">
        <is>
          <t>C</t>
        </is>
      </c>
      <c r="D428" t="inlineStr">
        <is>
          <t>R3_Optimized</t>
        </is>
      </c>
      <c r="E428" t="inlineStr">
        <is>
          <t>Blend C (Optimized)</t>
        </is>
      </c>
      <c r="F428" t="n">
        <v>2535.183937852671</v>
      </c>
      <c r="G428" t="n">
        <v>9.025254903610088</v>
      </c>
      <c r="H428" t="n">
        <v>0.835557333993709</v>
      </c>
      <c r="I428" t="n">
        <v>0.5361387232770835</v>
      </c>
      <c r="J428" t="n">
        <v>13.90049872297422</v>
      </c>
      <c r="K428" t="n">
        <v>6.135615268601446</v>
      </c>
      <c r="L428" t="n">
        <v>103.2837250106629</v>
      </c>
      <c r="M428" t="n">
        <v>1307.610595194545</v>
      </c>
      <c r="N428" t="n">
        <v>23.11201964490366</v>
      </c>
      <c r="O428" t="n">
        <v>2.01</v>
      </c>
      <c r="P428" t="n">
        <v>288.8</v>
      </c>
      <c r="Q428" t="n">
        <v>25.91</v>
      </c>
      <c r="R428" t="n">
        <v>95.75</v>
      </c>
      <c r="S428" t="n">
        <v>5.43</v>
      </c>
      <c r="T428" t="inlineStr">
        <is>
          <t>L1426</t>
        </is>
      </c>
      <c r="U428" t="inlineStr">
        <is>
          <t>Sara</t>
        </is>
      </c>
    </row>
    <row r="429">
      <c r="A429" s="7" t="n">
        <v>45463.79166666666</v>
      </c>
      <c r="B429" t="n">
        <v>18</v>
      </c>
      <c r="C429" t="inlineStr">
        <is>
          <t>C</t>
        </is>
      </c>
      <c r="D429" t="inlineStr">
        <is>
          <t>R3_Optimized</t>
        </is>
      </c>
      <c r="E429" t="inlineStr">
        <is>
          <t>Blend C (Optimized)</t>
        </is>
      </c>
      <c r="F429" t="n">
        <v>2696.826016955369</v>
      </c>
      <c r="G429" t="n">
        <v>9.363281658705928</v>
      </c>
      <c r="H429" t="n">
        <v>0.6692257891331567</v>
      </c>
      <c r="I429" t="n">
        <v>0.5335245751394517</v>
      </c>
      <c r="J429" t="n">
        <v>15.63891183847819</v>
      </c>
      <c r="K429" t="n">
        <v>7.814581408420623</v>
      </c>
      <c r="L429" t="n">
        <v>99.5601662663247</v>
      </c>
      <c r="M429" t="n">
        <v>1302.192652170079</v>
      </c>
      <c r="N429" t="n">
        <v>19.74886351142922</v>
      </c>
      <c r="O429" t="n">
        <v>2.25</v>
      </c>
      <c r="P429" t="n">
        <v>239.1</v>
      </c>
      <c r="Q429" t="n">
        <v>27.06</v>
      </c>
      <c r="R429" t="n">
        <v>94.65000000000001</v>
      </c>
      <c r="S429" t="n">
        <v>5.53</v>
      </c>
      <c r="T429" t="inlineStr">
        <is>
          <t>L1427</t>
        </is>
      </c>
      <c r="U429" t="inlineStr">
        <is>
          <t>Mohsen</t>
        </is>
      </c>
    </row>
    <row r="430">
      <c r="A430" s="7" t="n">
        <v>45463.83333333334</v>
      </c>
      <c r="B430" t="n">
        <v>18</v>
      </c>
      <c r="C430" t="inlineStr">
        <is>
          <t>C</t>
        </is>
      </c>
      <c r="D430" t="inlineStr">
        <is>
          <t>R3_Optimized</t>
        </is>
      </c>
      <c r="E430" t="inlineStr">
        <is>
          <t>Blend C (Optimized)</t>
        </is>
      </c>
      <c r="F430" t="n">
        <v>2270.712635016077</v>
      </c>
      <c r="G430" t="n">
        <v>9.61480117111442</v>
      </c>
      <c r="H430" t="n">
        <v>0.7925325247685536</v>
      </c>
      <c r="I430" t="n">
        <v>0.631797241202237</v>
      </c>
      <c r="J430" t="n">
        <v>14.60877994198793</v>
      </c>
      <c r="K430" t="n">
        <v>7.984726489232866</v>
      </c>
      <c r="L430" t="n">
        <v>102.410848416135</v>
      </c>
      <c r="M430" t="n">
        <v>1287.853589686838</v>
      </c>
      <c r="N430" t="n">
        <v>21.00710187257603</v>
      </c>
      <c r="O430" t="n">
        <v>2.46</v>
      </c>
      <c r="P430" t="n">
        <v>251.8</v>
      </c>
      <c r="Q430" t="n">
        <v>24.56</v>
      </c>
      <c r="R430" t="n">
        <v>97.12</v>
      </c>
      <c r="S430" t="n">
        <v>5.47</v>
      </c>
      <c r="T430" t="inlineStr">
        <is>
          <t>L1428</t>
        </is>
      </c>
      <c r="U430" t="inlineStr">
        <is>
          <t>Reza</t>
        </is>
      </c>
    </row>
    <row r="431">
      <c r="A431" s="7" t="n">
        <v>45463.875</v>
      </c>
      <c r="B431" t="n">
        <v>18</v>
      </c>
      <c r="C431" t="inlineStr">
        <is>
          <t>C</t>
        </is>
      </c>
      <c r="D431" t="inlineStr">
        <is>
          <t>R3_Optimized</t>
        </is>
      </c>
      <c r="E431" t="inlineStr">
        <is>
          <t>Blend C (Optimized)</t>
        </is>
      </c>
      <c r="F431" t="n">
        <v>2555.195188207815</v>
      </c>
      <c r="G431" t="n">
        <v>9.322408260622876</v>
      </c>
      <c r="H431" t="n">
        <v>0.7852277994071561</v>
      </c>
      <c r="I431" t="n">
        <v>0.5572272601734529</v>
      </c>
      <c r="J431" t="n">
        <v>14.18156142345452</v>
      </c>
      <c r="K431" t="n">
        <v>7.541352208884106</v>
      </c>
      <c r="L431" t="n">
        <v>108.5410304621173</v>
      </c>
      <c r="M431" t="n">
        <v>1303.905910950207</v>
      </c>
      <c r="N431" t="n">
        <v>21.80577102333809</v>
      </c>
      <c r="O431" t="n">
        <v>2.16</v>
      </c>
      <c r="P431" t="n">
        <v>280.9</v>
      </c>
      <c r="Q431" t="n">
        <v>25.95</v>
      </c>
      <c r="R431" t="n">
        <v>96.27</v>
      </c>
      <c r="S431" t="n">
        <v>5.16</v>
      </c>
      <c r="T431" t="inlineStr">
        <is>
          <t>L1429</t>
        </is>
      </c>
      <c r="U431" t="inlineStr">
        <is>
          <t>Mohsen</t>
        </is>
      </c>
    </row>
    <row r="432">
      <c r="A432" s="7" t="n">
        <v>45463.91666666666</v>
      </c>
      <c r="B432" t="n">
        <v>18</v>
      </c>
      <c r="C432" t="inlineStr">
        <is>
          <t>C</t>
        </is>
      </c>
      <c r="D432" t="inlineStr">
        <is>
          <t>R3_Optimized</t>
        </is>
      </c>
      <c r="E432" t="inlineStr">
        <is>
          <t>Blend C (Optimized)</t>
        </is>
      </c>
      <c r="F432" t="n">
        <v>2495.836345385684</v>
      </c>
      <c r="G432" t="n">
        <v>9.316272143350742</v>
      </c>
      <c r="H432" t="n">
        <v>0.7359163044805714</v>
      </c>
      <c r="I432" t="n">
        <v>0.5822892123652242</v>
      </c>
      <c r="J432" t="n">
        <v>15.07412719282011</v>
      </c>
      <c r="K432" t="n">
        <v>7.169634876184246</v>
      </c>
      <c r="L432" t="n">
        <v>109.0582627907393</v>
      </c>
      <c r="M432" t="n">
        <v>1307.460637301135</v>
      </c>
      <c r="N432" t="n">
        <v>18.41920304620844</v>
      </c>
      <c r="O432" t="n">
        <v>2.29</v>
      </c>
      <c r="P432" t="n">
        <v>251.3</v>
      </c>
      <c r="Q432" t="n">
        <v>25.51</v>
      </c>
      <c r="R432" t="n">
        <v>95.83</v>
      </c>
      <c r="S432" t="n">
        <v>5.19</v>
      </c>
      <c r="T432" t="inlineStr">
        <is>
          <t>L1430</t>
        </is>
      </c>
      <c r="U432" t="inlineStr">
        <is>
          <t>Sara</t>
        </is>
      </c>
    </row>
    <row r="433">
      <c r="A433" s="7" t="n">
        <v>45463.95833333334</v>
      </c>
      <c r="B433" t="n">
        <v>18</v>
      </c>
      <c r="C433" t="inlineStr">
        <is>
          <t>C</t>
        </is>
      </c>
      <c r="D433" t="inlineStr">
        <is>
          <t>R3_Optimized</t>
        </is>
      </c>
      <c r="E433" t="inlineStr">
        <is>
          <t>Blend C (Optimized)</t>
        </is>
      </c>
      <c r="F433" t="n">
        <v>2626.426890556646</v>
      </c>
      <c r="G433" t="n">
        <v>9.719153895730402</v>
      </c>
      <c r="H433" t="n">
        <v>0.700918077303384</v>
      </c>
      <c r="I433" t="n">
        <v>0.5888646721194801</v>
      </c>
      <c r="J433" t="n">
        <v>13.59359746127874</v>
      </c>
      <c r="K433" t="n">
        <v>7.326472274295196</v>
      </c>
      <c r="L433" t="n">
        <v>107.9863033943588</v>
      </c>
      <c r="M433" t="n">
        <v>1292.898868402564</v>
      </c>
      <c r="N433" t="n">
        <v>24.24580984391818</v>
      </c>
      <c r="O433" t="n">
        <v>2.19</v>
      </c>
      <c r="P433" t="n">
        <v>268.5</v>
      </c>
      <c r="Q433" t="n">
        <v>27.88</v>
      </c>
      <c r="R433" t="n">
        <v>94.14</v>
      </c>
      <c r="S433" t="n">
        <v>6.06</v>
      </c>
      <c r="T433" t="inlineStr">
        <is>
          <t>L1431</t>
        </is>
      </c>
      <c r="U433" t="inlineStr">
        <is>
          <t>Sara</t>
        </is>
      </c>
    </row>
    <row r="434">
      <c r="A434" s="7" t="n">
        <v>45464</v>
      </c>
      <c r="B434" t="n">
        <v>19</v>
      </c>
      <c r="C434" t="inlineStr">
        <is>
          <t>A</t>
        </is>
      </c>
      <c r="D434" t="inlineStr">
        <is>
          <t>R3_Optimized</t>
        </is>
      </c>
      <c r="E434" t="inlineStr">
        <is>
          <t>Blend C (Optimized)</t>
        </is>
      </c>
      <c r="F434" t="n">
        <v>2470.692256711133</v>
      </c>
      <c r="G434" t="n">
        <v>9.108956834904694</v>
      </c>
      <c r="H434" t="n">
        <v>0.8186816379301304</v>
      </c>
      <c r="I434" t="n">
        <v>0.5124086266457515</v>
      </c>
      <c r="J434" t="n">
        <v>13.06397740412979</v>
      </c>
      <c r="K434" t="n">
        <v>8.371524169263761</v>
      </c>
      <c r="L434" t="n">
        <v>101.5378347502927</v>
      </c>
      <c r="M434" t="n">
        <v>1311.735054150846</v>
      </c>
      <c r="N434" t="n">
        <v>20.42615344561487</v>
      </c>
      <c r="O434" t="n">
        <v>2.33</v>
      </c>
      <c r="P434" t="n">
        <v>251</v>
      </c>
      <c r="Q434" t="n">
        <v>27.03</v>
      </c>
      <c r="R434" t="n">
        <v>95.25</v>
      </c>
      <c r="S434" t="n">
        <v>5.58</v>
      </c>
      <c r="T434" t="inlineStr">
        <is>
          <t>L1432</t>
        </is>
      </c>
      <c r="U434" t="inlineStr">
        <is>
          <t>Sara</t>
        </is>
      </c>
    </row>
    <row r="435">
      <c r="A435" s="7" t="n">
        <v>45464.04166666666</v>
      </c>
      <c r="B435" t="n">
        <v>19</v>
      </c>
      <c r="C435" t="inlineStr">
        <is>
          <t>A</t>
        </is>
      </c>
      <c r="D435" t="inlineStr">
        <is>
          <t>R3_Optimized</t>
        </is>
      </c>
      <c r="E435" t="inlineStr">
        <is>
          <t>Blend C (Optimized)</t>
        </is>
      </c>
      <c r="F435" t="n">
        <v>2386.645824402859</v>
      </c>
      <c r="G435" t="n">
        <v>9.497051466555568</v>
      </c>
      <c r="H435" t="n">
        <v>0.7785257872238285</v>
      </c>
      <c r="I435" t="n">
        <v>0.4851732221864206</v>
      </c>
      <c r="J435" t="n">
        <v>14.62627717812087</v>
      </c>
      <c r="K435" t="n">
        <v>6.786893741312101</v>
      </c>
      <c r="L435" t="n">
        <v>99.30480098786396</v>
      </c>
      <c r="M435" t="n">
        <v>1287.341797676829</v>
      </c>
      <c r="N435" t="n">
        <v>21.55995700753418</v>
      </c>
      <c r="O435" t="n">
        <v>2.83</v>
      </c>
      <c r="P435" t="n">
        <v>233.5</v>
      </c>
      <c r="Q435" t="n">
        <v>28.47</v>
      </c>
      <c r="R435" t="n">
        <v>94.04000000000001</v>
      </c>
      <c r="S435" t="n">
        <v>5.98</v>
      </c>
      <c r="T435" t="inlineStr">
        <is>
          <t>L1433</t>
        </is>
      </c>
      <c r="U435" t="inlineStr">
        <is>
          <t>Alireza</t>
        </is>
      </c>
    </row>
    <row r="436">
      <c r="A436" s="7" t="n">
        <v>45464.08333333334</v>
      </c>
      <c r="B436" t="n">
        <v>19</v>
      </c>
      <c r="C436" t="inlineStr">
        <is>
          <t>A</t>
        </is>
      </c>
      <c r="D436" t="inlineStr">
        <is>
          <t>R3_Optimized</t>
        </is>
      </c>
      <c r="E436" t="inlineStr">
        <is>
          <t>Blend C (Optimized)</t>
        </is>
      </c>
      <c r="F436" t="n">
        <v>2565.998073273217</v>
      </c>
      <c r="G436" t="n">
        <v>9.201943583420942</v>
      </c>
      <c r="H436" t="n">
        <v>0.7514432374000283</v>
      </c>
      <c r="I436" t="n">
        <v>0.6078614432558701</v>
      </c>
      <c r="J436" t="n">
        <v>13.78660804301048</v>
      </c>
      <c r="K436" t="n">
        <v>7.488937100654081</v>
      </c>
      <c r="L436" t="n">
        <v>92.23649740669499</v>
      </c>
      <c r="M436" t="n">
        <v>1279.434429939832</v>
      </c>
      <c r="N436" t="n">
        <v>21.58262102439496</v>
      </c>
      <c r="O436" t="n">
        <v>2.66</v>
      </c>
      <c r="P436" t="n">
        <v>253.4</v>
      </c>
      <c r="Q436" t="n">
        <v>27.33</v>
      </c>
      <c r="R436" t="n">
        <v>95.2</v>
      </c>
      <c r="S436" t="n">
        <v>5.9</v>
      </c>
      <c r="T436" t="inlineStr">
        <is>
          <t>L1434</t>
        </is>
      </c>
      <c r="U436" t="inlineStr">
        <is>
          <t>Reza</t>
        </is>
      </c>
    </row>
    <row r="437">
      <c r="A437" s="7" t="n">
        <v>45464.125</v>
      </c>
      <c r="B437" t="n">
        <v>19</v>
      </c>
      <c r="C437" t="inlineStr">
        <is>
          <t>A</t>
        </is>
      </c>
      <c r="D437" t="inlineStr">
        <is>
          <t>R3_Optimized</t>
        </is>
      </c>
      <c r="E437" t="inlineStr">
        <is>
          <t>Blend C (Optimized)</t>
        </is>
      </c>
      <c r="F437" t="n">
        <v>2716.076128887056</v>
      </c>
      <c r="G437" t="n">
        <v>8.901430636947175</v>
      </c>
      <c r="H437" t="n">
        <v>0.6956919452444977</v>
      </c>
      <c r="I437" t="n">
        <v>0.6158634605345296</v>
      </c>
      <c r="J437" t="n">
        <v>13.02606792270278</v>
      </c>
      <c r="K437" t="n">
        <v>7.249684926422469</v>
      </c>
      <c r="L437" t="n">
        <v>101.4619857871144</v>
      </c>
      <c r="M437" t="n">
        <v>1311.001095557289</v>
      </c>
      <c r="N437" t="n">
        <v>21.74505816452389</v>
      </c>
      <c r="O437" t="n">
        <v>2.28</v>
      </c>
      <c r="P437" t="n">
        <v>263.9</v>
      </c>
      <c r="Q437" t="n">
        <v>24.85</v>
      </c>
      <c r="R437" t="n">
        <v>97.36</v>
      </c>
      <c r="S437" t="n">
        <v>4.91</v>
      </c>
      <c r="T437" t="inlineStr">
        <is>
          <t>L1435</t>
        </is>
      </c>
      <c r="U437" t="inlineStr">
        <is>
          <t>Mohsen</t>
        </is>
      </c>
    </row>
    <row r="438">
      <c r="A438" s="7" t="n">
        <v>45464.16666666666</v>
      </c>
      <c r="B438" t="n">
        <v>19</v>
      </c>
      <c r="C438" t="inlineStr">
        <is>
          <t>A</t>
        </is>
      </c>
      <c r="D438" t="inlineStr">
        <is>
          <t>R3_Optimized</t>
        </is>
      </c>
      <c r="E438" t="inlineStr">
        <is>
          <t>Blend C (Optimized)</t>
        </is>
      </c>
      <c r="F438" t="n">
        <v>2623.30400013295</v>
      </c>
      <c r="G438" t="n">
        <v>9.312856913725195</v>
      </c>
      <c r="H438" t="n">
        <v>0.7195560463938671</v>
      </c>
      <c r="I438" t="n">
        <v>0.5953663948888379</v>
      </c>
      <c r="J438" t="n">
        <v>13.55542963706414</v>
      </c>
      <c r="K438" t="n">
        <v>6.960047172705845</v>
      </c>
      <c r="L438" t="n">
        <v>96.23800980308697</v>
      </c>
      <c r="M438" t="n">
        <v>1296.296784440682</v>
      </c>
      <c r="N438" t="n">
        <v>22.04461173947005</v>
      </c>
      <c r="O438" t="n">
        <v>2.71</v>
      </c>
      <c r="P438" t="n">
        <v>246.9</v>
      </c>
      <c r="Q438" t="n">
        <v>25.85</v>
      </c>
      <c r="R438" t="n">
        <v>96.26000000000001</v>
      </c>
      <c r="S438" t="n">
        <v>5.23</v>
      </c>
      <c r="T438" t="inlineStr">
        <is>
          <t>L1436</t>
        </is>
      </c>
      <c r="U438" t="inlineStr">
        <is>
          <t>Reza</t>
        </is>
      </c>
    </row>
    <row r="439">
      <c r="A439" s="7" t="n">
        <v>45464.20833333334</v>
      </c>
      <c r="B439" t="n">
        <v>19</v>
      </c>
      <c r="C439" t="inlineStr">
        <is>
          <t>A</t>
        </is>
      </c>
      <c r="D439" t="inlineStr">
        <is>
          <t>R3_Optimized</t>
        </is>
      </c>
      <c r="E439" t="inlineStr">
        <is>
          <t>Blend C (Optimized)</t>
        </is>
      </c>
      <c r="F439" t="n">
        <v>2504.568389375179</v>
      </c>
      <c r="G439" t="n">
        <v>9.763157906342235</v>
      </c>
      <c r="H439" t="n">
        <v>0.7351885116655158</v>
      </c>
      <c r="I439" t="n">
        <v>0.5925214500565698</v>
      </c>
      <c r="J439" t="n">
        <v>14.06493937363335</v>
      </c>
      <c r="K439" t="n">
        <v>7.163975775094399</v>
      </c>
      <c r="L439" t="n">
        <v>94.5911067785878</v>
      </c>
      <c r="M439" t="n">
        <v>1298.951603459067</v>
      </c>
      <c r="N439" t="n">
        <v>23.84900339823469</v>
      </c>
      <c r="O439" t="n">
        <v>1.97</v>
      </c>
      <c r="P439" t="n">
        <v>330.8</v>
      </c>
      <c r="Q439" t="n">
        <v>27.43</v>
      </c>
      <c r="R439" t="n">
        <v>94.8</v>
      </c>
      <c r="S439" t="n">
        <v>5.11</v>
      </c>
      <c r="T439" t="inlineStr">
        <is>
          <t>L1437</t>
        </is>
      </c>
      <c r="U439" t="inlineStr">
        <is>
          <t>Reza</t>
        </is>
      </c>
    </row>
    <row r="440">
      <c r="A440" s="7" t="n">
        <v>45464.25</v>
      </c>
      <c r="B440" t="n">
        <v>19</v>
      </c>
      <c r="C440" t="inlineStr">
        <is>
          <t>A</t>
        </is>
      </c>
      <c r="D440" t="inlineStr">
        <is>
          <t>R3_Optimized</t>
        </is>
      </c>
      <c r="E440" t="inlineStr">
        <is>
          <t>Blend C (Optimized)</t>
        </is>
      </c>
      <c r="F440" t="n">
        <v>2553.296822606375</v>
      </c>
      <c r="G440" t="n">
        <v>9.238272224526026</v>
      </c>
      <c r="H440" t="n">
        <v>0.7929815321937024</v>
      </c>
      <c r="I440" t="n">
        <v>0.5155058065945656</v>
      </c>
      <c r="J440" t="n">
        <v>13.37763179555526</v>
      </c>
      <c r="K440" t="n">
        <v>7.109232963368214</v>
      </c>
      <c r="L440" t="n">
        <v>104.0969236119745</v>
      </c>
      <c r="M440" t="n">
        <v>1283.844394504585</v>
      </c>
      <c r="N440" t="n">
        <v>21.42083423819653</v>
      </c>
      <c r="O440" t="n">
        <v>2.53</v>
      </c>
      <c r="P440" t="n">
        <v>257</v>
      </c>
      <c r="Q440" t="n">
        <v>26.6</v>
      </c>
      <c r="R440" t="n">
        <v>95.14</v>
      </c>
      <c r="S440" t="n">
        <v>6.19</v>
      </c>
      <c r="T440" t="inlineStr">
        <is>
          <t>L1438</t>
        </is>
      </c>
      <c r="U440" t="inlineStr">
        <is>
          <t>Alireza</t>
        </is>
      </c>
    </row>
    <row r="441">
      <c r="A441" s="7" t="n">
        <v>45464.29166666666</v>
      </c>
      <c r="B441" t="n">
        <v>19</v>
      </c>
      <c r="C441" t="inlineStr">
        <is>
          <t>A</t>
        </is>
      </c>
      <c r="D441" t="inlineStr">
        <is>
          <t>R3_Optimized</t>
        </is>
      </c>
      <c r="E441" t="inlineStr">
        <is>
          <t>Blend C (Optimized)</t>
        </is>
      </c>
      <c r="F441" t="n">
        <v>2199.120465826891</v>
      </c>
      <c r="G441" t="n">
        <v>9.053965349026255</v>
      </c>
      <c r="H441" t="n">
        <v>0.8859770128441389</v>
      </c>
      <c r="I441" t="n">
        <v>0.5149488092384956</v>
      </c>
      <c r="J441" t="n">
        <v>14.06320803883483</v>
      </c>
      <c r="K441" t="n">
        <v>8.248962315442533</v>
      </c>
      <c r="L441" t="n">
        <v>101.268283649793</v>
      </c>
      <c r="M441" t="n">
        <v>1287.422840514466</v>
      </c>
      <c r="N441" t="n">
        <v>23.60492351635124</v>
      </c>
      <c r="O441" t="n">
        <v>2.57</v>
      </c>
      <c r="P441" t="n">
        <v>302.1</v>
      </c>
      <c r="Q441" t="n">
        <v>27.74</v>
      </c>
      <c r="R441" t="n">
        <v>94.83</v>
      </c>
      <c r="S441" t="n">
        <v>5.82</v>
      </c>
      <c r="T441" t="inlineStr">
        <is>
          <t>L1439</t>
        </is>
      </c>
      <c r="U441" t="inlineStr">
        <is>
          <t>Sara</t>
        </is>
      </c>
    </row>
    <row r="442">
      <c r="A442" s="7" t="n">
        <v>45464.33333333334</v>
      </c>
      <c r="B442" t="n">
        <v>19</v>
      </c>
      <c r="C442" t="inlineStr">
        <is>
          <t>B</t>
        </is>
      </c>
      <c r="D442" t="inlineStr">
        <is>
          <t>R3_Optimized</t>
        </is>
      </c>
      <c r="E442" t="inlineStr">
        <is>
          <t>Blend C (Optimized)</t>
        </is>
      </c>
      <c r="F442" t="n">
        <v>2379.486988520612</v>
      </c>
      <c r="G442" t="n">
        <v>9.226126965743049</v>
      </c>
      <c r="H442" t="n">
        <v>0.7848255226234482</v>
      </c>
      <c r="I442" t="n">
        <v>0.5515240055551621</v>
      </c>
      <c r="J442" t="n">
        <v>14.43008062879029</v>
      </c>
      <c r="K442" t="n">
        <v>7.65581111014451</v>
      </c>
      <c r="L442" t="n">
        <v>100.4915926819428</v>
      </c>
      <c r="M442" t="n">
        <v>1292.119591127738</v>
      </c>
      <c r="N442" t="n">
        <v>20.16857059108774</v>
      </c>
      <c r="O442" t="n">
        <v>2.4</v>
      </c>
      <c r="P442" t="n">
        <v>222.4</v>
      </c>
      <c r="Q442" t="n">
        <v>26.6</v>
      </c>
      <c r="R442" t="n">
        <v>94.92</v>
      </c>
      <c r="S442" t="n">
        <v>5.46</v>
      </c>
      <c r="T442" t="inlineStr">
        <is>
          <t>L1440</t>
        </is>
      </c>
      <c r="U442" t="inlineStr">
        <is>
          <t>Mohsen</t>
        </is>
      </c>
    </row>
    <row r="443">
      <c r="A443" s="7" t="n">
        <v>45464.375</v>
      </c>
      <c r="B443" t="n">
        <v>19</v>
      </c>
      <c r="C443" t="inlineStr">
        <is>
          <t>B</t>
        </is>
      </c>
      <c r="D443" t="inlineStr">
        <is>
          <t>R3_Optimized</t>
        </is>
      </c>
      <c r="E443" t="inlineStr">
        <is>
          <t>Blend C (Optimized)</t>
        </is>
      </c>
      <c r="F443" t="n">
        <v>2431.541279906973</v>
      </c>
      <c r="G443" t="n">
        <v>9.128822121283871</v>
      </c>
      <c r="H443" t="n">
        <v>0.631436626616848</v>
      </c>
      <c r="I443" t="n">
        <v>0.5841994886310578</v>
      </c>
      <c r="J443" t="n">
        <v>14.32288967636606</v>
      </c>
      <c r="K443" t="n">
        <v>6.73445774500888</v>
      </c>
      <c r="L443" t="n">
        <v>105.2712464181965</v>
      </c>
      <c r="M443" t="n">
        <v>1301.434690124734</v>
      </c>
      <c r="N443" t="n">
        <v>21.52692916726929</v>
      </c>
      <c r="O443" t="n">
        <v>2.53</v>
      </c>
      <c r="P443" t="n">
        <v>219.2</v>
      </c>
      <c r="Q443" t="n">
        <v>27.6</v>
      </c>
      <c r="R443" t="n">
        <v>95.37</v>
      </c>
      <c r="S443" t="n">
        <v>6.33</v>
      </c>
      <c r="T443" t="inlineStr">
        <is>
          <t>L1441</t>
        </is>
      </c>
      <c r="U443" t="inlineStr">
        <is>
          <t>Reza</t>
        </is>
      </c>
    </row>
    <row r="444">
      <c r="A444" s="7" t="n">
        <v>45464.41666666666</v>
      </c>
      <c r="B444" t="n">
        <v>19</v>
      </c>
      <c r="C444" t="inlineStr">
        <is>
          <t>B</t>
        </is>
      </c>
      <c r="D444" t="inlineStr">
        <is>
          <t>R3_Optimized</t>
        </is>
      </c>
      <c r="E444" t="inlineStr">
        <is>
          <t>Blend C (Optimized)</t>
        </is>
      </c>
      <c r="F444" t="n">
        <v>2380.329286191298</v>
      </c>
      <c r="G444" t="n">
        <v>9.477401687624971</v>
      </c>
      <c r="H444" t="n">
        <v>0.8003462907641058</v>
      </c>
      <c r="I444" t="n">
        <v>0.5346038953730377</v>
      </c>
      <c r="J444" t="n">
        <v>14.69602683427647</v>
      </c>
      <c r="K444" t="n">
        <v>6.663588689637288</v>
      </c>
      <c r="L444" t="n">
        <v>98.0460455629694</v>
      </c>
      <c r="M444" t="n">
        <v>1318.013743695685</v>
      </c>
      <c r="N444" t="n">
        <v>23.19497980606984</v>
      </c>
      <c r="O444" t="n">
        <v>2.01</v>
      </c>
      <c r="P444" t="n">
        <v>271.9</v>
      </c>
      <c r="Q444" t="n">
        <v>25.61</v>
      </c>
      <c r="R444" t="n">
        <v>96.38</v>
      </c>
      <c r="S444" t="n">
        <v>5.21</v>
      </c>
      <c r="T444" t="inlineStr">
        <is>
          <t>L1442</t>
        </is>
      </c>
      <c r="U444" t="inlineStr">
        <is>
          <t>Mohsen</t>
        </is>
      </c>
    </row>
    <row r="445">
      <c r="A445" s="7" t="n">
        <v>45464.45833333334</v>
      </c>
      <c r="B445" t="n">
        <v>19</v>
      </c>
      <c r="C445" t="inlineStr">
        <is>
          <t>B</t>
        </is>
      </c>
      <c r="D445" t="inlineStr">
        <is>
          <t>R3_Optimized</t>
        </is>
      </c>
      <c r="E445" t="inlineStr">
        <is>
          <t>Blend C (Optimized)</t>
        </is>
      </c>
      <c r="F445" t="n">
        <v>2350.894070802959</v>
      </c>
      <c r="G445" t="n">
        <v>8.947279919916976</v>
      </c>
      <c r="H445" t="n">
        <v>0.802454975585346</v>
      </c>
      <c r="I445" t="n">
        <v>0.5357914931936821</v>
      </c>
      <c r="J445" t="n">
        <v>13.11907404257699</v>
      </c>
      <c r="K445" t="n">
        <v>7.088440533795509</v>
      </c>
      <c r="L445" t="n">
        <v>89.13755377922782</v>
      </c>
      <c r="M445" t="n">
        <v>1315.080568410855</v>
      </c>
      <c r="N445" t="n">
        <v>20.64055623224069</v>
      </c>
      <c r="O445" t="n">
        <v>2.08</v>
      </c>
      <c r="P445" t="n">
        <v>270.9</v>
      </c>
      <c r="Q445" t="n">
        <v>27.83</v>
      </c>
      <c r="R445" t="n">
        <v>93.91</v>
      </c>
      <c r="S445" t="n">
        <v>5.69</v>
      </c>
      <c r="T445" t="inlineStr">
        <is>
          <t>L1443</t>
        </is>
      </c>
      <c r="U445" t="inlineStr">
        <is>
          <t>Mohsen</t>
        </is>
      </c>
    </row>
    <row r="446">
      <c r="A446" s="7" t="n">
        <v>45464.5</v>
      </c>
      <c r="B446" t="n">
        <v>19</v>
      </c>
      <c r="C446" t="inlineStr">
        <is>
          <t>B</t>
        </is>
      </c>
      <c r="D446" t="inlineStr">
        <is>
          <t>R3_Optimized</t>
        </is>
      </c>
      <c r="E446" t="inlineStr">
        <is>
          <t>Blend C (Optimized)</t>
        </is>
      </c>
      <c r="F446" t="n">
        <v>2468.49103820218</v>
      </c>
      <c r="G446" t="n">
        <v>9.614234157225287</v>
      </c>
      <c r="H446" t="n">
        <v>0.6986736303481199</v>
      </c>
      <c r="I446" t="n">
        <v>0.5754678896058635</v>
      </c>
      <c r="J446" t="n">
        <v>15.40008306316841</v>
      </c>
      <c r="K446" t="n">
        <v>7.802341491097304</v>
      </c>
      <c r="L446" t="n">
        <v>103.2233242968891</v>
      </c>
      <c r="M446" t="n">
        <v>1314.059039645117</v>
      </c>
      <c r="N446" t="n">
        <v>22.37189752782018</v>
      </c>
      <c r="O446" t="n">
        <v>2.24</v>
      </c>
      <c r="Q446" t="n">
        <v>27.06</v>
      </c>
      <c r="R446" t="n">
        <v>95.98999999999999</v>
      </c>
      <c r="S446" t="n">
        <v>5.96</v>
      </c>
      <c r="T446" t="inlineStr">
        <is>
          <t>L1444</t>
        </is>
      </c>
      <c r="U446" t="inlineStr">
        <is>
          <t>Reza</t>
        </is>
      </c>
      <c r="V446" t="inlineStr">
        <is>
          <t>Missing</t>
        </is>
      </c>
    </row>
    <row r="447">
      <c r="A447" s="7" t="n">
        <v>45464.54166666666</v>
      </c>
      <c r="B447" t="n">
        <v>19</v>
      </c>
      <c r="C447" t="inlineStr">
        <is>
          <t>B</t>
        </is>
      </c>
      <c r="D447" t="inlineStr">
        <is>
          <t>R3_Optimized</t>
        </is>
      </c>
      <c r="E447" t="inlineStr">
        <is>
          <t>Blend C (Optimized)</t>
        </is>
      </c>
      <c r="F447" t="n">
        <v>2549.243948501968</v>
      </c>
      <c r="G447" t="n">
        <v>9.443961868341443</v>
      </c>
      <c r="H447" t="n">
        <v>0.6769034419360859</v>
      </c>
      <c r="I447" t="n">
        <v>0.6309985676753741</v>
      </c>
      <c r="J447" t="n">
        <v>12.7045248312026</v>
      </c>
      <c r="K447" t="n">
        <v>7.34560379302444</v>
      </c>
      <c r="L447" t="n">
        <v>105.0878088305208</v>
      </c>
      <c r="M447" t="n">
        <v>1297.438274120498</v>
      </c>
      <c r="N447" t="n">
        <v>21.49236320670174</v>
      </c>
      <c r="O447" t="n">
        <v>2.9</v>
      </c>
      <c r="P447" t="n">
        <v>238.4</v>
      </c>
      <c r="Q447" t="n">
        <v>27.94</v>
      </c>
      <c r="R447" t="n">
        <v>94.84999999999999</v>
      </c>
      <c r="S447" t="n">
        <v>6.21</v>
      </c>
      <c r="T447" t="inlineStr">
        <is>
          <t>L1445</t>
        </is>
      </c>
      <c r="U447" t="inlineStr">
        <is>
          <t>Mohsen</t>
        </is>
      </c>
    </row>
    <row r="448">
      <c r="A448" s="7" t="n">
        <v>45464.58333333334</v>
      </c>
      <c r="B448" t="n">
        <v>19</v>
      </c>
      <c r="C448" t="inlineStr">
        <is>
          <t>B</t>
        </is>
      </c>
      <c r="D448" t="inlineStr">
        <is>
          <t>R3_Optimized</t>
        </is>
      </c>
      <c r="E448" t="inlineStr">
        <is>
          <t>Blend C (Optimized)</t>
        </is>
      </c>
      <c r="F448" t="n">
        <v>2826.301197685786</v>
      </c>
      <c r="G448" t="n">
        <v>9.728496849412043</v>
      </c>
      <c r="H448" t="n">
        <v>0.7697323024429803</v>
      </c>
      <c r="I448" t="n">
        <v>0.4719080313565803</v>
      </c>
      <c r="J448" t="n">
        <v>13.5434068993685</v>
      </c>
      <c r="K448" t="n">
        <v>7.586028087620231</v>
      </c>
      <c r="L448" t="n">
        <v>89.5674323483635</v>
      </c>
      <c r="M448" t="n">
        <v>1295.164708671668</v>
      </c>
      <c r="N448" t="n">
        <v>22.97465169342587</v>
      </c>
      <c r="O448" t="n">
        <v>1.94</v>
      </c>
      <c r="P448" t="n">
        <v>293.5</v>
      </c>
      <c r="Q448" t="n">
        <v>27.43</v>
      </c>
      <c r="R448" t="n">
        <v>95.45999999999999</v>
      </c>
      <c r="S448" t="n">
        <v>5.52</v>
      </c>
      <c r="T448" t="inlineStr">
        <is>
          <t>L1446</t>
        </is>
      </c>
      <c r="U448" t="inlineStr">
        <is>
          <t>Sara</t>
        </is>
      </c>
    </row>
    <row r="449">
      <c r="A449" s="7" t="n">
        <v>45464.625</v>
      </c>
      <c r="B449" t="n">
        <v>19</v>
      </c>
      <c r="C449" t="inlineStr">
        <is>
          <t>B</t>
        </is>
      </c>
      <c r="D449" t="inlineStr">
        <is>
          <t>R3_Optimized</t>
        </is>
      </c>
      <c r="E449" t="inlineStr">
        <is>
          <t>Blend C (Optimized)</t>
        </is>
      </c>
      <c r="F449" t="n">
        <v>2350.773228254745</v>
      </c>
      <c r="G449" t="n">
        <v>9.139002954109618</v>
      </c>
      <c r="H449" t="n">
        <v>0.8210281340121156</v>
      </c>
      <c r="I449" t="n">
        <v>0.5395092878456795</v>
      </c>
      <c r="J449" t="n">
        <v>13.26493493411556</v>
      </c>
      <c r="K449" t="n">
        <v>7.849680631287525</v>
      </c>
      <c r="L449" t="n">
        <v>105.9701009889116</v>
      </c>
      <c r="M449" t="n">
        <v>1291.187361488576</v>
      </c>
      <c r="N449" t="n">
        <v>22.67397490731744</v>
      </c>
      <c r="O449" t="n">
        <v>2.28</v>
      </c>
      <c r="P449" t="n">
        <v>244.7</v>
      </c>
      <c r="Q449" t="n">
        <v>24.38</v>
      </c>
      <c r="R449" t="n">
        <v>96.52</v>
      </c>
      <c r="S449" t="n">
        <v>5.17</v>
      </c>
      <c r="T449" t="inlineStr">
        <is>
          <t>L1447</t>
        </is>
      </c>
      <c r="U449" t="inlineStr">
        <is>
          <t>Sara</t>
        </is>
      </c>
    </row>
    <row r="450">
      <c r="A450" s="7" t="n">
        <v>45464.66666666666</v>
      </c>
      <c r="B450" t="n">
        <v>19</v>
      </c>
      <c r="C450" t="inlineStr">
        <is>
          <t>C</t>
        </is>
      </c>
      <c r="D450" t="inlineStr">
        <is>
          <t>R3_Optimized</t>
        </is>
      </c>
      <c r="E450" t="inlineStr">
        <is>
          <t>Blend C (Optimized)</t>
        </is>
      </c>
      <c r="F450" t="n">
        <v>2313.245886128483</v>
      </c>
      <c r="G450" t="n">
        <v>9.629503692236963</v>
      </c>
      <c r="H450" t="n">
        <v>0.7973265473528115</v>
      </c>
      <c r="I450" t="n">
        <v>0.4759292078364855</v>
      </c>
      <c r="J450" t="n">
        <v>14.37399229778552</v>
      </c>
      <c r="K450" t="n">
        <v>7.070610300998617</v>
      </c>
      <c r="L450" t="n">
        <v>91.92905875145524</v>
      </c>
      <c r="M450" t="n">
        <v>1294.366846433886</v>
      </c>
      <c r="N450" t="n">
        <v>21.35937193520095</v>
      </c>
      <c r="O450" t="n">
        <v>2.48</v>
      </c>
      <c r="P450" t="n">
        <v>223.6</v>
      </c>
      <c r="Q450" t="n">
        <v>24.79</v>
      </c>
      <c r="R450" t="n">
        <v>95.93000000000001</v>
      </c>
      <c r="S450" t="n">
        <v>5.45</v>
      </c>
      <c r="T450" t="inlineStr">
        <is>
          <t>L1448</t>
        </is>
      </c>
      <c r="U450" t="inlineStr">
        <is>
          <t>Reza</t>
        </is>
      </c>
    </row>
    <row r="451">
      <c r="A451" s="7" t="n">
        <v>45464.70833333334</v>
      </c>
      <c r="B451" t="n">
        <v>19</v>
      </c>
      <c r="C451" t="inlineStr">
        <is>
          <t>C</t>
        </is>
      </c>
      <c r="D451" t="inlineStr">
        <is>
          <t>R3_Optimized</t>
        </is>
      </c>
      <c r="E451" t="inlineStr">
        <is>
          <t>Blend C (Optimized)</t>
        </is>
      </c>
      <c r="F451" t="n">
        <v>2656.305411631319</v>
      </c>
      <c r="G451" t="n">
        <v>8.950349416914866</v>
      </c>
      <c r="H451" t="n">
        <v>0.8770341578267767</v>
      </c>
      <c r="I451" t="n">
        <v>0.4600131702168612</v>
      </c>
      <c r="J451" t="n">
        <v>14.15925703894071</v>
      </c>
      <c r="K451" t="n">
        <v>7.683814891801779</v>
      </c>
      <c r="L451" t="n">
        <v>96.89751881683716</v>
      </c>
      <c r="M451" t="n">
        <v>1286.261504335417</v>
      </c>
      <c r="N451" t="n">
        <v>22.59857678973234</v>
      </c>
      <c r="O451" t="n">
        <v>2.29</v>
      </c>
      <c r="P451" t="n">
        <v>260.2</v>
      </c>
      <c r="Q451" t="n">
        <v>26.4</v>
      </c>
      <c r="R451" t="n">
        <v>94.43000000000001</v>
      </c>
      <c r="S451" t="n">
        <v>5.86</v>
      </c>
      <c r="T451" t="inlineStr">
        <is>
          <t>L1449</t>
        </is>
      </c>
      <c r="U451" t="inlineStr">
        <is>
          <t>Mohsen</t>
        </is>
      </c>
    </row>
    <row r="452">
      <c r="A452" s="7" t="n">
        <v>45464.75</v>
      </c>
      <c r="B452" t="n">
        <v>19</v>
      </c>
      <c r="C452" t="inlineStr">
        <is>
          <t>C</t>
        </is>
      </c>
      <c r="D452" t="inlineStr">
        <is>
          <t>R3_Optimized</t>
        </is>
      </c>
      <c r="E452" t="inlineStr">
        <is>
          <t>Blend C (Optimized)</t>
        </is>
      </c>
      <c r="F452" t="n">
        <v>2504.823322908579</v>
      </c>
      <c r="G452" t="n">
        <v>9.511283611148338</v>
      </c>
      <c r="H452" t="n">
        <v>0.7583500983500453</v>
      </c>
      <c r="I452" t="n">
        <v>0.6070157530898094</v>
      </c>
      <c r="J452" t="n">
        <v>14.84354911916407</v>
      </c>
      <c r="K452" t="n">
        <v>7.432651648378979</v>
      </c>
      <c r="L452" t="n">
        <v>103.9422926356813</v>
      </c>
      <c r="M452" t="n">
        <v>1305.602830558862</v>
      </c>
      <c r="N452" t="n">
        <v>21.66185374376366</v>
      </c>
      <c r="O452" t="n">
        <v>2.22</v>
      </c>
      <c r="P452" t="n">
        <v>335.3</v>
      </c>
      <c r="Q452" t="n">
        <v>25.21</v>
      </c>
      <c r="R452" t="n">
        <v>97.55</v>
      </c>
      <c r="S452" t="n">
        <v>5.36</v>
      </c>
      <c r="T452" t="inlineStr">
        <is>
          <t>L1450</t>
        </is>
      </c>
      <c r="U452" t="inlineStr">
        <is>
          <t>Sara</t>
        </is>
      </c>
    </row>
    <row r="453">
      <c r="A453" s="7" t="n">
        <v>45464.79166666666</v>
      </c>
      <c r="B453" t="n">
        <v>19</v>
      </c>
      <c r="C453" t="inlineStr">
        <is>
          <t>C</t>
        </is>
      </c>
      <c r="D453" t="inlineStr">
        <is>
          <t>R3_Optimized</t>
        </is>
      </c>
      <c r="E453" t="inlineStr">
        <is>
          <t>Blend C (Optimized)</t>
        </is>
      </c>
      <c r="F453" t="n">
        <v>2316.840813045577</v>
      </c>
      <c r="G453" t="n">
        <v>9.220847297748783</v>
      </c>
      <c r="H453" t="n">
        <v>0.7681693726017971</v>
      </c>
      <c r="I453" t="n">
        <v>0.4996032637549888</v>
      </c>
      <c r="J453" t="n">
        <v>14.62793854001557</v>
      </c>
      <c r="K453" t="n">
        <v>7.875867686935331</v>
      </c>
      <c r="L453" t="n">
        <v>101.0451788091283</v>
      </c>
      <c r="M453" t="n">
        <v>1319.161584082767</v>
      </c>
      <c r="N453" t="n">
        <v>20.19600692306122</v>
      </c>
      <c r="O453" t="n">
        <v>1.94</v>
      </c>
      <c r="P453" t="n">
        <v>219.8</v>
      </c>
      <c r="Q453" t="n">
        <v>24.7</v>
      </c>
      <c r="R453" t="n">
        <v>97.2</v>
      </c>
      <c r="S453" t="n">
        <v>4.39</v>
      </c>
      <c r="T453" t="inlineStr">
        <is>
          <t>L1451</t>
        </is>
      </c>
      <c r="U453" t="inlineStr">
        <is>
          <t>Sara</t>
        </is>
      </c>
    </row>
    <row r="454">
      <c r="A454" s="7" t="n">
        <v>45464.83333333334</v>
      </c>
      <c r="B454" t="n">
        <v>19</v>
      </c>
      <c r="C454" t="inlineStr">
        <is>
          <t>C</t>
        </is>
      </c>
      <c r="D454" t="inlineStr">
        <is>
          <t>R3_Optimized</t>
        </is>
      </c>
      <c r="E454" t="inlineStr">
        <is>
          <t>Blend C (Optimized)</t>
        </is>
      </c>
      <c r="F454" t="n">
        <v>2752.504110510053</v>
      </c>
      <c r="G454" t="n">
        <v>8.907695707884999</v>
      </c>
      <c r="H454" t="n">
        <v>0.7062255255676435</v>
      </c>
      <c r="I454" t="n">
        <v>0.5688798588284787</v>
      </c>
      <c r="J454" t="n">
        <v>14.50699311558366</v>
      </c>
      <c r="K454" t="n">
        <v>7.435082495490304</v>
      </c>
      <c r="L454" t="n">
        <v>110.0195596027796</v>
      </c>
      <c r="M454" t="n">
        <v>1315.49376628595</v>
      </c>
      <c r="N454" t="n">
        <v>20.26034815752048</v>
      </c>
      <c r="O454" t="n">
        <v>2.19</v>
      </c>
      <c r="P454" t="n">
        <v>228.5</v>
      </c>
      <c r="Q454" t="n">
        <v>27.05</v>
      </c>
      <c r="R454" t="n">
        <v>94.59</v>
      </c>
      <c r="S454" t="n">
        <v>5.32</v>
      </c>
      <c r="T454" t="inlineStr">
        <is>
          <t>L1452</t>
        </is>
      </c>
      <c r="U454" t="inlineStr">
        <is>
          <t>Reza</t>
        </is>
      </c>
    </row>
    <row r="455">
      <c r="A455" s="7" t="n">
        <v>45464.875</v>
      </c>
      <c r="B455" t="n">
        <v>19</v>
      </c>
      <c r="C455" t="inlineStr">
        <is>
          <t>C</t>
        </is>
      </c>
      <c r="D455" t="inlineStr">
        <is>
          <t>R3_Optimized</t>
        </is>
      </c>
      <c r="E455" t="inlineStr">
        <is>
          <t>Blend C (Optimized)</t>
        </is>
      </c>
      <c r="F455" t="n">
        <v>2439.185146480745</v>
      </c>
      <c r="G455" t="n">
        <v>9.576909876943621</v>
      </c>
      <c r="H455" t="n">
        <v>0.8349476674942273</v>
      </c>
      <c r="I455" t="n">
        <v>0.6068658651603875</v>
      </c>
      <c r="J455" t="n">
        <v>13.99293287575639</v>
      </c>
      <c r="K455" t="n">
        <v>8.251963273127162</v>
      </c>
      <c r="L455" t="n">
        <v>105.4872367303976</v>
      </c>
      <c r="M455" t="n">
        <v>1279.021693582451</v>
      </c>
      <c r="N455" t="n">
        <v>22.62673131519137</v>
      </c>
      <c r="O455" t="n">
        <v>2.75</v>
      </c>
      <c r="P455" t="n">
        <v>356.9</v>
      </c>
      <c r="Q455" t="n">
        <v>26.09</v>
      </c>
      <c r="R455" t="n">
        <v>95</v>
      </c>
      <c r="S455" t="n">
        <v>5.47</v>
      </c>
      <c r="T455" t="inlineStr">
        <is>
          <t>L1453</t>
        </is>
      </c>
      <c r="U455" t="inlineStr">
        <is>
          <t>Reza</t>
        </is>
      </c>
    </row>
    <row r="456">
      <c r="A456" s="7" t="n">
        <v>45464.91666666666</v>
      </c>
      <c r="B456" t="n">
        <v>19</v>
      </c>
      <c r="C456" t="inlineStr">
        <is>
          <t>C</t>
        </is>
      </c>
      <c r="D456" t="inlineStr">
        <is>
          <t>R3_Optimized</t>
        </is>
      </c>
      <c r="E456" t="inlineStr">
        <is>
          <t>Blend C (Optimized)</t>
        </is>
      </c>
      <c r="F456" t="n">
        <v>2417.862338975853</v>
      </c>
      <c r="G456" t="n">
        <v>9.809739923767774</v>
      </c>
      <c r="H456" t="n">
        <v>0.7810814131690565</v>
      </c>
      <c r="I456" t="n">
        <v>0.585480652456737</v>
      </c>
      <c r="J456" t="n">
        <v>14.26733965294991</v>
      </c>
      <c r="K456" t="n">
        <v>7.160896179436645</v>
      </c>
      <c r="L456" t="n">
        <v>97.10494357204267</v>
      </c>
      <c r="M456" t="n">
        <v>1295.504685163365</v>
      </c>
      <c r="N456" t="n">
        <v>21.52187679947131</v>
      </c>
      <c r="O456" t="n">
        <v>2.41</v>
      </c>
      <c r="P456" t="n">
        <v>258.9</v>
      </c>
      <c r="Q456" t="n">
        <v>25.35</v>
      </c>
      <c r="R456" t="n">
        <v>95.64</v>
      </c>
      <c r="S456" t="n">
        <v>5.34</v>
      </c>
      <c r="T456" t="inlineStr">
        <is>
          <t>L1454</t>
        </is>
      </c>
      <c r="U456" t="inlineStr">
        <is>
          <t>Sara</t>
        </is>
      </c>
    </row>
    <row r="457">
      <c r="A457" s="7" t="n">
        <v>45464.95833333334</v>
      </c>
      <c r="B457" t="n">
        <v>19</v>
      </c>
      <c r="C457" t="inlineStr">
        <is>
          <t>C</t>
        </is>
      </c>
      <c r="D457" t="inlineStr">
        <is>
          <t>R3_Optimized</t>
        </is>
      </c>
      <c r="E457" t="inlineStr">
        <is>
          <t>Blend C (Optimized)</t>
        </is>
      </c>
      <c r="F457" t="n">
        <v>2365.835684626889</v>
      </c>
      <c r="G457" t="n">
        <v>9.926970903531149</v>
      </c>
      <c r="H457" t="n">
        <v>0.805180833652294</v>
      </c>
      <c r="I457" t="n">
        <v>0.501066764394907</v>
      </c>
      <c r="J457" t="n">
        <v>13.84444671717061</v>
      </c>
      <c r="K457" t="n">
        <v>7.325828989312697</v>
      </c>
      <c r="L457" t="n">
        <v>97.09853738624003</v>
      </c>
      <c r="M457" t="n">
        <v>1306.804397277067</v>
      </c>
      <c r="N457" t="n">
        <v>21.73721481032701</v>
      </c>
      <c r="O457" t="n">
        <v>2.41</v>
      </c>
      <c r="P457" t="n">
        <v>251.1</v>
      </c>
      <c r="Q457" t="n">
        <v>25.94</v>
      </c>
      <c r="R457" t="n">
        <v>95.83</v>
      </c>
      <c r="S457" t="n">
        <v>5.19</v>
      </c>
      <c r="T457" t="inlineStr">
        <is>
          <t>L1455</t>
        </is>
      </c>
      <c r="U457" t="inlineStr">
        <is>
          <t>Sara</t>
        </is>
      </c>
    </row>
    <row r="458">
      <c r="A458" s="7" t="n">
        <v>45465</v>
      </c>
      <c r="B458" t="n">
        <v>20</v>
      </c>
      <c r="C458" t="inlineStr">
        <is>
          <t>A</t>
        </is>
      </c>
      <c r="D458" t="inlineStr">
        <is>
          <t>R3_Optimized</t>
        </is>
      </c>
      <c r="E458" t="inlineStr">
        <is>
          <t>Blend C (Optimized)</t>
        </is>
      </c>
      <c r="F458" t="n">
        <v>2310.376748514633</v>
      </c>
      <c r="G458" t="n">
        <v>9.459341020512403</v>
      </c>
      <c r="H458" t="n">
        <v>0.6075148456435097</v>
      </c>
      <c r="I458" t="n">
        <v>0.5694058295463658</v>
      </c>
      <c r="J458" t="n">
        <v>14.69522606544381</v>
      </c>
      <c r="K458" t="n">
        <v>6.864694941611356</v>
      </c>
      <c r="L458" t="n">
        <v>103.8806697516293</v>
      </c>
      <c r="M458" t="n">
        <v>1298.578495300739</v>
      </c>
      <c r="N458" t="n">
        <v>23.13783296492176</v>
      </c>
      <c r="O458" t="n">
        <v>2.34</v>
      </c>
      <c r="P458" t="n">
        <v>204.9</v>
      </c>
      <c r="Q458" t="n">
        <v>27.18</v>
      </c>
      <c r="R458" t="n">
        <v>94.86</v>
      </c>
      <c r="S458" t="n">
        <v>5.44</v>
      </c>
      <c r="T458" t="inlineStr">
        <is>
          <t>L1456</t>
        </is>
      </c>
      <c r="U458" t="inlineStr">
        <is>
          <t>Mohsen</t>
        </is>
      </c>
    </row>
    <row r="459">
      <c r="A459" s="7" t="n">
        <v>45465.04166666666</v>
      </c>
      <c r="B459" t="n">
        <v>20</v>
      </c>
      <c r="C459" t="inlineStr">
        <is>
          <t>A</t>
        </is>
      </c>
      <c r="D459" t="inlineStr">
        <is>
          <t>R3_Optimized</t>
        </is>
      </c>
      <c r="E459" t="inlineStr">
        <is>
          <t>Blend C (Optimized)</t>
        </is>
      </c>
      <c r="F459" t="n">
        <v>2494.142072978215</v>
      </c>
      <c r="G459" t="n">
        <v>9.216737601705029</v>
      </c>
      <c r="H459" t="n">
        <v>0.6410978700680222</v>
      </c>
      <c r="I459" t="n">
        <v>0.5468381275875669</v>
      </c>
      <c r="J459" t="n">
        <v>14.45344026606943</v>
      </c>
      <c r="K459" t="n">
        <v>7.526780198172608</v>
      </c>
      <c r="L459" t="n">
        <v>90.95618752082062</v>
      </c>
      <c r="M459" t="n">
        <v>1288.345876757944</v>
      </c>
      <c r="N459" t="n">
        <v>22.13599582332998</v>
      </c>
      <c r="O459" t="n">
        <v>2.62</v>
      </c>
      <c r="P459" t="n">
        <v>192.8</v>
      </c>
      <c r="Q459" t="n">
        <v>27.01</v>
      </c>
      <c r="R459" t="n">
        <v>94.62</v>
      </c>
      <c r="S459" t="n">
        <v>5.71</v>
      </c>
      <c r="T459" t="inlineStr">
        <is>
          <t>L1457</t>
        </is>
      </c>
      <c r="U459" t="inlineStr">
        <is>
          <t>Reza</t>
        </is>
      </c>
    </row>
    <row r="460">
      <c r="A460" s="7" t="n">
        <v>45465.08333333334</v>
      </c>
      <c r="B460" t="n">
        <v>20</v>
      </c>
      <c r="C460" t="inlineStr">
        <is>
          <t>A</t>
        </is>
      </c>
      <c r="D460" t="inlineStr">
        <is>
          <t>R3_Optimized</t>
        </is>
      </c>
      <c r="E460" t="inlineStr">
        <is>
          <t>Blend C (Optimized)</t>
        </is>
      </c>
      <c r="F460" t="n">
        <v>2303.369391188778</v>
      </c>
      <c r="G460" t="n">
        <v>9.818532207433623</v>
      </c>
      <c r="H460" t="n">
        <v>0.7908539198446088</v>
      </c>
      <c r="I460" t="n">
        <v>0.51501367244233</v>
      </c>
      <c r="J460" t="n">
        <v>14.8268100705266</v>
      </c>
      <c r="K460" t="n">
        <v>7.381124852823026</v>
      </c>
      <c r="L460" t="n">
        <v>107.3868157882284</v>
      </c>
      <c r="M460" t="n">
        <v>1270.275534043471</v>
      </c>
      <c r="N460" t="n">
        <v>24.57677048750948</v>
      </c>
      <c r="O460" t="n">
        <v>2.79</v>
      </c>
      <c r="P460" t="n">
        <v>273.7</v>
      </c>
      <c r="Q460" t="n">
        <v>27.67</v>
      </c>
      <c r="R460" t="n">
        <v>94.09</v>
      </c>
      <c r="S460" t="n">
        <v>6.85</v>
      </c>
      <c r="T460" t="inlineStr">
        <is>
          <t>L1458</t>
        </is>
      </c>
      <c r="U460" t="inlineStr">
        <is>
          <t>Reza</t>
        </is>
      </c>
    </row>
    <row r="461">
      <c r="A461" s="7" t="n">
        <v>45465.125</v>
      </c>
      <c r="B461" t="n">
        <v>20</v>
      </c>
      <c r="C461" t="inlineStr">
        <is>
          <t>A</t>
        </is>
      </c>
      <c r="D461" t="inlineStr">
        <is>
          <t>R3_Optimized</t>
        </is>
      </c>
      <c r="E461" t="inlineStr">
        <is>
          <t>Blend C (Optimized)</t>
        </is>
      </c>
      <c r="F461" t="n">
        <v>2917.39440649433</v>
      </c>
      <c r="G461" t="n">
        <v>8.968172946613336</v>
      </c>
      <c r="H461" t="n">
        <v>0.8075369142804225</v>
      </c>
      <c r="I461" t="n">
        <v>0.5342029691267873</v>
      </c>
      <c r="J461" t="n">
        <v>14.14109055485168</v>
      </c>
      <c r="K461" t="n">
        <v>6.117407214923925</v>
      </c>
      <c r="L461" t="n">
        <v>100.2336982235178</v>
      </c>
      <c r="M461" t="n">
        <v>1263.867828273658</v>
      </c>
      <c r="N461" t="n">
        <v>20.20400106426632</v>
      </c>
      <c r="O461" t="n">
        <v>2.75</v>
      </c>
      <c r="P461" t="n">
        <v>266.6</v>
      </c>
      <c r="Q461" t="n">
        <v>27.99</v>
      </c>
      <c r="R461" t="n">
        <v>93.68000000000001</v>
      </c>
      <c r="S461" t="n">
        <v>6.09</v>
      </c>
      <c r="T461" t="inlineStr">
        <is>
          <t>L1459</t>
        </is>
      </c>
      <c r="U461" t="inlineStr">
        <is>
          <t>Mohsen</t>
        </is>
      </c>
    </row>
    <row r="462">
      <c r="A462" s="7" t="n">
        <v>45465.16666666666</v>
      </c>
      <c r="B462" t="n">
        <v>20</v>
      </c>
      <c r="C462" t="inlineStr">
        <is>
          <t>A</t>
        </is>
      </c>
      <c r="D462" t="inlineStr">
        <is>
          <t>R3_Optimized</t>
        </is>
      </c>
      <c r="E462" t="inlineStr">
        <is>
          <t>Blend C (Optimized)</t>
        </is>
      </c>
      <c r="F462" t="n">
        <v>2534.98827244736</v>
      </c>
      <c r="G462" t="n">
        <v>9.35012314737072</v>
      </c>
      <c r="H462" t="n">
        <v>0.7351831631557818</v>
      </c>
      <c r="I462" t="n">
        <v>0.5236517106689327</v>
      </c>
      <c r="J462" t="n">
        <v>13.94715348202747</v>
      </c>
      <c r="K462" t="n">
        <v>6.300764111182587</v>
      </c>
      <c r="L462" t="n">
        <v>103.9148746930106</v>
      </c>
      <c r="M462" t="n">
        <v>1299.834154228686</v>
      </c>
      <c r="N462" t="n">
        <v>23.26468704661879</v>
      </c>
      <c r="O462" t="n">
        <v>2.33</v>
      </c>
      <c r="P462" t="n">
        <v>302.1</v>
      </c>
      <c r="Q462" t="n">
        <v>26.77</v>
      </c>
      <c r="R462" t="n">
        <v>95.59</v>
      </c>
      <c r="S462" t="n">
        <v>5.78</v>
      </c>
      <c r="T462" t="inlineStr">
        <is>
          <t>L1460</t>
        </is>
      </c>
      <c r="U462" t="inlineStr">
        <is>
          <t>Sara</t>
        </is>
      </c>
    </row>
    <row r="463">
      <c r="A463" s="7" t="n">
        <v>45465.20833333334</v>
      </c>
      <c r="B463" t="n">
        <v>20</v>
      </c>
      <c r="C463" t="inlineStr">
        <is>
          <t>A</t>
        </is>
      </c>
      <c r="D463" t="inlineStr">
        <is>
          <t>R3_Optimized</t>
        </is>
      </c>
      <c r="E463" t="inlineStr">
        <is>
          <t>Blend C (Optimized)</t>
        </is>
      </c>
      <c r="F463" t="n">
        <v>2429.778321598629</v>
      </c>
      <c r="G463" t="n">
        <v>8.781828001049785</v>
      </c>
      <c r="H463" t="n">
        <v>0.7429784394833713</v>
      </c>
      <c r="I463" t="n">
        <v>0.6013610065826408</v>
      </c>
      <c r="J463" t="n">
        <v>14.40585466492782</v>
      </c>
      <c r="K463" t="n">
        <v>6.600958567718426</v>
      </c>
      <c r="L463" t="n">
        <v>99.30571997973007</v>
      </c>
      <c r="M463" t="n">
        <v>1283.953605904781</v>
      </c>
      <c r="N463" t="n">
        <v>20.4753009344172</v>
      </c>
      <c r="O463" t="n">
        <v>2.06</v>
      </c>
      <c r="P463" t="n">
        <v>249.6</v>
      </c>
      <c r="Q463" t="n">
        <v>26.87</v>
      </c>
      <c r="R463" t="n">
        <v>94.64</v>
      </c>
      <c r="S463" t="n">
        <v>5.93</v>
      </c>
      <c r="T463" t="inlineStr">
        <is>
          <t>L1461</t>
        </is>
      </c>
      <c r="U463" t="inlineStr">
        <is>
          <t>Alireza</t>
        </is>
      </c>
    </row>
    <row r="464">
      <c r="A464" s="7" t="n">
        <v>45465.25</v>
      </c>
      <c r="B464" t="n">
        <v>20</v>
      </c>
      <c r="C464" t="inlineStr">
        <is>
          <t>A</t>
        </is>
      </c>
      <c r="D464" t="inlineStr">
        <is>
          <t>R3_Optimized</t>
        </is>
      </c>
      <c r="E464" t="inlineStr">
        <is>
          <t>Blend C (Optimized)</t>
        </is>
      </c>
      <c r="F464" t="n">
        <v>2334.608697540427</v>
      </c>
      <c r="G464" t="n">
        <v>9.350635286526872</v>
      </c>
      <c r="H464" t="n">
        <v>0.8148778925563581</v>
      </c>
      <c r="I464" t="n">
        <v>0.5494319135410433</v>
      </c>
      <c r="J464" t="n">
        <v>13.75878431758072</v>
      </c>
      <c r="K464" t="n">
        <v>6.838321830872787</v>
      </c>
      <c r="L464" t="n">
        <v>96.16717225448308</v>
      </c>
      <c r="M464" t="n">
        <v>1296.634329862514</v>
      </c>
      <c r="N464" t="n">
        <v>20.27078658616462</v>
      </c>
      <c r="O464" t="n">
        <v>2.67</v>
      </c>
      <c r="P464" t="n">
        <v>227.5</v>
      </c>
      <c r="Q464" t="n">
        <v>26.74</v>
      </c>
      <c r="R464" t="n">
        <v>94.69</v>
      </c>
      <c r="S464" t="n">
        <v>5.83</v>
      </c>
      <c r="T464" t="inlineStr">
        <is>
          <t>L1462</t>
        </is>
      </c>
      <c r="U464" t="inlineStr">
        <is>
          <t>Mohsen</t>
        </is>
      </c>
    </row>
    <row r="465">
      <c r="A465" s="7" t="n">
        <v>45465.29166666666</v>
      </c>
      <c r="B465" t="n">
        <v>20</v>
      </c>
      <c r="C465" t="inlineStr">
        <is>
          <t>A</t>
        </is>
      </c>
      <c r="D465" t="inlineStr">
        <is>
          <t>R3_Optimized</t>
        </is>
      </c>
      <c r="E465" t="inlineStr">
        <is>
          <t>Blend C (Optimized)</t>
        </is>
      </c>
      <c r="F465" t="n">
        <v>2519.334595763145</v>
      </c>
      <c r="G465" t="n">
        <v>9.39062461423838</v>
      </c>
      <c r="H465" t="n">
        <v>0.7071468354296666</v>
      </c>
      <c r="I465" t="n">
        <v>0.5296288282917292</v>
      </c>
      <c r="J465" t="n">
        <v>13.89558296271011</v>
      </c>
      <c r="K465" t="n">
        <v>8.051373481489989</v>
      </c>
      <c r="L465" t="n">
        <v>106.6391884575897</v>
      </c>
      <c r="M465" t="n">
        <v>1306.942024681716</v>
      </c>
      <c r="N465" t="n">
        <v>23.66182626389207</v>
      </c>
      <c r="O465" t="n">
        <v>2.23</v>
      </c>
      <c r="P465" t="n">
        <v>302</v>
      </c>
      <c r="Q465" t="n">
        <v>26.74</v>
      </c>
      <c r="R465" t="n">
        <v>95.76000000000001</v>
      </c>
      <c r="S465" t="n">
        <v>5.51</v>
      </c>
      <c r="T465" t="inlineStr">
        <is>
          <t>L1463</t>
        </is>
      </c>
      <c r="U465" t="inlineStr">
        <is>
          <t>Mohsen</t>
        </is>
      </c>
    </row>
    <row r="466">
      <c r="A466" s="7" t="n">
        <v>45465.33333333334</v>
      </c>
      <c r="B466" t="n">
        <v>20</v>
      </c>
      <c r="C466" t="inlineStr">
        <is>
          <t>B</t>
        </is>
      </c>
      <c r="D466" t="inlineStr">
        <is>
          <t>R3_Optimized</t>
        </is>
      </c>
      <c r="E466" t="inlineStr">
        <is>
          <t>Blend C (Optimized)</t>
        </is>
      </c>
      <c r="F466" t="n">
        <v>2651.846662486029</v>
      </c>
      <c r="G466" t="n">
        <v>9.158059923174614</v>
      </c>
      <c r="H466" t="n">
        <v>0.7649950112783603</v>
      </c>
      <c r="I466" t="n">
        <v>0.5704632705814883</v>
      </c>
      <c r="J466" t="n">
        <v>13.48984307636445</v>
      </c>
      <c r="K466" t="n">
        <v>7.154258627217244</v>
      </c>
      <c r="L466" t="n">
        <v>100.4473450193256</v>
      </c>
      <c r="M466" t="n">
        <v>1290.316550374359</v>
      </c>
      <c r="N466" t="n">
        <v>21.04863710981994</v>
      </c>
      <c r="O466" t="n">
        <v>2.18</v>
      </c>
      <c r="P466" t="n">
        <v>279.9</v>
      </c>
      <c r="Q466" t="n">
        <v>25.18</v>
      </c>
      <c r="R466" t="n">
        <v>96.09</v>
      </c>
      <c r="S466" t="n">
        <v>5.84</v>
      </c>
      <c r="T466" t="inlineStr">
        <is>
          <t>L1464</t>
        </is>
      </c>
      <c r="U466" t="inlineStr">
        <is>
          <t>Reza</t>
        </is>
      </c>
    </row>
    <row r="467">
      <c r="A467" s="7" t="n">
        <v>45465.375</v>
      </c>
      <c r="B467" t="n">
        <v>20</v>
      </c>
      <c r="C467" t="inlineStr">
        <is>
          <t>B</t>
        </is>
      </c>
      <c r="D467" t="inlineStr">
        <is>
          <t>R3_Optimized</t>
        </is>
      </c>
      <c r="E467" t="inlineStr">
        <is>
          <t>Blend C (Optimized)</t>
        </is>
      </c>
      <c r="F467" t="n">
        <v>2515.462002590356</v>
      </c>
      <c r="G467" t="n">
        <v>9.667451001691495</v>
      </c>
      <c r="H467" t="n">
        <v>0.6969981579420665</v>
      </c>
      <c r="I467" t="n">
        <v>0.5704864204352873</v>
      </c>
      <c r="J467" t="n">
        <v>14.36373783105758</v>
      </c>
      <c r="K467" t="n">
        <v>7.147982052833815</v>
      </c>
      <c r="L467" t="n">
        <v>109.0182092862394</v>
      </c>
      <c r="M467" t="n">
        <v>1304.036970543593</v>
      </c>
      <c r="N467" t="n">
        <v>21.61904364994847</v>
      </c>
      <c r="O467" t="n">
        <v>2.49</v>
      </c>
      <c r="P467" t="n">
        <v>233.2</v>
      </c>
      <c r="Q467" t="n">
        <v>28.65</v>
      </c>
      <c r="R467" t="n">
        <v>94.08</v>
      </c>
      <c r="S467" t="n">
        <v>5.57</v>
      </c>
      <c r="T467" t="inlineStr">
        <is>
          <t>L1465</t>
        </is>
      </c>
      <c r="U467" t="inlineStr">
        <is>
          <t>Alireza</t>
        </is>
      </c>
    </row>
    <row r="468">
      <c r="A468" s="7" t="n">
        <v>45465.41666666666</v>
      </c>
      <c r="B468" t="n">
        <v>20</v>
      </c>
      <c r="C468" t="inlineStr">
        <is>
          <t>B</t>
        </is>
      </c>
      <c r="D468" t="inlineStr">
        <is>
          <t>R3_Optimized</t>
        </is>
      </c>
      <c r="E468" t="inlineStr">
        <is>
          <t>Blend C (Optimized)</t>
        </is>
      </c>
      <c r="F468" t="n">
        <v>2265.898257273613</v>
      </c>
      <c r="G468" t="n">
        <v>9.255624906726194</v>
      </c>
      <c r="H468" t="n">
        <v>0.722340364993729</v>
      </c>
      <c r="I468" t="n">
        <v>0.5805310146271112</v>
      </c>
      <c r="J468" t="n">
        <v>14.17967963673056</v>
      </c>
      <c r="K468" t="n">
        <v>7.428293680505611</v>
      </c>
      <c r="L468" t="n">
        <v>108.4209324273455</v>
      </c>
      <c r="M468" t="n">
        <v>1283.121311251801</v>
      </c>
      <c r="N468" t="n">
        <v>21.7703844641974</v>
      </c>
      <c r="O468" t="n">
        <v>2.85</v>
      </c>
      <c r="P468" t="n">
        <v>269.4</v>
      </c>
      <c r="Q468" t="n">
        <v>27.01</v>
      </c>
      <c r="R468" t="n">
        <v>94.59999999999999</v>
      </c>
      <c r="S468" t="n">
        <v>5.45</v>
      </c>
      <c r="T468" t="inlineStr">
        <is>
          <t>L1466</t>
        </is>
      </c>
      <c r="U468" t="inlineStr">
        <is>
          <t>Mohsen</t>
        </is>
      </c>
    </row>
    <row r="469">
      <c r="A469" s="7" t="n">
        <v>45465.45833333334</v>
      </c>
      <c r="B469" t="n">
        <v>20</v>
      </c>
      <c r="C469" t="inlineStr">
        <is>
          <t>B</t>
        </is>
      </c>
      <c r="D469" t="inlineStr">
        <is>
          <t>R3_Optimized</t>
        </is>
      </c>
      <c r="E469" t="inlineStr">
        <is>
          <t>Blend C (Optimized)</t>
        </is>
      </c>
      <c r="F469" t="n">
        <v>2429.458126741894</v>
      </c>
      <c r="G469" t="n">
        <v>9.467035613508004</v>
      </c>
      <c r="H469" t="n">
        <v>0.8211503320660165</v>
      </c>
      <c r="I469" t="n">
        <v>0.6003360496542686</v>
      </c>
      <c r="J469" t="n">
        <v>13.62996128666688</v>
      </c>
      <c r="K469" t="n">
        <v>7.360877448278322</v>
      </c>
      <c r="L469" t="n">
        <v>115.1701485996888</v>
      </c>
      <c r="M469" t="n">
        <v>1278.397210646767</v>
      </c>
      <c r="N469" t="n">
        <v>22.12460765533431</v>
      </c>
      <c r="O469" t="n">
        <v>2.36</v>
      </c>
      <c r="P469" t="n">
        <v>283.6</v>
      </c>
      <c r="Q469" t="n">
        <v>27.45</v>
      </c>
      <c r="R469" t="n">
        <v>94.91</v>
      </c>
      <c r="S469" t="n">
        <v>5.94</v>
      </c>
      <c r="T469" t="inlineStr">
        <is>
          <t>L1467</t>
        </is>
      </c>
      <c r="U469" t="inlineStr">
        <is>
          <t>Sara</t>
        </is>
      </c>
    </row>
    <row r="470">
      <c r="A470" s="7" t="n">
        <v>45465.5</v>
      </c>
      <c r="B470" t="n">
        <v>20</v>
      </c>
      <c r="C470" t="inlineStr">
        <is>
          <t>B</t>
        </is>
      </c>
      <c r="D470" t="inlineStr">
        <is>
          <t>R3_Optimized</t>
        </is>
      </c>
      <c r="E470" t="inlineStr">
        <is>
          <t>Blend C (Optimized)</t>
        </is>
      </c>
      <c r="F470" t="n">
        <v>2163.658322915191</v>
      </c>
      <c r="G470" t="n">
        <v>9.489309671241529</v>
      </c>
      <c r="H470" t="n">
        <v>0.6416718228658631</v>
      </c>
      <c r="I470" t="n">
        <v>0.5126472066099488</v>
      </c>
      <c r="J470" t="n">
        <v>15.26117979817004</v>
      </c>
      <c r="K470" t="n">
        <v>7.79557539422633</v>
      </c>
      <c r="L470" t="n">
        <v>98.68792433058557</v>
      </c>
      <c r="M470" t="n">
        <v>1300.610332210997</v>
      </c>
      <c r="N470" t="n">
        <v>20.69718570959231</v>
      </c>
      <c r="O470" t="n">
        <v>2.72</v>
      </c>
      <c r="P470" t="n">
        <v>224.8</v>
      </c>
      <c r="Q470" t="n">
        <v>26.01</v>
      </c>
      <c r="R470" t="n">
        <v>94.95</v>
      </c>
      <c r="S470" t="n">
        <v>5.53</v>
      </c>
      <c r="T470" t="inlineStr">
        <is>
          <t>L1468</t>
        </is>
      </c>
      <c r="U470" t="inlineStr">
        <is>
          <t>Alireza</t>
        </is>
      </c>
    </row>
    <row r="471">
      <c r="A471" s="7" t="n">
        <v>45465.54166666666</v>
      </c>
      <c r="B471" t="n">
        <v>20</v>
      </c>
      <c r="C471" t="inlineStr">
        <is>
          <t>B</t>
        </is>
      </c>
      <c r="D471" t="inlineStr">
        <is>
          <t>R3_Optimized</t>
        </is>
      </c>
      <c r="E471" t="inlineStr">
        <is>
          <t>Blend C (Optimized)</t>
        </is>
      </c>
      <c r="F471" t="n">
        <v>2728.342870309377</v>
      </c>
      <c r="G471" t="n">
        <v>9.257279845001012</v>
      </c>
      <c r="H471" t="n">
        <v>0.7112137638237904</v>
      </c>
      <c r="I471" t="n">
        <v>0.5228774711973619</v>
      </c>
      <c r="J471" t="n">
        <v>14.37532773025663</v>
      </c>
      <c r="K471" t="n">
        <v>7.124766549884895</v>
      </c>
      <c r="L471" t="n">
        <v>104.4159800554644</v>
      </c>
      <c r="M471" t="n">
        <v>1277.120669877503</v>
      </c>
      <c r="N471" t="n">
        <v>22.21416060230397</v>
      </c>
      <c r="O471" t="n">
        <v>2.62</v>
      </c>
      <c r="P471" t="n">
        <v>283.2</v>
      </c>
      <c r="Q471" t="n">
        <v>27.83</v>
      </c>
      <c r="R471" t="n">
        <v>94.09</v>
      </c>
      <c r="S471" t="n">
        <v>6.27</v>
      </c>
      <c r="T471" t="inlineStr">
        <is>
          <t>L1469</t>
        </is>
      </c>
      <c r="U471" t="inlineStr">
        <is>
          <t>Alireza</t>
        </is>
      </c>
    </row>
    <row r="472">
      <c r="A472" s="7" t="n">
        <v>45465.58333333334</v>
      </c>
      <c r="B472" t="n">
        <v>20</v>
      </c>
      <c r="C472" t="inlineStr">
        <is>
          <t>B</t>
        </is>
      </c>
      <c r="D472" t="inlineStr">
        <is>
          <t>R3_Optimized</t>
        </is>
      </c>
      <c r="E472" t="inlineStr">
        <is>
          <t>Blend C (Optimized)</t>
        </is>
      </c>
      <c r="F472" t="n">
        <v>2592.832869550953</v>
      </c>
      <c r="G472" t="n">
        <v>8.401797539277602</v>
      </c>
      <c r="H472" t="n">
        <v>0.5892657500494276</v>
      </c>
      <c r="I472" t="n">
        <v>0.6068473575411314</v>
      </c>
      <c r="J472" t="n">
        <v>13.88900823620143</v>
      </c>
      <c r="K472" t="n">
        <v>6.869282990053691</v>
      </c>
      <c r="L472" t="n">
        <v>106.6605402547576</v>
      </c>
      <c r="M472" t="n">
        <v>1326.908742190923</v>
      </c>
      <c r="N472" t="n">
        <v>23.6042986969763</v>
      </c>
      <c r="O472" t="n">
        <v>2.05</v>
      </c>
      <c r="P472" t="n">
        <v>261</v>
      </c>
      <c r="Q472" t="n">
        <v>26.07</v>
      </c>
      <c r="R472" t="n">
        <v>96.45</v>
      </c>
      <c r="S472" t="n">
        <v>5.38</v>
      </c>
      <c r="T472" t="inlineStr">
        <is>
          <t>L1470</t>
        </is>
      </c>
      <c r="U472" t="inlineStr">
        <is>
          <t>Sara</t>
        </is>
      </c>
    </row>
    <row r="473">
      <c r="A473" s="7" t="n">
        <v>45465.625</v>
      </c>
      <c r="B473" t="n">
        <v>20</v>
      </c>
      <c r="C473" t="inlineStr">
        <is>
          <t>B</t>
        </is>
      </c>
      <c r="D473" t="inlineStr">
        <is>
          <t>R3_Optimized</t>
        </is>
      </c>
      <c r="E473" t="inlineStr">
        <is>
          <t>Blend C (Optimized)</t>
        </is>
      </c>
      <c r="F473" t="n">
        <v>2507.069704655561</v>
      </c>
      <c r="G473" t="n">
        <v>9.154755161711304</v>
      </c>
      <c r="H473" t="n">
        <v>0.7858366373705999</v>
      </c>
      <c r="I473" t="n">
        <v>0.5157184651125142</v>
      </c>
      <c r="J473" t="n">
        <v>13.47377496043332</v>
      </c>
      <c r="K473" t="n">
        <v>7.440683057966504</v>
      </c>
      <c r="L473" t="n">
        <v>106.8295039764111</v>
      </c>
      <c r="M473" t="n">
        <v>1298.153099818451</v>
      </c>
      <c r="N473" t="n">
        <v>20.61165156521765</v>
      </c>
      <c r="O473" t="n">
        <v>2.88</v>
      </c>
      <c r="P473" t="n">
        <v>240.9</v>
      </c>
      <c r="Q473" t="n">
        <v>26.67</v>
      </c>
      <c r="R473" t="n">
        <v>95.47</v>
      </c>
      <c r="S473" t="n">
        <v>5.29</v>
      </c>
      <c r="T473" t="inlineStr">
        <is>
          <t>L1471</t>
        </is>
      </c>
      <c r="U473" t="inlineStr">
        <is>
          <t>Reza</t>
        </is>
      </c>
    </row>
    <row r="474">
      <c r="A474" s="7" t="n">
        <v>45465.66666666666</v>
      </c>
      <c r="B474" t="n">
        <v>20</v>
      </c>
      <c r="C474" t="inlineStr">
        <is>
          <t>C</t>
        </is>
      </c>
      <c r="D474" t="inlineStr">
        <is>
          <t>R3_Optimized</t>
        </is>
      </c>
      <c r="E474" t="inlineStr">
        <is>
          <t>Blend C (Optimized)</t>
        </is>
      </c>
      <c r="F474" t="n">
        <v>2522.264193175381</v>
      </c>
      <c r="G474" t="n">
        <v>9.356259987821639</v>
      </c>
      <c r="H474" t="n">
        <v>0.7774321646490283</v>
      </c>
      <c r="I474" t="n">
        <v>0.5857050501473405</v>
      </c>
      <c r="J474" t="n">
        <v>13.51061870469744</v>
      </c>
      <c r="K474" t="n">
        <v>7.747175329184556</v>
      </c>
      <c r="L474" t="n">
        <v>102.436458793871</v>
      </c>
      <c r="M474" t="n">
        <v>1298.415793666882</v>
      </c>
      <c r="N474" t="n">
        <v>20.304139806727</v>
      </c>
      <c r="O474" t="n">
        <v>2.62</v>
      </c>
      <c r="P474" t="n">
        <v>256.3</v>
      </c>
      <c r="Q474" t="n">
        <v>27.91</v>
      </c>
      <c r="R474" t="n">
        <v>93.90000000000001</v>
      </c>
      <c r="S474" t="n">
        <v>5.76</v>
      </c>
      <c r="T474" t="inlineStr">
        <is>
          <t>L1472</t>
        </is>
      </c>
      <c r="U474" t="inlineStr">
        <is>
          <t>Alireza</t>
        </is>
      </c>
    </row>
    <row r="475">
      <c r="A475" s="7" t="n">
        <v>45465.70833333334</v>
      </c>
      <c r="B475" t="n">
        <v>20</v>
      </c>
      <c r="C475" t="inlineStr">
        <is>
          <t>C</t>
        </is>
      </c>
      <c r="D475" t="inlineStr">
        <is>
          <t>R3_Optimized</t>
        </is>
      </c>
      <c r="E475" t="inlineStr">
        <is>
          <t>Blend C (Optimized)</t>
        </is>
      </c>
      <c r="F475" t="n">
        <v>2367.403757159129</v>
      </c>
      <c r="G475" t="n">
        <v>8.942723593212673</v>
      </c>
      <c r="H475" t="n">
        <v>0.9652781094509134</v>
      </c>
      <c r="I475" t="n">
        <v>0.4395673367135634</v>
      </c>
      <c r="J475" t="n">
        <v>13.93493565643448</v>
      </c>
      <c r="K475" t="n">
        <v>7.264311233253488</v>
      </c>
      <c r="L475" t="n">
        <v>90.7688177538507</v>
      </c>
      <c r="M475" t="n">
        <v>1305.343419714954</v>
      </c>
      <c r="N475" t="n">
        <v>20.65358508678225</v>
      </c>
      <c r="O475" t="n">
        <v>2.06</v>
      </c>
      <c r="P475" t="n">
        <v>249.9</v>
      </c>
      <c r="Q475" t="n">
        <v>26.32</v>
      </c>
      <c r="S475" t="n">
        <v>5.37</v>
      </c>
      <c r="T475" t="inlineStr">
        <is>
          <t>L1473</t>
        </is>
      </c>
      <c r="U475" t="inlineStr">
        <is>
          <t>Alireza</t>
        </is>
      </c>
      <c r="V475" t="inlineStr">
        <is>
          <t>Missing</t>
        </is>
      </c>
    </row>
    <row r="476">
      <c r="A476" s="7" t="n">
        <v>45465.75</v>
      </c>
      <c r="B476" t="n">
        <v>20</v>
      </c>
      <c r="C476" t="inlineStr">
        <is>
          <t>C</t>
        </is>
      </c>
      <c r="D476" t="inlineStr">
        <is>
          <t>R3_Optimized</t>
        </is>
      </c>
      <c r="E476" t="inlineStr">
        <is>
          <t>Blend C (Optimized)</t>
        </is>
      </c>
      <c r="F476" t="n">
        <v>2443.348958984552</v>
      </c>
      <c r="G476" t="n">
        <v>9.316599691811389</v>
      </c>
      <c r="H476" t="n">
        <v>0.7360070736530429</v>
      </c>
      <c r="I476" t="n">
        <v>0.5490277928656243</v>
      </c>
      <c r="J476" t="n">
        <v>13.01138140483763</v>
      </c>
      <c r="K476" t="n">
        <v>6.855288734107408</v>
      </c>
      <c r="L476" t="n">
        <v>106.0869557231117</v>
      </c>
      <c r="M476" t="n">
        <v>1295.474648674828</v>
      </c>
      <c r="N476" t="n">
        <v>22.97879251685526</v>
      </c>
      <c r="O476" t="n">
        <v>2.3</v>
      </c>
      <c r="P476" t="n">
        <v>235.9</v>
      </c>
      <c r="Q476" t="n">
        <v>25.36</v>
      </c>
      <c r="R476" t="n">
        <v>96.45999999999999</v>
      </c>
      <c r="S476" t="n">
        <v>5.27</v>
      </c>
      <c r="T476" t="inlineStr">
        <is>
          <t>L1474</t>
        </is>
      </c>
      <c r="U476" t="inlineStr">
        <is>
          <t>Alireza</t>
        </is>
      </c>
    </row>
    <row r="477">
      <c r="A477" s="7" t="n">
        <v>45465.79166666666</v>
      </c>
      <c r="B477" t="n">
        <v>20</v>
      </c>
      <c r="C477" t="inlineStr">
        <is>
          <t>C</t>
        </is>
      </c>
      <c r="D477" t="inlineStr">
        <is>
          <t>R3_Optimized</t>
        </is>
      </c>
      <c r="E477" t="inlineStr">
        <is>
          <t>Blend C (Optimized)</t>
        </is>
      </c>
      <c r="F477" t="n">
        <v>2642.600751490345</v>
      </c>
      <c r="G477" t="n">
        <v>8.774689633229652</v>
      </c>
      <c r="H477" t="n">
        <v>0.7798009397761662</v>
      </c>
      <c r="I477" t="n">
        <v>0.5070361948684957</v>
      </c>
      <c r="J477" t="n">
        <v>13.46439589817086</v>
      </c>
      <c r="K477" t="n">
        <v>7.328686886868874</v>
      </c>
      <c r="L477" t="n">
        <v>100.3445206532679</v>
      </c>
      <c r="M477" t="n">
        <v>1286.902766464839</v>
      </c>
      <c r="N477" t="n">
        <v>20.3391640471273</v>
      </c>
      <c r="O477" t="n">
        <v>2.7</v>
      </c>
      <c r="P477" t="n">
        <v>253.6</v>
      </c>
      <c r="Q477" t="n">
        <v>27.02</v>
      </c>
      <c r="R477" t="n">
        <v>95.72</v>
      </c>
      <c r="S477" t="n">
        <v>5.93</v>
      </c>
      <c r="T477" t="inlineStr">
        <is>
          <t>L1475</t>
        </is>
      </c>
      <c r="U477" t="inlineStr">
        <is>
          <t>Alireza</t>
        </is>
      </c>
    </row>
    <row r="478">
      <c r="A478" s="7" t="n">
        <v>45465.83333333334</v>
      </c>
      <c r="B478" t="n">
        <v>20</v>
      </c>
      <c r="C478" t="inlineStr">
        <is>
          <t>C</t>
        </is>
      </c>
      <c r="D478" t="inlineStr">
        <is>
          <t>R3_Optimized</t>
        </is>
      </c>
      <c r="E478" t="inlineStr">
        <is>
          <t>Blend C (Optimized)</t>
        </is>
      </c>
      <c r="F478" t="n">
        <v>2461.684082412011</v>
      </c>
      <c r="G478" t="n">
        <v>9.517220543161535</v>
      </c>
      <c r="H478" t="n">
        <v>0.8403179734164375</v>
      </c>
      <c r="I478" t="n">
        <v>0.5393927331380437</v>
      </c>
      <c r="J478" t="n">
        <v>14.13937068139708</v>
      </c>
      <c r="K478" t="n">
        <v>7.076664723015792</v>
      </c>
      <c r="L478" t="n">
        <v>90.62200381228143</v>
      </c>
      <c r="M478" t="n">
        <v>1305.55779578052</v>
      </c>
      <c r="N478" t="n">
        <v>20.03841991863624</v>
      </c>
      <c r="O478" t="n">
        <v>2.15</v>
      </c>
      <c r="P478" t="n">
        <v>201.1</v>
      </c>
      <c r="Q478" t="n">
        <v>26.14</v>
      </c>
      <c r="R478" t="n">
        <v>95.36</v>
      </c>
      <c r="S478" t="n">
        <v>5.09</v>
      </c>
      <c r="T478" t="inlineStr">
        <is>
          <t>L1476</t>
        </is>
      </c>
      <c r="U478" t="inlineStr">
        <is>
          <t>Reza</t>
        </is>
      </c>
    </row>
    <row r="479">
      <c r="A479" s="7" t="n">
        <v>45465.875</v>
      </c>
      <c r="B479" t="n">
        <v>20</v>
      </c>
      <c r="C479" t="inlineStr">
        <is>
          <t>C</t>
        </is>
      </c>
      <c r="D479" t="inlineStr">
        <is>
          <t>R3_Optimized</t>
        </is>
      </c>
      <c r="E479" t="inlineStr">
        <is>
          <t>Blend C (Optimized)</t>
        </is>
      </c>
      <c r="F479" t="n">
        <v>2575.600389165346</v>
      </c>
      <c r="G479" t="n">
        <v>9.515745853894609</v>
      </c>
      <c r="H479" t="n">
        <v>0.8117966680325071</v>
      </c>
      <c r="I479" t="n">
        <v>0.570233806722386</v>
      </c>
      <c r="J479" t="n">
        <v>14.5300325538368</v>
      </c>
      <c r="K479" t="n">
        <v>6.80555309510574</v>
      </c>
      <c r="L479" t="n">
        <v>104.3351921347161</v>
      </c>
      <c r="M479" t="n">
        <v>1295.323921798618</v>
      </c>
      <c r="N479" t="n">
        <v>23.53424174878301</v>
      </c>
      <c r="O479" t="n">
        <v>2.58</v>
      </c>
      <c r="P479" t="n">
        <v>341.5</v>
      </c>
      <c r="Q479" t="n">
        <v>25.87</v>
      </c>
      <c r="R479" t="n">
        <v>95.27</v>
      </c>
      <c r="S479" t="n">
        <v>5.14</v>
      </c>
      <c r="T479" t="inlineStr">
        <is>
          <t>L1477</t>
        </is>
      </c>
      <c r="U479" t="inlineStr">
        <is>
          <t>Sara</t>
        </is>
      </c>
    </row>
    <row r="480">
      <c r="A480" s="7" t="n">
        <v>45465.91666666666</v>
      </c>
      <c r="B480" t="n">
        <v>20</v>
      </c>
      <c r="C480" t="inlineStr">
        <is>
          <t>C</t>
        </is>
      </c>
      <c r="D480" t="inlineStr">
        <is>
          <t>R3_Optimized</t>
        </is>
      </c>
      <c r="E480" t="inlineStr">
        <is>
          <t>Blend C (Optimized)</t>
        </is>
      </c>
      <c r="F480" t="n">
        <v>2509.259670498483</v>
      </c>
      <c r="G480" t="n">
        <v>9.439087270274987</v>
      </c>
      <c r="H480" t="n">
        <v>0.7444718120039396</v>
      </c>
      <c r="I480" t="n">
        <v>0.4511333000868961</v>
      </c>
      <c r="J480" t="n">
        <v>13.29113713081997</v>
      </c>
      <c r="K480" t="n">
        <v>7.790842879150638</v>
      </c>
      <c r="L480" t="n">
        <v>95.06520048864699</v>
      </c>
      <c r="M480" t="n">
        <v>1286.300020973707</v>
      </c>
      <c r="N480" t="n">
        <v>21.64087135373159</v>
      </c>
      <c r="O480" t="n">
        <v>2.47</v>
      </c>
      <c r="P480" t="n">
        <v>201</v>
      </c>
      <c r="Q480" t="n">
        <v>29.51</v>
      </c>
      <c r="R480" t="n">
        <v>93.27</v>
      </c>
      <c r="S480" t="n">
        <v>6.35</v>
      </c>
      <c r="T480" t="inlineStr">
        <is>
          <t>L1478</t>
        </is>
      </c>
      <c r="U480" t="inlineStr">
        <is>
          <t>Reza</t>
        </is>
      </c>
    </row>
    <row r="481">
      <c r="A481" s="7" t="n">
        <v>45465.95833333334</v>
      </c>
      <c r="B481" t="n">
        <v>20</v>
      </c>
      <c r="C481" t="inlineStr">
        <is>
          <t>C</t>
        </is>
      </c>
      <c r="D481" t="inlineStr">
        <is>
          <t>R3_Optimized</t>
        </is>
      </c>
      <c r="E481" t="inlineStr">
        <is>
          <t>Blend C (Optimized)</t>
        </is>
      </c>
      <c r="G481" t="n">
        <v>9.127289705430087</v>
      </c>
      <c r="H481" t="n">
        <v>0.8510015056584254</v>
      </c>
      <c r="I481" t="n">
        <v>0.4732015979351935</v>
      </c>
      <c r="J481" t="n">
        <v>14.71323833801445</v>
      </c>
      <c r="K481" t="n">
        <v>6.843257728374483</v>
      </c>
      <c r="L481" t="n">
        <v>91.42326456371958</v>
      </c>
      <c r="M481" t="n">
        <v>1287.760029975778</v>
      </c>
      <c r="N481" t="n">
        <v>20.53672799064759</v>
      </c>
      <c r="O481" t="n">
        <v>2.58</v>
      </c>
      <c r="P481" t="n">
        <v>249.1</v>
      </c>
      <c r="Q481" t="n">
        <v>25.99</v>
      </c>
      <c r="R481" t="n">
        <v>95.38</v>
      </c>
      <c r="S481" t="n">
        <v>5.19</v>
      </c>
      <c r="T481" t="inlineStr">
        <is>
          <t>L1479</t>
        </is>
      </c>
      <c r="U481" t="inlineStr">
        <is>
          <t>Sara</t>
        </is>
      </c>
      <c r="V481" t="inlineStr">
        <is>
          <t>Missing</t>
        </is>
      </c>
    </row>
  </sheetData>
  <autoFilter ref="A1:V4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13" customWidth="1" min="5" max="5"/>
    <col width="12" customWidth="1" min="6" max="6"/>
    <col width="12" customWidth="1" min="7" max="7"/>
    <col width="14" customWidth="1" min="8" max="8"/>
  </cols>
  <sheetData>
    <row r="1" ht="28" customHeight="1">
      <c r="A1" t="inlineStr">
        <is>
          <t>Day</t>
        </is>
      </c>
      <c r="B1" t="inlineStr">
        <is>
          <t>DateTime</t>
        </is>
      </c>
      <c r="C1" t="inlineStr">
        <is>
          <t>Shift</t>
        </is>
      </c>
      <c r="D1" t="inlineStr">
        <is>
          <t>Regime</t>
        </is>
      </c>
      <c r="E1" t="inlineStr">
        <is>
          <t>subgroup_id</t>
        </is>
      </c>
      <c r="F1" t="inlineStr">
        <is>
          <t>pellet_id</t>
        </is>
      </c>
      <c r="G1" t="inlineStr">
        <is>
          <t>CCS_kg</t>
        </is>
      </c>
      <c r="H1" t="inlineStr">
        <is>
          <t>Porosity_pct</t>
        </is>
      </c>
    </row>
    <row r="2">
      <c r="A2" t="n">
        <v>1</v>
      </c>
      <c r="B2" s="7" t="n">
        <v>45446</v>
      </c>
      <c r="C2" t="inlineStr">
        <is>
          <t>A</t>
        </is>
      </c>
      <c r="D2" t="inlineStr">
        <is>
          <t>R1_Basematite</t>
        </is>
      </c>
      <c r="E2" t="inlineStr">
        <is>
          <t>D01_SG01</t>
        </is>
      </c>
      <c r="F2" t="inlineStr">
        <is>
          <t>P0001_1</t>
        </is>
      </c>
      <c r="G2" t="n">
        <v>202.2</v>
      </c>
      <c r="H2" t="n">
        <v>27.26</v>
      </c>
    </row>
    <row r="3">
      <c r="A3" t="n">
        <v>1</v>
      </c>
      <c r="B3" s="7" t="n">
        <v>45446</v>
      </c>
      <c r="C3" t="inlineStr">
        <is>
          <t>A</t>
        </is>
      </c>
      <c r="D3" t="inlineStr">
        <is>
          <t>R1_Basematite</t>
        </is>
      </c>
      <c r="E3" t="inlineStr">
        <is>
          <t>D01_SG01</t>
        </is>
      </c>
      <c r="F3" t="inlineStr">
        <is>
          <t>P0001_2</t>
        </is>
      </c>
      <c r="G3" t="n">
        <v>217.3</v>
      </c>
      <c r="H3" t="n">
        <v>26.51</v>
      </c>
    </row>
    <row r="4">
      <c r="A4" t="n">
        <v>1</v>
      </c>
      <c r="B4" s="7" t="n">
        <v>45446</v>
      </c>
      <c r="C4" t="inlineStr">
        <is>
          <t>A</t>
        </is>
      </c>
      <c r="D4" t="inlineStr">
        <is>
          <t>R1_Basematite</t>
        </is>
      </c>
      <c r="E4" t="inlineStr">
        <is>
          <t>D01_SG01</t>
        </is>
      </c>
      <c r="F4" t="inlineStr">
        <is>
          <t>P0001_3</t>
        </is>
      </c>
      <c r="G4" t="n">
        <v>211.7</v>
      </c>
      <c r="H4" t="n">
        <v>26.99</v>
      </c>
    </row>
    <row r="5">
      <c r="A5" t="n">
        <v>1</v>
      </c>
      <c r="B5" s="7" t="n">
        <v>45446</v>
      </c>
      <c r="C5" t="inlineStr">
        <is>
          <t>A</t>
        </is>
      </c>
      <c r="D5" t="inlineStr">
        <is>
          <t>R1_Basematite</t>
        </is>
      </c>
      <c r="E5" t="inlineStr">
        <is>
          <t>D01_SG01</t>
        </is>
      </c>
      <c r="F5" t="inlineStr">
        <is>
          <t>P0001_4</t>
        </is>
      </c>
      <c r="G5" t="n">
        <v>188.7</v>
      </c>
      <c r="H5" t="n">
        <v>27.04</v>
      </c>
    </row>
    <row r="6">
      <c r="A6" t="n">
        <v>1</v>
      </c>
      <c r="B6" s="7" t="n">
        <v>45446</v>
      </c>
      <c r="C6" t="inlineStr">
        <is>
          <t>A</t>
        </is>
      </c>
      <c r="D6" t="inlineStr">
        <is>
          <t>R1_Basematite</t>
        </is>
      </c>
      <c r="E6" t="inlineStr">
        <is>
          <t>D01_SG01</t>
        </is>
      </c>
      <c r="F6" t="inlineStr">
        <is>
          <t>P0001_5</t>
        </is>
      </c>
      <c r="G6" t="n">
        <v>214.4</v>
      </c>
      <c r="H6" t="n">
        <v>26.97</v>
      </c>
    </row>
    <row r="7">
      <c r="A7" t="n">
        <v>1</v>
      </c>
      <c r="B7" s="7" t="n">
        <v>45446.125</v>
      </c>
      <c r="C7" t="inlineStr">
        <is>
          <t>A</t>
        </is>
      </c>
      <c r="D7" t="inlineStr">
        <is>
          <t>R1_Basematite</t>
        </is>
      </c>
      <c r="E7" t="inlineStr">
        <is>
          <t>D01_SG02</t>
        </is>
      </c>
      <c r="F7" t="inlineStr">
        <is>
          <t>P0004_1</t>
        </is>
      </c>
      <c r="G7" t="n">
        <v>213.7</v>
      </c>
      <c r="H7" t="n">
        <v>26.13</v>
      </c>
    </row>
    <row r="8">
      <c r="A8" t="n">
        <v>1</v>
      </c>
      <c r="B8" s="7" t="n">
        <v>45446.125</v>
      </c>
      <c r="C8" t="inlineStr">
        <is>
          <t>A</t>
        </is>
      </c>
      <c r="D8" t="inlineStr">
        <is>
          <t>R1_Basematite</t>
        </is>
      </c>
      <c r="E8" t="inlineStr">
        <is>
          <t>D01_SG02</t>
        </is>
      </c>
      <c r="F8" t="inlineStr">
        <is>
          <t>P0004_2</t>
        </is>
      </c>
      <c r="G8" t="n">
        <v>210.2</v>
      </c>
      <c r="H8" t="n">
        <v>27.59</v>
      </c>
    </row>
    <row r="9">
      <c r="A9" t="n">
        <v>1</v>
      </c>
      <c r="B9" s="7" t="n">
        <v>45446.125</v>
      </c>
      <c r="C9" t="inlineStr">
        <is>
          <t>A</t>
        </is>
      </c>
      <c r="D9" t="inlineStr">
        <is>
          <t>R1_Basematite</t>
        </is>
      </c>
      <c r="E9" t="inlineStr">
        <is>
          <t>D01_SG02</t>
        </is>
      </c>
      <c r="F9" t="inlineStr">
        <is>
          <t>P0004_3</t>
        </is>
      </c>
      <c r="G9" t="n">
        <v>220.1</v>
      </c>
      <c r="H9" t="n">
        <v>26.13</v>
      </c>
    </row>
    <row r="10">
      <c r="A10" t="n">
        <v>1</v>
      </c>
      <c r="B10" s="7" t="n">
        <v>45446.125</v>
      </c>
      <c r="C10" t="inlineStr">
        <is>
          <t>A</t>
        </is>
      </c>
      <c r="D10" t="inlineStr">
        <is>
          <t>R1_Basematite</t>
        </is>
      </c>
      <c r="E10" t="inlineStr">
        <is>
          <t>D01_SG02</t>
        </is>
      </c>
      <c r="F10" t="inlineStr">
        <is>
          <t>P0004_4</t>
        </is>
      </c>
      <c r="G10" t="n">
        <v>218</v>
      </c>
      <c r="H10" t="n">
        <v>27.09</v>
      </c>
    </row>
    <row r="11">
      <c r="A11" t="n">
        <v>1</v>
      </c>
      <c r="B11" s="7" t="n">
        <v>45446.125</v>
      </c>
      <c r="C11" t="inlineStr">
        <is>
          <t>A</t>
        </is>
      </c>
      <c r="D11" t="inlineStr">
        <is>
          <t>R1_Basematite</t>
        </is>
      </c>
      <c r="E11" t="inlineStr">
        <is>
          <t>D01_SG02</t>
        </is>
      </c>
      <c r="F11" t="inlineStr">
        <is>
          <t>P0004_5</t>
        </is>
      </c>
      <c r="G11" t="n">
        <v>206.7</v>
      </c>
      <c r="H11" t="n">
        <v>27.11</v>
      </c>
    </row>
    <row r="12">
      <c r="A12" t="n">
        <v>1</v>
      </c>
      <c r="B12" s="7" t="n">
        <v>45446.25</v>
      </c>
      <c r="C12" t="inlineStr">
        <is>
          <t>A</t>
        </is>
      </c>
      <c r="D12" t="inlineStr">
        <is>
          <t>R1_Basematite</t>
        </is>
      </c>
      <c r="E12" t="inlineStr">
        <is>
          <t>D01_SG03</t>
        </is>
      </c>
      <c r="F12" t="inlineStr">
        <is>
          <t>P0007_1</t>
        </is>
      </c>
      <c r="G12" t="n">
        <v>247</v>
      </c>
      <c r="H12" t="n">
        <v>25.43</v>
      </c>
    </row>
    <row r="13">
      <c r="A13" t="n">
        <v>1</v>
      </c>
      <c r="B13" s="7" t="n">
        <v>45446.25</v>
      </c>
      <c r="C13" t="inlineStr">
        <is>
          <t>A</t>
        </is>
      </c>
      <c r="D13" t="inlineStr">
        <is>
          <t>R1_Basematite</t>
        </is>
      </c>
      <c r="E13" t="inlineStr">
        <is>
          <t>D01_SG03</t>
        </is>
      </c>
      <c r="F13" t="inlineStr">
        <is>
          <t>P0007_2</t>
        </is>
      </c>
      <c r="G13" t="n">
        <v>259.1</v>
      </c>
      <c r="H13" t="n">
        <v>26.38</v>
      </c>
    </row>
    <row r="14">
      <c r="A14" t="n">
        <v>1</v>
      </c>
      <c r="B14" s="7" t="n">
        <v>45446.25</v>
      </c>
      <c r="C14" t="inlineStr">
        <is>
          <t>A</t>
        </is>
      </c>
      <c r="D14" t="inlineStr">
        <is>
          <t>R1_Basematite</t>
        </is>
      </c>
      <c r="E14" t="inlineStr">
        <is>
          <t>D01_SG03</t>
        </is>
      </c>
      <c r="F14" t="inlineStr">
        <is>
          <t>P0007_3</t>
        </is>
      </c>
      <c r="G14" t="n">
        <v>250</v>
      </c>
      <c r="H14" t="n">
        <v>26.85</v>
      </c>
    </row>
    <row r="15">
      <c r="A15" t="n">
        <v>1</v>
      </c>
      <c r="B15" s="7" t="n">
        <v>45446.25</v>
      </c>
      <c r="C15" t="inlineStr">
        <is>
          <t>A</t>
        </is>
      </c>
      <c r="D15" t="inlineStr">
        <is>
          <t>R1_Basematite</t>
        </is>
      </c>
      <c r="E15" t="inlineStr">
        <is>
          <t>D01_SG03</t>
        </is>
      </c>
      <c r="F15" t="inlineStr">
        <is>
          <t>P0007_4</t>
        </is>
      </c>
      <c r="G15" t="n">
        <v>269.2</v>
      </c>
      <c r="H15" t="n">
        <v>25.83</v>
      </c>
    </row>
    <row r="16">
      <c r="A16" t="n">
        <v>1</v>
      </c>
      <c r="B16" s="7" t="n">
        <v>45446.25</v>
      </c>
      <c r="C16" t="inlineStr">
        <is>
          <t>A</t>
        </is>
      </c>
      <c r="D16" t="inlineStr">
        <is>
          <t>R1_Basematite</t>
        </is>
      </c>
      <c r="E16" t="inlineStr">
        <is>
          <t>D01_SG03</t>
        </is>
      </c>
      <c r="F16" t="inlineStr">
        <is>
          <t>P0007_5</t>
        </is>
      </c>
      <c r="G16" t="n">
        <v>253.7</v>
      </c>
      <c r="H16" t="n">
        <v>26.58</v>
      </c>
    </row>
    <row r="17">
      <c r="A17" t="n">
        <v>1</v>
      </c>
      <c r="B17" s="7" t="n">
        <v>45446.375</v>
      </c>
      <c r="C17" t="inlineStr">
        <is>
          <t>B</t>
        </is>
      </c>
      <c r="D17" t="inlineStr">
        <is>
          <t>R1_Basematite</t>
        </is>
      </c>
      <c r="E17" t="inlineStr">
        <is>
          <t>D01_SG04</t>
        </is>
      </c>
      <c r="F17" t="inlineStr">
        <is>
          <t>P0010_1</t>
        </is>
      </c>
      <c r="G17" t="n">
        <v>241.4</v>
      </c>
      <c r="H17" t="n">
        <v>27.49</v>
      </c>
    </row>
    <row r="18">
      <c r="A18" t="n">
        <v>1</v>
      </c>
      <c r="B18" s="7" t="n">
        <v>45446.375</v>
      </c>
      <c r="C18" t="inlineStr">
        <is>
          <t>B</t>
        </is>
      </c>
      <c r="D18" t="inlineStr">
        <is>
          <t>R1_Basematite</t>
        </is>
      </c>
      <c r="E18" t="inlineStr">
        <is>
          <t>D01_SG04</t>
        </is>
      </c>
      <c r="F18" t="inlineStr">
        <is>
          <t>P0010_2</t>
        </is>
      </c>
      <c r="G18" t="n">
        <v>233.2</v>
      </c>
      <c r="H18" t="n">
        <v>28</v>
      </c>
    </row>
    <row r="19">
      <c r="A19" t="n">
        <v>1</v>
      </c>
      <c r="B19" s="7" t="n">
        <v>45446.375</v>
      </c>
      <c r="C19" t="inlineStr">
        <is>
          <t>B</t>
        </is>
      </c>
      <c r="D19" t="inlineStr">
        <is>
          <t>R1_Basematite</t>
        </is>
      </c>
      <c r="E19" t="inlineStr">
        <is>
          <t>D01_SG04</t>
        </is>
      </c>
      <c r="F19" t="inlineStr">
        <is>
          <t>P0010_3</t>
        </is>
      </c>
      <c r="G19" t="n">
        <v>236.9</v>
      </c>
      <c r="H19" t="n">
        <v>27.17</v>
      </c>
    </row>
    <row r="20">
      <c r="A20" t="n">
        <v>1</v>
      </c>
      <c r="B20" s="7" t="n">
        <v>45446.375</v>
      </c>
      <c r="C20" t="inlineStr">
        <is>
          <t>B</t>
        </is>
      </c>
      <c r="D20" t="inlineStr">
        <is>
          <t>R1_Basematite</t>
        </is>
      </c>
      <c r="E20" t="inlineStr">
        <is>
          <t>D01_SG04</t>
        </is>
      </c>
      <c r="F20" t="inlineStr">
        <is>
          <t>P0010_4</t>
        </is>
      </c>
      <c r="G20" t="n">
        <v>225.3</v>
      </c>
      <c r="H20" t="n">
        <v>26.75</v>
      </c>
    </row>
    <row r="21">
      <c r="A21" t="n">
        <v>1</v>
      </c>
      <c r="B21" s="7" t="n">
        <v>45446.375</v>
      </c>
      <c r="C21" t="inlineStr">
        <is>
          <t>B</t>
        </is>
      </c>
      <c r="D21" t="inlineStr">
        <is>
          <t>R1_Basematite</t>
        </is>
      </c>
      <c r="E21" t="inlineStr">
        <is>
          <t>D01_SG04</t>
        </is>
      </c>
      <c r="F21" t="inlineStr">
        <is>
          <t>P0010_5</t>
        </is>
      </c>
      <c r="G21" t="n">
        <v>224.4</v>
      </c>
      <c r="H21" t="n">
        <v>27.88</v>
      </c>
    </row>
    <row r="22">
      <c r="A22" t="n">
        <v>1</v>
      </c>
      <c r="B22" s="7" t="n">
        <v>45446.54166666666</v>
      </c>
      <c r="C22" t="inlineStr">
        <is>
          <t>B</t>
        </is>
      </c>
      <c r="D22" t="inlineStr">
        <is>
          <t>R1_Basematite</t>
        </is>
      </c>
      <c r="E22" t="inlineStr">
        <is>
          <t>D01_SG05</t>
        </is>
      </c>
      <c r="F22" t="inlineStr">
        <is>
          <t>P0014_1</t>
        </is>
      </c>
      <c r="G22" t="n">
        <v>300.1</v>
      </c>
      <c r="H22" t="n">
        <v>28.06</v>
      </c>
    </row>
    <row r="23">
      <c r="A23" t="n">
        <v>1</v>
      </c>
      <c r="B23" s="7" t="n">
        <v>45446.54166666666</v>
      </c>
      <c r="C23" t="inlineStr">
        <is>
          <t>B</t>
        </is>
      </c>
      <c r="D23" t="inlineStr">
        <is>
          <t>R1_Basematite</t>
        </is>
      </c>
      <c r="E23" t="inlineStr">
        <is>
          <t>D01_SG05</t>
        </is>
      </c>
      <c r="F23" t="inlineStr">
        <is>
          <t>P0014_2</t>
        </is>
      </c>
      <c r="G23" t="n">
        <v>277.7</v>
      </c>
      <c r="H23" t="n">
        <v>26.51</v>
      </c>
    </row>
    <row r="24">
      <c r="A24" t="n">
        <v>1</v>
      </c>
      <c r="B24" s="7" t="n">
        <v>45446.54166666666</v>
      </c>
      <c r="C24" t="inlineStr">
        <is>
          <t>B</t>
        </is>
      </c>
      <c r="D24" t="inlineStr">
        <is>
          <t>R1_Basematite</t>
        </is>
      </c>
      <c r="E24" t="inlineStr">
        <is>
          <t>D01_SG05</t>
        </is>
      </c>
      <c r="F24" t="inlineStr">
        <is>
          <t>P0014_3</t>
        </is>
      </c>
      <c r="G24" t="n">
        <v>293.5</v>
      </c>
      <c r="H24" t="n">
        <v>28.48</v>
      </c>
    </row>
    <row r="25">
      <c r="A25" t="n">
        <v>1</v>
      </c>
      <c r="B25" s="7" t="n">
        <v>45446.54166666666</v>
      </c>
      <c r="C25" t="inlineStr">
        <is>
          <t>B</t>
        </is>
      </c>
      <c r="D25" t="inlineStr">
        <is>
          <t>R1_Basematite</t>
        </is>
      </c>
      <c r="E25" t="inlineStr">
        <is>
          <t>D01_SG05</t>
        </is>
      </c>
      <c r="F25" t="inlineStr">
        <is>
          <t>P0014_4</t>
        </is>
      </c>
      <c r="G25" t="n">
        <v>283.4</v>
      </c>
      <c r="H25" t="n">
        <v>27.48</v>
      </c>
    </row>
    <row r="26">
      <c r="A26" t="n">
        <v>1</v>
      </c>
      <c r="B26" s="7" t="n">
        <v>45446.54166666666</v>
      </c>
      <c r="C26" t="inlineStr">
        <is>
          <t>B</t>
        </is>
      </c>
      <c r="D26" t="inlineStr">
        <is>
          <t>R1_Basematite</t>
        </is>
      </c>
      <c r="E26" t="inlineStr">
        <is>
          <t>D01_SG05</t>
        </is>
      </c>
      <c r="F26" t="inlineStr">
        <is>
          <t>P0014_5</t>
        </is>
      </c>
      <c r="G26" t="n">
        <v>296.9</v>
      </c>
      <c r="H26" t="n">
        <v>27.25</v>
      </c>
    </row>
    <row r="27">
      <c r="A27" t="n">
        <v>1</v>
      </c>
      <c r="B27" s="7" t="n">
        <v>45446.66666666666</v>
      </c>
      <c r="C27" t="inlineStr">
        <is>
          <t>C</t>
        </is>
      </c>
      <c r="D27" t="inlineStr">
        <is>
          <t>R1_Basematite</t>
        </is>
      </c>
      <c r="E27" t="inlineStr">
        <is>
          <t>D01_SG06</t>
        </is>
      </c>
      <c r="F27" t="inlineStr">
        <is>
          <t>P0017_1</t>
        </is>
      </c>
      <c r="G27" t="n">
        <v>267.1</v>
      </c>
      <c r="H27" t="n">
        <v>27.54</v>
      </c>
    </row>
    <row r="28">
      <c r="A28" t="n">
        <v>1</v>
      </c>
      <c r="B28" s="7" t="n">
        <v>45446.66666666666</v>
      </c>
      <c r="C28" t="inlineStr">
        <is>
          <t>C</t>
        </is>
      </c>
      <c r="D28" t="inlineStr">
        <is>
          <t>R1_Basematite</t>
        </is>
      </c>
      <c r="E28" t="inlineStr">
        <is>
          <t>D01_SG06</t>
        </is>
      </c>
      <c r="F28" t="inlineStr">
        <is>
          <t>P0017_2</t>
        </is>
      </c>
      <c r="G28" t="n">
        <v>296.3</v>
      </c>
      <c r="H28" t="n">
        <v>26.05</v>
      </c>
    </row>
    <row r="29">
      <c r="A29" t="n">
        <v>1</v>
      </c>
      <c r="B29" s="7" t="n">
        <v>45446.66666666666</v>
      </c>
      <c r="C29" t="inlineStr">
        <is>
          <t>C</t>
        </is>
      </c>
      <c r="D29" t="inlineStr">
        <is>
          <t>R1_Basematite</t>
        </is>
      </c>
      <c r="E29" t="inlineStr">
        <is>
          <t>D01_SG06</t>
        </is>
      </c>
      <c r="F29" t="inlineStr">
        <is>
          <t>P0017_3</t>
        </is>
      </c>
      <c r="G29" t="n">
        <v>291.6</v>
      </c>
      <c r="H29" t="n">
        <v>26.38</v>
      </c>
    </row>
    <row r="30">
      <c r="A30" t="n">
        <v>1</v>
      </c>
      <c r="B30" s="7" t="n">
        <v>45446.66666666666</v>
      </c>
      <c r="C30" t="inlineStr">
        <is>
          <t>C</t>
        </is>
      </c>
      <c r="D30" t="inlineStr">
        <is>
          <t>R1_Basematite</t>
        </is>
      </c>
      <c r="E30" t="inlineStr">
        <is>
          <t>D01_SG06</t>
        </is>
      </c>
      <c r="F30" t="inlineStr">
        <is>
          <t>P0017_4</t>
        </is>
      </c>
      <c r="G30" t="n">
        <v>282.9</v>
      </c>
      <c r="H30" t="n">
        <v>26.7</v>
      </c>
    </row>
    <row r="31">
      <c r="A31" t="n">
        <v>1</v>
      </c>
      <c r="B31" s="7" t="n">
        <v>45446.66666666666</v>
      </c>
      <c r="C31" t="inlineStr">
        <is>
          <t>C</t>
        </is>
      </c>
      <c r="D31" t="inlineStr">
        <is>
          <t>R1_Basematite</t>
        </is>
      </c>
      <c r="E31" t="inlineStr">
        <is>
          <t>D01_SG06</t>
        </is>
      </c>
      <c r="F31" t="inlineStr">
        <is>
          <t>P0017_5</t>
        </is>
      </c>
      <c r="G31" t="n">
        <v>307.1</v>
      </c>
      <c r="H31" t="n">
        <v>27.39</v>
      </c>
    </row>
    <row r="32">
      <c r="A32" t="n">
        <v>1</v>
      </c>
      <c r="B32" s="7" t="n">
        <v>45446.79166666666</v>
      </c>
      <c r="C32" t="inlineStr">
        <is>
          <t>C</t>
        </is>
      </c>
      <c r="D32" t="inlineStr">
        <is>
          <t>R1_Basematite</t>
        </is>
      </c>
      <c r="E32" t="inlineStr">
        <is>
          <t>D01_SG07</t>
        </is>
      </c>
      <c r="F32" t="inlineStr">
        <is>
          <t>P0020_1</t>
        </is>
      </c>
      <c r="G32" t="n">
        <v>291.8</v>
      </c>
      <c r="H32" t="n">
        <v>24.57</v>
      </c>
    </row>
    <row r="33">
      <c r="A33" t="n">
        <v>1</v>
      </c>
      <c r="B33" s="7" t="n">
        <v>45446.79166666666</v>
      </c>
      <c r="C33" t="inlineStr">
        <is>
          <t>C</t>
        </is>
      </c>
      <c r="D33" t="inlineStr">
        <is>
          <t>R1_Basematite</t>
        </is>
      </c>
      <c r="E33" t="inlineStr">
        <is>
          <t>D01_SG07</t>
        </is>
      </c>
      <c r="F33" t="inlineStr">
        <is>
          <t>P0020_2</t>
        </is>
      </c>
      <c r="G33" t="n">
        <v>295.5</v>
      </c>
      <c r="H33" t="n">
        <v>25.37</v>
      </c>
    </row>
    <row r="34">
      <c r="A34" t="n">
        <v>1</v>
      </c>
      <c r="B34" s="7" t="n">
        <v>45446.79166666666</v>
      </c>
      <c r="C34" t="inlineStr">
        <is>
          <t>C</t>
        </is>
      </c>
      <c r="D34" t="inlineStr">
        <is>
          <t>R1_Basematite</t>
        </is>
      </c>
      <c r="E34" t="inlineStr">
        <is>
          <t>D01_SG07</t>
        </is>
      </c>
      <c r="F34" t="inlineStr">
        <is>
          <t>P0020_3</t>
        </is>
      </c>
      <c r="G34" t="n">
        <v>268.9</v>
      </c>
      <c r="H34" t="n">
        <v>24.76</v>
      </c>
    </row>
    <row r="35">
      <c r="A35" t="n">
        <v>1</v>
      </c>
      <c r="B35" s="7" t="n">
        <v>45446.79166666666</v>
      </c>
      <c r="C35" t="inlineStr">
        <is>
          <t>C</t>
        </is>
      </c>
      <c r="D35" t="inlineStr">
        <is>
          <t>R1_Basematite</t>
        </is>
      </c>
      <c r="E35" t="inlineStr">
        <is>
          <t>D01_SG07</t>
        </is>
      </c>
      <c r="F35" t="inlineStr">
        <is>
          <t>P0020_4</t>
        </is>
      </c>
      <c r="G35" t="n">
        <v>277.5</v>
      </c>
      <c r="H35" t="n">
        <v>24.72</v>
      </c>
    </row>
    <row r="36">
      <c r="A36" t="n">
        <v>1</v>
      </c>
      <c r="B36" s="7" t="n">
        <v>45446.79166666666</v>
      </c>
      <c r="C36" t="inlineStr">
        <is>
          <t>C</t>
        </is>
      </c>
      <c r="D36" t="inlineStr">
        <is>
          <t>R1_Basematite</t>
        </is>
      </c>
      <c r="E36" t="inlineStr">
        <is>
          <t>D01_SG07</t>
        </is>
      </c>
      <c r="F36" t="inlineStr">
        <is>
          <t>P0020_5</t>
        </is>
      </c>
      <c r="G36" t="n">
        <v>284.8</v>
      </c>
      <c r="H36" t="n">
        <v>24.99</v>
      </c>
    </row>
    <row r="37">
      <c r="A37" t="n">
        <v>1</v>
      </c>
      <c r="B37" s="7" t="n">
        <v>45446.95833333334</v>
      </c>
      <c r="C37" t="inlineStr">
        <is>
          <t>C</t>
        </is>
      </c>
      <c r="D37" t="inlineStr">
        <is>
          <t>R1_Basematite</t>
        </is>
      </c>
      <c r="E37" t="inlineStr">
        <is>
          <t>D01_SG08</t>
        </is>
      </c>
      <c r="F37" t="inlineStr">
        <is>
          <t>P0024_1</t>
        </is>
      </c>
      <c r="G37" t="n">
        <v>296.3</v>
      </c>
      <c r="H37" t="n">
        <v>27.8</v>
      </c>
    </row>
    <row r="38">
      <c r="A38" t="n">
        <v>1</v>
      </c>
      <c r="B38" s="7" t="n">
        <v>45446.95833333334</v>
      </c>
      <c r="C38" t="inlineStr">
        <is>
          <t>C</t>
        </is>
      </c>
      <c r="D38" t="inlineStr">
        <is>
          <t>R1_Basematite</t>
        </is>
      </c>
      <c r="E38" t="inlineStr">
        <is>
          <t>D01_SG08</t>
        </is>
      </c>
      <c r="F38" t="inlineStr">
        <is>
          <t>P0024_2</t>
        </is>
      </c>
      <c r="G38" t="n">
        <v>276.2</v>
      </c>
      <c r="H38" t="n">
        <v>27.9</v>
      </c>
    </row>
    <row r="39">
      <c r="A39" t="n">
        <v>1</v>
      </c>
      <c r="B39" s="7" t="n">
        <v>45446.95833333334</v>
      </c>
      <c r="C39" t="inlineStr">
        <is>
          <t>C</t>
        </is>
      </c>
      <c r="D39" t="inlineStr">
        <is>
          <t>R1_Basematite</t>
        </is>
      </c>
      <c r="E39" t="inlineStr">
        <is>
          <t>D01_SG08</t>
        </is>
      </c>
      <c r="F39" t="inlineStr">
        <is>
          <t>P0024_3</t>
        </is>
      </c>
      <c r="G39" t="n">
        <v>292.9</v>
      </c>
      <c r="H39" t="n">
        <v>27.42</v>
      </c>
    </row>
    <row r="40">
      <c r="A40" t="n">
        <v>1</v>
      </c>
      <c r="B40" s="7" t="n">
        <v>45446.95833333334</v>
      </c>
      <c r="C40" t="inlineStr">
        <is>
          <t>C</t>
        </is>
      </c>
      <c r="D40" t="inlineStr">
        <is>
          <t>R1_Basematite</t>
        </is>
      </c>
      <c r="E40" t="inlineStr">
        <is>
          <t>D01_SG08</t>
        </is>
      </c>
      <c r="F40" t="inlineStr">
        <is>
          <t>P0024_4</t>
        </is>
      </c>
      <c r="G40" t="n">
        <v>287.6</v>
      </c>
      <c r="H40" t="n">
        <v>28.06</v>
      </c>
    </row>
    <row r="41">
      <c r="A41" t="n">
        <v>1</v>
      </c>
      <c r="B41" s="7" t="n">
        <v>45446.95833333334</v>
      </c>
      <c r="C41" t="inlineStr">
        <is>
          <t>C</t>
        </is>
      </c>
      <c r="D41" t="inlineStr">
        <is>
          <t>R1_Basematite</t>
        </is>
      </c>
      <c r="E41" t="inlineStr">
        <is>
          <t>D01_SG08</t>
        </is>
      </c>
      <c r="F41" t="inlineStr">
        <is>
          <t>P0024_5</t>
        </is>
      </c>
      <c r="G41" t="n">
        <v>283.4</v>
      </c>
      <c r="H41" t="n">
        <v>27.99</v>
      </c>
    </row>
    <row r="42">
      <c r="A42" t="n">
        <v>2</v>
      </c>
      <c r="B42" s="7" t="n">
        <v>45447</v>
      </c>
      <c r="C42" t="inlineStr">
        <is>
          <t>A</t>
        </is>
      </c>
      <c r="D42" t="inlineStr">
        <is>
          <t>R1_Basematite</t>
        </is>
      </c>
      <c r="E42" t="inlineStr">
        <is>
          <t>D02_SG01</t>
        </is>
      </c>
      <c r="F42" t="inlineStr">
        <is>
          <t>P0025_1</t>
        </is>
      </c>
      <c r="G42" t="n">
        <v>312.8</v>
      </c>
      <c r="H42" t="n">
        <v>25.89</v>
      </c>
    </row>
    <row r="43">
      <c r="A43" t="n">
        <v>2</v>
      </c>
      <c r="B43" s="7" t="n">
        <v>45447</v>
      </c>
      <c r="C43" t="inlineStr">
        <is>
          <t>A</t>
        </is>
      </c>
      <c r="D43" t="inlineStr">
        <is>
          <t>R1_Basematite</t>
        </is>
      </c>
      <c r="E43" t="inlineStr">
        <is>
          <t>D02_SG01</t>
        </is>
      </c>
      <c r="F43" t="inlineStr">
        <is>
          <t>P0025_2</t>
        </is>
      </c>
      <c r="G43" t="n">
        <v>290.9</v>
      </c>
      <c r="H43" t="n">
        <v>26.25</v>
      </c>
    </row>
    <row r="44">
      <c r="A44" t="n">
        <v>2</v>
      </c>
      <c r="B44" s="7" t="n">
        <v>45447</v>
      </c>
      <c r="C44" t="inlineStr">
        <is>
          <t>A</t>
        </is>
      </c>
      <c r="D44" t="inlineStr">
        <is>
          <t>R1_Basematite</t>
        </is>
      </c>
      <c r="E44" t="inlineStr">
        <is>
          <t>D02_SG01</t>
        </is>
      </c>
      <c r="F44" t="inlineStr">
        <is>
          <t>P0025_3</t>
        </is>
      </c>
      <c r="G44" t="n">
        <v>290.4</v>
      </c>
      <c r="H44" t="n">
        <v>25.71</v>
      </c>
    </row>
    <row r="45">
      <c r="A45" t="n">
        <v>2</v>
      </c>
      <c r="B45" s="7" t="n">
        <v>45447</v>
      </c>
      <c r="C45" t="inlineStr">
        <is>
          <t>A</t>
        </is>
      </c>
      <c r="D45" t="inlineStr">
        <is>
          <t>R1_Basematite</t>
        </is>
      </c>
      <c r="E45" t="inlineStr">
        <is>
          <t>D02_SG01</t>
        </is>
      </c>
      <c r="F45" t="inlineStr">
        <is>
          <t>P0025_4</t>
        </is>
      </c>
      <c r="G45" t="n">
        <v>299.6</v>
      </c>
      <c r="H45" t="n">
        <v>26.1</v>
      </c>
    </row>
    <row r="46">
      <c r="A46" t="n">
        <v>2</v>
      </c>
      <c r="B46" s="7" t="n">
        <v>45447</v>
      </c>
      <c r="C46" t="inlineStr">
        <is>
          <t>A</t>
        </is>
      </c>
      <c r="D46" t="inlineStr">
        <is>
          <t>R1_Basematite</t>
        </is>
      </c>
      <c r="E46" t="inlineStr">
        <is>
          <t>D02_SG01</t>
        </is>
      </c>
      <c r="F46" t="inlineStr">
        <is>
          <t>P0025_5</t>
        </is>
      </c>
      <c r="G46" t="n">
        <v>312.7</v>
      </c>
      <c r="H46" t="n">
        <v>24.61</v>
      </c>
    </row>
    <row r="47">
      <c r="A47" t="n">
        <v>2</v>
      </c>
      <c r="B47" s="7" t="n">
        <v>45447.125</v>
      </c>
      <c r="C47" t="inlineStr">
        <is>
          <t>A</t>
        </is>
      </c>
      <c r="D47" t="inlineStr">
        <is>
          <t>R1_Basematite</t>
        </is>
      </c>
      <c r="E47" t="inlineStr">
        <is>
          <t>D02_SG02</t>
        </is>
      </c>
      <c r="F47" t="inlineStr">
        <is>
          <t>P0028_1</t>
        </is>
      </c>
      <c r="G47" t="n">
        <v>271.4</v>
      </c>
      <c r="H47" t="n">
        <v>28.44</v>
      </c>
    </row>
    <row r="48">
      <c r="A48" t="n">
        <v>2</v>
      </c>
      <c r="B48" s="7" t="n">
        <v>45447.125</v>
      </c>
      <c r="C48" t="inlineStr">
        <is>
          <t>A</t>
        </is>
      </c>
      <c r="D48" t="inlineStr">
        <is>
          <t>R1_Basematite</t>
        </is>
      </c>
      <c r="E48" t="inlineStr">
        <is>
          <t>D02_SG02</t>
        </is>
      </c>
      <c r="F48" t="inlineStr">
        <is>
          <t>P0028_2</t>
        </is>
      </c>
      <c r="G48" t="n">
        <v>249.6</v>
      </c>
      <c r="H48" t="n">
        <v>28.44</v>
      </c>
    </row>
    <row r="49">
      <c r="A49" t="n">
        <v>2</v>
      </c>
      <c r="B49" s="7" t="n">
        <v>45447.125</v>
      </c>
      <c r="C49" t="inlineStr">
        <is>
          <t>A</t>
        </is>
      </c>
      <c r="D49" t="inlineStr">
        <is>
          <t>R1_Basematite</t>
        </is>
      </c>
      <c r="E49" t="inlineStr">
        <is>
          <t>D02_SG02</t>
        </is>
      </c>
      <c r="F49" t="inlineStr">
        <is>
          <t>P0028_3</t>
        </is>
      </c>
      <c r="G49" t="n">
        <v>277.1</v>
      </c>
      <c r="H49" t="n">
        <v>27.89</v>
      </c>
    </row>
    <row r="50">
      <c r="A50" t="n">
        <v>2</v>
      </c>
      <c r="B50" s="7" t="n">
        <v>45447.125</v>
      </c>
      <c r="C50" t="inlineStr">
        <is>
          <t>A</t>
        </is>
      </c>
      <c r="D50" t="inlineStr">
        <is>
          <t>R1_Basematite</t>
        </is>
      </c>
      <c r="E50" t="inlineStr">
        <is>
          <t>D02_SG02</t>
        </is>
      </c>
      <c r="F50" t="inlineStr">
        <is>
          <t>P0028_4</t>
        </is>
      </c>
      <c r="G50" t="n">
        <v>271.4</v>
      </c>
      <c r="H50" t="n">
        <v>27.86</v>
      </c>
    </row>
    <row r="51">
      <c r="A51" t="n">
        <v>2</v>
      </c>
      <c r="B51" s="7" t="n">
        <v>45447.125</v>
      </c>
      <c r="C51" t="inlineStr">
        <is>
          <t>A</t>
        </is>
      </c>
      <c r="D51" t="inlineStr">
        <is>
          <t>R1_Basematite</t>
        </is>
      </c>
      <c r="E51" t="inlineStr">
        <is>
          <t>D02_SG02</t>
        </is>
      </c>
      <c r="F51" t="inlineStr">
        <is>
          <t>P0028_5</t>
        </is>
      </c>
      <c r="G51" t="n">
        <v>268.8</v>
      </c>
      <c r="H51" t="n">
        <v>27.53</v>
      </c>
    </row>
    <row r="52">
      <c r="A52" t="n">
        <v>2</v>
      </c>
      <c r="B52" s="7" t="n">
        <v>45447.25</v>
      </c>
      <c r="C52" t="inlineStr">
        <is>
          <t>A</t>
        </is>
      </c>
      <c r="D52" t="inlineStr">
        <is>
          <t>R1_Basematite</t>
        </is>
      </c>
      <c r="E52" t="inlineStr">
        <is>
          <t>D02_SG03</t>
        </is>
      </c>
      <c r="F52" t="inlineStr">
        <is>
          <t>P0031_1</t>
        </is>
      </c>
      <c r="G52" t="n">
        <v>267.3</v>
      </c>
      <c r="H52" t="n">
        <v>24.9</v>
      </c>
    </row>
    <row r="53">
      <c r="A53" t="n">
        <v>2</v>
      </c>
      <c r="B53" s="7" t="n">
        <v>45447.25</v>
      </c>
      <c r="C53" t="inlineStr">
        <is>
          <t>A</t>
        </is>
      </c>
      <c r="D53" t="inlineStr">
        <is>
          <t>R1_Basematite</t>
        </is>
      </c>
      <c r="E53" t="inlineStr">
        <is>
          <t>D02_SG03</t>
        </is>
      </c>
      <c r="F53" t="inlineStr">
        <is>
          <t>P0031_2</t>
        </is>
      </c>
      <c r="G53" t="n">
        <v>305.9</v>
      </c>
      <c r="H53" t="n">
        <v>25.7</v>
      </c>
    </row>
    <row r="54">
      <c r="A54" t="n">
        <v>2</v>
      </c>
      <c r="B54" s="7" t="n">
        <v>45447.25</v>
      </c>
      <c r="C54" t="inlineStr">
        <is>
          <t>A</t>
        </is>
      </c>
      <c r="D54" t="inlineStr">
        <is>
          <t>R1_Basematite</t>
        </is>
      </c>
      <c r="E54" t="inlineStr">
        <is>
          <t>D02_SG03</t>
        </is>
      </c>
      <c r="F54" t="inlineStr">
        <is>
          <t>P0031_3</t>
        </is>
      </c>
      <c r="G54" t="n">
        <v>306.2</v>
      </c>
      <c r="H54" t="n">
        <v>24.98</v>
      </c>
    </row>
    <row r="55">
      <c r="A55" t="n">
        <v>2</v>
      </c>
      <c r="B55" s="7" t="n">
        <v>45447.25</v>
      </c>
      <c r="C55" t="inlineStr">
        <is>
          <t>A</t>
        </is>
      </c>
      <c r="D55" t="inlineStr">
        <is>
          <t>R1_Basematite</t>
        </is>
      </c>
      <c r="E55" t="inlineStr">
        <is>
          <t>D02_SG03</t>
        </is>
      </c>
      <c r="F55" t="inlineStr">
        <is>
          <t>P0031_4</t>
        </is>
      </c>
      <c r="G55" t="n">
        <v>311.9</v>
      </c>
      <c r="H55" t="n">
        <v>25.32</v>
      </c>
    </row>
    <row r="56">
      <c r="A56" t="n">
        <v>2</v>
      </c>
      <c r="B56" s="7" t="n">
        <v>45447.25</v>
      </c>
      <c r="C56" t="inlineStr">
        <is>
          <t>A</t>
        </is>
      </c>
      <c r="D56" t="inlineStr">
        <is>
          <t>R1_Basematite</t>
        </is>
      </c>
      <c r="E56" t="inlineStr">
        <is>
          <t>D02_SG03</t>
        </is>
      </c>
      <c r="F56" t="inlineStr">
        <is>
          <t>P0031_5</t>
        </is>
      </c>
      <c r="G56" t="n">
        <v>275.6</v>
      </c>
      <c r="H56" t="n">
        <v>24.86</v>
      </c>
    </row>
    <row r="57">
      <c r="A57" t="n">
        <v>2</v>
      </c>
      <c r="B57" s="7" t="n">
        <v>45447.375</v>
      </c>
      <c r="C57" t="inlineStr">
        <is>
          <t>B</t>
        </is>
      </c>
      <c r="D57" t="inlineStr">
        <is>
          <t>R1_Basematite</t>
        </is>
      </c>
      <c r="E57" t="inlineStr">
        <is>
          <t>D02_SG04</t>
        </is>
      </c>
      <c r="F57" t="inlineStr">
        <is>
          <t>P0034_1</t>
        </is>
      </c>
      <c r="G57" t="n">
        <v>285.9</v>
      </c>
      <c r="H57" t="n">
        <v>26.1</v>
      </c>
    </row>
    <row r="58">
      <c r="A58" t="n">
        <v>2</v>
      </c>
      <c r="B58" s="7" t="n">
        <v>45447.375</v>
      </c>
      <c r="C58" t="inlineStr">
        <is>
          <t>B</t>
        </is>
      </c>
      <c r="D58" t="inlineStr">
        <is>
          <t>R1_Basematite</t>
        </is>
      </c>
      <c r="E58" t="inlineStr">
        <is>
          <t>D02_SG04</t>
        </is>
      </c>
      <c r="F58" t="inlineStr">
        <is>
          <t>P0034_2</t>
        </is>
      </c>
      <c r="G58" t="n">
        <v>275.8</v>
      </c>
      <c r="H58" t="n">
        <v>26.77</v>
      </c>
    </row>
    <row r="59">
      <c r="A59" t="n">
        <v>2</v>
      </c>
      <c r="B59" s="7" t="n">
        <v>45447.375</v>
      </c>
      <c r="C59" t="inlineStr">
        <is>
          <t>B</t>
        </is>
      </c>
      <c r="D59" t="inlineStr">
        <is>
          <t>R1_Basematite</t>
        </is>
      </c>
      <c r="E59" t="inlineStr">
        <is>
          <t>D02_SG04</t>
        </is>
      </c>
      <c r="F59" t="inlineStr">
        <is>
          <t>P0034_3</t>
        </is>
      </c>
      <c r="G59" t="n">
        <v>287.7</v>
      </c>
      <c r="H59" t="n">
        <v>26.63</v>
      </c>
    </row>
    <row r="60">
      <c r="A60" t="n">
        <v>2</v>
      </c>
      <c r="B60" s="7" t="n">
        <v>45447.375</v>
      </c>
      <c r="C60" t="inlineStr">
        <is>
          <t>B</t>
        </is>
      </c>
      <c r="D60" t="inlineStr">
        <is>
          <t>R1_Basematite</t>
        </is>
      </c>
      <c r="E60" t="inlineStr">
        <is>
          <t>D02_SG04</t>
        </is>
      </c>
      <c r="F60" t="inlineStr">
        <is>
          <t>P0034_4</t>
        </is>
      </c>
      <c r="G60" t="n">
        <v>287.7</v>
      </c>
      <c r="H60" t="n">
        <v>25.83</v>
      </c>
    </row>
    <row r="61">
      <c r="A61" t="n">
        <v>2</v>
      </c>
      <c r="B61" s="7" t="n">
        <v>45447.375</v>
      </c>
      <c r="C61" t="inlineStr">
        <is>
          <t>B</t>
        </is>
      </c>
      <c r="D61" t="inlineStr">
        <is>
          <t>R1_Basematite</t>
        </is>
      </c>
      <c r="E61" t="inlineStr">
        <is>
          <t>D02_SG04</t>
        </is>
      </c>
      <c r="F61" t="inlineStr">
        <is>
          <t>P0034_5</t>
        </is>
      </c>
      <c r="G61" t="n">
        <v>273</v>
      </c>
      <c r="H61" t="n">
        <v>26.71</v>
      </c>
    </row>
    <row r="62">
      <c r="A62" t="n">
        <v>2</v>
      </c>
      <c r="B62" s="7" t="n">
        <v>45447.54166666666</v>
      </c>
      <c r="C62" t="inlineStr">
        <is>
          <t>B</t>
        </is>
      </c>
      <c r="D62" t="inlineStr">
        <is>
          <t>R1_Basematite</t>
        </is>
      </c>
      <c r="E62" t="inlineStr">
        <is>
          <t>D02_SG05</t>
        </is>
      </c>
      <c r="F62" t="inlineStr">
        <is>
          <t>P0038_1</t>
        </is>
      </c>
      <c r="G62" t="n">
        <v>250.2</v>
      </c>
      <c r="H62" t="n">
        <v>27.67</v>
      </c>
    </row>
    <row r="63">
      <c r="A63" t="n">
        <v>2</v>
      </c>
      <c r="B63" s="7" t="n">
        <v>45447.54166666666</v>
      </c>
      <c r="C63" t="inlineStr">
        <is>
          <t>B</t>
        </is>
      </c>
      <c r="D63" t="inlineStr">
        <is>
          <t>R1_Basematite</t>
        </is>
      </c>
      <c r="E63" t="inlineStr">
        <is>
          <t>D02_SG05</t>
        </is>
      </c>
      <c r="F63" t="inlineStr">
        <is>
          <t>P0038_2</t>
        </is>
      </c>
      <c r="G63" t="n">
        <v>255.1</v>
      </c>
      <c r="H63" t="n">
        <v>27.03</v>
      </c>
    </row>
    <row r="64">
      <c r="A64" t="n">
        <v>2</v>
      </c>
      <c r="B64" s="7" t="n">
        <v>45447.54166666666</v>
      </c>
      <c r="C64" t="inlineStr">
        <is>
          <t>B</t>
        </is>
      </c>
      <c r="D64" t="inlineStr">
        <is>
          <t>R1_Basematite</t>
        </is>
      </c>
      <c r="E64" t="inlineStr">
        <is>
          <t>D02_SG05</t>
        </is>
      </c>
      <c r="F64" t="inlineStr">
        <is>
          <t>P0038_3</t>
        </is>
      </c>
      <c r="G64" t="n">
        <v>222.7</v>
      </c>
      <c r="H64" t="n">
        <v>27.72</v>
      </c>
    </row>
    <row r="65">
      <c r="A65" t="n">
        <v>2</v>
      </c>
      <c r="B65" s="7" t="n">
        <v>45447.54166666666</v>
      </c>
      <c r="C65" t="inlineStr">
        <is>
          <t>B</t>
        </is>
      </c>
      <c r="D65" t="inlineStr">
        <is>
          <t>R1_Basematite</t>
        </is>
      </c>
      <c r="E65" t="inlineStr">
        <is>
          <t>D02_SG05</t>
        </is>
      </c>
      <c r="F65" t="inlineStr">
        <is>
          <t>P0038_4</t>
        </is>
      </c>
      <c r="G65" t="n">
        <v>248.2</v>
      </c>
      <c r="H65" t="n">
        <v>27.24</v>
      </c>
    </row>
    <row r="66">
      <c r="A66" t="n">
        <v>2</v>
      </c>
      <c r="B66" s="7" t="n">
        <v>45447.54166666666</v>
      </c>
      <c r="C66" t="inlineStr">
        <is>
          <t>B</t>
        </is>
      </c>
      <c r="D66" t="inlineStr">
        <is>
          <t>R1_Basematite</t>
        </is>
      </c>
      <c r="E66" t="inlineStr">
        <is>
          <t>D02_SG05</t>
        </is>
      </c>
      <c r="F66" t="inlineStr">
        <is>
          <t>P0038_5</t>
        </is>
      </c>
      <c r="G66" t="n">
        <v>259.9</v>
      </c>
      <c r="H66" t="n">
        <v>27.77</v>
      </c>
    </row>
    <row r="67">
      <c r="A67" t="n">
        <v>2</v>
      </c>
      <c r="B67" s="7" t="n">
        <v>45447.66666666666</v>
      </c>
      <c r="C67" t="inlineStr">
        <is>
          <t>C</t>
        </is>
      </c>
      <c r="D67" t="inlineStr">
        <is>
          <t>R1_Basematite</t>
        </is>
      </c>
      <c r="E67" t="inlineStr">
        <is>
          <t>D02_SG06</t>
        </is>
      </c>
      <c r="F67" t="inlineStr">
        <is>
          <t>P0041_1</t>
        </is>
      </c>
      <c r="G67" t="n">
        <v>290.5</v>
      </c>
    </row>
    <row r="68">
      <c r="A68" t="n">
        <v>2</v>
      </c>
      <c r="B68" s="7" t="n">
        <v>45447.66666666666</v>
      </c>
      <c r="C68" t="inlineStr">
        <is>
          <t>C</t>
        </is>
      </c>
      <c r="D68" t="inlineStr">
        <is>
          <t>R1_Basematite</t>
        </is>
      </c>
      <c r="E68" t="inlineStr">
        <is>
          <t>D02_SG06</t>
        </is>
      </c>
      <c r="F68" t="inlineStr">
        <is>
          <t>P0041_2</t>
        </is>
      </c>
      <c r="G68" t="n">
        <v>314.5</v>
      </c>
    </row>
    <row r="69">
      <c r="A69" t="n">
        <v>2</v>
      </c>
      <c r="B69" s="7" t="n">
        <v>45447.66666666666</v>
      </c>
      <c r="C69" t="inlineStr">
        <is>
          <t>C</t>
        </is>
      </c>
      <c r="D69" t="inlineStr">
        <is>
          <t>R1_Basematite</t>
        </is>
      </c>
      <c r="E69" t="inlineStr">
        <is>
          <t>D02_SG06</t>
        </is>
      </c>
      <c r="F69" t="inlineStr">
        <is>
          <t>P0041_3</t>
        </is>
      </c>
      <c r="G69" t="n">
        <v>313.4</v>
      </c>
    </row>
    <row r="70">
      <c r="A70" t="n">
        <v>2</v>
      </c>
      <c r="B70" s="7" t="n">
        <v>45447.66666666666</v>
      </c>
      <c r="C70" t="inlineStr">
        <is>
          <t>C</t>
        </is>
      </c>
      <c r="D70" t="inlineStr">
        <is>
          <t>R1_Basematite</t>
        </is>
      </c>
      <c r="E70" t="inlineStr">
        <is>
          <t>D02_SG06</t>
        </is>
      </c>
      <c r="F70" t="inlineStr">
        <is>
          <t>P0041_4</t>
        </is>
      </c>
      <c r="G70" t="n">
        <v>311.8</v>
      </c>
    </row>
    <row r="71">
      <c r="A71" t="n">
        <v>2</v>
      </c>
      <c r="B71" s="7" t="n">
        <v>45447.66666666666</v>
      </c>
      <c r="C71" t="inlineStr">
        <is>
          <t>C</t>
        </is>
      </c>
      <c r="D71" t="inlineStr">
        <is>
          <t>R1_Basematite</t>
        </is>
      </c>
      <c r="E71" t="inlineStr">
        <is>
          <t>D02_SG06</t>
        </is>
      </c>
      <c r="F71" t="inlineStr">
        <is>
          <t>P0041_5</t>
        </is>
      </c>
      <c r="G71" t="n">
        <v>320.4</v>
      </c>
    </row>
    <row r="72">
      <c r="A72" t="n">
        <v>2</v>
      </c>
      <c r="B72" s="7" t="n">
        <v>45447.79166666666</v>
      </c>
      <c r="C72" t="inlineStr">
        <is>
          <t>C</t>
        </is>
      </c>
      <c r="D72" t="inlineStr">
        <is>
          <t>R1_Basematite</t>
        </is>
      </c>
      <c r="E72" t="inlineStr">
        <is>
          <t>D02_SG07</t>
        </is>
      </c>
      <c r="F72" t="inlineStr">
        <is>
          <t>P0044_1</t>
        </is>
      </c>
      <c r="G72" t="n">
        <v>275.3</v>
      </c>
      <c r="H72" t="n">
        <v>24.59</v>
      </c>
    </row>
    <row r="73">
      <c r="A73" t="n">
        <v>2</v>
      </c>
      <c r="B73" s="7" t="n">
        <v>45447.79166666666</v>
      </c>
      <c r="C73" t="inlineStr">
        <is>
          <t>C</t>
        </is>
      </c>
      <c r="D73" t="inlineStr">
        <is>
          <t>R1_Basematite</t>
        </is>
      </c>
      <c r="E73" t="inlineStr">
        <is>
          <t>D02_SG07</t>
        </is>
      </c>
      <c r="F73" t="inlineStr">
        <is>
          <t>P0044_2</t>
        </is>
      </c>
      <c r="G73" t="n">
        <v>254.3</v>
      </c>
      <c r="H73" t="n">
        <v>25.2</v>
      </c>
    </row>
    <row r="74">
      <c r="A74" t="n">
        <v>2</v>
      </c>
      <c r="B74" s="7" t="n">
        <v>45447.79166666666</v>
      </c>
      <c r="C74" t="inlineStr">
        <is>
          <t>C</t>
        </is>
      </c>
      <c r="D74" t="inlineStr">
        <is>
          <t>R1_Basematite</t>
        </is>
      </c>
      <c r="E74" t="inlineStr">
        <is>
          <t>D02_SG07</t>
        </is>
      </c>
      <c r="F74" t="inlineStr">
        <is>
          <t>P0044_3</t>
        </is>
      </c>
      <c r="G74" t="n">
        <v>268.1</v>
      </c>
      <c r="H74" t="n">
        <v>25.36</v>
      </c>
    </row>
    <row r="75">
      <c r="A75" t="n">
        <v>2</v>
      </c>
      <c r="B75" s="7" t="n">
        <v>45447.79166666666</v>
      </c>
      <c r="C75" t="inlineStr">
        <is>
          <t>C</t>
        </is>
      </c>
      <c r="D75" t="inlineStr">
        <is>
          <t>R1_Basematite</t>
        </is>
      </c>
      <c r="E75" t="inlineStr">
        <is>
          <t>D02_SG07</t>
        </is>
      </c>
      <c r="F75" t="inlineStr">
        <is>
          <t>P0044_4</t>
        </is>
      </c>
      <c r="G75" t="n">
        <v>252</v>
      </c>
      <c r="H75" t="n">
        <v>24.93</v>
      </c>
    </row>
    <row r="76">
      <c r="A76" t="n">
        <v>2</v>
      </c>
      <c r="B76" s="7" t="n">
        <v>45447.79166666666</v>
      </c>
      <c r="C76" t="inlineStr">
        <is>
          <t>C</t>
        </is>
      </c>
      <c r="D76" t="inlineStr">
        <is>
          <t>R1_Basematite</t>
        </is>
      </c>
      <c r="E76" t="inlineStr">
        <is>
          <t>D02_SG07</t>
        </is>
      </c>
      <c r="F76" t="inlineStr">
        <is>
          <t>P0044_5</t>
        </is>
      </c>
      <c r="G76" t="n">
        <v>276.3</v>
      </c>
      <c r="H76" t="n">
        <v>25.58</v>
      </c>
    </row>
    <row r="77">
      <c r="A77" t="n">
        <v>2</v>
      </c>
      <c r="B77" s="7" t="n">
        <v>45447.95833333334</v>
      </c>
      <c r="C77" t="inlineStr">
        <is>
          <t>C</t>
        </is>
      </c>
      <c r="D77" t="inlineStr">
        <is>
          <t>R1_Basematite</t>
        </is>
      </c>
      <c r="E77" t="inlineStr">
        <is>
          <t>D02_SG08</t>
        </is>
      </c>
      <c r="F77" t="inlineStr">
        <is>
          <t>P0048_1</t>
        </is>
      </c>
      <c r="G77" t="n">
        <v>155</v>
      </c>
      <c r="H77" t="n">
        <v>25.81</v>
      </c>
    </row>
    <row r="78">
      <c r="A78" t="n">
        <v>2</v>
      </c>
      <c r="B78" s="7" t="n">
        <v>45447.95833333334</v>
      </c>
      <c r="C78" t="inlineStr">
        <is>
          <t>C</t>
        </is>
      </c>
      <c r="D78" t="inlineStr">
        <is>
          <t>R1_Basematite</t>
        </is>
      </c>
      <c r="E78" t="inlineStr">
        <is>
          <t>D02_SG08</t>
        </is>
      </c>
      <c r="F78" t="inlineStr">
        <is>
          <t>P0048_2</t>
        </is>
      </c>
      <c r="G78" t="n">
        <v>156</v>
      </c>
      <c r="H78" t="n">
        <v>27.12</v>
      </c>
    </row>
    <row r="79">
      <c r="A79" t="n">
        <v>2</v>
      </c>
      <c r="B79" s="7" t="n">
        <v>45447.95833333334</v>
      </c>
      <c r="C79" t="inlineStr">
        <is>
          <t>C</t>
        </is>
      </c>
      <c r="D79" t="inlineStr">
        <is>
          <t>R1_Basematite</t>
        </is>
      </c>
      <c r="E79" t="inlineStr">
        <is>
          <t>D02_SG08</t>
        </is>
      </c>
      <c r="F79" t="inlineStr">
        <is>
          <t>P0048_3</t>
        </is>
      </c>
      <c r="G79" t="n">
        <v>170.2</v>
      </c>
      <c r="H79" t="n">
        <v>26.03</v>
      </c>
    </row>
    <row r="80">
      <c r="A80" t="n">
        <v>2</v>
      </c>
      <c r="B80" s="7" t="n">
        <v>45447.95833333334</v>
      </c>
      <c r="C80" t="inlineStr">
        <is>
          <t>C</t>
        </is>
      </c>
      <c r="D80" t="inlineStr">
        <is>
          <t>R1_Basematite</t>
        </is>
      </c>
      <c r="E80" t="inlineStr">
        <is>
          <t>D02_SG08</t>
        </is>
      </c>
      <c r="F80" t="inlineStr">
        <is>
          <t>P0048_4</t>
        </is>
      </c>
      <c r="G80" t="n">
        <v>161</v>
      </c>
      <c r="H80" t="n">
        <v>25.78</v>
      </c>
    </row>
    <row r="81">
      <c r="A81" t="n">
        <v>2</v>
      </c>
      <c r="B81" s="7" t="n">
        <v>45447.95833333334</v>
      </c>
      <c r="C81" t="inlineStr">
        <is>
          <t>C</t>
        </is>
      </c>
      <c r="D81" t="inlineStr">
        <is>
          <t>R1_Basematite</t>
        </is>
      </c>
      <c r="E81" t="inlineStr">
        <is>
          <t>D02_SG08</t>
        </is>
      </c>
      <c r="F81" t="inlineStr">
        <is>
          <t>P0048_5</t>
        </is>
      </c>
      <c r="G81" t="n">
        <v>155</v>
      </c>
      <c r="H81" t="n">
        <v>26.64</v>
      </c>
    </row>
    <row r="82">
      <c r="A82" t="n">
        <v>3</v>
      </c>
      <c r="B82" s="7" t="n">
        <v>45448</v>
      </c>
      <c r="C82" t="inlineStr">
        <is>
          <t>A</t>
        </is>
      </c>
      <c r="D82" t="inlineStr">
        <is>
          <t>R1_Basematite</t>
        </is>
      </c>
      <c r="E82" t="inlineStr">
        <is>
          <t>D03_SG01</t>
        </is>
      </c>
      <c r="F82" t="inlineStr">
        <is>
          <t>P0049_1</t>
        </is>
      </c>
      <c r="G82" t="n">
        <v>217</v>
      </c>
      <c r="H82" t="n">
        <v>25.76</v>
      </c>
    </row>
    <row r="83">
      <c r="A83" t="n">
        <v>3</v>
      </c>
      <c r="B83" s="7" t="n">
        <v>45448</v>
      </c>
      <c r="C83" t="inlineStr">
        <is>
          <t>A</t>
        </is>
      </c>
      <c r="D83" t="inlineStr">
        <is>
          <t>R1_Basematite</t>
        </is>
      </c>
      <c r="E83" t="inlineStr">
        <is>
          <t>D03_SG01</t>
        </is>
      </c>
      <c r="F83" t="inlineStr">
        <is>
          <t>P0049_2</t>
        </is>
      </c>
      <c r="G83" t="n">
        <v>221.4</v>
      </c>
      <c r="H83" t="n">
        <v>25.31</v>
      </c>
    </row>
    <row r="84">
      <c r="A84" t="n">
        <v>3</v>
      </c>
      <c r="B84" s="7" t="n">
        <v>45448</v>
      </c>
      <c r="C84" t="inlineStr">
        <is>
          <t>A</t>
        </is>
      </c>
      <c r="D84" t="inlineStr">
        <is>
          <t>R1_Basematite</t>
        </is>
      </c>
      <c r="E84" t="inlineStr">
        <is>
          <t>D03_SG01</t>
        </is>
      </c>
      <c r="F84" t="inlineStr">
        <is>
          <t>P0049_3</t>
        </is>
      </c>
      <c r="G84" t="n">
        <v>209.5</v>
      </c>
      <c r="H84" t="n">
        <v>26.18</v>
      </c>
    </row>
    <row r="85">
      <c r="A85" t="n">
        <v>3</v>
      </c>
      <c r="B85" s="7" t="n">
        <v>45448</v>
      </c>
      <c r="C85" t="inlineStr">
        <is>
          <t>A</t>
        </is>
      </c>
      <c r="D85" t="inlineStr">
        <is>
          <t>R1_Basematite</t>
        </is>
      </c>
      <c r="E85" t="inlineStr">
        <is>
          <t>D03_SG01</t>
        </is>
      </c>
      <c r="F85" t="inlineStr">
        <is>
          <t>P0049_4</t>
        </is>
      </c>
      <c r="G85" t="n">
        <v>209.1</v>
      </c>
      <c r="H85" t="n">
        <v>25.49</v>
      </c>
    </row>
    <row r="86">
      <c r="A86" t="n">
        <v>3</v>
      </c>
      <c r="B86" s="7" t="n">
        <v>45448</v>
      </c>
      <c r="C86" t="inlineStr">
        <is>
          <t>A</t>
        </is>
      </c>
      <c r="D86" t="inlineStr">
        <is>
          <t>R1_Basematite</t>
        </is>
      </c>
      <c r="E86" t="inlineStr">
        <is>
          <t>D03_SG01</t>
        </is>
      </c>
      <c r="F86" t="inlineStr">
        <is>
          <t>P0049_5</t>
        </is>
      </c>
      <c r="G86" t="n">
        <v>223.8</v>
      </c>
      <c r="H86" t="n">
        <v>24.24</v>
      </c>
    </row>
    <row r="87">
      <c r="A87" t="n">
        <v>3</v>
      </c>
      <c r="B87" s="7" t="n">
        <v>45448.125</v>
      </c>
      <c r="C87" t="inlineStr">
        <is>
          <t>A</t>
        </is>
      </c>
      <c r="D87" t="inlineStr">
        <is>
          <t>R1_Basematite</t>
        </is>
      </c>
      <c r="E87" t="inlineStr">
        <is>
          <t>D03_SG02</t>
        </is>
      </c>
      <c r="F87" t="inlineStr">
        <is>
          <t>P0052_1</t>
        </is>
      </c>
      <c r="G87" t="n">
        <v>239.4</v>
      </c>
      <c r="H87" t="n">
        <v>25.33</v>
      </c>
    </row>
    <row r="88">
      <c r="A88" t="n">
        <v>3</v>
      </c>
      <c r="B88" s="7" t="n">
        <v>45448.125</v>
      </c>
      <c r="C88" t="inlineStr">
        <is>
          <t>A</t>
        </is>
      </c>
      <c r="D88" t="inlineStr">
        <is>
          <t>R1_Basematite</t>
        </is>
      </c>
      <c r="E88" t="inlineStr">
        <is>
          <t>D03_SG02</t>
        </is>
      </c>
      <c r="F88" t="inlineStr">
        <is>
          <t>P0052_2</t>
        </is>
      </c>
      <c r="G88" t="n">
        <v>259.1</v>
      </c>
      <c r="H88" t="n">
        <v>24.83</v>
      </c>
    </row>
    <row r="89">
      <c r="A89" t="n">
        <v>3</v>
      </c>
      <c r="B89" s="7" t="n">
        <v>45448.125</v>
      </c>
      <c r="C89" t="inlineStr">
        <is>
          <t>A</t>
        </is>
      </c>
      <c r="D89" t="inlineStr">
        <is>
          <t>R1_Basematite</t>
        </is>
      </c>
      <c r="E89" t="inlineStr">
        <is>
          <t>D03_SG02</t>
        </is>
      </c>
      <c r="F89" t="inlineStr">
        <is>
          <t>P0052_3</t>
        </is>
      </c>
      <c r="G89" t="n">
        <v>242.6</v>
      </c>
      <c r="H89" t="n">
        <v>24.39</v>
      </c>
    </row>
    <row r="90">
      <c r="A90" t="n">
        <v>3</v>
      </c>
      <c r="B90" s="7" t="n">
        <v>45448.125</v>
      </c>
      <c r="C90" t="inlineStr">
        <is>
          <t>A</t>
        </is>
      </c>
      <c r="D90" t="inlineStr">
        <is>
          <t>R1_Basematite</t>
        </is>
      </c>
      <c r="E90" t="inlineStr">
        <is>
          <t>D03_SG02</t>
        </is>
      </c>
      <c r="F90" t="inlineStr">
        <is>
          <t>P0052_4</t>
        </is>
      </c>
      <c r="G90" t="n">
        <v>240.6</v>
      </c>
      <c r="H90" t="n">
        <v>25.49</v>
      </c>
    </row>
    <row r="91">
      <c r="A91" t="n">
        <v>3</v>
      </c>
      <c r="B91" s="7" t="n">
        <v>45448.125</v>
      </c>
      <c r="C91" t="inlineStr">
        <is>
          <t>A</t>
        </is>
      </c>
      <c r="D91" t="inlineStr">
        <is>
          <t>R1_Basematite</t>
        </is>
      </c>
      <c r="E91" t="inlineStr">
        <is>
          <t>D03_SG02</t>
        </is>
      </c>
      <c r="F91" t="inlineStr">
        <is>
          <t>P0052_5</t>
        </is>
      </c>
      <c r="G91" t="n">
        <v>234.8</v>
      </c>
      <c r="H91" t="n">
        <v>24.93</v>
      </c>
    </row>
    <row r="92">
      <c r="A92" t="n">
        <v>3</v>
      </c>
      <c r="B92" s="7" t="n">
        <v>45448.25</v>
      </c>
      <c r="C92" t="inlineStr">
        <is>
          <t>A</t>
        </is>
      </c>
      <c r="D92" t="inlineStr">
        <is>
          <t>R1_Basematite</t>
        </is>
      </c>
      <c r="E92" t="inlineStr">
        <is>
          <t>D03_SG03</t>
        </is>
      </c>
      <c r="F92" t="inlineStr">
        <is>
          <t>P0055_1</t>
        </is>
      </c>
      <c r="G92" t="n">
        <v>244.4</v>
      </c>
      <c r="H92" t="n">
        <v>26.36</v>
      </c>
    </row>
    <row r="93">
      <c r="A93" t="n">
        <v>3</v>
      </c>
      <c r="B93" s="7" t="n">
        <v>45448.25</v>
      </c>
      <c r="C93" t="inlineStr">
        <is>
          <t>A</t>
        </is>
      </c>
      <c r="D93" t="inlineStr">
        <is>
          <t>R1_Basematite</t>
        </is>
      </c>
      <c r="E93" t="inlineStr">
        <is>
          <t>D03_SG03</t>
        </is>
      </c>
      <c r="F93" t="inlineStr">
        <is>
          <t>P0055_2</t>
        </is>
      </c>
      <c r="G93" t="n">
        <v>238.6</v>
      </c>
      <c r="H93" t="n">
        <v>27.08</v>
      </c>
    </row>
    <row r="94">
      <c r="A94" t="n">
        <v>3</v>
      </c>
      <c r="B94" s="7" t="n">
        <v>45448.25</v>
      </c>
      <c r="C94" t="inlineStr">
        <is>
          <t>A</t>
        </is>
      </c>
      <c r="D94" t="inlineStr">
        <is>
          <t>R1_Basematite</t>
        </is>
      </c>
      <c r="E94" t="inlineStr">
        <is>
          <t>D03_SG03</t>
        </is>
      </c>
      <c r="F94" t="inlineStr">
        <is>
          <t>P0055_3</t>
        </is>
      </c>
      <c r="G94" t="n">
        <v>260.2</v>
      </c>
      <c r="H94" t="n">
        <v>26.15</v>
      </c>
    </row>
    <row r="95">
      <c r="A95" t="n">
        <v>3</v>
      </c>
      <c r="B95" s="7" t="n">
        <v>45448.25</v>
      </c>
      <c r="C95" t="inlineStr">
        <is>
          <t>A</t>
        </is>
      </c>
      <c r="D95" t="inlineStr">
        <is>
          <t>R1_Basematite</t>
        </is>
      </c>
      <c r="E95" t="inlineStr">
        <is>
          <t>D03_SG03</t>
        </is>
      </c>
      <c r="F95" t="inlineStr">
        <is>
          <t>P0055_4</t>
        </is>
      </c>
      <c r="G95" t="n">
        <v>251.1</v>
      </c>
      <c r="H95" t="n">
        <v>26.34</v>
      </c>
    </row>
    <row r="96">
      <c r="A96" t="n">
        <v>3</v>
      </c>
      <c r="B96" s="7" t="n">
        <v>45448.25</v>
      </c>
      <c r="C96" t="inlineStr">
        <is>
          <t>A</t>
        </is>
      </c>
      <c r="D96" t="inlineStr">
        <is>
          <t>R1_Basematite</t>
        </is>
      </c>
      <c r="E96" t="inlineStr">
        <is>
          <t>D03_SG03</t>
        </is>
      </c>
      <c r="F96" t="inlineStr">
        <is>
          <t>P0055_5</t>
        </is>
      </c>
      <c r="G96" t="n">
        <v>249.7</v>
      </c>
      <c r="H96" t="n">
        <v>27.07</v>
      </c>
    </row>
    <row r="97">
      <c r="A97" t="n">
        <v>3</v>
      </c>
      <c r="B97" s="7" t="n">
        <v>45448.375</v>
      </c>
      <c r="C97" t="inlineStr">
        <is>
          <t>B</t>
        </is>
      </c>
      <c r="D97" t="inlineStr">
        <is>
          <t>R1_Basematite</t>
        </is>
      </c>
      <c r="E97" t="inlineStr">
        <is>
          <t>D03_SG04</t>
        </is>
      </c>
      <c r="F97" t="inlineStr">
        <is>
          <t>P0058_1</t>
        </is>
      </c>
      <c r="G97" t="n">
        <v>296.6</v>
      </c>
      <c r="H97" t="n">
        <v>25.18</v>
      </c>
    </row>
    <row r="98">
      <c r="A98" t="n">
        <v>3</v>
      </c>
      <c r="B98" s="7" t="n">
        <v>45448.375</v>
      </c>
      <c r="C98" t="inlineStr">
        <is>
          <t>B</t>
        </is>
      </c>
      <c r="D98" t="inlineStr">
        <is>
          <t>R1_Basematite</t>
        </is>
      </c>
      <c r="E98" t="inlineStr">
        <is>
          <t>D03_SG04</t>
        </is>
      </c>
      <c r="F98" t="inlineStr">
        <is>
          <t>P0058_2</t>
        </is>
      </c>
      <c r="G98" t="n">
        <v>281.7</v>
      </c>
      <c r="H98" t="n">
        <v>24.95</v>
      </c>
    </row>
    <row r="99">
      <c r="A99" t="n">
        <v>3</v>
      </c>
      <c r="B99" s="7" t="n">
        <v>45448.375</v>
      </c>
      <c r="C99" t="inlineStr">
        <is>
          <t>B</t>
        </is>
      </c>
      <c r="D99" t="inlineStr">
        <is>
          <t>R1_Basematite</t>
        </is>
      </c>
      <c r="E99" t="inlineStr">
        <is>
          <t>D03_SG04</t>
        </is>
      </c>
      <c r="F99" t="inlineStr">
        <is>
          <t>P0058_3</t>
        </is>
      </c>
      <c r="G99" t="n">
        <v>308</v>
      </c>
      <c r="H99" t="n">
        <v>25.59</v>
      </c>
    </row>
    <row r="100">
      <c r="A100" t="n">
        <v>3</v>
      </c>
      <c r="B100" s="7" t="n">
        <v>45448.375</v>
      </c>
      <c r="C100" t="inlineStr">
        <is>
          <t>B</t>
        </is>
      </c>
      <c r="D100" t="inlineStr">
        <is>
          <t>R1_Basematite</t>
        </is>
      </c>
      <c r="E100" t="inlineStr">
        <is>
          <t>D03_SG04</t>
        </is>
      </c>
      <c r="F100" t="inlineStr">
        <is>
          <t>P0058_4</t>
        </is>
      </c>
      <c r="G100" t="n">
        <v>323.7</v>
      </c>
      <c r="H100" t="n">
        <v>24.43</v>
      </c>
    </row>
    <row r="101">
      <c r="A101" t="n">
        <v>3</v>
      </c>
      <c r="B101" s="7" t="n">
        <v>45448.375</v>
      </c>
      <c r="C101" t="inlineStr">
        <is>
          <t>B</t>
        </is>
      </c>
      <c r="D101" t="inlineStr">
        <is>
          <t>R1_Basematite</t>
        </is>
      </c>
      <c r="E101" t="inlineStr">
        <is>
          <t>D03_SG04</t>
        </is>
      </c>
      <c r="F101" t="inlineStr">
        <is>
          <t>P0058_5</t>
        </is>
      </c>
      <c r="G101" t="n">
        <v>305.5</v>
      </c>
      <c r="H101" t="n">
        <v>24.93</v>
      </c>
    </row>
    <row r="102">
      <c r="A102" t="n">
        <v>3</v>
      </c>
      <c r="B102" s="7" t="n">
        <v>45448.54166666666</v>
      </c>
      <c r="C102" t="inlineStr">
        <is>
          <t>B</t>
        </is>
      </c>
      <c r="D102" t="inlineStr">
        <is>
          <t>R1_Basematite</t>
        </is>
      </c>
      <c r="E102" t="inlineStr">
        <is>
          <t>D03_SG05</t>
        </is>
      </c>
      <c r="F102" t="inlineStr">
        <is>
          <t>P0062_1</t>
        </is>
      </c>
      <c r="G102" t="n">
        <v>285.1</v>
      </c>
      <c r="H102" t="n">
        <v>27.82</v>
      </c>
    </row>
    <row r="103">
      <c r="A103" t="n">
        <v>3</v>
      </c>
      <c r="B103" s="7" t="n">
        <v>45448.54166666666</v>
      </c>
      <c r="C103" t="inlineStr">
        <is>
          <t>B</t>
        </is>
      </c>
      <c r="D103" t="inlineStr">
        <is>
          <t>R1_Basematite</t>
        </is>
      </c>
      <c r="E103" t="inlineStr">
        <is>
          <t>D03_SG05</t>
        </is>
      </c>
      <c r="F103" t="inlineStr">
        <is>
          <t>P0062_2</t>
        </is>
      </c>
      <c r="G103" t="n">
        <v>283.8</v>
      </c>
      <c r="H103" t="n">
        <v>28.18</v>
      </c>
    </row>
    <row r="104">
      <c r="A104" t="n">
        <v>3</v>
      </c>
      <c r="B104" s="7" t="n">
        <v>45448.54166666666</v>
      </c>
      <c r="C104" t="inlineStr">
        <is>
          <t>B</t>
        </is>
      </c>
      <c r="D104" t="inlineStr">
        <is>
          <t>R1_Basematite</t>
        </is>
      </c>
      <c r="E104" t="inlineStr">
        <is>
          <t>D03_SG05</t>
        </is>
      </c>
      <c r="F104" t="inlineStr">
        <is>
          <t>P0062_3</t>
        </is>
      </c>
      <c r="G104" t="n">
        <v>292.6</v>
      </c>
      <c r="H104" t="n">
        <v>27.84</v>
      </c>
    </row>
    <row r="105">
      <c r="A105" t="n">
        <v>3</v>
      </c>
      <c r="B105" s="7" t="n">
        <v>45448.54166666666</v>
      </c>
      <c r="C105" t="inlineStr">
        <is>
          <t>B</t>
        </is>
      </c>
      <c r="D105" t="inlineStr">
        <is>
          <t>R1_Basematite</t>
        </is>
      </c>
      <c r="E105" t="inlineStr">
        <is>
          <t>D03_SG05</t>
        </is>
      </c>
      <c r="F105" t="inlineStr">
        <is>
          <t>P0062_4</t>
        </is>
      </c>
      <c r="G105" t="n">
        <v>284.1</v>
      </c>
      <c r="H105" t="n">
        <v>28.63</v>
      </c>
    </row>
    <row r="106">
      <c r="A106" t="n">
        <v>3</v>
      </c>
      <c r="B106" s="7" t="n">
        <v>45448.54166666666</v>
      </c>
      <c r="C106" t="inlineStr">
        <is>
          <t>B</t>
        </is>
      </c>
      <c r="D106" t="inlineStr">
        <is>
          <t>R1_Basematite</t>
        </is>
      </c>
      <c r="E106" t="inlineStr">
        <is>
          <t>D03_SG05</t>
        </is>
      </c>
      <c r="F106" t="inlineStr">
        <is>
          <t>P0062_5</t>
        </is>
      </c>
      <c r="G106" t="n">
        <v>262.7</v>
      </c>
      <c r="H106" t="n">
        <v>28.8</v>
      </c>
    </row>
    <row r="107">
      <c r="A107" t="n">
        <v>3</v>
      </c>
      <c r="B107" s="7" t="n">
        <v>45448.66666666666</v>
      </c>
      <c r="C107" t="inlineStr">
        <is>
          <t>C</t>
        </is>
      </c>
      <c r="D107" t="inlineStr">
        <is>
          <t>R1_Basematite</t>
        </is>
      </c>
      <c r="E107" t="inlineStr">
        <is>
          <t>D03_SG06</t>
        </is>
      </c>
      <c r="F107" t="inlineStr">
        <is>
          <t>P0065_1</t>
        </is>
      </c>
      <c r="G107" t="n">
        <v>212.4</v>
      </c>
      <c r="H107" t="n">
        <v>27.08</v>
      </c>
    </row>
    <row r="108">
      <c r="A108" t="n">
        <v>3</v>
      </c>
      <c r="B108" s="7" t="n">
        <v>45448.66666666666</v>
      </c>
      <c r="C108" t="inlineStr">
        <is>
          <t>C</t>
        </is>
      </c>
      <c r="D108" t="inlineStr">
        <is>
          <t>R1_Basematite</t>
        </is>
      </c>
      <c r="E108" t="inlineStr">
        <is>
          <t>D03_SG06</t>
        </is>
      </c>
      <c r="F108" t="inlineStr">
        <is>
          <t>P0065_2</t>
        </is>
      </c>
      <c r="G108" t="n">
        <v>215.1</v>
      </c>
      <c r="H108" t="n">
        <v>26.69</v>
      </c>
    </row>
    <row r="109">
      <c r="A109" t="n">
        <v>3</v>
      </c>
      <c r="B109" s="7" t="n">
        <v>45448.66666666666</v>
      </c>
      <c r="C109" t="inlineStr">
        <is>
          <t>C</t>
        </is>
      </c>
      <c r="D109" t="inlineStr">
        <is>
          <t>R1_Basematite</t>
        </is>
      </c>
      <c r="E109" t="inlineStr">
        <is>
          <t>D03_SG06</t>
        </is>
      </c>
      <c r="F109" t="inlineStr">
        <is>
          <t>P0065_3</t>
        </is>
      </c>
      <c r="G109" t="n">
        <v>219.9</v>
      </c>
      <c r="H109" t="n">
        <v>26.68</v>
      </c>
    </row>
    <row r="110">
      <c r="A110" t="n">
        <v>3</v>
      </c>
      <c r="B110" s="7" t="n">
        <v>45448.66666666666</v>
      </c>
      <c r="C110" t="inlineStr">
        <is>
          <t>C</t>
        </is>
      </c>
      <c r="D110" t="inlineStr">
        <is>
          <t>R1_Basematite</t>
        </is>
      </c>
      <c r="E110" t="inlineStr">
        <is>
          <t>D03_SG06</t>
        </is>
      </c>
      <c r="F110" t="inlineStr">
        <is>
          <t>P0065_4</t>
        </is>
      </c>
      <c r="G110" t="n">
        <v>227.3</v>
      </c>
      <c r="H110" t="n">
        <v>27.5</v>
      </c>
    </row>
    <row r="111">
      <c r="A111" t="n">
        <v>3</v>
      </c>
      <c r="B111" s="7" t="n">
        <v>45448.66666666666</v>
      </c>
      <c r="C111" t="inlineStr">
        <is>
          <t>C</t>
        </is>
      </c>
      <c r="D111" t="inlineStr">
        <is>
          <t>R1_Basematite</t>
        </is>
      </c>
      <c r="E111" t="inlineStr">
        <is>
          <t>D03_SG06</t>
        </is>
      </c>
      <c r="F111" t="inlineStr">
        <is>
          <t>P0065_5</t>
        </is>
      </c>
      <c r="G111" t="n">
        <v>198.1</v>
      </c>
      <c r="H111" t="n">
        <v>26.95</v>
      </c>
    </row>
    <row r="112">
      <c r="A112" t="n">
        <v>3</v>
      </c>
      <c r="B112" s="7" t="n">
        <v>45448.79166666666</v>
      </c>
      <c r="C112" t="inlineStr">
        <is>
          <t>C</t>
        </is>
      </c>
      <c r="D112" t="inlineStr">
        <is>
          <t>R1_Basematite</t>
        </is>
      </c>
      <c r="E112" t="inlineStr">
        <is>
          <t>D03_SG07</t>
        </is>
      </c>
      <c r="F112" t="inlineStr">
        <is>
          <t>P0068_1</t>
        </is>
      </c>
      <c r="G112" t="n">
        <v>226.8</v>
      </c>
      <c r="H112" t="n">
        <v>29.12</v>
      </c>
    </row>
    <row r="113">
      <c r="A113" t="n">
        <v>3</v>
      </c>
      <c r="B113" s="7" t="n">
        <v>45448.79166666666</v>
      </c>
      <c r="C113" t="inlineStr">
        <is>
          <t>C</t>
        </is>
      </c>
      <c r="D113" t="inlineStr">
        <is>
          <t>R1_Basematite</t>
        </is>
      </c>
      <c r="E113" t="inlineStr">
        <is>
          <t>D03_SG07</t>
        </is>
      </c>
      <c r="F113" t="inlineStr">
        <is>
          <t>P0068_2</t>
        </is>
      </c>
      <c r="G113" t="n">
        <v>230.8</v>
      </c>
      <c r="H113" t="n">
        <v>29.16</v>
      </c>
    </row>
    <row r="114">
      <c r="A114" t="n">
        <v>3</v>
      </c>
      <c r="B114" s="7" t="n">
        <v>45448.79166666666</v>
      </c>
      <c r="C114" t="inlineStr">
        <is>
          <t>C</t>
        </is>
      </c>
      <c r="D114" t="inlineStr">
        <is>
          <t>R1_Basematite</t>
        </is>
      </c>
      <c r="E114" t="inlineStr">
        <is>
          <t>D03_SG07</t>
        </is>
      </c>
      <c r="F114" t="inlineStr">
        <is>
          <t>P0068_3</t>
        </is>
      </c>
      <c r="G114" t="n">
        <v>252.7</v>
      </c>
      <c r="H114" t="n">
        <v>28.66</v>
      </c>
    </row>
    <row r="115">
      <c r="A115" t="n">
        <v>3</v>
      </c>
      <c r="B115" s="7" t="n">
        <v>45448.79166666666</v>
      </c>
      <c r="C115" t="inlineStr">
        <is>
          <t>C</t>
        </is>
      </c>
      <c r="D115" t="inlineStr">
        <is>
          <t>R1_Basematite</t>
        </is>
      </c>
      <c r="E115" t="inlineStr">
        <is>
          <t>D03_SG07</t>
        </is>
      </c>
      <c r="F115" t="inlineStr">
        <is>
          <t>P0068_4</t>
        </is>
      </c>
      <c r="G115" t="n">
        <v>224.7</v>
      </c>
      <c r="H115" t="n">
        <v>28.6</v>
      </c>
    </row>
    <row r="116">
      <c r="A116" t="n">
        <v>3</v>
      </c>
      <c r="B116" s="7" t="n">
        <v>45448.79166666666</v>
      </c>
      <c r="C116" t="inlineStr">
        <is>
          <t>C</t>
        </is>
      </c>
      <c r="D116" t="inlineStr">
        <is>
          <t>R1_Basematite</t>
        </is>
      </c>
      <c r="E116" t="inlineStr">
        <is>
          <t>D03_SG07</t>
        </is>
      </c>
      <c r="F116" t="inlineStr">
        <is>
          <t>P0068_5</t>
        </is>
      </c>
      <c r="G116" t="n">
        <v>229</v>
      </c>
      <c r="H116" t="n">
        <v>28.2</v>
      </c>
    </row>
    <row r="117">
      <c r="A117" t="n">
        <v>3</v>
      </c>
      <c r="B117" s="7" t="n">
        <v>45448.95833333334</v>
      </c>
      <c r="C117" t="inlineStr">
        <is>
          <t>C</t>
        </is>
      </c>
      <c r="D117" t="inlineStr">
        <is>
          <t>R1_Basematite</t>
        </is>
      </c>
      <c r="E117" t="inlineStr">
        <is>
          <t>D03_SG08</t>
        </is>
      </c>
      <c r="F117" t="inlineStr">
        <is>
          <t>P0072_1</t>
        </is>
      </c>
      <c r="G117" t="n">
        <v>281.5</v>
      </c>
      <c r="H117" t="n">
        <v>25.84</v>
      </c>
    </row>
    <row r="118">
      <c r="A118" t="n">
        <v>3</v>
      </c>
      <c r="B118" s="7" t="n">
        <v>45448.95833333334</v>
      </c>
      <c r="C118" t="inlineStr">
        <is>
          <t>C</t>
        </is>
      </c>
      <c r="D118" t="inlineStr">
        <is>
          <t>R1_Basematite</t>
        </is>
      </c>
      <c r="E118" t="inlineStr">
        <is>
          <t>D03_SG08</t>
        </is>
      </c>
      <c r="F118" t="inlineStr">
        <is>
          <t>P0072_2</t>
        </is>
      </c>
      <c r="G118" t="n">
        <v>258.5</v>
      </c>
      <c r="H118" t="n">
        <v>25.42</v>
      </c>
    </row>
    <row r="119">
      <c r="A119" t="n">
        <v>3</v>
      </c>
      <c r="B119" s="7" t="n">
        <v>45448.95833333334</v>
      </c>
      <c r="C119" t="inlineStr">
        <is>
          <t>C</t>
        </is>
      </c>
      <c r="D119" t="inlineStr">
        <is>
          <t>R1_Basematite</t>
        </is>
      </c>
      <c r="E119" t="inlineStr">
        <is>
          <t>D03_SG08</t>
        </is>
      </c>
      <c r="F119" t="inlineStr">
        <is>
          <t>P0072_3</t>
        </is>
      </c>
      <c r="G119" t="n">
        <v>268.8</v>
      </c>
      <c r="H119" t="n">
        <v>24.33</v>
      </c>
    </row>
    <row r="120">
      <c r="A120" t="n">
        <v>3</v>
      </c>
      <c r="B120" s="7" t="n">
        <v>45448.95833333334</v>
      </c>
      <c r="C120" t="inlineStr">
        <is>
          <t>C</t>
        </is>
      </c>
      <c r="D120" t="inlineStr">
        <is>
          <t>R1_Basematite</t>
        </is>
      </c>
      <c r="E120" t="inlineStr">
        <is>
          <t>D03_SG08</t>
        </is>
      </c>
      <c r="F120" t="inlineStr">
        <is>
          <t>P0072_4</t>
        </is>
      </c>
      <c r="G120" t="n">
        <v>259.2</v>
      </c>
      <c r="H120" t="n">
        <v>25.61</v>
      </c>
    </row>
    <row r="121">
      <c r="A121" t="n">
        <v>3</v>
      </c>
      <c r="B121" s="7" t="n">
        <v>45448.95833333334</v>
      </c>
      <c r="C121" t="inlineStr">
        <is>
          <t>C</t>
        </is>
      </c>
      <c r="D121" t="inlineStr">
        <is>
          <t>R1_Basematite</t>
        </is>
      </c>
      <c r="E121" t="inlineStr">
        <is>
          <t>D03_SG08</t>
        </is>
      </c>
      <c r="F121" t="inlineStr">
        <is>
          <t>P0072_5</t>
        </is>
      </c>
      <c r="G121" t="n">
        <v>277.9</v>
      </c>
      <c r="H121" t="n">
        <v>25.85</v>
      </c>
    </row>
    <row r="122">
      <c r="A122" t="n">
        <v>4</v>
      </c>
      <c r="B122" s="7" t="n">
        <v>45449</v>
      </c>
      <c r="C122" t="inlineStr">
        <is>
          <t>A</t>
        </is>
      </c>
      <c r="D122" t="inlineStr">
        <is>
          <t>R1_Basematite</t>
        </is>
      </c>
      <c r="E122" t="inlineStr">
        <is>
          <t>D04_SG01</t>
        </is>
      </c>
      <c r="F122" t="inlineStr">
        <is>
          <t>P0073_1</t>
        </is>
      </c>
      <c r="G122" t="n">
        <v>282</v>
      </c>
      <c r="H122" t="n">
        <v>26.09</v>
      </c>
    </row>
    <row r="123">
      <c r="A123" t="n">
        <v>4</v>
      </c>
      <c r="B123" s="7" t="n">
        <v>45449</v>
      </c>
      <c r="C123" t="inlineStr">
        <is>
          <t>A</t>
        </is>
      </c>
      <c r="D123" t="inlineStr">
        <is>
          <t>R1_Basematite</t>
        </is>
      </c>
      <c r="E123" t="inlineStr">
        <is>
          <t>D04_SG01</t>
        </is>
      </c>
      <c r="F123" t="inlineStr">
        <is>
          <t>P0073_2</t>
        </is>
      </c>
      <c r="G123" t="n">
        <v>278.6</v>
      </c>
      <c r="H123" t="n">
        <v>27.23</v>
      </c>
    </row>
    <row r="124">
      <c r="A124" t="n">
        <v>4</v>
      </c>
      <c r="B124" s="7" t="n">
        <v>45449</v>
      </c>
      <c r="C124" t="inlineStr">
        <is>
          <t>A</t>
        </is>
      </c>
      <c r="D124" t="inlineStr">
        <is>
          <t>R1_Basematite</t>
        </is>
      </c>
      <c r="E124" t="inlineStr">
        <is>
          <t>D04_SG01</t>
        </is>
      </c>
      <c r="F124" t="inlineStr">
        <is>
          <t>P0073_3</t>
        </is>
      </c>
      <c r="G124" t="n">
        <v>285.2</v>
      </c>
      <c r="H124" t="n">
        <v>26.87</v>
      </c>
    </row>
    <row r="125">
      <c r="A125" t="n">
        <v>4</v>
      </c>
      <c r="B125" s="7" t="n">
        <v>45449</v>
      </c>
      <c r="C125" t="inlineStr">
        <is>
          <t>A</t>
        </is>
      </c>
      <c r="D125" t="inlineStr">
        <is>
          <t>R1_Basematite</t>
        </is>
      </c>
      <c r="E125" t="inlineStr">
        <is>
          <t>D04_SG01</t>
        </is>
      </c>
      <c r="F125" t="inlineStr">
        <is>
          <t>P0073_4</t>
        </is>
      </c>
      <c r="G125" t="n">
        <v>281.1</v>
      </c>
      <c r="H125" t="n">
        <v>26.07</v>
      </c>
    </row>
    <row r="126">
      <c r="A126" t="n">
        <v>4</v>
      </c>
      <c r="B126" s="7" t="n">
        <v>45449</v>
      </c>
      <c r="C126" t="inlineStr">
        <is>
          <t>A</t>
        </is>
      </c>
      <c r="D126" t="inlineStr">
        <is>
          <t>R1_Basematite</t>
        </is>
      </c>
      <c r="E126" t="inlineStr">
        <is>
          <t>D04_SG01</t>
        </is>
      </c>
      <c r="F126" t="inlineStr">
        <is>
          <t>P0073_5</t>
        </is>
      </c>
      <c r="G126" t="n">
        <v>273.6</v>
      </c>
      <c r="H126" t="n">
        <v>26.47</v>
      </c>
    </row>
    <row r="127">
      <c r="A127" t="n">
        <v>4</v>
      </c>
      <c r="B127" s="7" t="n">
        <v>45449.125</v>
      </c>
      <c r="C127" t="inlineStr">
        <is>
          <t>A</t>
        </is>
      </c>
      <c r="D127" t="inlineStr">
        <is>
          <t>R1_Basematite</t>
        </is>
      </c>
      <c r="E127" t="inlineStr">
        <is>
          <t>D04_SG02</t>
        </is>
      </c>
      <c r="F127" t="inlineStr">
        <is>
          <t>P0076_1</t>
        </is>
      </c>
      <c r="H127" t="n">
        <v>26.52</v>
      </c>
    </row>
    <row r="128">
      <c r="A128" t="n">
        <v>4</v>
      </c>
      <c r="B128" s="7" t="n">
        <v>45449.125</v>
      </c>
      <c r="C128" t="inlineStr">
        <is>
          <t>A</t>
        </is>
      </c>
      <c r="D128" t="inlineStr">
        <is>
          <t>R1_Basematite</t>
        </is>
      </c>
      <c r="E128" t="inlineStr">
        <is>
          <t>D04_SG02</t>
        </is>
      </c>
      <c r="F128" t="inlineStr">
        <is>
          <t>P0076_2</t>
        </is>
      </c>
      <c r="H128" t="n">
        <v>27.08</v>
      </c>
    </row>
    <row r="129">
      <c r="A129" t="n">
        <v>4</v>
      </c>
      <c r="B129" s="7" t="n">
        <v>45449.125</v>
      </c>
      <c r="C129" t="inlineStr">
        <is>
          <t>A</t>
        </is>
      </c>
      <c r="D129" t="inlineStr">
        <is>
          <t>R1_Basematite</t>
        </is>
      </c>
      <c r="E129" t="inlineStr">
        <is>
          <t>D04_SG02</t>
        </is>
      </c>
      <c r="F129" t="inlineStr">
        <is>
          <t>P0076_3</t>
        </is>
      </c>
      <c r="H129" t="n">
        <v>26.26</v>
      </c>
    </row>
    <row r="130">
      <c r="A130" t="n">
        <v>4</v>
      </c>
      <c r="B130" s="7" t="n">
        <v>45449.125</v>
      </c>
      <c r="C130" t="inlineStr">
        <is>
          <t>A</t>
        </is>
      </c>
      <c r="D130" t="inlineStr">
        <is>
          <t>R1_Basematite</t>
        </is>
      </c>
      <c r="E130" t="inlineStr">
        <is>
          <t>D04_SG02</t>
        </is>
      </c>
      <c r="F130" t="inlineStr">
        <is>
          <t>P0076_4</t>
        </is>
      </c>
      <c r="H130" t="n">
        <v>26.13</v>
      </c>
    </row>
    <row r="131">
      <c r="A131" t="n">
        <v>4</v>
      </c>
      <c r="B131" s="7" t="n">
        <v>45449.125</v>
      </c>
      <c r="C131" t="inlineStr">
        <is>
          <t>A</t>
        </is>
      </c>
      <c r="D131" t="inlineStr">
        <is>
          <t>R1_Basematite</t>
        </is>
      </c>
      <c r="E131" t="inlineStr">
        <is>
          <t>D04_SG02</t>
        </is>
      </c>
      <c r="F131" t="inlineStr">
        <is>
          <t>P0076_5</t>
        </is>
      </c>
      <c r="H131" t="n">
        <v>25.9</v>
      </c>
    </row>
    <row r="132">
      <c r="A132" t="n">
        <v>4</v>
      </c>
      <c r="B132" s="7" t="n">
        <v>45449.25</v>
      </c>
      <c r="C132" t="inlineStr">
        <is>
          <t>A</t>
        </is>
      </c>
      <c r="D132" t="inlineStr">
        <is>
          <t>R1_Basematite</t>
        </is>
      </c>
      <c r="E132" t="inlineStr">
        <is>
          <t>D04_SG03</t>
        </is>
      </c>
      <c r="F132" t="inlineStr">
        <is>
          <t>P0079_1</t>
        </is>
      </c>
      <c r="G132" t="n">
        <v>220.8</v>
      </c>
      <c r="H132" t="n">
        <v>25.03</v>
      </c>
    </row>
    <row r="133">
      <c r="A133" t="n">
        <v>4</v>
      </c>
      <c r="B133" s="7" t="n">
        <v>45449.25</v>
      </c>
      <c r="C133" t="inlineStr">
        <is>
          <t>A</t>
        </is>
      </c>
      <c r="D133" t="inlineStr">
        <is>
          <t>R1_Basematite</t>
        </is>
      </c>
      <c r="E133" t="inlineStr">
        <is>
          <t>D04_SG03</t>
        </is>
      </c>
      <c r="F133" t="inlineStr">
        <is>
          <t>P0079_2</t>
        </is>
      </c>
      <c r="G133" t="n">
        <v>228.7</v>
      </c>
      <c r="H133" t="n">
        <v>25.27</v>
      </c>
    </row>
    <row r="134">
      <c r="A134" t="n">
        <v>4</v>
      </c>
      <c r="B134" s="7" t="n">
        <v>45449.25</v>
      </c>
      <c r="C134" t="inlineStr">
        <is>
          <t>A</t>
        </is>
      </c>
      <c r="D134" t="inlineStr">
        <is>
          <t>R1_Basematite</t>
        </is>
      </c>
      <c r="E134" t="inlineStr">
        <is>
          <t>D04_SG03</t>
        </is>
      </c>
      <c r="F134" t="inlineStr">
        <is>
          <t>P0079_3</t>
        </is>
      </c>
      <c r="G134" t="n">
        <v>215.7</v>
      </c>
      <c r="H134" t="n">
        <v>24.42</v>
      </c>
    </row>
    <row r="135">
      <c r="A135" t="n">
        <v>4</v>
      </c>
      <c r="B135" s="7" t="n">
        <v>45449.25</v>
      </c>
      <c r="C135" t="inlineStr">
        <is>
          <t>A</t>
        </is>
      </c>
      <c r="D135" t="inlineStr">
        <is>
          <t>R1_Basematite</t>
        </is>
      </c>
      <c r="E135" t="inlineStr">
        <is>
          <t>D04_SG03</t>
        </is>
      </c>
      <c r="F135" t="inlineStr">
        <is>
          <t>P0079_4</t>
        </is>
      </c>
      <c r="G135" t="n">
        <v>212.5</v>
      </c>
      <c r="H135" t="n">
        <v>24.69</v>
      </c>
    </row>
    <row r="136">
      <c r="A136" t="n">
        <v>4</v>
      </c>
      <c r="B136" s="7" t="n">
        <v>45449.25</v>
      </c>
      <c r="C136" t="inlineStr">
        <is>
          <t>A</t>
        </is>
      </c>
      <c r="D136" t="inlineStr">
        <is>
          <t>R1_Basematite</t>
        </is>
      </c>
      <c r="E136" t="inlineStr">
        <is>
          <t>D04_SG03</t>
        </is>
      </c>
      <c r="F136" t="inlineStr">
        <is>
          <t>P0079_5</t>
        </is>
      </c>
      <c r="G136" t="n">
        <v>240.9</v>
      </c>
      <c r="H136" t="n">
        <v>25.46</v>
      </c>
    </row>
    <row r="137">
      <c r="A137" t="n">
        <v>4</v>
      </c>
      <c r="B137" s="7" t="n">
        <v>45449.375</v>
      </c>
      <c r="C137" t="inlineStr">
        <is>
          <t>B</t>
        </is>
      </c>
      <c r="D137" t="inlineStr">
        <is>
          <t>R1_Basematite</t>
        </is>
      </c>
      <c r="E137" t="inlineStr">
        <is>
          <t>D04_SG04</t>
        </is>
      </c>
      <c r="F137" t="inlineStr">
        <is>
          <t>P0082_1</t>
        </is>
      </c>
      <c r="G137" t="n">
        <v>390.8</v>
      </c>
      <c r="H137" t="n">
        <v>27.49</v>
      </c>
    </row>
    <row r="138">
      <c r="A138" t="n">
        <v>4</v>
      </c>
      <c r="B138" s="7" t="n">
        <v>45449.375</v>
      </c>
      <c r="C138" t="inlineStr">
        <is>
          <t>B</t>
        </is>
      </c>
      <c r="D138" t="inlineStr">
        <is>
          <t>R1_Basematite</t>
        </is>
      </c>
      <c r="E138" t="inlineStr">
        <is>
          <t>D04_SG04</t>
        </is>
      </c>
      <c r="F138" t="inlineStr">
        <is>
          <t>P0082_2</t>
        </is>
      </c>
      <c r="G138" t="n">
        <v>381.4</v>
      </c>
      <c r="H138" t="n">
        <v>27.5</v>
      </c>
    </row>
    <row r="139">
      <c r="A139" t="n">
        <v>4</v>
      </c>
      <c r="B139" s="7" t="n">
        <v>45449.375</v>
      </c>
      <c r="C139" t="inlineStr">
        <is>
          <t>B</t>
        </is>
      </c>
      <c r="D139" t="inlineStr">
        <is>
          <t>R1_Basematite</t>
        </is>
      </c>
      <c r="E139" t="inlineStr">
        <is>
          <t>D04_SG04</t>
        </is>
      </c>
      <c r="F139" t="inlineStr">
        <is>
          <t>P0082_3</t>
        </is>
      </c>
      <c r="G139" t="n">
        <v>356.3</v>
      </c>
      <c r="H139" t="n">
        <v>27.31</v>
      </c>
    </row>
    <row r="140">
      <c r="A140" t="n">
        <v>4</v>
      </c>
      <c r="B140" s="7" t="n">
        <v>45449.375</v>
      </c>
      <c r="C140" t="inlineStr">
        <is>
          <t>B</t>
        </is>
      </c>
      <c r="D140" t="inlineStr">
        <is>
          <t>R1_Basematite</t>
        </is>
      </c>
      <c r="E140" t="inlineStr">
        <is>
          <t>D04_SG04</t>
        </is>
      </c>
      <c r="F140" t="inlineStr">
        <is>
          <t>P0082_4</t>
        </is>
      </c>
      <c r="G140" t="n">
        <v>374.6</v>
      </c>
      <c r="H140" t="n">
        <v>27.25</v>
      </c>
    </row>
    <row r="141">
      <c r="A141" t="n">
        <v>4</v>
      </c>
      <c r="B141" s="7" t="n">
        <v>45449.375</v>
      </c>
      <c r="C141" t="inlineStr">
        <is>
          <t>B</t>
        </is>
      </c>
      <c r="D141" t="inlineStr">
        <is>
          <t>R1_Basematite</t>
        </is>
      </c>
      <c r="E141" t="inlineStr">
        <is>
          <t>D04_SG04</t>
        </is>
      </c>
      <c r="F141" t="inlineStr">
        <is>
          <t>P0082_5</t>
        </is>
      </c>
      <c r="G141" t="n">
        <v>366.3</v>
      </c>
      <c r="H141" t="n">
        <v>26.81</v>
      </c>
    </row>
    <row r="142">
      <c r="A142" t="n">
        <v>4</v>
      </c>
      <c r="B142" s="7" t="n">
        <v>45449.54166666666</v>
      </c>
      <c r="C142" t="inlineStr">
        <is>
          <t>B</t>
        </is>
      </c>
      <c r="D142" t="inlineStr">
        <is>
          <t>R1_Basematite</t>
        </is>
      </c>
      <c r="E142" t="inlineStr">
        <is>
          <t>D04_SG05</t>
        </is>
      </c>
      <c r="F142" t="inlineStr">
        <is>
          <t>P0086_1</t>
        </is>
      </c>
      <c r="G142" t="n">
        <v>294.6</v>
      </c>
      <c r="H142" t="n">
        <v>24.75</v>
      </c>
    </row>
    <row r="143">
      <c r="A143" t="n">
        <v>4</v>
      </c>
      <c r="B143" s="7" t="n">
        <v>45449.54166666666</v>
      </c>
      <c r="C143" t="inlineStr">
        <is>
          <t>B</t>
        </is>
      </c>
      <c r="D143" t="inlineStr">
        <is>
          <t>R1_Basematite</t>
        </is>
      </c>
      <c r="E143" t="inlineStr">
        <is>
          <t>D04_SG05</t>
        </is>
      </c>
      <c r="F143" t="inlineStr">
        <is>
          <t>P0086_2</t>
        </is>
      </c>
      <c r="G143" t="n">
        <v>299.1</v>
      </c>
      <c r="H143" t="n">
        <v>25.07</v>
      </c>
    </row>
    <row r="144">
      <c r="A144" t="n">
        <v>4</v>
      </c>
      <c r="B144" s="7" t="n">
        <v>45449.54166666666</v>
      </c>
      <c r="C144" t="inlineStr">
        <is>
          <t>B</t>
        </is>
      </c>
      <c r="D144" t="inlineStr">
        <is>
          <t>R1_Basematite</t>
        </is>
      </c>
      <c r="E144" t="inlineStr">
        <is>
          <t>D04_SG05</t>
        </is>
      </c>
      <c r="F144" t="inlineStr">
        <is>
          <t>P0086_3</t>
        </is>
      </c>
      <c r="G144" t="n">
        <v>299.1</v>
      </c>
      <c r="H144" t="n">
        <v>24.71</v>
      </c>
    </row>
    <row r="145">
      <c r="A145" t="n">
        <v>4</v>
      </c>
      <c r="B145" s="7" t="n">
        <v>45449.54166666666</v>
      </c>
      <c r="C145" t="inlineStr">
        <is>
          <t>B</t>
        </is>
      </c>
      <c r="D145" t="inlineStr">
        <is>
          <t>R1_Basematite</t>
        </is>
      </c>
      <c r="E145" t="inlineStr">
        <is>
          <t>D04_SG05</t>
        </is>
      </c>
      <c r="F145" t="inlineStr">
        <is>
          <t>P0086_4</t>
        </is>
      </c>
      <c r="G145" t="n">
        <v>306.3</v>
      </c>
      <c r="H145" t="n">
        <v>24.68</v>
      </c>
    </row>
    <row r="146">
      <c r="A146" t="n">
        <v>4</v>
      </c>
      <c r="B146" s="7" t="n">
        <v>45449.54166666666</v>
      </c>
      <c r="C146" t="inlineStr">
        <is>
          <t>B</t>
        </is>
      </c>
      <c r="D146" t="inlineStr">
        <is>
          <t>R1_Basematite</t>
        </is>
      </c>
      <c r="E146" t="inlineStr">
        <is>
          <t>D04_SG05</t>
        </is>
      </c>
      <c r="F146" t="inlineStr">
        <is>
          <t>P0086_5</t>
        </is>
      </c>
      <c r="G146" t="n">
        <v>294.6</v>
      </c>
      <c r="H146" t="n">
        <v>24.46</v>
      </c>
    </row>
    <row r="147">
      <c r="A147" t="n">
        <v>4</v>
      </c>
      <c r="B147" s="7" t="n">
        <v>45449.66666666666</v>
      </c>
      <c r="C147" t="inlineStr">
        <is>
          <t>C</t>
        </is>
      </c>
      <c r="D147" t="inlineStr">
        <is>
          <t>R1_Basematite</t>
        </is>
      </c>
      <c r="E147" t="inlineStr">
        <is>
          <t>D04_SG06</t>
        </is>
      </c>
      <c r="F147" t="inlineStr">
        <is>
          <t>P0089_1</t>
        </is>
      </c>
      <c r="G147" t="n">
        <v>207.6</v>
      </c>
      <c r="H147" t="n">
        <v>25.63</v>
      </c>
    </row>
    <row r="148">
      <c r="A148" t="n">
        <v>4</v>
      </c>
      <c r="B148" s="7" t="n">
        <v>45449.66666666666</v>
      </c>
      <c r="C148" t="inlineStr">
        <is>
          <t>C</t>
        </is>
      </c>
      <c r="D148" t="inlineStr">
        <is>
          <t>R1_Basematite</t>
        </is>
      </c>
      <c r="E148" t="inlineStr">
        <is>
          <t>D04_SG06</t>
        </is>
      </c>
      <c r="F148" t="inlineStr">
        <is>
          <t>P0089_2</t>
        </is>
      </c>
      <c r="G148" t="n">
        <v>204.1</v>
      </c>
      <c r="H148" t="n">
        <v>25.33</v>
      </c>
    </row>
    <row r="149">
      <c r="A149" t="n">
        <v>4</v>
      </c>
      <c r="B149" s="7" t="n">
        <v>45449.66666666666</v>
      </c>
      <c r="C149" t="inlineStr">
        <is>
          <t>C</t>
        </is>
      </c>
      <c r="D149" t="inlineStr">
        <is>
          <t>R1_Basematite</t>
        </is>
      </c>
      <c r="E149" t="inlineStr">
        <is>
          <t>D04_SG06</t>
        </is>
      </c>
      <c r="F149" t="inlineStr">
        <is>
          <t>P0089_3</t>
        </is>
      </c>
      <c r="G149" t="n">
        <v>214</v>
      </c>
      <c r="H149" t="n">
        <v>27.08</v>
      </c>
    </row>
    <row r="150">
      <c r="A150" t="n">
        <v>4</v>
      </c>
      <c r="B150" s="7" t="n">
        <v>45449.66666666666</v>
      </c>
      <c r="C150" t="inlineStr">
        <is>
          <t>C</t>
        </is>
      </c>
      <c r="D150" t="inlineStr">
        <is>
          <t>R1_Basematite</t>
        </is>
      </c>
      <c r="E150" t="inlineStr">
        <is>
          <t>D04_SG06</t>
        </is>
      </c>
      <c r="F150" t="inlineStr">
        <is>
          <t>P0089_4</t>
        </is>
      </c>
      <c r="G150" t="n">
        <v>212.4</v>
      </c>
      <c r="H150" t="n">
        <v>25.99</v>
      </c>
    </row>
    <row r="151">
      <c r="A151" t="n">
        <v>4</v>
      </c>
      <c r="B151" s="7" t="n">
        <v>45449.66666666666</v>
      </c>
      <c r="C151" t="inlineStr">
        <is>
          <t>C</t>
        </is>
      </c>
      <c r="D151" t="inlineStr">
        <is>
          <t>R1_Basematite</t>
        </is>
      </c>
      <c r="E151" t="inlineStr">
        <is>
          <t>D04_SG06</t>
        </is>
      </c>
      <c r="F151" t="inlineStr">
        <is>
          <t>P0089_5</t>
        </is>
      </c>
      <c r="G151" t="n">
        <v>211.4</v>
      </c>
      <c r="H151" t="n">
        <v>25.69</v>
      </c>
    </row>
    <row r="152">
      <c r="A152" t="n">
        <v>4</v>
      </c>
      <c r="B152" s="7" t="n">
        <v>45449.79166666666</v>
      </c>
      <c r="C152" t="inlineStr">
        <is>
          <t>C</t>
        </is>
      </c>
      <c r="D152" t="inlineStr">
        <is>
          <t>R1_Basematite</t>
        </is>
      </c>
      <c r="E152" t="inlineStr">
        <is>
          <t>D04_SG07</t>
        </is>
      </c>
      <c r="F152" t="inlineStr">
        <is>
          <t>P0092_1</t>
        </is>
      </c>
      <c r="G152" t="n">
        <v>291</v>
      </c>
      <c r="H152" t="n">
        <v>26.08</v>
      </c>
    </row>
    <row r="153">
      <c r="A153" t="n">
        <v>4</v>
      </c>
      <c r="B153" s="7" t="n">
        <v>45449.79166666666</v>
      </c>
      <c r="C153" t="inlineStr">
        <is>
          <t>C</t>
        </is>
      </c>
      <c r="D153" t="inlineStr">
        <is>
          <t>R1_Basematite</t>
        </is>
      </c>
      <c r="E153" t="inlineStr">
        <is>
          <t>D04_SG07</t>
        </is>
      </c>
      <c r="F153" t="inlineStr">
        <is>
          <t>P0092_2</t>
        </is>
      </c>
      <c r="G153" t="n">
        <v>300.9</v>
      </c>
      <c r="H153" t="n">
        <v>26.06</v>
      </c>
    </row>
    <row r="154">
      <c r="A154" t="n">
        <v>4</v>
      </c>
      <c r="B154" s="7" t="n">
        <v>45449.79166666666</v>
      </c>
      <c r="C154" t="inlineStr">
        <is>
          <t>C</t>
        </is>
      </c>
      <c r="D154" t="inlineStr">
        <is>
          <t>R1_Basematite</t>
        </is>
      </c>
      <c r="E154" t="inlineStr">
        <is>
          <t>D04_SG07</t>
        </is>
      </c>
      <c r="F154" t="inlineStr">
        <is>
          <t>P0092_3</t>
        </is>
      </c>
      <c r="G154" t="n">
        <v>310.4</v>
      </c>
      <c r="H154" t="n">
        <v>25.89</v>
      </c>
    </row>
    <row r="155">
      <c r="A155" t="n">
        <v>4</v>
      </c>
      <c r="B155" s="7" t="n">
        <v>45449.79166666666</v>
      </c>
      <c r="C155" t="inlineStr">
        <is>
          <t>C</t>
        </is>
      </c>
      <c r="D155" t="inlineStr">
        <is>
          <t>R1_Basematite</t>
        </is>
      </c>
      <c r="E155" t="inlineStr">
        <is>
          <t>D04_SG07</t>
        </is>
      </c>
      <c r="F155" t="inlineStr">
        <is>
          <t>P0092_4</t>
        </is>
      </c>
      <c r="G155" t="n">
        <v>282.5</v>
      </c>
      <c r="H155" t="n">
        <v>26.81</v>
      </c>
    </row>
    <row r="156">
      <c r="A156" t="n">
        <v>4</v>
      </c>
      <c r="B156" s="7" t="n">
        <v>45449.79166666666</v>
      </c>
      <c r="C156" t="inlineStr">
        <is>
          <t>C</t>
        </is>
      </c>
      <c r="D156" t="inlineStr">
        <is>
          <t>R1_Basematite</t>
        </is>
      </c>
      <c r="E156" t="inlineStr">
        <is>
          <t>D04_SG07</t>
        </is>
      </c>
      <c r="F156" t="inlineStr">
        <is>
          <t>P0092_5</t>
        </is>
      </c>
      <c r="G156" t="n">
        <v>299.3</v>
      </c>
      <c r="H156" t="n">
        <v>26.76</v>
      </c>
    </row>
    <row r="157">
      <c r="A157" t="n">
        <v>4</v>
      </c>
      <c r="B157" s="7" t="n">
        <v>45449.95833333334</v>
      </c>
      <c r="C157" t="inlineStr">
        <is>
          <t>C</t>
        </is>
      </c>
      <c r="D157" t="inlineStr">
        <is>
          <t>R1_Basematite</t>
        </is>
      </c>
      <c r="E157" t="inlineStr">
        <is>
          <t>D04_SG08</t>
        </is>
      </c>
      <c r="F157" t="inlineStr">
        <is>
          <t>P0096_1</t>
        </is>
      </c>
      <c r="G157" t="n">
        <v>278</v>
      </c>
      <c r="H157" t="n">
        <v>28.34</v>
      </c>
    </row>
    <row r="158">
      <c r="A158" t="n">
        <v>4</v>
      </c>
      <c r="B158" s="7" t="n">
        <v>45449.95833333334</v>
      </c>
      <c r="C158" t="inlineStr">
        <is>
          <t>C</t>
        </is>
      </c>
      <c r="D158" t="inlineStr">
        <is>
          <t>R1_Basematite</t>
        </is>
      </c>
      <c r="E158" t="inlineStr">
        <is>
          <t>D04_SG08</t>
        </is>
      </c>
      <c r="F158" t="inlineStr">
        <is>
          <t>P0096_2</t>
        </is>
      </c>
      <c r="G158" t="n">
        <v>260.2</v>
      </c>
      <c r="H158" t="n">
        <v>29.18</v>
      </c>
    </row>
    <row r="159">
      <c r="A159" t="n">
        <v>4</v>
      </c>
      <c r="B159" s="7" t="n">
        <v>45449.95833333334</v>
      </c>
      <c r="C159" t="inlineStr">
        <is>
          <t>C</t>
        </is>
      </c>
      <c r="D159" t="inlineStr">
        <is>
          <t>R1_Basematite</t>
        </is>
      </c>
      <c r="E159" t="inlineStr">
        <is>
          <t>D04_SG08</t>
        </is>
      </c>
      <c r="F159" t="inlineStr">
        <is>
          <t>P0096_3</t>
        </is>
      </c>
      <c r="G159" t="n">
        <v>242.4</v>
      </c>
      <c r="H159" t="n">
        <v>28.69</v>
      </c>
    </row>
    <row r="160">
      <c r="A160" t="n">
        <v>4</v>
      </c>
      <c r="B160" s="7" t="n">
        <v>45449.95833333334</v>
      </c>
      <c r="C160" t="inlineStr">
        <is>
          <t>C</t>
        </is>
      </c>
      <c r="D160" t="inlineStr">
        <is>
          <t>R1_Basematite</t>
        </is>
      </c>
      <c r="E160" t="inlineStr">
        <is>
          <t>D04_SG08</t>
        </is>
      </c>
      <c r="F160" t="inlineStr">
        <is>
          <t>P0096_4</t>
        </is>
      </c>
      <c r="G160" t="n">
        <v>276.5</v>
      </c>
      <c r="H160" t="n">
        <v>28.47</v>
      </c>
    </row>
    <row r="161">
      <c r="A161" t="n">
        <v>4</v>
      </c>
      <c r="B161" s="7" t="n">
        <v>45449.95833333334</v>
      </c>
      <c r="C161" t="inlineStr">
        <is>
          <t>C</t>
        </is>
      </c>
      <c r="D161" t="inlineStr">
        <is>
          <t>R1_Basematite</t>
        </is>
      </c>
      <c r="E161" t="inlineStr">
        <is>
          <t>D04_SG08</t>
        </is>
      </c>
      <c r="F161" t="inlineStr">
        <is>
          <t>P0096_5</t>
        </is>
      </c>
      <c r="G161" t="n">
        <v>244</v>
      </c>
      <c r="H161" t="n">
        <v>29.44</v>
      </c>
    </row>
    <row r="162">
      <c r="A162" t="n">
        <v>5</v>
      </c>
      <c r="B162" s="7" t="n">
        <v>45450</v>
      </c>
      <c r="C162" t="inlineStr">
        <is>
          <t>A</t>
        </is>
      </c>
      <c r="D162" t="inlineStr">
        <is>
          <t>R1_Basematite</t>
        </is>
      </c>
      <c r="E162" t="inlineStr">
        <is>
          <t>D05_SG01</t>
        </is>
      </c>
      <c r="F162" t="inlineStr">
        <is>
          <t>P0097_1</t>
        </is>
      </c>
      <c r="G162" t="n">
        <v>432.4</v>
      </c>
      <c r="H162" t="n">
        <v>25.65</v>
      </c>
    </row>
    <row r="163">
      <c r="A163" t="n">
        <v>5</v>
      </c>
      <c r="B163" s="7" t="n">
        <v>45450</v>
      </c>
      <c r="C163" t="inlineStr">
        <is>
          <t>A</t>
        </is>
      </c>
      <c r="D163" t="inlineStr">
        <is>
          <t>R1_Basematite</t>
        </is>
      </c>
      <c r="E163" t="inlineStr">
        <is>
          <t>D05_SG01</t>
        </is>
      </c>
      <c r="F163" t="inlineStr">
        <is>
          <t>P0097_2</t>
        </is>
      </c>
      <c r="G163" t="n">
        <v>414.1</v>
      </c>
      <c r="H163" t="n">
        <v>26.3</v>
      </c>
    </row>
    <row r="164">
      <c r="A164" t="n">
        <v>5</v>
      </c>
      <c r="B164" s="7" t="n">
        <v>45450</v>
      </c>
      <c r="C164" t="inlineStr">
        <is>
          <t>A</t>
        </is>
      </c>
      <c r="D164" t="inlineStr">
        <is>
          <t>R1_Basematite</t>
        </is>
      </c>
      <c r="E164" t="inlineStr">
        <is>
          <t>D05_SG01</t>
        </is>
      </c>
      <c r="F164" t="inlineStr">
        <is>
          <t>P0097_3</t>
        </is>
      </c>
      <c r="G164" t="n">
        <v>383</v>
      </c>
      <c r="H164" t="n">
        <v>26.27</v>
      </c>
    </row>
    <row r="165">
      <c r="A165" t="n">
        <v>5</v>
      </c>
      <c r="B165" s="7" t="n">
        <v>45450</v>
      </c>
      <c r="C165" t="inlineStr">
        <is>
          <t>A</t>
        </is>
      </c>
      <c r="D165" t="inlineStr">
        <is>
          <t>R1_Basematite</t>
        </is>
      </c>
      <c r="E165" t="inlineStr">
        <is>
          <t>D05_SG01</t>
        </is>
      </c>
      <c r="F165" t="inlineStr">
        <is>
          <t>P0097_4</t>
        </is>
      </c>
      <c r="G165" t="n">
        <v>384.6</v>
      </c>
      <c r="H165" t="n">
        <v>25.62</v>
      </c>
    </row>
    <row r="166">
      <c r="A166" t="n">
        <v>5</v>
      </c>
      <c r="B166" s="7" t="n">
        <v>45450</v>
      </c>
      <c r="C166" t="inlineStr">
        <is>
          <t>A</t>
        </is>
      </c>
      <c r="D166" t="inlineStr">
        <is>
          <t>R1_Basematite</t>
        </is>
      </c>
      <c r="E166" t="inlineStr">
        <is>
          <t>D05_SG01</t>
        </is>
      </c>
      <c r="F166" t="inlineStr">
        <is>
          <t>P0097_5</t>
        </is>
      </c>
      <c r="G166" t="n">
        <v>403.3</v>
      </c>
      <c r="H166" t="n">
        <v>25.73</v>
      </c>
    </row>
    <row r="167">
      <c r="A167" t="n">
        <v>5</v>
      </c>
      <c r="B167" s="7" t="n">
        <v>45450.125</v>
      </c>
      <c r="C167" t="inlineStr">
        <is>
          <t>A</t>
        </is>
      </c>
      <c r="D167" t="inlineStr">
        <is>
          <t>R1_Basematite</t>
        </is>
      </c>
      <c r="E167" t="inlineStr">
        <is>
          <t>D05_SG02</t>
        </is>
      </c>
      <c r="F167" t="inlineStr">
        <is>
          <t>P0100_1</t>
        </is>
      </c>
      <c r="G167" t="n">
        <v>254.5</v>
      </c>
      <c r="H167" t="n">
        <v>26.95</v>
      </c>
    </row>
    <row r="168">
      <c r="A168" t="n">
        <v>5</v>
      </c>
      <c r="B168" s="7" t="n">
        <v>45450.125</v>
      </c>
      <c r="C168" t="inlineStr">
        <is>
          <t>A</t>
        </is>
      </c>
      <c r="D168" t="inlineStr">
        <is>
          <t>R1_Basematite</t>
        </is>
      </c>
      <c r="E168" t="inlineStr">
        <is>
          <t>D05_SG02</t>
        </is>
      </c>
      <c r="F168" t="inlineStr">
        <is>
          <t>P0100_2</t>
        </is>
      </c>
      <c r="G168" t="n">
        <v>222.7</v>
      </c>
      <c r="H168" t="n">
        <v>26.9</v>
      </c>
    </row>
    <row r="169">
      <c r="A169" t="n">
        <v>5</v>
      </c>
      <c r="B169" s="7" t="n">
        <v>45450.125</v>
      </c>
      <c r="C169" t="inlineStr">
        <is>
          <t>A</t>
        </is>
      </c>
      <c r="D169" t="inlineStr">
        <is>
          <t>R1_Basematite</t>
        </is>
      </c>
      <c r="E169" t="inlineStr">
        <is>
          <t>D05_SG02</t>
        </is>
      </c>
      <c r="F169" t="inlineStr">
        <is>
          <t>P0100_3</t>
        </is>
      </c>
      <c r="G169" t="n">
        <v>244.7</v>
      </c>
      <c r="H169" t="n">
        <v>26.25</v>
      </c>
    </row>
    <row r="170">
      <c r="A170" t="n">
        <v>5</v>
      </c>
      <c r="B170" s="7" t="n">
        <v>45450.125</v>
      </c>
      <c r="C170" t="inlineStr">
        <is>
          <t>A</t>
        </is>
      </c>
      <c r="D170" t="inlineStr">
        <is>
          <t>R1_Basematite</t>
        </is>
      </c>
      <c r="E170" t="inlineStr">
        <is>
          <t>D05_SG02</t>
        </is>
      </c>
      <c r="F170" t="inlineStr">
        <is>
          <t>P0100_4</t>
        </is>
      </c>
      <c r="G170" t="n">
        <v>220.8</v>
      </c>
      <c r="H170" t="n">
        <v>27.68</v>
      </c>
    </row>
    <row r="171">
      <c r="A171" t="n">
        <v>5</v>
      </c>
      <c r="B171" s="7" t="n">
        <v>45450.125</v>
      </c>
      <c r="C171" t="inlineStr">
        <is>
          <t>A</t>
        </is>
      </c>
      <c r="D171" t="inlineStr">
        <is>
          <t>R1_Basematite</t>
        </is>
      </c>
      <c r="E171" t="inlineStr">
        <is>
          <t>D05_SG02</t>
        </is>
      </c>
      <c r="F171" t="inlineStr">
        <is>
          <t>P0100_5</t>
        </is>
      </c>
      <c r="G171" t="n">
        <v>218.3</v>
      </c>
      <c r="H171" t="n">
        <v>26.97</v>
      </c>
    </row>
    <row r="172">
      <c r="A172" t="n">
        <v>5</v>
      </c>
      <c r="B172" s="7" t="n">
        <v>45450.25</v>
      </c>
      <c r="C172" t="inlineStr">
        <is>
          <t>A</t>
        </is>
      </c>
      <c r="D172" t="inlineStr">
        <is>
          <t>R1_Basematite</t>
        </is>
      </c>
      <c r="E172" t="inlineStr">
        <is>
          <t>D05_SG03</t>
        </is>
      </c>
      <c r="F172" t="inlineStr">
        <is>
          <t>P0103_1</t>
        </is>
      </c>
      <c r="G172" t="n">
        <v>322.4</v>
      </c>
      <c r="H172" t="n">
        <v>25.2</v>
      </c>
    </row>
    <row r="173">
      <c r="A173" t="n">
        <v>5</v>
      </c>
      <c r="B173" s="7" t="n">
        <v>45450.25</v>
      </c>
      <c r="C173" t="inlineStr">
        <is>
          <t>A</t>
        </is>
      </c>
      <c r="D173" t="inlineStr">
        <is>
          <t>R1_Basematite</t>
        </is>
      </c>
      <c r="E173" t="inlineStr">
        <is>
          <t>D05_SG03</t>
        </is>
      </c>
      <c r="F173" t="inlineStr">
        <is>
          <t>P0103_2</t>
        </is>
      </c>
      <c r="G173" t="n">
        <v>290.1</v>
      </c>
      <c r="H173" t="n">
        <v>25.25</v>
      </c>
    </row>
    <row r="174">
      <c r="A174" t="n">
        <v>5</v>
      </c>
      <c r="B174" s="7" t="n">
        <v>45450.25</v>
      </c>
      <c r="C174" t="inlineStr">
        <is>
          <t>A</t>
        </is>
      </c>
      <c r="D174" t="inlineStr">
        <is>
          <t>R1_Basematite</t>
        </is>
      </c>
      <c r="E174" t="inlineStr">
        <is>
          <t>D05_SG03</t>
        </is>
      </c>
      <c r="F174" t="inlineStr">
        <is>
          <t>P0103_3</t>
        </is>
      </c>
      <c r="G174" t="n">
        <v>313.2</v>
      </c>
      <c r="H174" t="n">
        <v>25.82</v>
      </c>
    </row>
    <row r="175">
      <c r="A175" t="n">
        <v>5</v>
      </c>
      <c r="B175" s="7" t="n">
        <v>45450.25</v>
      </c>
      <c r="C175" t="inlineStr">
        <is>
          <t>A</t>
        </is>
      </c>
      <c r="D175" t="inlineStr">
        <is>
          <t>R1_Basematite</t>
        </is>
      </c>
      <c r="E175" t="inlineStr">
        <is>
          <t>D05_SG03</t>
        </is>
      </c>
      <c r="F175" t="inlineStr">
        <is>
          <t>P0103_4</t>
        </is>
      </c>
      <c r="G175" t="n">
        <v>326.1</v>
      </c>
      <c r="H175" t="n">
        <v>25.38</v>
      </c>
    </row>
    <row r="176">
      <c r="A176" t="n">
        <v>5</v>
      </c>
      <c r="B176" s="7" t="n">
        <v>45450.25</v>
      </c>
      <c r="C176" t="inlineStr">
        <is>
          <t>A</t>
        </is>
      </c>
      <c r="D176" t="inlineStr">
        <is>
          <t>R1_Basematite</t>
        </is>
      </c>
      <c r="E176" t="inlineStr">
        <is>
          <t>D05_SG03</t>
        </is>
      </c>
      <c r="F176" t="inlineStr">
        <is>
          <t>P0103_5</t>
        </is>
      </c>
      <c r="G176" t="n">
        <v>324.6</v>
      </c>
      <c r="H176" t="n">
        <v>25.91</v>
      </c>
    </row>
    <row r="177">
      <c r="A177" t="n">
        <v>5</v>
      </c>
      <c r="B177" s="7" t="n">
        <v>45450.375</v>
      </c>
      <c r="C177" t="inlineStr">
        <is>
          <t>B</t>
        </is>
      </c>
      <c r="D177" t="inlineStr">
        <is>
          <t>R1_Basematite</t>
        </is>
      </c>
      <c r="E177" t="inlineStr">
        <is>
          <t>D05_SG04</t>
        </is>
      </c>
      <c r="F177" t="inlineStr">
        <is>
          <t>P0106_1</t>
        </is>
      </c>
      <c r="G177" t="n">
        <v>233.3</v>
      </c>
      <c r="H177" t="n">
        <v>25.64</v>
      </c>
    </row>
    <row r="178">
      <c r="A178" t="n">
        <v>5</v>
      </c>
      <c r="B178" s="7" t="n">
        <v>45450.375</v>
      </c>
      <c r="C178" t="inlineStr">
        <is>
          <t>B</t>
        </is>
      </c>
      <c r="D178" t="inlineStr">
        <is>
          <t>R1_Basematite</t>
        </is>
      </c>
      <c r="E178" t="inlineStr">
        <is>
          <t>D05_SG04</t>
        </is>
      </c>
      <c r="F178" t="inlineStr">
        <is>
          <t>P0106_2</t>
        </is>
      </c>
      <c r="G178" t="n">
        <v>226.3</v>
      </c>
      <c r="H178" t="n">
        <v>25.62</v>
      </c>
    </row>
    <row r="179">
      <c r="A179" t="n">
        <v>5</v>
      </c>
      <c r="B179" s="7" t="n">
        <v>45450.375</v>
      </c>
      <c r="C179" t="inlineStr">
        <is>
          <t>B</t>
        </is>
      </c>
      <c r="D179" t="inlineStr">
        <is>
          <t>R1_Basematite</t>
        </is>
      </c>
      <c r="E179" t="inlineStr">
        <is>
          <t>D05_SG04</t>
        </is>
      </c>
      <c r="F179" t="inlineStr">
        <is>
          <t>P0106_3</t>
        </is>
      </c>
      <c r="G179" t="n">
        <v>223.7</v>
      </c>
      <c r="H179" t="n">
        <v>25.14</v>
      </c>
    </row>
    <row r="180">
      <c r="A180" t="n">
        <v>5</v>
      </c>
      <c r="B180" s="7" t="n">
        <v>45450.375</v>
      </c>
      <c r="C180" t="inlineStr">
        <is>
          <t>B</t>
        </is>
      </c>
      <c r="D180" t="inlineStr">
        <is>
          <t>R1_Basematite</t>
        </is>
      </c>
      <c r="E180" t="inlineStr">
        <is>
          <t>D05_SG04</t>
        </is>
      </c>
      <c r="F180" t="inlineStr">
        <is>
          <t>P0106_4</t>
        </is>
      </c>
      <c r="G180" t="n">
        <v>256.5</v>
      </c>
      <c r="H180" t="n">
        <v>25</v>
      </c>
    </row>
    <row r="181">
      <c r="A181" t="n">
        <v>5</v>
      </c>
      <c r="B181" s="7" t="n">
        <v>45450.375</v>
      </c>
      <c r="C181" t="inlineStr">
        <is>
          <t>B</t>
        </is>
      </c>
      <c r="D181" t="inlineStr">
        <is>
          <t>R1_Basematite</t>
        </is>
      </c>
      <c r="E181" t="inlineStr">
        <is>
          <t>D05_SG04</t>
        </is>
      </c>
      <c r="F181" t="inlineStr">
        <is>
          <t>P0106_5</t>
        </is>
      </c>
      <c r="G181" t="n">
        <v>257</v>
      </c>
      <c r="H181" t="n">
        <v>24.98</v>
      </c>
    </row>
    <row r="182">
      <c r="A182" t="n">
        <v>5</v>
      </c>
      <c r="B182" s="7" t="n">
        <v>45450.54166666666</v>
      </c>
      <c r="C182" t="inlineStr">
        <is>
          <t>B</t>
        </is>
      </c>
      <c r="D182" t="inlineStr">
        <is>
          <t>R1_Basematite</t>
        </is>
      </c>
      <c r="E182" t="inlineStr">
        <is>
          <t>D05_SG05</t>
        </is>
      </c>
      <c r="F182" t="inlineStr">
        <is>
          <t>P0110_1</t>
        </is>
      </c>
      <c r="G182" t="n">
        <v>233.4</v>
      </c>
      <c r="H182" t="n">
        <v>27.36</v>
      </c>
    </row>
    <row r="183">
      <c r="A183" t="n">
        <v>5</v>
      </c>
      <c r="B183" s="7" t="n">
        <v>45450.54166666666</v>
      </c>
      <c r="C183" t="inlineStr">
        <is>
          <t>B</t>
        </is>
      </c>
      <c r="D183" t="inlineStr">
        <is>
          <t>R1_Basematite</t>
        </is>
      </c>
      <c r="E183" t="inlineStr">
        <is>
          <t>D05_SG05</t>
        </is>
      </c>
      <c r="F183" t="inlineStr">
        <is>
          <t>P0110_2</t>
        </is>
      </c>
      <c r="G183" t="n">
        <v>251</v>
      </c>
      <c r="H183" t="n">
        <v>27.02</v>
      </c>
    </row>
    <row r="184">
      <c r="A184" t="n">
        <v>5</v>
      </c>
      <c r="B184" s="7" t="n">
        <v>45450.54166666666</v>
      </c>
      <c r="C184" t="inlineStr">
        <is>
          <t>B</t>
        </is>
      </c>
      <c r="D184" t="inlineStr">
        <is>
          <t>R1_Basematite</t>
        </is>
      </c>
      <c r="E184" t="inlineStr">
        <is>
          <t>D05_SG05</t>
        </is>
      </c>
      <c r="F184" t="inlineStr">
        <is>
          <t>P0110_3</t>
        </is>
      </c>
      <c r="G184" t="n">
        <v>274.7</v>
      </c>
      <c r="H184" t="n">
        <v>27.59</v>
      </c>
    </row>
    <row r="185">
      <c r="A185" t="n">
        <v>5</v>
      </c>
      <c r="B185" s="7" t="n">
        <v>45450.54166666666</v>
      </c>
      <c r="C185" t="inlineStr">
        <is>
          <t>B</t>
        </is>
      </c>
      <c r="D185" t="inlineStr">
        <is>
          <t>R1_Basematite</t>
        </is>
      </c>
      <c r="E185" t="inlineStr">
        <is>
          <t>D05_SG05</t>
        </is>
      </c>
      <c r="F185" t="inlineStr">
        <is>
          <t>P0110_4</t>
        </is>
      </c>
      <c r="G185" t="n">
        <v>243.1</v>
      </c>
      <c r="H185" t="n">
        <v>28.09</v>
      </c>
    </row>
    <row r="186">
      <c r="A186" t="n">
        <v>5</v>
      </c>
      <c r="B186" s="7" t="n">
        <v>45450.54166666666</v>
      </c>
      <c r="C186" t="inlineStr">
        <is>
          <t>B</t>
        </is>
      </c>
      <c r="D186" t="inlineStr">
        <is>
          <t>R1_Basematite</t>
        </is>
      </c>
      <c r="E186" t="inlineStr">
        <is>
          <t>D05_SG05</t>
        </is>
      </c>
      <c r="F186" t="inlineStr">
        <is>
          <t>P0110_5</t>
        </is>
      </c>
      <c r="G186" t="n">
        <v>260</v>
      </c>
      <c r="H186" t="n">
        <v>27.55</v>
      </c>
    </row>
    <row r="187">
      <c r="A187" t="n">
        <v>5</v>
      </c>
      <c r="B187" s="7" t="n">
        <v>45450.66666666666</v>
      </c>
      <c r="C187" t="inlineStr">
        <is>
          <t>C</t>
        </is>
      </c>
      <c r="D187" t="inlineStr">
        <is>
          <t>R1_Basematite</t>
        </is>
      </c>
      <c r="E187" t="inlineStr">
        <is>
          <t>D05_SG06</t>
        </is>
      </c>
      <c r="F187" t="inlineStr">
        <is>
          <t>P0113_1</t>
        </is>
      </c>
      <c r="G187" t="n">
        <v>195.9</v>
      </c>
      <c r="H187" t="n">
        <v>25.32</v>
      </c>
    </row>
    <row r="188">
      <c r="A188" t="n">
        <v>5</v>
      </c>
      <c r="B188" s="7" t="n">
        <v>45450.66666666666</v>
      </c>
      <c r="C188" t="inlineStr">
        <is>
          <t>C</t>
        </is>
      </c>
      <c r="D188" t="inlineStr">
        <is>
          <t>R1_Basematite</t>
        </is>
      </c>
      <c r="E188" t="inlineStr">
        <is>
          <t>D05_SG06</t>
        </is>
      </c>
      <c r="F188" t="inlineStr">
        <is>
          <t>P0113_2</t>
        </is>
      </c>
      <c r="G188" t="n">
        <v>188.3</v>
      </c>
      <c r="H188" t="n">
        <v>25.28</v>
      </c>
    </row>
    <row r="189">
      <c r="A189" t="n">
        <v>5</v>
      </c>
      <c r="B189" s="7" t="n">
        <v>45450.66666666666</v>
      </c>
      <c r="C189" t="inlineStr">
        <is>
          <t>C</t>
        </is>
      </c>
      <c r="D189" t="inlineStr">
        <is>
          <t>R1_Basematite</t>
        </is>
      </c>
      <c r="E189" t="inlineStr">
        <is>
          <t>D05_SG06</t>
        </is>
      </c>
      <c r="F189" t="inlineStr">
        <is>
          <t>P0113_3</t>
        </is>
      </c>
      <c r="G189" t="n">
        <v>201.2</v>
      </c>
      <c r="H189" t="n">
        <v>24.9</v>
      </c>
    </row>
    <row r="190">
      <c r="A190" t="n">
        <v>5</v>
      </c>
      <c r="B190" s="7" t="n">
        <v>45450.66666666666</v>
      </c>
      <c r="C190" t="inlineStr">
        <is>
          <t>C</t>
        </is>
      </c>
      <c r="D190" t="inlineStr">
        <is>
          <t>R1_Basematite</t>
        </is>
      </c>
      <c r="E190" t="inlineStr">
        <is>
          <t>D05_SG06</t>
        </is>
      </c>
      <c r="F190" t="inlineStr">
        <is>
          <t>P0113_4</t>
        </is>
      </c>
      <c r="G190" t="n">
        <v>203.8</v>
      </c>
      <c r="H190" t="n">
        <v>25.22</v>
      </c>
    </row>
    <row r="191">
      <c r="A191" t="n">
        <v>5</v>
      </c>
      <c r="B191" s="7" t="n">
        <v>45450.66666666666</v>
      </c>
      <c r="C191" t="inlineStr">
        <is>
          <t>C</t>
        </is>
      </c>
      <c r="D191" t="inlineStr">
        <is>
          <t>R1_Basematite</t>
        </is>
      </c>
      <c r="E191" t="inlineStr">
        <is>
          <t>D05_SG06</t>
        </is>
      </c>
      <c r="F191" t="inlineStr">
        <is>
          <t>P0113_5</t>
        </is>
      </c>
      <c r="G191" t="n">
        <v>182.8</v>
      </c>
      <c r="H191" t="n">
        <v>25.3</v>
      </c>
    </row>
    <row r="192">
      <c r="A192" t="n">
        <v>5</v>
      </c>
      <c r="B192" s="7" t="n">
        <v>45450.79166666666</v>
      </c>
      <c r="C192" t="inlineStr">
        <is>
          <t>C</t>
        </is>
      </c>
      <c r="D192" t="inlineStr">
        <is>
          <t>R1_Basematite</t>
        </is>
      </c>
      <c r="E192" t="inlineStr">
        <is>
          <t>D05_SG07</t>
        </is>
      </c>
      <c r="F192" t="inlineStr">
        <is>
          <t>P0116_1</t>
        </is>
      </c>
      <c r="G192" t="n">
        <v>271.6</v>
      </c>
      <c r="H192" t="n">
        <v>25.26</v>
      </c>
    </row>
    <row r="193">
      <c r="A193" t="n">
        <v>5</v>
      </c>
      <c r="B193" s="7" t="n">
        <v>45450.79166666666</v>
      </c>
      <c r="C193" t="inlineStr">
        <is>
          <t>C</t>
        </is>
      </c>
      <c r="D193" t="inlineStr">
        <is>
          <t>R1_Basematite</t>
        </is>
      </c>
      <c r="E193" t="inlineStr">
        <is>
          <t>D05_SG07</t>
        </is>
      </c>
      <c r="F193" t="inlineStr">
        <is>
          <t>P0116_2</t>
        </is>
      </c>
      <c r="G193" t="n">
        <v>274.5</v>
      </c>
      <c r="H193" t="n">
        <v>24.56</v>
      </c>
    </row>
    <row r="194">
      <c r="A194" t="n">
        <v>5</v>
      </c>
      <c r="B194" s="7" t="n">
        <v>45450.79166666666</v>
      </c>
      <c r="C194" t="inlineStr">
        <is>
          <t>C</t>
        </is>
      </c>
      <c r="D194" t="inlineStr">
        <is>
          <t>R1_Basematite</t>
        </is>
      </c>
      <c r="E194" t="inlineStr">
        <is>
          <t>D05_SG07</t>
        </is>
      </c>
      <c r="F194" t="inlineStr">
        <is>
          <t>P0116_3</t>
        </is>
      </c>
      <c r="G194" t="n">
        <v>269.9</v>
      </c>
      <c r="H194" t="n">
        <v>24.32</v>
      </c>
    </row>
    <row r="195">
      <c r="A195" t="n">
        <v>5</v>
      </c>
      <c r="B195" s="7" t="n">
        <v>45450.79166666666</v>
      </c>
      <c r="C195" t="inlineStr">
        <is>
          <t>C</t>
        </is>
      </c>
      <c r="D195" t="inlineStr">
        <is>
          <t>R1_Basematite</t>
        </is>
      </c>
      <c r="E195" t="inlineStr">
        <is>
          <t>D05_SG07</t>
        </is>
      </c>
      <c r="F195" t="inlineStr">
        <is>
          <t>P0116_4</t>
        </is>
      </c>
      <c r="G195" t="n">
        <v>254.7</v>
      </c>
      <c r="H195" t="n">
        <v>24.8</v>
      </c>
    </row>
    <row r="196">
      <c r="A196" t="n">
        <v>5</v>
      </c>
      <c r="B196" s="7" t="n">
        <v>45450.79166666666</v>
      </c>
      <c r="C196" t="inlineStr">
        <is>
          <t>C</t>
        </is>
      </c>
      <c r="D196" t="inlineStr">
        <is>
          <t>R1_Basematite</t>
        </is>
      </c>
      <c r="E196" t="inlineStr">
        <is>
          <t>D05_SG07</t>
        </is>
      </c>
      <c r="F196" t="inlineStr">
        <is>
          <t>P0116_5</t>
        </is>
      </c>
      <c r="G196" t="n">
        <v>262.6</v>
      </c>
      <c r="H196" t="n">
        <v>24.69</v>
      </c>
    </row>
    <row r="197">
      <c r="A197" t="n">
        <v>5</v>
      </c>
      <c r="B197" s="7" t="n">
        <v>45450.95833333334</v>
      </c>
      <c r="C197" t="inlineStr">
        <is>
          <t>C</t>
        </is>
      </c>
      <c r="D197" t="inlineStr">
        <is>
          <t>R1_Basematite</t>
        </is>
      </c>
      <c r="E197" t="inlineStr">
        <is>
          <t>D05_SG08</t>
        </is>
      </c>
      <c r="F197" t="inlineStr">
        <is>
          <t>P0120_1</t>
        </is>
      </c>
      <c r="G197" t="n">
        <v>310.6</v>
      </c>
      <c r="H197" t="n">
        <v>24.74</v>
      </c>
    </row>
    <row r="198">
      <c r="A198" t="n">
        <v>5</v>
      </c>
      <c r="B198" s="7" t="n">
        <v>45450.95833333334</v>
      </c>
      <c r="C198" t="inlineStr">
        <is>
          <t>C</t>
        </is>
      </c>
      <c r="D198" t="inlineStr">
        <is>
          <t>R1_Basematite</t>
        </is>
      </c>
      <c r="E198" t="inlineStr">
        <is>
          <t>D05_SG08</t>
        </is>
      </c>
      <c r="F198" t="inlineStr">
        <is>
          <t>P0120_2</t>
        </is>
      </c>
      <c r="G198" t="n">
        <v>340.5</v>
      </c>
      <c r="H198" t="n">
        <v>24.7</v>
      </c>
    </row>
    <row r="199">
      <c r="A199" t="n">
        <v>5</v>
      </c>
      <c r="B199" s="7" t="n">
        <v>45450.95833333334</v>
      </c>
      <c r="C199" t="inlineStr">
        <is>
          <t>C</t>
        </is>
      </c>
      <c r="D199" t="inlineStr">
        <is>
          <t>R1_Basematite</t>
        </is>
      </c>
      <c r="E199" t="inlineStr">
        <is>
          <t>D05_SG08</t>
        </is>
      </c>
      <c r="F199" t="inlineStr">
        <is>
          <t>P0120_3</t>
        </is>
      </c>
      <c r="G199" t="n">
        <v>318.7</v>
      </c>
      <c r="H199" t="n">
        <v>25.5</v>
      </c>
    </row>
    <row r="200">
      <c r="A200" t="n">
        <v>5</v>
      </c>
      <c r="B200" s="7" t="n">
        <v>45450.95833333334</v>
      </c>
      <c r="C200" t="inlineStr">
        <is>
          <t>C</t>
        </is>
      </c>
      <c r="D200" t="inlineStr">
        <is>
          <t>R1_Basematite</t>
        </is>
      </c>
      <c r="E200" t="inlineStr">
        <is>
          <t>D05_SG08</t>
        </is>
      </c>
      <c r="F200" t="inlineStr">
        <is>
          <t>P0120_4</t>
        </is>
      </c>
      <c r="G200" t="n">
        <v>296</v>
      </c>
      <c r="H200" t="n">
        <v>25.26</v>
      </c>
    </row>
    <row r="201">
      <c r="A201" t="n">
        <v>5</v>
      </c>
      <c r="B201" s="7" t="n">
        <v>45450.95833333334</v>
      </c>
      <c r="C201" t="inlineStr">
        <is>
          <t>C</t>
        </is>
      </c>
      <c r="D201" t="inlineStr">
        <is>
          <t>R1_Basematite</t>
        </is>
      </c>
      <c r="E201" t="inlineStr">
        <is>
          <t>D05_SG08</t>
        </is>
      </c>
      <c r="F201" t="inlineStr">
        <is>
          <t>P0120_5</t>
        </is>
      </c>
      <c r="G201" t="n">
        <v>287.5</v>
      </c>
      <c r="H201" t="n">
        <v>24.87</v>
      </c>
    </row>
    <row r="202">
      <c r="A202" t="n">
        <v>6</v>
      </c>
      <c r="B202" s="7" t="n">
        <v>45451</v>
      </c>
      <c r="C202" t="inlineStr">
        <is>
          <t>A</t>
        </is>
      </c>
      <c r="D202" t="inlineStr">
        <is>
          <t>R1_Basematite</t>
        </is>
      </c>
      <c r="E202" t="inlineStr">
        <is>
          <t>D06_SG01</t>
        </is>
      </c>
      <c r="F202" t="inlineStr">
        <is>
          <t>P0121_1</t>
        </is>
      </c>
      <c r="G202" t="n">
        <v>355.1</v>
      </c>
      <c r="H202" t="n">
        <v>25.44</v>
      </c>
    </row>
    <row r="203">
      <c r="A203" t="n">
        <v>6</v>
      </c>
      <c r="B203" s="7" t="n">
        <v>45451</v>
      </c>
      <c r="C203" t="inlineStr">
        <is>
          <t>A</t>
        </is>
      </c>
      <c r="D203" t="inlineStr">
        <is>
          <t>R1_Basematite</t>
        </is>
      </c>
      <c r="E203" t="inlineStr">
        <is>
          <t>D06_SG01</t>
        </is>
      </c>
      <c r="F203" t="inlineStr">
        <is>
          <t>P0121_2</t>
        </is>
      </c>
      <c r="G203" t="n">
        <v>400</v>
      </c>
      <c r="H203" t="n">
        <v>25.15</v>
      </c>
    </row>
    <row r="204">
      <c r="A204" t="n">
        <v>6</v>
      </c>
      <c r="B204" s="7" t="n">
        <v>45451</v>
      </c>
      <c r="C204" t="inlineStr">
        <is>
          <t>A</t>
        </is>
      </c>
      <c r="D204" t="inlineStr">
        <is>
          <t>R1_Basematite</t>
        </is>
      </c>
      <c r="E204" t="inlineStr">
        <is>
          <t>D06_SG01</t>
        </is>
      </c>
      <c r="F204" t="inlineStr">
        <is>
          <t>P0121_3</t>
        </is>
      </c>
      <c r="G204" t="n">
        <v>370.4</v>
      </c>
      <c r="H204" t="n">
        <v>24.71</v>
      </c>
    </row>
    <row r="205">
      <c r="A205" t="n">
        <v>6</v>
      </c>
      <c r="B205" s="7" t="n">
        <v>45451</v>
      </c>
      <c r="C205" t="inlineStr">
        <is>
          <t>A</t>
        </is>
      </c>
      <c r="D205" t="inlineStr">
        <is>
          <t>R1_Basematite</t>
        </is>
      </c>
      <c r="E205" t="inlineStr">
        <is>
          <t>D06_SG01</t>
        </is>
      </c>
      <c r="F205" t="inlineStr">
        <is>
          <t>P0121_4</t>
        </is>
      </c>
      <c r="G205" t="n">
        <v>314</v>
      </c>
      <c r="H205" t="n">
        <v>24.82</v>
      </c>
    </row>
    <row r="206">
      <c r="A206" t="n">
        <v>6</v>
      </c>
      <c r="B206" s="7" t="n">
        <v>45451</v>
      </c>
      <c r="C206" t="inlineStr">
        <is>
          <t>A</t>
        </is>
      </c>
      <c r="D206" t="inlineStr">
        <is>
          <t>R1_Basematite</t>
        </is>
      </c>
      <c r="E206" t="inlineStr">
        <is>
          <t>D06_SG01</t>
        </is>
      </c>
      <c r="F206" t="inlineStr">
        <is>
          <t>P0121_5</t>
        </is>
      </c>
      <c r="G206" t="n">
        <v>384.6</v>
      </c>
      <c r="H206" t="n">
        <v>25.28</v>
      </c>
    </row>
    <row r="207">
      <c r="A207" t="n">
        <v>6</v>
      </c>
      <c r="B207" s="7" t="n">
        <v>45451.125</v>
      </c>
      <c r="C207" t="inlineStr">
        <is>
          <t>A</t>
        </is>
      </c>
      <c r="D207" t="inlineStr">
        <is>
          <t>R1_Basematite</t>
        </is>
      </c>
      <c r="E207" t="inlineStr">
        <is>
          <t>D06_SG02</t>
        </is>
      </c>
      <c r="F207" t="inlineStr">
        <is>
          <t>P0124_1</t>
        </is>
      </c>
      <c r="G207" t="n">
        <v>242.2</v>
      </c>
      <c r="H207" t="n">
        <v>25.32</v>
      </c>
    </row>
    <row r="208">
      <c r="A208" t="n">
        <v>6</v>
      </c>
      <c r="B208" s="7" t="n">
        <v>45451.125</v>
      </c>
      <c r="C208" t="inlineStr">
        <is>
          <t>A</t>
        </is>
      </c>
      <c r="D208" t="inlineStr">
        <is>
          <t>R1_Basematite</t>
        </is>
      </c>
      <c r="E208" t="inlineStr">
        <is>
          <t>D06_SG02</t>
        </is>
      </c>
      <c r="F208" t="inlineStr">
        <is>
          <t>P0124_2</t>
        </is>
      </c>
      <c r="G208" t="n">
        <v>297.3</v>
      </c>
      <c r="H208" t="n">
        <v>25.17</v>
      </c>
    </row>
    <row r="209">
      <c r="A209" t="n">
        <v>6</v>
      </c>
      <c r="B209" s="7" t="n">
        <v>45451.125</v>
      </c>
      <c r="C209" t="inlineStr">
        <is>
          <t>A</t>
        </is>
      </c>
      <c r="D209" t="inlineStr">
        <is>
          <t>R1_Basematite</t>
        </is>
      </c>
      <c r="E209" t="inlineStr">
        <is>
          <t>D06_SG02</t>
        </is>
      </c>
      <c r="F209" t="inlineStr">
        <is>
          <t>P0124_3</t>
        </is>
      </c>
      <c r="G209" t="n">
        <v>258.6</v>
      </c>
      <c r="H209" t="n">
        <v>25.33</v>
      </c>
    </row>
    <row r="210">
      <c r="A210" t="n">
        <v>6</v>
      </c>
      <c r="B210" s="7" t="n">
        <v>45451.125</v>
      </c>
      <c r="C210" t="inlineStr">
        <is>
          <t>A</t>
        </is>
      </c>
      <c r="D210" t="inlineStr">
        <is>
          <t>R1_Basematite</t>
        </is>
      </c>
      <c r="E210" t="inlineStr">
        <is>
          <t>D06_SG02</t>
        </is>
      </c>
      <c r="F210" t="inlineStr">
        <is>
          <t>P0124_4</t>
        </is>
      </c>
      <c r="G210" t="n">
        <v>289.9</v>
      </c>
      <c r="H210" t="n">
        <v>24.82</v>
      </c>
    </row>
    <row r="211">
      <c r="A211" t="n">
        <v>6</v>
      </c>
      <c r="B211" s="7" t="n">
        <v>45451.125</v>
      </c>
      <c r="C211" t="inlineStr">
        <is>
          <t>A</t>
        </is>
      </c>
      <c r="D211" t="inlineStr">
        <is>
          <t>R1_Basematite</t>
        </is>
      </c>
      <c r="E211" t="inlineStr">
        <is>
          <t>D06_SG02</t>
        </is>
      </c>
      <c r="F211" t="inlineStr">
        <is>
          <t>P0124_5</t>
        </is>
      </c>
      <c r="G211" t="n">
        <v>282.7</v>
      </c>
      <c r="H211" t="n">
        <v>24.48</v>
      </c>
    </row>
    <row r="212">
      <c r="A212" t="n">
        <v>6</v>
      </c>
      <c r="B212" s="7" t="n">
        <v>45451.25</v>
      </c>
      <c r="C212" t="inlineStr">
        <is>
          <t>A</t>
        </is>
      </c>
      <c r="D212" t="inlineStr">
        <is>
          <t>R1_Basematite</t>
        </is>
      </c>
      <c r="E212" t="inlineStr">
        <is>
          <t>D06_SG03</t>
        </is>
      </c>
      <c r="F212" t="inlineStr">
        <is>
          <t>P0127_1</t>
        </is>
      </c>
      <c r="G212" t="n">
        <v>357.4</v>
      </c>
      <c r="H212" t="n">
        <v>25.6</v>
      </c>
    </row>
    <row r="213">
      <c r="A213" t="n">
        <v>6</v>
      </c>
      <c r="B213" s="7" t="n">
        <v>45451.25</v>
      </c>
      <c r="C213" t="inlineStr">
        <is>
          <t>A</t>
        </is>
      </c>
      <c r="D213" t="inlineStr">
        <is>
          <t>R1_Basematite</t>
        </is>
      </c>
      <c r="E213" t="inlineStr">
        <is>
          <t>D06_SG03</t>
        </is>
      </c>
      <c r="F213" t="inlineStr">
        <is>
          <t>P0127_2</t>
        </is>
      </c>
      <c r="G213" t="n">
        <v>413.8</v>
      </c>
      <c r="H213" t="n">
        <v>25.55</v>
      </c>
    </row>
    <row r="214">
      <c r="A214" t="n">
        <v>6</v>
      </c>
      <c r="B214" s="7" t="n">
        <v>45451.25</v>
      </c>
      <c r="C214" t="inlineStr">
        <is>
          <t>A</t>
        </is>
      </c>
      <c r="D214" t="inlineStr">
        <is>
          <t>R1_Basematite</t>
        </is>
      </c>
      <c r="E214" t="inlineStr">
        <is>
          <t>D06_SG03</t>
        </is>
      </c>
      <c r="F214" t="inlineStr">
        <is>
          <t>P0127_3</t>
        </is>
      </c>
      <c r="G214" t="n">
        <v>394.4</v>
      </c>
      <c r="H214" t="n">
        <v>26.46</v>
      </c>
    </row>
    <row r="215">
      <c r="A215" t="n">
        <v>6</v>
      </c>
      <c r="B215" s="7" t="n">
        <v>45451.25</v>
      </c>
      <c r="C215" t="inlineStr">
        <is>
          <t>A</t>
        </is>
      </c>
      <c r="D215" t="inlineStr">
        <is>
          <t>R1_Basematite</t>
        </is>
      </c>
      <c r="E215" t="inlineStr">
        <is>
          <t>D06_SG03</t>
        </is>
      </c>
      <c r="F215" t="inlineStr">
        <is>
          <t>P0127_4</t>
        </is>
      </c>
      <c r="G215" t="n">
        <v>367.8</v>
      </c>
      <c r="H215" t="n">
        <v>25.27</v>
      </c>
    </row>
    <row r="216">
      <c r="A216" t="n">
        <v>6</v>
      </c>
      <c r="B216" s="7" t="n">
        <v>45451.25</v>
      </c>
      <c r="C216" t="inlineStr">
        <is>
          <t>A</t>
        </is>
      </c>
      <c r="D216" t="inlineStr">
        <is>
          <t>R1_Basematite</t>
        </is>
      </c>
      <c r="E216" t="inlineStr">
        <is>
          <t>D06_SG03</t>
        </is>
      </c>
      <c r="F216" t="inlineStr">
        <is>
          <t>P0127_5</t>
        </is>
      </c>
      <c r="G216" t="n">
        <v>360.5</v>
      </c>
      <c r="H216" t="n">
        <v>24.99</v>
      </c>
    </row>
    <row r="217">
      <c r="A217" t="n">
        <v>6</v>
      </c>
      <c r="B217" s="7" t="n">
        <v>45451.375</v>
      </c>
      <c r="C217" t="inlineStr">
        <is>
          <t>B</t>
        </is>
      </c>
      <c r="D217" t="inlineStr">
        <is>
          <t>R1_Basematite</t>
        </is>
      </c>
      <c r="E217" t="inlineStr">
        <is>
          <t>D06_SG04</t>
        </is>
      </c>
      <c r="F217" t="inlineStr">
        <is>
          <t>P0130_1</t>
        </is>
      </c>
      <c r="G217" t="n">
        <v>241.1</v>
      </c>
      <c r="H217" t="n">
        <v>30.29</v>
      </c>
    </row>
    <row r="218">
      <c r="A218" t="n">
        <v>6</v>
      </c>
      <c r="B218" s="7" t="n">
        <v>45451.375</v>
      </c>
      <c r="C218" t="inlineStr">
        <is>
          <t>B</t>
        </is>
      </c>
      <c r="D218" t="inlineStr">
        <is>
          <t>R1_Basematite</t>
        </is>
      </c>
      <c r="E218" t="inlineStr">
        <is>
          <t>D06_SG04</t>
        </is>
      </c>
      <c r="F218" t="inlineStr">
        <is>
          <t>P0130_2</t>
        </is>
      </c>
      <c r="G218" t="n">
        <v>239.1</v>
      </c>
      <c r="H218" t="n">
        <v>30.11</v>
      </c>
    </row>
    <row r="219">
      <c r="A219" t="n">
        <v>6</v>
      </c>
      <c r="B219" s="7" t="n">
        <v>45451.375</v>
      </c>
      <c r="C219" t="inlineStr">
        <is>
          <t>B</t>
        </is>
      </c>
      <c r="D219" t="inlineStr">
        <is>
          <t>R1_Basematite</t>
        </is>
      </c>
      <c r="E219" t="inlineStr">
        <is>
          <t>D06_SG04</t>
        </is>
      </c>
      <c r="F219" t="inlineStr">
        <is>
          <t>P0130_3</t>
        </is>
      </c>
      <c r="G219" t="n">
        <v>226.7</v>
      </c>
      <c r="H219" t="n">
        <v>29.82</v>
      </c>
    </row>
    <row r="220">
      <c r="A220" t="n">
        <v>6</v>
      </c>
      <c r="B220" s="7" t="n">
        <v>45451.375</v>
      </c>
      <c r="C220" t="inlineStr">
        <is>
          <t>B</t>
        </is>
      </c>
      <c r="D220" t="inlineStr">
        <is>
          <t>R1_Basematite</t>
        </is>
      </c>
      <c r="E220" t="inlineStr">
        <is>
          <t>D06_SG04</t>
        </is>
      </c>
      <c r="F220" t="inlineStr">
        <is>
          <t>P0130_4</t>
        </is>
      </c>
      <c r="G220" t="n">
        <v>235</v>
      </c>
      <c r="H220" t="n">
        <v>30.52</v>
      </c>
    </row>
    <row r="221">
      <c r="A221" t="n">
        <v>6</v>
      </c>
      <c r="B221" s="7" t="n">
        <v>45451.375</v>
      </c>
      <c r="C221" t="inlineStr">
        <is>
          <t>B</t>
        </is>
      </c>
      <c r="D221" t="inlineStr">
        <is>
          <t>R1_Basematite</t>
        </is>
      </c>
      <c r="E221" t="inlineStr">
        <is>
          <t>D06_SG04</t>
        </is>
      </c>
      <c r="F221" t="inlineStr">
        <is>
          <t>P0130_5</t>
        </is>
      </c>
      <c r="G221" t="n">
        <v>244.9</v>
      </c>
      <c r="H221" t="n">
        <v>29.57</v>
      </c>
    </row>
    <row r="222">
      <c r="A222" t="n">
        <v>6</v>
      </c>
      <c r="B222" s="7" t="n">
        <v>45451.54166666666</v>
      </c>
      <c r="C222" t="inlineStr">
        <is>
          <t>B</t>
        </is>
      </c>
      <c r="D222" t="inlineStr">
        <is>
          <t>R1_Basematite</t>
        </is>
      </c>
      <c r="E222" t="inlineStr">
        <is>
          <t>D06_SG05</t>
        </is>
      </c>
      <c r="F222" t="inlineStr">
        <is>
          <t>P0134_1</t>
        </is>
      </c>
      <c r="G222" t="n">
        <v>304.6</v>
      </c>
      <c r="H222" t="n">
        <v>27.52</v>
      </c>
    </row>
    <row r="223">
      <c r="A223" t="n">
        <v>6</v>
      </c>
      <c r="B223" s="7" t="n">
        <v>45451.54166666666</v>
      </c>
      <c r="C223" t="inlineStr">
        <is>
          <t>B</t>
        </is>
      </c>
      <c r="D223" t="inlineStr">
        <is>
          <t>R1_Basematite</t>
        </is>
      </c>
      <c r="E223" t="inlineStr">
        <is>
          <t>D06_SG05</t>
        </is>
      </c>
      <c r="F223" t="inlineStr">
        <is>
          <t>P0134_2</t>
        </is>
      </c>
      <c r="G223" t="n">
        <v>312.6</v>
      </c>
      <c r="H223" t="n">
        <v>27.68</v>
      </c>
    </row>
    <row r="224">
      <c r="A224" t="n">
        <v>6</v>
      </c>
      <c r="B224" s="7" t="n">
        <v>45451.54166666666</v>
      </c>
      <c r="C224" t="inlineStr">
        <is>
          <t>B</t>
        </is>
      </c>
      <c r="D224" t="inlineStr">
        <is>
          <t>R1_Basematite</t>
        </is>
      </c>
      <c r="E224" t="inlineStr">
        <is>
          <t>D06_SG05</t>
        </is>
      </c>
      <c r="F224" t="inlineStr">
        <is>
          <t>P0134_3</t>
        </is>
      </c>
      <c r="G224" t="n">
        <v>320.3</v>
      </c>
      <c r="H224" t="n">
        <v>27.67</v>
      </c>
    </row>
    <row r="225">
      <c r="A225" t="n">
        <v>6</v>
      </c>
      <c r="B225" s="7" t="n">
        <v>45451.54166666666</v>
      </c>
      <c r="C225" t="inlineStr">
        <is>
          <t>B</t>
        </is>
      </c>
      <c r="D225" t="inlineStr">
        <is>
          <t>R1_Basematite</t>
        </is>
      </c>
      <c r="E225" t="inlineStr">
        <is>
          <t>D06_SG05</t>
        </is>
      </c>
      <c r="F225" t="inlineStr">
        <is>
          <t>P0134_4</t>
        </is>
      </c>
      <c r="G225" t="n">
        <v>311.8</v>
      </c>
      <c r="H225" t="n">
        <v>26.76</v>
      </c>
    </row>
    <row r="226">
      <c r="A226" t="n">
        <v>6</v>
      </c>
      <c r="B226" s="7" t="n">
        <v>45451.54166666666</v>
      </c>
      <c r="C226" t="inlineStr">
        <is>
          <t>B</t>
        </is>
      </c>
      <c r="D226" t="inlineStr">
        <is>
          <t>R1_Basematite</t>
        </is>
      </c>
      <c r="E226" t="inlineStr">
        <is>
          <t>D06_SG05</t>
        </is>
      </c>
      <c r="F226" t="inlineStr">
        <is>
          <t>P0134_5</t>
        </is>
      </c>
      <c r="G226" t="n">
        <v>329.6</v>
      </c>
      <c r="H226" t="n">
        <v>26.99</v>
      </c>
    </row>
    <row r="227">
      <c r="A227" t="n">
        <v>6</v>
      </c>
      <c r="B227" s="7" t="n">
        <v>45451.66666666666</v>
      </c>
      <c r="C227" t="inlineStr">
        <is>
          <t>C</t>
        </is>
      </c>
      <c r="D227" t="inlineStr">
        <is>
          <t>R1_Basematite</t>
        </is>
      </c>
      <c r="E227" t="inlineStr">
        <is>
          <t>D06_SG06</t>
        </is>
      </c>
      <c r="F227" t="inlineStr">
        <is>
          <t>P0137_1</t>
        </is>
      </c>
      <c r="G227" t="n">
        <v>305</v>
      </c>
      <c r="H227" t="n">
        <v>26.26</v>
      </c>
    </row>
    <row r="228">
      <c r="A228" t="n">
        <v>6</v>
      </c>
      <c r="B228" s="7" t="n">
        <v>45451.66666666666</v>
      </c>
      <c r="C228" t="inlineStr">
        <is>
          <t>C</t>
        </is>
      </c>
      <c r="D228" t="inlineStr">
        <is>
          <t>R1_Basematite</t>
        </is>
      </c>
      <c r="E228" t="inlineStr">
        <is>
          <t>D06_SG06</t>
        </is>
      </c>
      <c r="F228" t="inlineStr">
        <is>
          <t>P0137_2</t>
        </is>
      </c>
      <c r="G228" t="n">
        <v>296.4</v>
      </c>
      <c r="H228" t="n">
        <v>25.66</v>
      </c>
    </row>
    <row r="229">
      <c r="A229" t="n">
        <v>6</v>
      </c>
      <c r="B229" s="7" t="n">
        <v>45451.66666666666</v>
      </c>
      <c r="C229" t="inlineStr">
        <is>
          <t>C</t>
        </is>
      </c>
      <c r="D229" t="inlineStr">
        <is>
          <t>R1_Basematite</t>
        </is>
      </c>
      <c r="E229" t="inlineStr">
        <is>
          <t>D06_SG06</t>
        </is>
      </c>
      <c r="F229" t="inlineStr">
        <is>
          <t>P0137_3</t>
        </is>
      </c>
      <c r="G229" t="n">
        <v>303.4</v>
      </c>
      <c r="H229" t="n">
        <v>25.25</v>
      </c>
    </row>
    <row r="230">
      <c r="A230" t="n">
        <v>6</v>
      </c>
      <c r="B230" s="7" t="n">
        <v>45451.66666666666</v>
      </c>
      <c r="C230" t="inlineStr">
        <is>
          <t>C</t>
        </is>
      </c>
      <c r="D230" t="inlineStr">
        <is>
          <t>R1_Basematite</t>
        </is>
      </c>
      <c r="E230" t="inlineStr">
        <is>
          <t>D06_SG06</t>
        </is>
      </c>
      <c r="F230" t="inlineStr">
        <is>
          <t>P0137_4</t>
        </is>
      </c>
      <c r="G230" t="n">
        <v>308.8</v>
      </c>
      <c r="H230" t="n">
        <v>24.82</v>
      </c>
    </row>
    <row r="231">
      <c r="A231" t="n">
        <v>6</v>
      </c>
      <c r="B231" s="7" t="n">
        <v>45451.66666666666</v>
      </c>
      <c r="C231" t="inlineStr">
        <is>
          <t>C</t>
        </is>
      </c>
      <c r="D231" t="inlineStr">
        <is>
          <t>R1_Basematite</t>
        </is>
      </c>
      <c r="E231" t="inlineStr">
        <is>
          <t>D06_SG06</t>
        </is>
      </c>
      <c r="F231" t="inlineStr">
        <is>
          <t>P0137_5</t>
        </is>
      </c>
      <c r="G231" t="n">
        <v>306.2</v>
      </c>
      <c r="H231" t="n">
        <v>25.81</v>
      </c>
    </row>
    <row r="232">
      <c r="A232" t="n">
        <v>6</v>
      </c>
      <c r="B232" s="7" t="n">
        <v>45451.79166666666</v>
      </c>
      <c r="C232" t="inlineStr">
        <is>
          <t>C</t>
        </is>
      </c>
      <c r="D232" t="inlineStr">
        <is>
          <t>R1_Basematite</t>
        </is>
      </c>
      <c r="E232" t="inlineStr">
        <is>
          <t>D06_SG07</t>
        </is>
      </c>
      <c r="F232" t="inlineStr">
        <is>
          <t>P0140_1</t>
        </is>
      </c>
      <c r="G232" t="n">
        <v>327.5</v>
      </c>
      <c r="H232" t="n">
        <v>26.12</v>
      </c>
    </row>
    <row r="233">
      <c r="A233" t="n">
        <v>6</v>
      </c>
      <c r="B233" s="7" t="n">
        <v>45451.79166666666</v>
      </c>
      <c r="C233" t="inlineStr">
        <is>
          <t>C</t>
        </is>
      </c>
      <c r="D233" t="inlineStr">
        <is>
          <t>R1_Basematite</t>
        </is>
      </c>
      <c r="E233" t="inlineStr">
        <is>
          <t>D06_SG07</t>
        </is>
      </c>
      <c r="F233" t="inlineStr">
        <is>
          <t>P0140_2</t>
        </is>
      </c>
      <c r="G233" t="n">
        <v>343.4</v>
      </c>
      <c r="H233" t="n">
        <v>25.81</v>
      </c>
    </row>
    <row r="234">
      <c r="A234" t="n">
        <v>6</v>
      </c>
      <c r="B234" s="7" t="n">
        <v>45451.79166666666</v>
      </c>
      <c r="C234" t="inlineStr">
        <is>
          <t>C</t>
        </is>
      </c>
      <c r="D234" t="inlineStr">
        <is>
          <t>R1_Basematite</t>
        </is>
      </c>
      <c r="E234" t="inlineStr">
        <is>
          <t>D06_SG07</t>
        </is>
      </c>
      <c r="F234" t="inlineStr">
        <is>
          <t>P0140_3</t>
        </is>
      </c>
      <c r="G234" t="n">
        <v>344.5</v>
      </c>
      <c r="H234" t="n">
        <v>26.05</v>
      </c>
    </row>
    <row r="235">
      <c r="A235" t="n">
        <v>6</v>
      </c>
      <c r="B235" s="7" t="n">
        <v>45451.79166666666</v>
      </c>
      <c r="C235" t="inlineStr">
        <is>
          <t>C</t>
        </is>
      </c>
      <c r="D235" t="inlineStr">
        <is>
          <t>R1_Basematite</t>
        </is>
      </c>
      <c r="E235" t="inlineStr">
        <is>
          <t>D06_SG07</t>
        </is>
      </c>
      <c r="F235" t="inlineStr">
        <is>
          <t>P0140_4</t>
        </is>
      </c>
      <c r="G235" t="n">
        <v>318.9</v>
      </c>
      <c r="H235" t="n">
        <v>25.33</v>
      </c>
    </row>
    <row r="236">
      <c r="A236" t="n">
        <v>6</v>
      </c>
      <c r="B236" s="7" t="n">
        <v>45451.79166666666</v>
      </c>
      <c r="C236" t="inlineStr">
        <is>
          <t>C</t>
        </is>
      </c>
      <c r="D236" t="inlineStr">
        <is>
          <t>R1_Basematite</t>
        </is>
      </c>
      <c r="E236" t="inlineStr">
        <is>
          <t>D06_SG07</t>
        </is>
      </c>
      <c r="F236" t="inlineStr">
        <is>
          <t>P0140_5</t>
        </is>
      </c>
      <c r="G236" t="n">
        <v>337.5</v>
      </c>
      <c r="H236" t="n">
        <v>25.37</v>
      </c>
    </row>
    <row r="237">
      <c r="A237" t="n">
        <v>6</v>
      </c>
      <c r="B237" s="7" t="n">
        <v>45451.95833333334</v>
      </c>
      <c r="C237" t="inlineStr">
        <is>
          <t>C</t>
        </is>
      </c>
      <c r="D237" t="inlineStr">
        <is>
          <t>R1_Basematite</t>
        </is>
      </c>
      <c r="E237" t="inlineStr">
        <is>
          <t>D06_SG08</t>
        </is>
      </c>
      <c r="F237" t="inlineStr">
        <is>
          <t>P0144_1</t>
        </is>
      </c>
      <c r="G237" t="n">
        <v>253.3</v>
      </c>
      <c r="H237" t="n">
        <v>28.16</v>
      </c>
    </row>
    <row r="238">
      <c r="A238" t="n">
        <v>6</v>
      </c>
      <c r="B238" s="7" t="n">
        <v>45451.95833333334</v>
      </c>
      <c r="C238" t="inlineStr">
        <is>
          <t>C</t>
        </is>
      </c>
      <c r="D238" t="inlineStr">
        <is>
          <t>R1_Basematite</t>
        </is>
      </c>
      <c r="E238" t="inlineStr">
        <is>
          <t>D06_SG08</t>
        </is>
      </c>
      <c r="F238" t="inlineStr">
        <is>
          <t>P0144_2</t>
        </is>
      </c>
      <c r="G238" t="n">
        <v>243.1</v>
      </c>
      <c r="H238" t="n">
        <v>28.75</v>
      </c>
    </row>
    <row r="239">
      <c r="A239" t="n">
        <v>6</v>
      </c>
      <c r="B239" s="7" t="n">
        <v>45451.95833333334</v>
      </c>
      <c r="C239" t="inlineStr">
        <is>
          <t>C</t>
        </is>
      </c>
      <c r="D239" t="inlineStr">
        <is>
          <t>R1_Basematite</t>
        </is>
      </c>
      <c r="E239" t="inlineStr">
        <is>
          <t>D06_SG08</t>
        </is>
      </c>
      <c r="F239" t="inlineStr">
        <is>
          <t>P0144_3</t>
        </is>
      </c>
      <c r="G239" t="n">
        <v>265.1</v>
      </c>
      <c r="H239" t="n">
        <v>28.61</v>
      </c>
    </row>
    <row r="240">
      <c r="A240" t="n">
        <v>6</v>
      </c>
      <c r="B240" s="7" t="n">
        <v>45451.95833333334</v>
      </c>
      <c r="C240" t="inlineStr">
        <is>
          <t>C</t>
        </is>
      </c>
      <c r="D240" t="inlineStr">
        <is>
          <t>R1_Basematite</t>
        </is>
      </c>
      <c r="E240" t="inlineStr">
        <is>
          <t>D06_SG08</t>
        </is>
      </c>
      <c r="F240" t="inlineStr">
        <is>
          <t>P0144_4</t>
        </is>
      </c>
      <c r="G240" t="n">
        <v>269.4</v>
      </c>
      <c r="H240" t="n">
        <v>28.73</v>
      </c>
    </row>
    <row r="241">
      <c r="A241" t="n">
        <v>6</v>
      </c>
      <c r="B241" s="7" t="n">
        <v>45451.95833333334</v>
      </c>
      <c r="C241" t="inlineStr">
        <is>
          <t>C</t>
        </is>
      </c>
      <c r="D241" t="inlineStr">
        <is>
          <t>R1_Basematite</t>
        </is>
      </c>
      <c r="E241" t="inlineStr">
        <is>
          <t>D06_SG08</t>
        </is>
      </c>
      <c r="F241" t="inlineStr">
        <is>
          <t>P0144_5</t>
        </is>
      </c>
      <c r="G241" t="n">
        <v>264.2</v>
      </c>
      <c r="H241" t="n">
        <v>27.88</v>
      </c>
    </row>
    <row r="242">
      <c r="A242" t="n">
        <v>7</v>
      </c>
      <c r="B242" s="7" t="n">
        <v>45452</v>
      </c>
      <c r="C242" t="inlineStr">
        <is>
          <t>A</t>
        </is>
      </c>
      <c r="D242" t="inlineStr">
        <is>
          <t>R2_Magnetite_Blend</t>
        </is>
      </c>
      <c r="E242" t="inlineStr">
        <is>
          <t>D07_SG01</t>
        </is>
      </c>
      <c r="F242" t="inlineStr">
        <is>
          <t>P0145_1</t>
        </is>
      </c>
      <c r="G242" t="n">
        <v>295</v>
      </c>
      <c r="H242" t="n">
        <v>26.07</v>
      </c>
    </row>
    <row r="243">
      <c r="A243" t="n">
        <v>7</v>
      </c>
      <c r="B243" s="7" t="n">
        <v>45452</v>
      </c>
      <c r="C243" t="inlineStr">
        <is>
          <t>A</t>
        </is>
      </c>
      <c r="D243" t="inlineStr">
        <is>
          <t>R2_Magnetite_Blend</t>
        </is>
      </c>
      <c r="E243" t="inlineStr">
        <is>
          <t>D07_SG01</t>
        </is>
      </c>
      <c r="F243" t="inlineStr">
        <is>
          <t>P0145_2</t>
        </is>
      </c>
      <c r="G243" t="n">
        <v>307.6</v>
      </c>
      <c r="H243" t="n">
        <v>26.51</v>
      </c>
    </row>
    <row r="244">
      <c r="A244" t="n">
        <v>7</v>
      </c>
      <c r="B244" s="7" t="n">
        <v>45452</v>
      </c>
      <c r="C244" t="inlineStr">
        <is>
          <t>A</t>
        </is>
      </c>
      <c r="D244" t="inlineStr">
        <is>
          <t>R2_Magnetite_Blend</t>
        </is>
      </c>
      <c r="E244" t="inlineStr">
        <is>
          <t>D07_SG01</t>
        </is>
      </c>
      <c r="F244" t="inlineStr">
        <is>
          <t>P0145_3</t>
        </is>
      </c>
      <c r="G244" t="n">
        <v>329.5</v>
      </c>
      <c r="H244" t="n">
        <v>26.26</v>
      </c>
    </row>
    <row r="245">
      <c r="A245" t="n">
        <v>7</v>
      </c>
      <c r="B245" s="7" t="n">
        <v>45452</v>
      </c>
      <c r="C245" t="inlineStr">
        <is>
          <t>A</t>
        </is>
      </c>
      <c r="D245" t="inlineStr">
        <is>
          <t>R2_Magnetite_Blend</t>
        </is>
      </c>
      <c r="E245" t="inlineStr">
        <is>
          <t>D07_SG01</t>
        </is>
      </c>
      <c r="F245" t="inlineStr">
        <is>
          <t>P0145_4</t>
        </is>
      </c>
      <c r="G245" t="n">
        <v>315.9</v>
      </c>
      <c r="H245" t="n">
        <v>25.81</v>
      </c>
    </row>
    <row r="246">
      <c r="A246" t="n">
        <v>7</v>
      </c>
      <c r="B246" s="7" t="n">
        <v>45452</v>
      </c>
      <c r="C246" t="inlineStr">
        <is>
          <t>A</t>
        </is>
      </c>
      <c r="D246" t="inlineStr">
        <is>
          <t>R2_Magnetite_Blend</t>
        </is>
      </c>
      <c r="E246" t="inlineStr">
        <is>
          <t>D07_SG01</t>
        </is>
      </c>
      <c r="F246" t="inlineStr">
        <is>
          <t>P0145_5</t>
        </is>
      </c>
      <c r="G246" t="n">
        <v>327.2</v>
      </c>
      <c r="H246" t="n">
        <v>26.5</v>
      </c>
    </row>
    <row r="247">
      <c r="A247" t="n">
        <v>7</v>
      </c>
      <c r="B247" s="7" t="n">
        <v>45452.125</v>
      </c>
      <c r="C247" t="inlineStr">
        <is>
          <t>A</t>
        </is>
      </c>
      <c r="D247" t="inlineStr">
        <is>
          <t>R2_Magnetite_Blend</t>
        </is>
      </c>
      <c r="E247" t="inlineStr">
        <is>
          <t>D07_SG02</t>
        </is>
      </c>
      <c r="F247" t="inlineStr">
        <is>
          <t>P0148_1</t>
        </is>
      </c>
      <c r="G247" t="n">
        <v>259.7</v>
      </c>
      <c r="H247" t="n">
        <v>29.53</v>
      </c>
    </row>
    <row r="248">
      <c r="A248" t="n">
        <v>7</v>
      </c>
      <c r="B248" s="7" t="n">
        <v>45452.125</v>
      </c>
      <c r="C248" t="inlineStr">
        <is>
          <t>A</t>
        </is>
      </c>
      <c r="D248" t="inlineStr">
        <is>
          <t>R2_Magnetite_Blend</t>
        </is>
      </c>
      <c r="E248" t="inlineStr">
        <is>
          <t>D07_SG02</t>
        </is>
      </c>
      <c r="F248" t="inlineStr">
        <is>
          <t>P0148_2</t>
        </is>
      </c>
      <c r="G248" t="n">
        <v>235.6</v>
      </c>
      <c r="H248" t="n">
        <v>28.86</v>
      </c>
    </row>
    <row r="249">
      <c r="A249" t="n">
        <v>7</v>
      </c>
      <c r="B249" s="7" t="n">
        <v>45452.125</v>
      </c>
      <c r="C249" t="inlineStr">
        <is>
          <t>A</t>
        </is>
      </c>
      <c r="D249" t="inlineStr">
        <is>
          <t>R2_Magnetite_Blend</t>
        </is>
      </c>
      <c r="E249" t="inlineStr">
        <is>
          <t>D07_SG02</t>
        </is>
      </c>
      <c r="F249" t="inlineStr">
        <is>
          <t>P0148_3</t>
        </is>
      </c>
      <c r="G249" t="n">
        <v>274.7</v>
      </c>
      <c r="H249" t="n">
        <v>29.36</v>
      </c>
    </row>
    <row r="250">
      <c r="A250" t="n">
        <v>7</v>
      </c>
      <c r="B250" s="7" t="n">
        <v>45452.125</v>
      </c>
      <c r="C250" t="inlineStr">
        <is>
          <t>A</t>
        </is>
      </c>
      <c r="D250" t="inlineStr">
        <is>
          <t>R2_Magnetite_Blend</t>
        </is>
      </c>
      <c r="E250" t="inlineStr">
        <is>
          <t>D07_SG02</t>
        </is>
      </c>
      <c r="F250" t="inlineStr">
        <is>
          <t>P0148_4</t>
        </is>
      </c>
      <c r="G250" t="n">
        <v>259.7</v>
      </c>
      <c r="H250" t="n">
        <v>29.54</v>
      </c>
    </row>
    <row r="251">
      <c r="A251" t="n">
        <v>7</v>
      </c>
      <c r="B251" s="7" t="n">
        <v>45452.125</v>
      </c>
      <c r="C251" t="inlineStr">
        <is>
          <t>A</t>
        </is>
      </c>
      <c r="D251" t="inlineStr">
        <is>
          <t>R2_Magnetite_Blend</t>
        </is>
      </c>
      <c r="E251" t="inlineStr">
        <is>
          <t>D07_SG02</t>
        </is>
      </c>
      <c r="F251" t="inlineStr">
        <is>
          <t>P0148_5</t>
        </is>
      </c>
      <c r="G251" t="n">
        <v>251.2</v>
      </c>
      <c r="H251" t="n">
        <v>29.05</v>
      </c>
    </row>
    <row r="252">
      <c r="A252" t="n">
        <v>7</v>
      </c>
      <c r="B252" s="7" t="n">
        <v>45452.25</v>
      </c>
      <c r="C252" t="inlineStr">
        <is>
          <t>A</t>
        </is>
      </c>
      <c r="D252" t="inlineStr">
        <is>
          <t>R2_Magnetite_Blend</t>
        </is>
      </c>
      <c r="E252" t="inlineStr">
        <is>
          <t>D07_SG03</t>
        </is>
      </c>
      <c r="F252" t="inlineStr">
        <is>
          <t>P0151_1</t>
        </is>
      </c>
      <c r="G252" t="n">
        <v>346.5</v>
      </c>
      <c r="H252" t="n">
        <v>24.82</v>
      </c>
    </row>
    <row r="253">
      <c r="A253" t="n">
        <v>7</v>
      </c>
      <c r="B253" s="7" t="n">
        <v>45452.25</v>
      </c>
      <c r="C253" t="inlineStr">
        <is>
          <t>A</t>
        </is>
      </c>
      <c r="D253" t="inlineStr">
        <is>
          <t>R2_Magnetite_Blend</t>
        </is>
      </c>
      <c r="E253" t="inlineStr">
        <is>
          <t>D07_SG03</t>
        </is>
      </c>
      <c r="F253" t="inlineStr">
        <is>
          <t>P0151_2</t>
        </is>
      </c>
      <c r="G253" t="n">
        <v>365.1</v>
      </c>
      <c r="H253" t="n">
        <v>25.01</v>
      </c>
    </row>
    <row r="254">
      <c r="A254" t="n">
        <v>7</v>
      </c>
      <c r="B254" s="7" t="n">
        <v>45452.25</v>
      </c>
      <c r="C254" t="inlineStr">
        <is>
          <t>A</t>
        </is>
      </c>
      <c r="D254" t="inlineStr">
        <is>
          <t>R2_Magnetite_Blend</t>
        </is>
      </c>
      <c r="E254" t="inlineStr">
        <is>
          <t>D07_SG03</t>
        </is>
      </c>
      <c r="F254" t="inlineStr">
        <is>
          <t>P0151_3</t>
        </is>
      </c>
      <c r="G254" t="n">
        <v>347.1</v>
      </c>
      <c r="H254" t="n">
        <v>24.56</v>
      </c>
    </row>
    <row r="255">
      <c r="A255" t="n">
        <v>7</v>
      </c>
      <c r="B255" s="7" t="n">
        <v>45452.25</v>
      </c>
      <c r="C255" t="inlineStr">
        <is>
          <t>A</t>
        </is>
      </c>
      <c r="D255" t="inlineStr">
        <is>
          <t>R2_Magnetite_Blend</t>
        </is>
      </c>
      <c r="E255" t="inlineStr">
        <is>
          <t>D07_SG03</t>
        </is>
      </c>
      <c r="F255" t="inlineStr">
        <is>
          <t>P0151_4</t>
        </is>
      </c>
      <c r="G255" t="n">
        <v>343.4</v>
      </c>
      <c r="H255" t="n">
        <v>25.09</v>
      </c>
    </row>
    <row r="256">
      <c r="A256" t="n">
        <v>7</v>
      </c>
      <c r="B256" s="7" t="n">
        <v>45452.25</v>
      </c>
      <c r="C256" t="inlineStr">
        <is>
          <t>A</t>
        </is>
      </c>
      <c r="D256" t="inlineStr">
        <is>
          <t>R2_Magnetite_Blend</t>
        </is>
      </c>
      <c r="E256" t="inlineStr">
        <is>
          <t>D07_SG03</t>
        </is>
      </c>
      <c r="F256" t="inlineStr">
        <is>
          <t>P0151_5</t>
        </is>
      </c>
      <c r="G256" t="n">
        <v>349.7</v>
      </c>
      <c r="H256" t="n">
        <v>25.7</v>
      </c>
    </row>
    <row r="257">
      <c r="A257" t="n">
        <v>7</v>
      </c>
      <c r="B257" s="7" t="n">
        <v>45452.375</v>
      </c>
      <c r="C257" t="inlineStr">
        <is>
          <t>B</t>
        </is>
      </c>
      <c r="D257" t="inlineStr">
        <is>
          <t>R2_Magnetite_Blend</t>
        </is>
      </c>
      <c r="E257" t="inlineStr">
        <is>
          <t>D07_SG04</t>
        </is>
      </c>
      <c r="F257" t="inlineStr">
        <is>
          <t>P0154_1</t>
        </is>
      </c>
      <c r="G257" t="n">
        <v>368.9</v>
      </c>
      <c r="H257" t="n">
        <v>25.19</v>
      </c>
    </row>
    <row r="258">
      <c r="A258" t="n">
        <v>7</v>
      </c>
      <c r="B258" s="7" t="n">
        <v>45452.375</v>
      </c>
      <c r="C258" t="inlineStr">
        <is>
          <t>B</t>
        </is>
      </c>
      <c r="D258" t="inlineStr">
        <is>
          <t>R2_Magnetite_Blend</t>
        </is>
      </c>
      <c r="E258" t="inlineStr">
        <is>
          <t>D07_SG04</t>
        </is>
      </c>
      <c r="F258" t="inlineStr">
        <is>
          <t>P0154_2</t>
        </is>
      </c>
      <c r="G258" t="n">
        <v>327</v>
      </c>
      <c r="H258" t="n">
        <v>24.51</v>
      </c>
    </row>
    <row r="259">
      <c r="A259" t="n">
        <v>7</v>
      </c>
      <c r="B259" s="7" t="n">
        <v>45452.375</v>
      </c>
      <c r="C259" t="inlineStr">
        <is>
          <t>B</t>
        </is>
      </c>
      <c r="D259" t="inlineStr">
        <is>
          <t>R2_Magnetite_Blend</t>
        </is>
      </c>
      <c r="E259" t="inlineStr">
        <is>
          <t>D07_SG04</t>
        </is>
      </c>
      <c r="F259" t="inlineStr">
        <is>
          <t>P0154_3</t>
        </is>
      </c>
      <c r="G259" t="n">
        <v>343.2</v>
      </c>
      <c r="H259" t="n">
        <v>25.53</v>
      </c>
    </row>
    <row r="260">
      <c r="A260" t="n">
        <v>7</v>
      </c>
      <c r="B260" s="7" t="n">
        <v>45452.375</v>
      </c>
      <c r="C260" t="inlineStr">
        <is>
          <t>B</t>
        </is>
      </c>
      <c r="D260" t="inlineStr">
        <is>
          <t>R2_Magnetite_Blend</t>
        </is>
      </c>
      <c r="E260" t="inlineStr">
        <is>
          <t>D07_SG04</t>
        </is>
      </c>
      <c r="F260" t="inlineStr">
        <is>
          <t>P0154_4</t>
        </is>
      </c>
      <c r="G260" t="n">
        <v>355.2</v>
      </c>
      <c r="H260" t="n">
        <v>24.64</v>
      </c>
    </row>
    <row r="261">
      <c r="A261" t="n">
        <v>7</v>
      </c>
      <c r="B261" s="7" t="n">
        <v>45452.375</v>
      </c>
      <c r="C261" t="inlineStr">
        <is>
          <t>B</t>
        </is>
      </c>
      <c r="D261" t="inlineStr">
        <is>
          <t>R2_Magnetite_Blend</t>
        </is>
      </c>
      <c r="E261" t="inlineStr">
        <is>
          <t>D07_SG04</t>
        </is>
      </c>
      <c r="F261" t="inlineStr">
        <is>
          <t>P0154_5</t>
        </is>
      </c>
      <c r="G261" t="n">
        <v>363.8</v>
      </c>
      <c r="H261" t="n">
        <v>25.68</v>
      </c>
    </row>
    <row r="262">
      <c r="A262" t="n">
        <v>7</v>
      </c>
      <c r="B262" s="7" t="n">
        <v>45452.54166666666</v>
      </c>
      <c r="C262" t="inlineStr">
        <is>
          <t>B</t>
        </is>
      </c>
      <c r="D262" t="inlineStr">
        <is>
          <t>R2_Magnetite_Blend</t>
        </is>
      </c>
      <c r="E262" t="inlineStr">
        <is>
          <t>D07_SG05</t>
        </is>
      </c>
      <c r="F262" t="inlineStr">
        <is>
          <t>P0158_1</t>
        </is>
      </c>
      <c r="G262" t="n">
        <v>418</v>
      </c>
      <c r="H262" t="n">
        <v>26.11</v>
      </c>
    </row>
    <row r="263">
      <c r="A263" t="n">
        <v>7</v>
      </c>
      <c r="B263" s="7" t="n">
        <v>45452.54166666666</v>
      </c>
      <c r="C263" t="inlineStr">
        <is>
          <t>B</t>
        </is>
      </c>
      <c r="D263" t="inlineStr">
        <is>
          <t>R2_Magnetite_Blend</t>
        </is>
      </c>
      <c r="E263" t="inlineStr">
        <is>
          <t>D07_SG05</t>
        </is>
      </c>
      <c r="F263" t="inlineStr">
        <is>
          <t>P0158_2</t>
        </is>
      </c>
      <c r="G263" t="n">
        <v>473.4</v>
      </c>
      <c r="H263" t="n">
        <v>25.52</v>
      </c>
    </row>
    <row r="264">
      <c r="A264" t="n">
        <v>7</v>
      </c>
      <c r="B264" s="7" t="n">
        <v>45452.54166666666</v>
      </c>
      <c r="C264" t="inlineStr">
        <is>
          <t>B</t>
        </is>
      </c>
      <c r="D264" t="inlineStr">
        <is>
          <t>R2_Magnetite_Blend</t>
        </is>
      </c>
      <c r="E264" t="inlineStr">
        <is>
          <t>D07_SG05</t>
        </is>
      </c>
      <c r="F264" t="inlineStr">
        <is>
          <t>P0158_3</t>
        </is>
      </c>
      <c r="G264" t="n">
        <v>420.7</v>
      </c>
      <c r="H264" t="n">
        <v>25.7</v>
      </c>
    </row>
    <row r="265">
      <c r="A265" t="n">
        <v>7</v>
      </c>
      <c r="B265" s="7" t="n">
        <v>45452.54166666666</v>
      </c>
      <c r="C265" t="inlineStr">
        <is>
          <t>B</t>
        </is>
      </c>
      <c r="D265" t="inlineStr">
        <is>
          <t>R2_Magnetite_Blend</t>
        </is>
      </c>
      <c r="E265" t="inlineStr">
        <is>
          <t>D07_SG05</t>
        </is>
      </c>
      <c r="F265" t="inlineStr">
        <is>
          <t>P0158_4</t>
        </is>
      </c>
      <c r="G265" t="n">
        <v>420.3</v>
      </c>
      <c r="H265" t="n">
        <v>25.57</v>
      </c>
    </row>
    <row r="266">
      <c r="A266" t="n">
        <v>7</v>
      </c>
      <c r="B266" s="7" t="n">
        <v>45452.54166666666</v>
      </c>
      <c r="C266" t="inlineStr">
        <is>
          <t>B</t>
        </is>
      </c>
      <c r="D266" t="inlineStr">
        <is>
          <t>R2_Magnetite_Blend</t>
        </is>
      </c>
      <c r="E266" t="inlineStr">
        <is>
          <t>D07_SG05</t>
        </is>
      </c>
      <c r="F266" t="inlineStr">
        <is>
          <t>P0158_5</t>
        </is>
      </c>
      <c r="G266" t="n">
        <v>418</v>
      </c>
      <c r="H266" t="n">
        <v>25.38</v>
      </c>
    </row>
    <row r="267">
      <c r="A267" t="n">
        <v>7</v>
      </c>
      <c r="B267" s="7" t="n">
        <v>45452.66666666666</v>
      </c>
      <c r="C267" t="inlineStr">
        <is>
          <t>C</t>
        </is>
      </c>
      <c r="D267" t="inlineStr">
        <is>
          <t>R2_Magnetite_Blend</t>
        </is>
      </c>
      <c r="E267" t="inlineStr">
        <is>
          <t>D07_SG06</t>
        </is>
      </c>
      <c r="F267" t="inlineStr">
        <is>
          <t>P0161_1</t>
        </is>
      </c>
      <c r="G267" t="n">
        <v>352.5</v>
      </c>
      <c r="H267" t="n">
        <v>25.13</v>
      </c>
    </row>
    <row r="268">
      <c r="A268" t="n">
        <v>7</v>
      </c>
      <c r="B268" s="7" t="n">
        <v>45452.66666666666</v>
      </c>
      <c r="C268" t="inlineStr">
        <is>
          <t>C</t>
        </is>
      </c>
      <c r="D268" t="inlineStr">
        <is>
          <t>R2_Magnetite_Blend</t>
        </is>
      </c>
      <c r="E268" t="inlineStr">
        <is>
          <t>D07_SG06</t>
        </is>
      </c>
      <c r="F268" t="inlineStr">
        <is>
          <t>P0161_2</t>
        </is>
      </c>
      <c r="G268" t="n">
        <v>373.5</v>
      </c>
      <c r="H268" t="n">
        <v>26.05</v>
      </c>
    </row>
    <row r="269">
      <c r="A269" t="n">
        <v>7</v>
      </c>
      <c r="B269" s="7" t="n">
        <v>45452.66666666666</v>
      </c>
      <c r="C269" t="inlineStr">
        <is>
          <t>C</t>
        </is>
      </c>
      <c r="D269" t="inlineStr">
        <is>
          <t>R2_Magnetite_Blend</t>
        </is>
      </c>
      <c r="E269" t="inlineStr">
        <is>
          <t>D07_SG06</t>
        </is>
      </c>
      <c r="F269" t="inlineStr">
        <is>
          <t>P0161_3</t>
        </is>
      </c>
      <c r="G269" t="n">
        <v>348.4</v>
      </c>
      <c r="H269" t="n">
        <v>25.86</v>
      </c>
    </row>
    <row r="270">
      <c r="A270" t="n">
        <v>7</v>
      </c>
      <c r="B270" s="7" t="n">
        <v>45452.66666666666</v>
      </c>
      <c r="C270" t="inlineStr">
        <is>
          <t>C</t>
        </is>
      </c>
      <c r="D270" t="inlineStr">
        <is>
          <t>R2_Magnetite_Blend</t>
        </is>
      </c>
      <c r="E270" t="inlineStr">
        <is>
          <t>D07_SG06</t>
        </is>
      </c>
      <c r="F270" t="inlineStr">
        <is>
          <t>P0161_4</t>
        </is>
      </c>
      <c r="G270" t="n">
        <v>357.9</v>
      </c>
      <c r="H270" t="n">
        <v>25.34</v>
      </c>
    </row>
    <row r="271">
      <c r="A271" t="n">
        <v>7</v>
      </c>
      <c r="B271" s="7" t="n">
        <v>45452.66666666666</v>
      </c>
      <c r="C271" t="inlineStr">
        <is>
          <t>C</t>
        </is>
      </c>
      <c r="D271" t="inlineStr">
        <is>
          <t>R2_Magnetite_Blend</t>
        </is>
      </c>
      <c r="E271" t="inlineStr">
        <is>
          <t>D07_SG06</t>
        </is>
      </c>
      <c r="F271" t="inlineStr">
        <is>
          <t>P0161_5</t>
        </is>
      </c>
      <c r="G271" t="n">
        <v>387</v>
      </c>
      <c r="H271" t="n">
        <v>25.6</v>
      </c>
    </row>
    <row r="272">
      <c r="A272" t="n">
        <v>7</v>
      </c>
      <c r="B272" s="7" t="n">
        <v>45452.79166666666</v>
      </c>
      <c r="C272" t="inlineStr">
        <is>
          <t>C</t>
        </is>
      </c>
      <c r="D272" t="inlineStr">
        <is>
          <t>R2_Magnetite_Blend</t>
        </is>
      </c>
      <c r="E272" t="inlineStr">
        <is>
          <t>D07_SG07</t>
        </is>
      </c>
      <c r="F272" t="inlineStr">
        <is>
          <t>P0164_1</t>
        </is>
      </c>
      <c r="G272" t="n">
        <v>491.2</v>
      </c>
      <c r="H272" t="n">
        <v>27.8</v>
      </c>
    </row>
    <row r="273">
      <c r="A273" t="n">
        <v>7</v>
      </c>
      <c r="B273" s="7" t="n">
        <v>45452.79166666666</v>
      </c>
      <c r="C273" t="inlineStr">
        <is>
          <t>C</t>
        </is>
      </c>
      <c r="D273" t="inlineStr">
        <is>
          <t>R2_Magnetite_Blend</t>
        </is>
      </c>
      <c r="E273" t="inlineStr">
        <is>
          <t>D07_SG07</t>
        </is>
      </c>
      <c r="F273" t="inlineStr">
        <is>
          <t>P0164_2</t>
        </is>
      </c>
      <c r="G273" t="n">
        <v>494</v>
      </c>
      <c r="H273" t="n">
        <v>28.26</v>
      </c>
    </row>
    <row r="274">
      <c r="A274" t="n">
        <v>7</v>
      </c>
      <c r="B274" s="7" t="n">
        <v>45452.79166666666</v>
      </c>
      <c r="C274" t="inlineStr">
        <is>
          <t>C</t>
        </is>
      </c>
      <c r="D274" t="inlineStr">
        <is>
          <t>R2_Magnetite_Blend</t>
        </is>
      </c>
      <c r="E274" t="inlineStr">
        <is>
          <t>D07_SG07</t>
        </is>
      </c>
      <c r="F274" t="inlineStr">
        <is>
          <t>P0164_3</t>
        </is>
      </c>
      <c r="G274" t="n">
        <v>483.1</v>
      </c>
      <c r="H274" t="n">
        <v>27.3</v>
      </c>
    </row>
    <row r="275">
      <c r="A275" t="n">
        <v>7</v>
      </c>
      <c r="B275" s="7" t="n">
        <v>45452.79166666666</v>
      </c>
      <c r="C275" t="inlineStr">
        <is>
          <t>C</t>
        </is>
      </c>
      <c r="D275" t="inlineStr">
        <is>
          <t>R2_Magnetite_Blend</t>
        </is>
      </c>
      <c r="E275" t="inlineStr">
        <is>
          <t>D07_SG07</t>
        </is>
      </c>
      <c r="F275" t="inlineStr">
        <is>
          <t>P0164_4</t>
        </is>
      </c>
      <c r="G275" t="n">
        <v>452.8</v>
      </c>
      <c r="H275" t="n">
        <v>28.54</v>
      </c>
    </row>
    <row r="276">
      <c r="A276" t="n">
        <v>7</v>
      </c>
      <c r="B276" s="7" t="n">
        <v>45452.79166666666</v>
      </c>
      <c r="C276" t="inlineStr">
        <is>
          <t>C</t>
        </is>
      </c>
      <c r="D276" t="inlineStr">
        <is>
          <t>R2_Magnetite_Blend</t>
        </is>
      </c>
      <c r="E276" t="inlineStr">
        <is>
          <t>D07_SG07</t>
        </is>
      </c>
      <c r="F276" t="inlineStr">
        <is>
          <t>P0164_5</t>
        </is>
      </c>
      <c r="G276" t="n">
        <v>518.9</v>
      </c>
      <c r="H276" t="n">
        <v>26.53</v>
      </c>
    </row>
    <row r="277">
      <c r="A277" t="n">
        <v>7</v>
      </c>
      <c r="B277" s="7" t="n">
        <v>45452.95833333334</v>
      </c>
      <c r="C277" t="inlineStr">
        <is>
          <t>C</t>
        </is>
      </c>
      <c r="D277" t="inlineStr">
        <is>
          <t>R2_Magnetite_Blend</t>
        </is>
      </c>
      <c r="E277" t="inlineStr">
        <is>
          <t>D07_SG08</t>
        </is>
      </c>
      <c r="F277" t="inlineStr">
        <is>
          <t>P0168_1</t>
        </is>
      </c>
      <c r="G277" t="n">
        <v>246.8</v>
      </c>
      <c r="H277" t="n">
        <v>25.76</v>
      </c>
    </row>
    <row r="278">
      <c r="A278" t="n">
        <v>7</v>
      </c>
      <c r="B278" s="7" t="n">
        <v>45452.95833333334</v>
      </c>
      <c r="C278" t="inlineStr">
        <is>
          <t>C</t>
        </is>
      </c>
      <c r="D278" t="inlineStr">
        <is>
          <t>R2_Magnetite_Blend</t>
        </is>
      </c>
      <c r="E278" t="inlineStr">
        <is>
          <t>D07_SG08</t>
        </is>
      </c>
      <c r="F278" t="inlineStr">
        <is>
          <t>P0168_2</t>
        </is>
      </c>
      <c r="G278" t="n">
        <v>251.8</v>
      </c>
      <c r="H278" t="n">
        <v>25.83</v>
      </c>
    </row>
    <row r="279">
      <c r="A279" t="n">
        <v>7</v>
      </c>
      <c r="B279" s="7" t="n">
        <v>45452.95833333334</v>
      </c>
      <c r="C279" t="inlineStr">
        <is>
          <t>C</t>
        </is>
      </c>
      <c r="D279" t="inlineStr">
        <is>
          <t>R2_Magnetite_Blend</t>
        </is>
      </c>
      <c r="E279" t="inlineStr">
        <is>
          <t>D07_SG08</t>
        </is>
      </c>
      <c r="F279" t="inlineStr">
        <is>
          <t>P0168_3</t>
        </is>
      </c>
      <c r="G279" t="n">
        <v>273.5</v>
      </c>
      <c r="H279" t="n">
        <v>25.9</v>
      </c>
    </row>
    <row r="280">
      <c r="A280" t="n">
        <v>7</v>
      </c>
      <c r="B280" s="7" t="n">
        <v>45452.95833333334</v>
      </c>
      <c r="C280" t="inlineStr">
        <is>
          <t>C</t>
        </is>
      </c>
      <c r="D280" t="inlineStr">
        <is>
          <t>R2_Magnetite_Blend</t>
        </is>
      </c>
      <c r="E280" t="inlineStr">
        <is>
          <t>D07_SG08</t>
        </is>
      </c>
      <c r="F280" t="inlineStr">
        <is>
          <t>P0168_4</t>
        </is>
      </c>
      <c r="G280" t="n">
        <v>254</v>
      </c>
      <c r="H280" t="n">
        <v>26.21</v>
      </c>
    </row>
    <row r="281">
      <c r="A281" t="n">
        <v>7</v>
      </c>
      <c r="B281" s="7" t="n">
        <v>45452.95833333334</v>
      </c>
      <c r="C281" t="inlineStr">
        <is>
          <t>C</t>
        </is>
      </c>
      <c r="D281" t="inlineStr">
        <is>
          <t>R2_Magnetite_Blend</t>
        </is>
      </c>
      <c r="E281" t="inlineStr">
        <is>
          <t>D07_SG08</t>
        </is>
      </c>
      <c r="F281" t="inlineStr">
        <is>
          <t>P0168_5</t>
        </is>
      </c>
      <c r="G281" t="n">
        <v>265</v>
      </c>
      <c r="H281" t="n">
        <v>26.38</v>
      </c>
    </row>
    <row r="282">
      <c r="A282" t="n">
        <v>8</v>
      </c>
      <c r="B282" s="7" t="n">
        <v>45453</v>
      </c>
      <c r="C282" t="inlineStr">
        <is>
          <t>A</t>
        </is>
      </c>
      <c r="D282" t="inlineStr">
        <is>
          <t>R2_Magnetite_Blend</t>
        </is>
      </c>
      <c r="E282" t="inlineStr">
        <is>
          <t>D08_SG01</t>
        </is>
      </c>
      <c r="F282" t="inlineStr">
        <is>
          <t>P0169_1</t>
        </is>
      </c>
      <c r="G282" t="n">
        <v>306.6</v>
      </c>
      <c r="H282" t="n">
        <v>25.56</v>
      </c>
    </row>
    <row r="283">
      <c r="A283" t="n">
        <v>8</v>
      </c>
      <c r="B283" s="7" t="n">
        <v>45453</v>
      </c>
      <c r="C283" t="inlineStr">
        <is>
          <t>A</t>
        </is>
      </c>
      <c r="D283" t="inlineStr">
        <is>
          <t>R2_Magnetite_Blend</t>
        </is>
      </c>
      <c r="E283" t="inlineStr">
        <is>
          <t>D08_SG01</t>
        </is>
      </c>
      <c r="F283" t="inlineStr">
        <is>
          <t>P0169_2</t>
        </is>
      </c>
      <c r="G283" t="n">
        <v>282.2</v>
      </c>
      <c r="H283" t="n">
        <v>25.58</v>
      </c>
    </row>
    <row r="284">
      <c r="A284" t="n">
        <v>8</v>
      </c>
      <c r="B284" s="7" t="n">
        <v>45453</v>
      </c>
      <c r="C284" t="inlineStr">
        <is>
          <t>A</t>
        </is>
      </c>
      <c r="D284" t="inlineStr">
        <is>
          <t>R2_Magnetite_Blend</t>
        </is>
      </c>
      <c r="E284" t="inlineStr">
        <is>
          <t>D08_SG01</t>
        </is>
      </c>
      <c r="F284" t="inlineStr">
        <is>
          <t>P0169_3</t>
        </is>
      </c>
      <c r="G284" t="n">
        <v>311.5</v>
      </c>
      <c r="H284" t="n">
        <v>25.84</v>
      </c>
    </row>
    <row r="285">
      <c r="A285" t="n">
        <v>8</v>
      </c>
      <c r="B285" s="7" t="n">
        <v>45453</v>
      </c>
      <c r="C285" t="inlineStr">
        <is>
          <t>A</t>
        </is>
      </c>
      <c r="D285" t="inlineStr">
        <is>
          <t>R2_Magnetite_Blend</t>
        </is>
      </c>
      <c r="E285" t="inlineStr">
        <is>
          <t>D08_SG01</t>
        </is>
      </c>
      <c r="F285" t="inlineStr">
        <is>
          <t>P0169_4</t>
        </is>
      </c>
      <c r="G285" t="n">
        <v>278.4</v>
      </c>
      <c r="H285" t="n">
        <v>25.13</v>
      </c>
    </row>
    <row r="286">
      <c r="A286" t="n">
        <v>8</v>
      </c>
      <c r="B286" s="7" t="n">
        <v>45453</v>
      </c>
      <c r="C286" t="inlineStr">
        <is>
          <t>A</t>
        </is>
      </c>
      <c r="D286" t="inlineStr">
        <is>
          <t>R2_Magnetite_Blend</t>
        </is>
      </c>
      <c r="E286" t="inlineStr">
        <is>
          <t>D08_SG01</t>
        </is>
      </c>
      <c r="F286" t="inlineStr">
        <is>
          <t>P0169_5</t>
        </is>
      </c>
      <c r="G286" t="n">
        <v>291.5</v>
      </c>
      <c r="H286" t="n">
        <v>25.95</v>
      </c>
    </row>
    <row r="287">
      <c r="A287" t="n">
        <v>8</v>
      </c>
      <c r="B287" s="7" t="n">
        <v>45453.125</v>
      </c>
      <c r="C287" t="inlineStr">
        <is>
          <t>A</t>
        </is>
      </c>
      <c r="D287" t="inlineStr">
        <is>
          <t>R2_Magnetite_Blend</t>
        </is>
      </c>
      <c r="E287" t="inlineStr">
        <is>
          <t>D08_SG02</t>
        </is>
      </c>
      <c r="F287" t="inlineStr">
        <is>
          <t>P0172_1</t>
        </is>
      </c>
      <c r="G287" t="n">
        <v>245.6</v>
      </c>
      <c r="H287" t="n">
        <v>28.11</v>
      </c>
    </row>
    <row r="288">
      <c r="A288" t="n">
        <v>8</v>
      </c>
      <c r="B288" s="7" t="n">
        <v>45453.125</v>
      </c>
      <c r="C288" t="inlineStr">
        <is>
          <t>A</t>
        </is>
      </c>
      <c r="D288" t="inlineStr">
        <is>
          <t>R2_Magnetite_Blend</t>
        </is>
      </c>
      <c r="E288" t="inlineStr">
        <is>
          <t>D08_SG02</t>
        </is>
      </c>
      <c r="F288" t="inlineStr">
        <is>
          <t>P0172_2</t>
        </is>
      </c>
      <c r="G288" t="n">
        <v>249.5</v>
      </c>
      <c r="H288" t="n">
        <v>27.06</v>
      </c>
    </row>
    <row r="289">
      <c r="A289" t="n">
        <v>8</v>
      </c>
      <c r="B289" s="7" t="n">
        <v>45453.125</v>
      </c>
      <c r="C289" t="inlineStr">
        <is>
          <t>A</t>
        </is>
      </c>
      <c r="D289" t="inlineStr">
        <is>
          <t>R2_Magnetite_Blend</t>
        </is>
      </c>
      <c r="E289" t="inlineStr">
        <is>
          <t>D08_SG02</t>
        </is>
      </c>
      <c r="F289" t="inlineStr">
        <is>
          <t>P0172_3</t>
        </is>
      </c>
      <c r="G289" t="n">
        <v>248.8</v>
      </c>
      <c r="H289" t="n">
        <v>27.36</v>
      </c>
    </row>
    <row r="290">
      <c r="A290" t="n">
        <v>8</v>
      </c>
      <c r="B290" s="7" t="n">
        <v>45453.125</v>
      </c>
      <c r="C290" t="inlineStr">
        <is>
          <t>A</t>
        </is>
      </c>
      <c r="D290" t="inlineStr">
        <is>
          <t>R2_Magnetite_Blend</t>
        </is>
      </c>
      <c r="E290" t="inlineStr">
        <is>
          <t>D08_SG02</t>
        </is>
      </c>
      <c r="F290" t="inlineStr">
        <is>
          <t>P0172_4</t>
        </is>
      </c>
      <c r="G290" t="n">
        <v>258.7</v>
      </c>
      <c r="H290" t="n">
        <v>27.21</v>
      </c>
    </row>
    <row r="291">
      <c r="A291" t="n">
        <v>8</v>
      </c>
      <c r="B291" s="7" t="n">
        <v>45453.125</v>
      </c>
      <c r="C291" t="inlineStr">
        <is>
          <t>A</t>
        </is>
      </c>
      <c r="D291" t="inlineStr">
        <is>
          <t>R2_Magnetite_Blend</t>
        </is>
      </c>
      <c r="E291" t="inlineStr">
        <is>
          <t>D08_SG02</t>
        </is>
      </c>
      <c r="F291" t="inlineStr">
        <is>
          <t>P0172_5</t>
        </is>
      </c>
      <c r="G291" t="n">
        <v>247.1</v>
      </c>
      <c r="H291" t="n">
        <v>27.86</v>
      </c>
    </row>
    <row r="292">
      <c r="A292" t="n">
        <v>8</v>
      </c>
      <c r="B292" s="7" t="n">
        <v>45453.25</v>
      </c>
      <c r="C292" t="inlineStr">
        <is>
          <t>A</t>
        </is>
      </c>
      <c r="D292" t="inlineStr">
        <is>
          <t>R2_Magnetite_Blend</t>
        </is>
      </c>
      <c r="E292" t="inlineStr">
        <is>
          <t>D08_SG03</t>
        </is>
      </c>
      <c r="F292" t="inlineStr">
        <is>
          <t>P0175_1</t>
        </is>
      </c>
      <c r="G292" t="n">
        <v>283.7</v>
      </c>
      <c r="H292" t="n">
        <v>25.78</v>
      </c>
    </row>
    <row r="293">
      <c r="A293" t="n">
        <v>8</v>
      </c>
      <c r="B293" s="7" t="n">
        <v>45453.25</v>
      </c>
      <c r="C293" t="inlineStr">
        <is>
          <t>A</t>
        </is>
      </c>
      <c r="D293" t="inlineStr">
        <is>
          <t>R2_Magnetite_Blend</t>
        </is>
      </c>
      <c r="E293" t="inlineStr">
        <is>
          <t>D08_SG03</t>
        </is>
      </c>
      <c r="F293" t="inlineStr">
        <is>
          <t>P0175_2</t>
        </is>
      </c>
      <c r="G293" t="n">
        <v>261.1</v>
      </c>
      <c r="H293" t="n">
        <v>24.7</v>
      </c>
    </row>
    <row r="294">
      <c r="A294" t="n">
        <v>8</v>
      </c>
      <c r="B294" s="7" t="n">
        <v>45453.25</v>
      </c>
      <c r="C294" t="inlineStr">
        <is>
          <t>A</t>
        </is>
      </c>
      <c r="D294" t="inlineStr">
        <is>
          <t>R2_Magnetite_Blend</t>
        </is>
      </c>
      <c r="E294" t="inlineStr">
        <is>
          <t>D08_SG03</t>
        </is>
      </c>
      <c r="F294" t="inlineStr">
        <is>
          <t>P0175_3</t>
        </is>
      </c>
      <c r="G294" t="n">
        <v>276.7</v>
      </c>
      <c r="H294" t="n">
        <v>25.86</v>
      </c>
    </row>
    <row r="295">
      <c r="A295" t="n">
        <v>8</v>
      </c>
      <c r="B295" s="7" t="n">
        <v>45453.25</v>
      </c>
      <c r="C295" t="inlineStr">
        <is>
          <t>A</t>
        </is>
      </c>
      <c r="D295" t="inlineStr">
        <is>
          <t>R2_Magnetite_Blend</t>
        </is>
      </c>
      <c r="E295" t="inlineStr">
        <is>
          <t>D08_SG03</t>
        </is>
      </c>
      <c r="F295" t="inlineStr">
        <is>
          <t>P0175_4</t>
        </is>
      </c>
      <c r="G295" t="n">
        <v>290.1</v>
      </c>
      <c r="H295" t="n">
        <v>24.81</v>
      </c>
    </row>
    <row r="296">
      <c r="A296" t="n">
        <v>8</v>
      </c>
      <c r="B296" s="7" t="n">
        <v>45453.25</v>
      </c>
      <c r="C296" t="inlineStr">
        <is>
          <t>A</t>
        </is>
      </c>
      <c r="D296" t="inlineStr">
        <is>
          <t>R2_Magnetite_Blend</t>
        </is>
      </c>
      <c r="E296" t="inlineStr">
        <is>
          <t>D08_SG03</t>
        </is>
      </c>
      <c r="F296" t="inlineStr">
        <is>
          <t>P0175_5</t>
        </is>
      </c>
      <c r="G296" t="n">
        <v>293</v>
      </c>
      <c r="H296" t="n">
        <v>23.98</v>
      </c>
    </row>
    <row r="297">
      <c r="A297" t="n">
        <v>8</v>
      </c>
      <c r="B297" s="7" t="n">
        <v>45453.375</v>
      </c>
      <c r="C297" t="inlineStr">
        <is>
          <t>B</t>
        </is>
      </c>
      <c r="D297" t="inlineStr">
        <is>
          <t>R2_Magnetite_Blend</t>
        </is>
      </c>
      <c r="E297" t="inlineStr">
        <is>
          <t>D08_SG04</t>
        </is>
      </c>
      <c r="F297" t="inlineStr">
        <is>
          <t>P0178_1</t>
        </is>
      </c>
      <c r="G297" t="n">
        <v>307.4</v>
      </c>
      <c r="H297" t="n">
        <v>24.71</v>
      </c>
    </row>
    <row r="298">
      <c r="A298" t="n">
        <v>8</v>
      </c>
      <c r="B298" s="7" t="n">
        <v>45453.375</v>
      </c>
      <c r="C298" t="inlineStr">
        <is>
          <t>B</t>
        </is>
      </c>
      <c r="D298" t="inlineStr">
        <is>
          <t>R2_Magnetite_Blend</t>
        </is>
      </c>
      <c r="E298" t="inlineStr">
        <is>
          <t>D08_SG04</t>
        </is>
      </c>
      <c r="F298" t="inlineStr">
        <is>
          <t>P0178_2</t>
        </is>
      </c>
      <c r="G298" t="n">
        <v>325.9</v>
      </c>
      <c r="H298" t="n">
        <v>24.31</v>
      </c>
    </row>
    <row r="299">
      <c r="A299" t="n">
        <v>8</v>
      </c>
      <c r="B299" s="7" t="n">
        <v>45453.375</v>
      </c>
      <c r="C299" t="inlineStr">
        <is>
          <t>B</t>
        </is>
      </c>
      <c r="D299" t="inlineStr">
        <is>
          <t>R2_Magnetite_Blend</t>
        </is>
      </c>
      <c r="E299" t="inlineStr">
        <is>
          <t>D08_SG04</t>
        </is>
      </c>
      <c r="F299" t="inlineStr">
        <is>
          <t>P0178_3</t>
        </is>
      </c>
      <c r="G299" t="n">
        <v>321.7</v>
      </c>
      <c r="H299" t="n">
        <v>24.1</v>
      </c>
    </row>
    <row r="300">
      <c r="A300" t="n">
        <v>8</v>
      </c>
      <c r="B300" s="7" t="n">
        <v>45453.375</v>
      </c>
      <c r="C300" t="inlineStr">
        <is>
          <t>B</t>
        </is>
      </c>
      <c r="D300" t="inlineStr">
        <is>
          <t>R2_Magnetite_Blend</t>
        </is>
      </c>
      <c r="E300" t="inlineStr">
        <is>
          <t>D08_SG04</t>
        </is>
      </c>
      <c r="F300" t="inlineStr">
        <is>
          <t>P0178_4</t>
        </is>
      </c>
      <c r="G300" t="n">
        <v>313.7</v>
      </c>
      <c r="H300" t="n">
        <v>25.57</v>
      </c>
    </row>
    <row r="301">
      <c r="A301" t="n">
        <v>8</v>
      </c>
      <c r="B301" s="7" t="n">
        <v>45453.375</v>
      </c>
      <c r="C301" t="inlineStr">
        <is>
          <t>B</t>
        </is>
      </c>
      <c r="D301" t="inlineStr">
        <is>
          <t>R2_Magnetite_Blend</t>
        </is>
      </c>
      <c r="E301" t="inlineStr">
        <is>
          <t>D08_SG04</t>
        </is>
      </c>
      <c r="F301" t="inlineStr">
        <is>
          <t>P0178_5</t>
        </is>
      </c>
      <c r="G301" t="n">
        <v>290.5</v>
      </c>
      <c r="H301" t="n">
        <v>25.5</v>
      </c>
    </row>
    <row r="302">
      <c r="A302" t="n">
        <v>8</v>
      </c>
      <c r="B302" s="7" t="n">
        <v>45453.54166666666</v>
      </c>
      <c r="C302" t="inlineStr">
        <is>
          <t>B</t>
        </is>
      </c>
      <c r="D302" t="inlineStr">
        <is>
          <t>R2_Magnetite_Blend</t>
        </is>
      </c>
      <c r="E302" t="inlineStr">
        <is>
          <t>D08_SG05</t>
        </is>
      </c>
      <c r="F302" t="inlineStr">
        <is>
          <t>P0182_1</t>
        </is>
      </c>
      <c r="G302" t="n">
        <v>393.9</v>
      </c>
      <c r="H302" t="n">
        <v>25.73</v>
      </c>
    </row>
    <row r="303">
      <c r="A303" t="n">
        <v>8</v>
      </c>
      <c r="B303" s="7" t="n">
        <v>45453.54166666666</v>
      </c>
      <c r="C303" t="inlineStr">
        <is>
          <t>B</t>
        </is>
      </c>
      <c r="D303" t="inlineStr">
        <is>
          <t>R2_Magnetite_Blend</t>
        </is>
      </c>
      <c r="E303" t="inlineStr">
        <is>
          <t>D08_SG05</t>
        </is>
      </c>
      <c r="F303" t="inlineStr">
        <is>
          <t>P0182_2</t>
        </is>
      </c>
      <c r="G303" t="n">
        <v>380.4</v>
      </c>
      <c r="H303" t="n">
        <v>25.43</v>
      </c>
    </row>
    <row r="304">
      <c r="A304" t="n">
        <v>8</v>
      </c>
      <c r="B304" s="7" t="n">
        <v>45453.54166666666</v>
      </c>
      <c r="C304" t="inlineStr">
        <is>
          <t>B</t>
        </is>
      </c>
      <c r="D304" t="inlineStr">
        <is>
          <t>R2_Magnetite_Blend</t>
        </is>
      </c>
      <c r="E304" t="inlineStr">
        <is>
          <t>D08_SG05</t>
        </is>
      </c>
      <c r="F304" t="inlineStr">
        <is>
          <t>P0182_3</t>
        </is>
      </c>
      <c r="G304" t="n">
        <v>373.8</v>
      </c>
      <c r="H304" t="n">
        <v>25.2</v>
      </c>
    </row>
    <row r="305">
      <c r="A305" t="n">
        <v>8</v>
      </c>
      <c r="B305" s="7" t="n">
        <v>45453.54166666666</v>
      </c>
      <c r="C305" t="inlineStr">
        <is>
          <t>B</t>
        </is>
      </c>
      <c r="D305" t="inlineStr">
        <is>
          <t>R2_Magnetite_Blend</t>
        </is>
      </c>
      <c r="E305" t="inlineStr">
        <is>
          <t>D08_SG05</t>
        </is>
      </c>
      <c r="F305" t="inlineStr">
        <is>
          <t>P0182_4</t>
        </is>
      </c>
      <c r="G305" t="n">
        <v>404.5</v>
      </c>
      <c r="H305" t="n">
        <v>25.62</v>
      </c>
    </row>
    <row r="306">
      <c r="A306" t="n">
        <v>8</v>
      </c>
      <c r="B306" s="7" t="n">
        <v>45453.54166666666</v>
      </c>
      <c r="C306" t="inlineStr">
        <is>
          <t>B</t>
        </is>
      </c>
      <c r="D306" t="inlineStr">
        <is>
          <t>R2_Magnetite_Blend</t>
        </is>
      </c>
      <c r="E306" t="inlineStr">
        <is>
          <t>D08_SG05</t>
        </is>
      </c>
      <c r="F306" t="inlineStr">
        <is>
          <t>P0182_5</t>
        </is>
      </c>
      <c r="G306" t="n">
        <v>342.8</v>
      </c>
      <c r="H306" t="n">
        <v>25.76</v>
      </c>
    </row>
    <row r="307">
      <c r="A307" t="n">
        <v>8</v>
      </c>
      <c r="B307" s="7" t="n">
        <v>45453.66666666666</v>
      </c>
      <c r="C307" t="inlineStr">
        <is>
          <t>C</t>
        </is>
      </c>
      <c r="D307" t="inlineStr">
        <is>
          <t>R2_Magnetite_Blend</t>
        </is>
      </c>
      <c r="E307" t="inlineStr">
        <is>
          <t>D08_SG06</t>
        </is>
      </c>
      <c r="F307" t="inlineStr">
        <is>
          <t>P0185_1</t>
        </is>
      </c>
      <c r="G307" t="n">
        <v>377.9</v>
      </c>
      <c r="H307" t="n">
        <v>26.06</v>
      </c>
    </row>
    <row r="308">
      <c r="A308" t="n">
        <v>8</v>
      </c>
      <c r="B308" s="7" t="n">
        <v>45453.66666666666</v>
      </c>
      <c r="C308" t="inlineStr">
        <is>
          <t>C</t>
        </is>
      </c>
      <c r="D308" t="inlineStr">
        <is>
          <t>R2_Magnetite_Blend</t>
        </is>
      </c>
      <c r="E308" t="inlineStr">
        <is>
          <t>D08_SG06</t>
        </is>
      </c>
      <c r="F308" t="inlineStr">
        <is>
          <t>P0185_2</t>
        </is>
      </c>
      <c r="G308" t="n">
        <v>336.9</v>
      </c>
      <c r="H308" t="n">
        <v>25.96</v>
      </c>
    </row>
    <row r="309">
      <c r="A309" t="n">
        <v>8</v>
      </c>
      <c r="B309" s="7" t="n">
        <v>45453.66666666666</v>
      </c>
      <c r="C309" t="inlineStr">
        <is>
          <t>C</t>
        </is>
      </c>
      <c r="D309" t="inlineStr">
        <is>
          <t>R2_Magnetite_Blend</t>
        </is>
      </c>
      <c r="E309" t="inlineStr">
        <is>
          <t>D08_SG06</t>
        </is>
      </c>
      <c r="F309" t="inlineStr">
        <is>
          <t>P0185_3</t>
        </is>
      </c>
      <c r="G309" t="n">
        <v>346.7</v>
      </c>
      <c r="H309" t="n">
        <v>25.86</v>
      </c>
    </row>
    <row r="310">
      <c r="A310" t="n">
        <v>8</v>
      </c>
      <c r="B310" s="7" t="n">
        <v>45453.66666666666</v>
      </c>
      <c r="C310" t="inlineStr">
        <is>
          <t>C</t>
        </is>
      </c>
      <c r="D310" t="inlineStr">
        <is>
          <t>R2_Magnetite_Blend</t>
        </is>
      </c>
      <c r="E310" t="inlineStr">
        <is>
          <t>D08_SG06</t>
        </is>
      </c>
      <c r="F310" t="inlineStr">
        <is>
          <t>P0185_4</t>
        </is>
      </c>
      <c r="G310" t="n">
        <v>345.5</v>
      </c>
      <c r="H310" t="n">
        <v>25.27</v>
      </c>
    </row>
    <row r="311">
      <c r="A311" t="n">
        <v>8</v>
      </c>
      <c r="B311" s="7" t="n">
        <v>45453.66666666666</v>
      </c>
      <c r="C311" t="inlineStr">
        <is>
          <t>C</t>
        </is>
      </c>
      <c r="D311" t="inlineStr">
        <is>
          <t>R2_Magnetite_Blend</t>
        </is>
      </c>
      <c r="E311" t="inlineStr">
        <is>
          <t>D08_SG06</t>
        </is>
      </c>
      <c r="F311" t="inlineStr">
        <is>
          <t>P0185_5</t>
        </is>
      </c>
      <c r="G311" t="n">
        <v>340.8</v>
      </c>
      <c r="H311" t="n">
        <v>25.75</v>
      </c>
    </row>
    <row r="312">
      <c r="A312" t="n">
        <v>8</v>
      </c>
      <c r="B312" s="7" t="n">
        <v>45453.79166666666</v>
      </c>
      <c r="C312" t="inlineStr">
        <is>
          <t>C</t>
        </is>
      </c>
      <c r="D312" t="inlineStr">
        <is>
          <t>R2_Magnetite_Blend</t>
        </is>
      </c>
      <c r="E312" t="inlineStr">
        <is>
          <t>D08_SG07</t>
        </is>
      </c>
      <c r="F312" t="inlineStr">
        <is>
          <t>P0188_1</t>
        </is>
      </c>
      <c r="G312" t="n">
        <v>329.3</v>
      </c>
      <c r="H312" t="n">
        <v>24.8</v>
      </c>
    </row>
    <row r="313">
      <c r="A313" t="n">
        <v>8</v>
      </c>
      <c r="B313" s="7" t="n">
        <v>45453.79166666666</v>
      </c>
      <c r="C313" t="inlineStr">
        <is>
          <t>C</t>
        </is>
      </c>
      <c r="D313" t="inlineStr">
        <is>
          <t>R2_Magnetite_Blend</t>
        </is>
      </c>
      <c r="E313" t="inlineStr">
        <is>
          <t>D08_SG07</t>
        </is>
      </c>
      <c r="F313" t="inlineStr">
        <is>
          <t>P0188_2</t>
        </is>
      </c>
      <c r="G313" t="n">
        <v>320.6</v>
      </c>
      <c r="H313" t="n">
        <v>24.6</v>
      </c>
    </row>
    <row r="314">
      <c r="A314" t="n">
        <v>8</v>
      </c>
      <c r="B314" s="7" t="n">
        <v>45453.79166666666</v>
      </c>
      <c r="C314" t="inlineStr">
        <is>
          <t>C</t>
        </is>
      </c>
      <c r="D314" t="inlineStr">
        <is>
          <t>R2_Magnetite_Blend</t>
        </is>
      </c>
      <c r="E314" t="inlineStr">
        <is>
          <t>D08_SG07</t>
        </is>
      </c>
      <c r="F314" t="inlineStr">
        <is>
          <t>P0188_3</t>
        </is>
      </c>
      <c r="G314" t="n">
        <v>331.9</v>
      </c>
      <c r="H314" t="n">
        <v>24.54</v>
      </c>
    </row>
    <row r="315">
      <c r="A315" t="n">
        <v>8</v>
      </c>
      <c r="B315" s="7" t="n">
        <v>45453.79166666666</v>
      </c>
      <c r="C315" t="inlineStr">
        <is>
          <t>C</t>
        </is>
      </c>
      <c r="D315" t="inlineStr">
        <is>
          <t>R2_Magnetite_Blend</t>
        </is>
      </c>
      <c r="E315" t="inlineStr">
        <is>
          <t>D08_SG07</t>
        </is>
      </c>
      <c r="F315" t="inlineStr">
        <is>
          <t>P0188_4</t>
        </is>
      </c>
      <c r="G315" t="n">
        <v>367.9</v>
      </c>
      <c r="H315" t="n">
        <v>24.49</v>
      </c>
    </row>
    <row r="316">
      <c r="A316" t="n">
        <v>8</v>
      </c>
      <c r="B316" s="7" t="n">
        <v>45453.79166666666</v>
      </c>
      <c r="C316" t="inlineStr">
        <is>
          <t>C</t>
        </is>
      </c>
      <c r="D316" t="inlineStr">
        <is>
          <t>R2_Magnetite_Blend</t>
        </is>
      </c>
      <c r="E316" t="inlineStr">
        <is>
          <t>D08_SG07</t>
        </is>
      </c>
      <c r="F316" t="inlineStr">
        <is>
          <t>P0188_5</t>
        </is>
      </c>
      <c r="G316" t="n">
        <v>324.8</v>
      </c>
      <c r="H316" t="n">
        <v>25.02</v>
      </c>
    </row>
    <row r="317">
      <c r="A317" t="n">
        <v>8</v>
      </c>
      <c r="B317" s="7" t="n">
        <v>45453.95833333334</v>
      </c>
      <c r="C317" t="inlineStr">
        <is>
          <t>C</t>
        </is>
      </c>
      <c r="D317" t="inlineStr">
        <is>
          <t>R2_Magnetite_Blend</t>
        </is>
      </c>
      <c r="E317" t="inlineStr">
        <is>
          <t>D08_SG08</t>
        </is>
      </c>
      <c r="F317" t="inlineStr">
        <is>
          <t>P0192_1</t>
        </is>
      </c>
      <c r="G317" t="n">
        <v>380.6</v>
      </c>
      <c r="H317" t="n">
        <v>23.18</v>
      </c>
    </row>
    <row r="318">
      <c r="A318" t="n">
        <v>8</v>
      </c>
      <c r="B318" s="7" t="n">
        <v>45453.95833333334</v>
      </c>
      <c r="C318" t="inlineStr">
        <is>
          <t>C</t>
        </is>
      </c>
      <c r="D318" t="inlineStr">
        <is>
          <t>R2_Magnetite_Blend</t>
        </is>
      </c>
      <c r="E318" t="inlineStr">
        <is>
          <t>D08_SG08</t>
        </is>
      </c>
      <c r="F318" t="inlineStr">
        <is>
          <t>P0192_2</t>
        </is>
      </c>
      <c r="G318" t="n">
        <v>417.3</v>
      </c>
      <c r="H318" t="n">
        <v>23.55</v>
      </c>
    </row>
    <row r="319">
      <c r="A319" t="n">
        <v>8</v>
      </c>
      <c r="B319" s="7" t="n">
        <v>45453.95833333334</v>
      </c>
      <c r="C319" t="inlineStr">
        <is>
          <t>C</t>
        </is>
      </c>
      <c r="D319" t="inlineStr">
        <is>
          <t>R2_Magnetite_Blend</t>
        </is>
      </c>
      <c r="E319" t="inlineStr">
        <is>
          <t>D08_SG08</t>
        </is>
      </c>
      <c r="F319" t="inlineStr">
        <is>
          <t>P0192_3</t>
        </is>
      </c>
      <c r="G319" t="n">
        <v>370.3</v>
      </c>
      <c r="H319" t="n">
        <v>23.37</v>
      </c>
    </row>
    <row r="320">
      <c r="A320" t="n">
        <v>8</v>
      </c>
      <c r="B320" s="7" t="n">
        <v>45453.95833333334</v>
      </c>
      <c r="C320" t="inlineStr">
        <is>
          <t>C</t>
        </is>
      </c>
      <c r="D320" t="inlineStr">
        <is>
          <t>R2_Magnetite_Blend</t>
        </is>
      </c>
      <c r="E320" t="inlineStr">
        <is>
          <t>D08_SG08</t>
        </is>
      </c>
      <c r="F320" t="inlineStr">
        <is>
          <t>P0192_4</t>
        </is>
      </c>
      <c r="G320" t="n">
        <v>387.9</v>
      </c>
      <c r="H320" t="n">
        <v>23.4</v>
      </c>
    </row>
    <row r="321">
      <c r="A321" t="n">
        <v>8</v>
      </c>
      <c r="B321" s="7" t="n">
        <v>45453.95833333334</v>
      </c>
      <c r="C321" t="inlineStr">
        <is>
          <t>C</t>
        </is>
      </c>
      <c r="D321" t="inlineStr">
        <is>
          <t>R2_Magnetite_Blend</t>
        </is>
      </c>
      <c r="E321" t="inlineStr">
        <is>
          <t>D08_SG08</t>
        </is>
      </c>
      <c r="F321" t="inlineStr">
        <is>
          <t>P0192_5</t>
        </is>
      </c>
      <c r="G321" t="n">
        <v>387.6</v>
      </c>
      <c r="H321" t="n">
        <v>24.23</v>
      </c>
    </row>
    <row r="322">
      <c r="A322" t="n">
        <v>9</v>
      </c>
      <c r="B322" s="7" t="n">
        <v>45454</v>
      </c>
      <c r="C322" t="inlineStr">
        <is>
          <t>A</t>
        </is>
      </c>
      <c r="D322" t="inlineStr">
        <is>
          <t>R2_Magnetite_Blend</t>
        </is>
      </c>
      <c r="E322" t="inlineStr">
        <is>
          <t>D09_SG01</t>
        </is>
      </c>
      <c r="F322" t="inlineStr">
        <is>
          <t>P0193_1</t>
        </is>
      </c>
      <c r="G322" t="n">
        <v>329.7</v>
      </c>
      <c r="H322" t="n">
        <v>23.81</v>
      </c>
    </row>
    <row r="323">
      <c r="A323" t="n">
        <v>9</v>
      </c>
      <c r="B323" s="7" t="n">
        <v>45454</v>
      </c>
      <c r="C323" t="inlineStr">
        <is>
          <t>A</t>
        </is>
      </c>
      <c r="D323" t="inlineStr">
        <is>
          <t>R2_Magnetite_Blend</t>
        </is>
      </c>
      <c r="E323" t="inlineStr">
        <is>
          <t>D09_SG01</t>
        </is>
      </c>
      <c r="F323" t="inlineStr">
        <is>
          <t>P0193_2</t>
        </is>
      </c>
      <c r="G323" t="n">
        <v>330.8</v>
      </c>
      <c r="H323" t="n">
        <v>23.52</v>
      </c>
    </row>
    <row r="324">
      <c r="A324" t="n">
        <v>9</v>
      </c>
      <c r="B324" s="7" t="n">
        <v>45454</v>
      </c>
      <c r="C324" t="inlineStr">
        <is>
          <t>A</t>
        </is>
      </c>
      <c r="D324" t="inlineStr">
        <is>
          <t>R2_Magnetite_Blend</t>
        </is>
      </c>
      <c r="E324" t="inlineStr">
        <is>
          <t>D09_SG01</t>
        </is>
      </c>
      <c r="F324" t="inlineStr">
        <is>
          <t>P0193_3</t>
        </is>
      </c>
      <c r="G324" t="n">
        <v>331.9</v>
      </c>
      <c r="H324" t="n">
        <v>23.6</v>
      </c>
    </row>
    <row r="325">
      <c r="A325" t="n">
        <v>9</v>
      </c>
      <c r="B325" s="7" t="n">
        <v>45454</v>
      </c>
      <c r="C325" t="inlineStr">
        <is>
          <t>A</t>
        </is>
      </c>
      <c r="D325" t="inlineStr">
        <is>
          <t>R2_Magnetite_Blend</t>
        </is>
      </c>
      <c r="E325" t="inlineStr">
        <is>
          <t>D09_SG01</t>
        </is>
      </c>
      <c r="F325" t="inlineStr">
        <is>
          <t>P0193_4</t>
        </is>
      </c>
      <c r="G325" t="n">
        <v>319</v>
      </c>
      <c r="H325" t="n">
        <v>24.76</v>
      </c>
    </row>
    <row r="326">
      <c r="A326" t="n">
        <v>9</v>
      </c>
      <c r="B326" s="7" t="n">
        <v>45454</v>
      </c>
      <c r="C326" t="inlineStr">
        <is>
          <t>A</t>
        </is>
      </c>
      <c r="D326" t="inlineStr">
        <is>
          <t>R2_Magnetite_Blend</t>
        </is>
      </c>
      <c r="E326" t="inlineStr">
        <is>
          <t>D09_SG01</t>
        </is>
      </c>
      <c r="F326" t="inlineStr">
        <is>
          <t>P0193_5</t>
        </is>
      </c>
      <c r="G326" t="n">
        <v>358.7</v>
      </c>
      <c r="H326" t="n">
        <v>23.16</v>
      </c>
    </row>
    <row r="327">
      <c r="A327" t="n">
        <v>9</v>
      </c>
      <c r="B327" s="7" t="n">
        <v>45454.125</v>
      </c>
      <c r="C327" t="inlineStr">
        <is>
          <t>A</t>
        </is>
      </c>
      <c r="D327" t="inlineStr">
        <is>
          <t>R2_Magnetite_Blend</t>
        </is>
      </c>
      <c r="E327" t="inlineStr">
        <is>
          <t>D09_SG02</t>
        </is>
      </c>
      <c r="F327" t="inlineStr">
        <is>
          <t>P0196_1</t>
        </is>
      </c>
      <c r="G327" t="n">
        <v>290.2</v>
      </c>
      <c r="H327" t="n">
        <v>28.41</v>
      </c>
    </row>
    <row r="328">
      <c r="A328" t="n">
        <v>9</v>
      </c>
      <c r="B328" s="7" t="n">
        <v>45454.125</v>
      </c>
      <c r="C328" t="inlineStr">
        <is>
          <t>A</t>
        </is>
      </c>
      <c r="D328" t="inlineStr">
        <is>
          <t>R2_Magnetite_Blend</t>
        </is>
      </c>
      <c r="E328" t="inlineStr">
        <is>
          <t>D09_SG02</t>
        </is>
      </c>
      <c r="F328" t="inlineStr">
        <is>
          <t>P0196_2</t>
        </is>
      </c>
      <c r="G328" t="n">
        <v>283.9</v>
      </c>
      <c r="H328" t="n">
        <v>27.55</v>
      </c>
    </row>
    <row r="329">
      <c r="A329" t="n">
        <v>9</v>
      </c>
      <c r="B329" s="7" t="n">
        <v>45454.125</v>
      </c>
      <c r="C329" t="inlineStr">
        <is>
          <t>A</t>
        </is>
      </c>
      <c r="D329" t="inlineStr">
        <is>
          <t>R2_Magnetite_Blend</t>
        </is>
      </c>
      <c r="E329" t="inlineStr">
        <is>
          <t>D09_SG02</t>
        </is>
      </c>
      <c r="F329" t="inlineStr">
        <is>
          <t>P0196_3</t>
        </is>
      </c>
      <c r="G329" t="n">
        <v>328.6</v>
      </c>
      <c r="H329" t="n">
        <v>26.68</v>
      </c>
    </row>
    <row r="330">
      <c r="A330" t="n">
        <v>9</v>
      </c>
      <c r="B330" s="7" t="n">
        <v>45454.125</v>
      </c>
      <c r="C330" t="inlineStr">
        <is>
          <t>A</t>
        </is>
      </c>
      <c r="D330" t="inlineStr">
        <is>
          <t>R2_Magnetite_Blend</t>
        </is>
      </c>
      <c r="E330" t="inlineStr">
        <is>
          <t>D09_SG02</t>
        </is>
      </c>
      <c r="F330" t="inlineStr">
        <is>
          <t>P0196_4</t>
        </is>
      </c>
      <c r="G330" t="n">
        <v>316.2</v>
      </c>
      <c r="H330" t="n">
        <v>28.4</v>
      </c>
    </row>
    <row r="331">
      <c r="A331" t="n">
        <v>9</v>
      </c>
      <c r="B331" s="7" t="n">
        <v>45454.125</v>
      </c>
      <c r="C331" t="inlineStr">
        <is>
          <t>A</t>
        </is>
      </c>
      <c r="D331" t="inlineStr">
        <is>
          <t>R2_Magnetite_Blend</t>
        </is>
      </c>
      <c r="E331" t="inlineStr">
        <is>
          <t>D09_SG02</t>
        </is>
      </c>
      <c r="F331" t="inlineStr">
        <is>
          <t>P0196_5</t>
        </is>
      </c>
      <c r="G331" t="n">
        <v>316.1</v>
      </c>
      <c r="H331" t="n">
        <v>27.19</v>
      </c>
    </row>
    <row r="332">
      <c r="A332" t="n">
        <v>9</v>
      </c>
      <c r="B332" s="7" t="n">
        <v>45454.25</v>
      </c>
      <c r="C332" t="inlineStr">
        <is>
          <t>A</t>
        </is>
      </c>
      <c r="D332" t="inlineStr">
        <is>
          <t>R2_Magnetite_Blend</t>
        </is>
      </c>
      <c r="E332" t="inlineStr">
        <is>
          <t>D09_SG03</t>
        </is>
      </c>
      <c r="F332" t="inlineStr">
        <is>
          <t>P0199_1</t>
        </is>
      </c>
      <c r="G332" t="n">
        <v>225.4</v>
      </c>
      <c r="H332" t="n">
        <v>27.18</v>
      </c>
    </row>
    <row r="333">
      <c r="A333" t="n">
        <v>9</v>
      </c>
      <c r="B333" s="7" t="n">
        <v>45454.25</v>
      </c>
      <c r="C333" t="inlineStr">
        <is>
          <t>A</t>
        </is>
      </c>
      <c r="D333" t="inlineStr">
        <is>
          <t>R2_Magnetite_Blend</t>
        </is>
      </c>
      <c r="E333" t="inlineStr">
        <is>
          <t>D09_SG03</t>
        </is>
      </c>
      <c r="F333" t="inlineStr">
        <is>
          <t>P0199_2</t>
        </is>
      </c>
      <c r="G333" t="n">
        <v>260.7</v>
      </c>
      <c r="H333" t="n">
        <v>26.38</v>
      </c>
    </row>
    <row r="334">
      <c r="A334" t="n">
        <v>9</v>
      </c>
      <c r="B334" s="7" t="n">
        <v>45454.25</v>
      </c>
      <c r="C334" t="inlineStr">
        <is>
          <t>A</t>
        </is>
      </c>
      <c r="D334" t="inlineStr">
        <is>
          <t>R2_Magnetite_Blend</t>
        </is>
      </c>
      <c r="E334" t="inlineStr">
        <is>
          <t>D09_SG03</t>
        </is>
      </c>
      <c r="F334" t="inlineStr">
        <is>
          <t>P0199_3</t>
        </is>
      </c>
      <c r="G334" t="n">
        <v>245.5</v>
      </c>
      <c r="H334" t="n">
        <v>27</v>
      </c>
    </row>
    <row r="335">
      <c r="A335" t="n">
        <v>9</v>
      </c>
      <c r="B335" s="7" t="n">
        <v>45454.25</v>
      </c>
      <c r="C335" t="inlineStr">
        <is>
          <t>A</t>
        </is>
      </c>
      <c r="D335" t="inlineStr">
        <is>
          <t>R2_Magnetite_Blend</t>
        </is>
      </c>
      <c r="E335" t="inlineStr">
        <is>
          <t>D09_SG03</t>
        </is>
      </c>
      <c r="F335" t="inlineStr">
        <is>
          <t>P0199_4</t>
        </is>
      </c>
      <c r="G335" t="n">
        <v>239.9</v>
      </c>
      <c r="H335" t="n">
        <v>26.6</v>
      </c>
    </row>
    <row r="336">
      <c r="A336" t="n">
        <v>9</v>
      </c>
      <c r="B336" s="7" t="n">
        <v>45454.25</v>
      </c>
      <c r="C336" t="inlineStr">
        <is>
          <t>A</t>
        </is>
      </c>
      <c r="D336" t="inlineStr">
        <is>
          <t>R2_Magnetite_Blend</t>
        </is>
      </c>
      <c r="E336" t="inlineStr">
        <is>
          <t>D09_SG03</t>
        </is>
      </c>
      <c r="F336" t="inlineStr">
        <is>
          <t>P0199_5</t>
        </is>
      </c>
      <c r="G336" t="n">
        <v>243.5</v>
      </c>
      <c r="H336" t="n">
        <v>26.14</v>
      </c>
    </row>
    <row r="337">
      <c r="A337" t="n">
        <v>9</v>
      </c>
      <c r="B337" s="7" t="n">
        <v>45454.375</v>
      </c>
      <c r="C337" t="inlineStr">
        <is>
          <t>B</t>
        </is>
      </c>
      <c r="D337" t="inlineStr">
        <is>
          <t>R2_Magnetite_Blend</t>
        </is>
      </c>
      <c r="E337" t="inlineStr">
        <is>
          <t>D09_SG04</t>
        </is>
      </c>
      <c r="F337" t="inlineStr">
        <is>
          <t>P0202_1</t>
        </is>
      </c>
      <c r="G337" t="n">
        <v>434.4</v>
      </c>
      <c r="H337" t="n">
        <v>22.17</v>
      </c>
    </row>
    <row r="338">
      <c r="A338" t="n">
        <v>9</v>
      </c>
      <c r="B338" s="7" t="n">
        <v>45454.375</v>
      </c>
      <c r="C338" t="inlineStr">
        <is>
          <t>B</t>
        </is>
      </c>
      <c r="D338" t="inlineStr">
        <is>
          <t>R2_Magnetite_Blend</t>
        </is>
      </c>
      <c r="E338" t="inlineStr">
        <is>
          <t>D09_SG04</t>
        </is>
      </c>
      <c r="F338" t="inlineStr">
        <is>
          <t>P0202_2</t>
        </is>
      </c>
      <c r="G338" t="n">
        <v>392.3</v>
      </c>
      <c r="H338" t="n">
        <v>24.69</v>
      </c>
    </row>
    <row r="339">
      <c r="A339" t="n">
        <v>9</v>
      </c>
      <c r="B339" s="7" t="n">
        <v>45454.375</v>
      </c>
      <c r="C339" t="inlineStr">
        <is>
          <t>B</t>
        </is>
      </c>
      <c r="D339" t="inlineStr">
        <is>
          <t>R2_Magnetite_Blend</t>
        </is>
      </c>
      <c r="E339" t="inlineStr">
        <is>
          <t>D09_SG04</t>
        </is>
      </c>
      <c r="F339" t="inlineStr">
        <is>
          <t>P0202_3</t>
        </is>
      </c>
      <c r="G339" t="n">
        <v>395.9</v>
      </c>
      <c r="H339" t="n">
        <v>23.6</v>
      </c>
    </row>
    <row r="340">
      <c r="A340" t="n">
        <v>9</v>
      </c>
      <c r="B340" s="7" t="n">
        <v>45454.375</v>
      </c>
      <c r="C340" t="inlineStr">
        <is>
          <t>B</t>
        </is>
      </c>
      <c r="D340" t="inlineStr">
        <is>
          <t>R2_Magnetite_Blend</t>
        </is>
      </c>
      <c r="E340" t="inlineStr">
        <is>
          <t>D09_SG04</t>
        </is>
      </c>
      <c r="F340" t="inlineStr">
        <is>
          <t>P0202_4</t>
        </is>
      </c>
      <c r="G340" t="n">
        <v>412.4</v>
      </c>
      <c r="H340" t="n">
        <v>23.46</v>
      </c>
    </row>
    <row r="341">
      <c r="A341" t="n">
        <v>9</v>
      </c>
      <c r="B341" s="7" t="n">
        <v>45454.375</v>
      </c>
      <c r="C341" t="inlineStr">
        <is>
          <t>B</t>
        </is>
      </c>
      <c r="D341" t="inlineStr">
        <is>
          <t>R2_Magnetite_Blend</t>
        </is>
      </c>
      <c r="E341" t="inlineStr">
        <is>
          <t>D09_SG04</t>
        </is>
      </c>
      <c r="F341" t="inlineStr">
        <is>
          <t>P0202_5</t>
        </is>
      </c>
      <c r="G341" t="n">
        <v>371.6</v>
      </c>
      <c r="H341" t="n">
        <v>22.64</v>
      </c>
    </row>
    <row r="342">
      <c r="A342" t="n">
        <v>9</v>
      </c>
      <c r="B342" s="7" t="n">
        <v>45454.54166666666</v>
      </c>
      <c r="C342" t="inlineStr">
        <is>
          <t>B</t>
        </is>
      </c>
      <c r="D342" t="inlineStr">
        <is>
          <t>R2_Magnetite_Blend</t>
        </is>
      </c>
      <c r="E342" t="inlineStr">
        <is>
          <t>D09_SG05</t>
        </is>
      </c>
      <c r="F342" t="inlineStr">
        <is>
          <t>P0206_1</t>
        </is>
      </c>
      <c r="G342" t="n">
        <v>411.1</v>
      </c>
      <c r="H342" t="n">
        <v>23.67</v>
      </c>
    </row>
    <row r="343">
      <c r="A343" t="n">
        <v>9</v>
      </c>
      <c r="B343" s="7" t="n">
        <v>45454.54166666666</v>
      </c>
      <c r="C343" t="inlineStr">
        <is>
          <t>B</t>
        </is>
      </c>
      <c r="D343" t="inlineStr">
        <is>
          <t>R2_Magnetite_Blend</t>
        </is>
      </c>
      <c r="E343" t="inlineStr">
        <is>
          <t>D09_SG05</t>
        </is>
      </c>
      <c r="F343" t="inlineStr">
        <is>
          <t>P0206_2</t>
        </is>
      </c>
      <c r="G343" t="n">
        <v>427.7</v>
      </c>
      <c r="H343" t="n">
        <v>25.02</v>
      </c>
    </row>
    <row r="344">
      <c r="A344" t="n">
        <v>9</v>
      </c>
      <c r="B344" s="7" t="n">
        <v>45454.54166666666</v>
      </c>
      <c r="C344" t="inlineStr">
        <is>
          <t>B</t>
        </is>
      </c>
      <c r="D344" t="inlineStr">
        <is>
          <t>R2_Magnetite_Blend</t>
        </is>
      </c>
      <c r="E344" t="inlineStr">
        <is>
          <t>D09_SG05</t>
        </is>
      </c>
      <c r="F344" t="inlineStr">
        <is>
          <t>P0206_3</t>
        </is>
      </c>
      <c r="G344" t="n">
        <v>422.5</v>
      </c>
      <c r="H344" t="n">
        <v>24.82</v>
      </c>
    </row>
    <row r="345">
      <c r="A345" t="n">
        <v>9</v>
      </c>
      <c r="B345" s="7" t="n">
        <v>45454.54166666666</v>
      </c>
      <c r="C345" t="inlineStr">
        <is>
          <t>B</t>
        </is>
      </c>
      <c r="D345" t="inlineStr">
        <is>
          <t>R2_Magnetite_Blend</t>
        </is>
      </c>
      <c r="E345" t="inlineStr">
        <is>
          <t>D09_SG05</t>
        </is>
      </c>
      <c r="F345" t="inlineStr">
        <is>
          <t>P0206_4</t>
        </is>
      </c>
      <c r="G345" t="n">
        <v>400.4</v>
      </c>
      <c r="H345" t="n">
        <v>24.45</v>
      </c>
    </row>
    <row r="346">
      <c r="A346" t="n">
        <v>9</v>
      </c>
      <c r="B346" s="7" t="n">
        <v>45454.54166666666</v>
      </c>
      <c r="C346" t="inlineStr">
        <is>
          <t>B</t>
        </is>
      </c>
      <c r="D346" t="inlineStr">
        <is>
          <t>R2_Magnetite_Blend</t>
        </is>
      </c>
      <c r="E346" t="inlineStr">
        <is>
          <t>D09_SG05</t>
        </is>
      </c>
      <c r="F346" t="inlineStr">
        <is>
          <t>P0206_5</t>
        </is>
      </c>
      <c r="G346" t="n">
        <v>386</v>
      </c>
      <c r="H346" t="n">
        <v>24.26</v>
      </c>
    </row>
    <row r="347">
      <c r="A347" t="n">
        <v>9</v>
      </c>
      <c r="B347" s="7" t="n">
        <v>45454.66666666666</v>
      </c>
      <c r="C347" t="inlineStr">
        <is>
          <t>C</t>
        </is>
      </c>
      <c r="D347" t="inlineStr">
        <is>
          <t>R2_Magnetite_Blend</t>
        </is>
      </c>
      <c r="E347" t="inlineStr">
        <is>
          <t>D09_SG06</t>
        </is>
      </c>
      <c r="F347" t="inlineStr">
        <is>
          <t>P0209_1</t>
        </is>
      </c>
      <c r="G347" t="n">
        <v>331.5</v>
      </c>
      <c r="H347" t="n">
        <v>27.66</v>
      </c>
    </row>
    <row r="348">
      <c r="A348" t="n">
        <v>9</v>
      </c>
      <c r="B348" s="7" t="n">
        <v>45454.66666666666</v>
      </c>
      <c r="C348" t="inlineStr">
        <is>
          <t>C</t>
        </is>
      </c>
      <c r="D348" t="inlineStr">
        <is>
          <t>R2_Magnetite_Blend</t>
        </is>
      </c>
      <c r="E348" t="inlineStr">
        <is>
          <t>D09_SG06</t>
        </is>
      </c>
      <c r="F348" t="inlineStr">
        <is>
          <t>P0209_2</t>
        </is>
      </c>
      <c r="G348" t="n">
        <v>304.1</v>
      </c>
      <c r="H348" t="n">
        <v>27.68</v>
      </c>
    </row>
    <row r="349">
      <c r="A349" t="n">
        <v>9</v>
      </c>
      <c r="B349" s="7" t="n">
        <v>45454.66666666666</v>
      </c>
      <c r="C349" t="inlineStr">
        <is>
          <t>C</t>
        </is>
      </c>
      <c r="D349" t="inlineStr">
        <is>
          <t>R2_Magnetite_Blend</t>
        </is>
      </c>
      <c r="E349" t="inlineStr">
        <is>
          <t>D09_SG06</t>
        </is>
      </c>
      <c r="F349" t="inlineStr">
        <is>
          <t>P0209_3</t>
        </is>
      </c>
      <c r="G349" t="n">
        <v>299.2</v>
      </c>
      <c r="H349" t="n">
        <v>26.96</v>
      </c>
    </row>
    <row r="350">
      <c r="A350" t="n">
        <v>9</v>
      </c>
      <c r="B350" s="7" t="n">
        <v>45454.66666666666</v>
      </c>
      <c r="C350" t="inlineStr">
        <is>
          <t>C</t>
        </is>
      </c>
      <c r="D350" t="inlineStr">
        <is>
          <t>R2_Magnetite_Blend</t>
        </is>
      </c>
      <c r="E350" t="inlineStr">
        <is>
          <t>D09_SG06</t>
        </is>
      </c>
      <c r="F350" t="inlineStr">
        <is>
          <t>P0209_4</t>
        </is>
      </c>
      <c r="G350" t="n">
        <v>299.8</v>
      </c>
      <c r="H350" t="n">
        <v>27.44</v>
      </c>
    </row>
    <row r="351">
      <c r="A351" t="n">
        <v>9</v>
      </c>
      <c r="B351" s="7" t="n">
        <v>45454.66666666666</v>
      </c>
      <c r="C351" t="inlineStr">
        <is>
          <t>C</t>
        </is>
      </c>
      <c r="D351" t="inlineStr">
        <is>
          <t>R2_Magnetite_Blend</t>
        </is>
      </c>
      <c r="E351" t="inlineStr">
        <is>
          <t>D09_SG06</t>
        </is>
      </c>
      <c r="F351" t="inlineStr">
        <is>
          <t>P0209_5</t>
        </is>
      </c>
      <c r="G351" t="n">
        <v>326.8</v>
      </c>
      <c r="H351" t="n">
        <v>27.71</v>
      </c>
    </row>
    <row r="352">
      <c r="A352" t="n">
        <v>9</v>
      </c>
      <c r="B352" s="7" t="n">
        <v>45454.79166666666</v>
      </c>
      <c r="C352" t="inlineStr">
        <is>
          <t>C</t>
        </is>
      </c>
      <c r="D352" t="inlineStr">
        <is>
          <t>R2_Magnetite_Blend</t>
        </is>
      </c>
      <c r="E352" t="inlineStr">
        <is>
          <t>D09_SG07</t>
        </is>
      </c>
      <c r="F352" t="inlineStr">
        <is>
          <t>P0212_1</t>
        </is>
      </c>
      <c r="G352" t="n">
        <v>261.4</v>
      </c>
      <c r="H352" t="n">
        <v>26</v>
      </c>
    </row>
    <row r="353">
      <c r="A353" t="n">
        <v>9</v>
      </c>
      <c r="B353" s="7" t="n">
        <v>45454.79166666666</v>
      </c>
      <c r="C353" t="inlineStr">
        <is>
          <t>C</t>
        </is>
      </c>
      <c r="D353" t="inlineStr">
        <is>
          <t>R2_Magnetite_Blend</t>
        </is>
      </c>
      <c r="E353" t="inlineStr">
        <is>
          <t>D09_SG07</t>
        </is>
      </c>
      <c r="F353" t="inlineStr">
        <is>
          <t>P0212_2</t>
        </is>
      </c>
      <c r="G353" t="n">
        <v>285</v>
      </c>
      <c r="H353" t="n">
        <v>25.01</v>
      </c>
    </row>
    <row r="354">
      <c r="A354" t="n">
        <v>9</v>
      </c>
      <c r="B354" s="7" t="n">
        <v>45454.79166666666</v>
      </c>
      <c r="C354" t="inlineStr">
        <is>
          <t>C</t>
        </is>
      </c>
      <c r="D354" t="inlineStr">
        <is>
          <t>R2_Magnetite_Blend</t>
        </is>
      </c>
      <c r="E354" t="inlineStr">
        <is>
          <t>D09_SG07</t>
        </is>
      </c>
      <c r="F354" t="inlineStr">
        <is>
          <t>P0212_3</t>
        </is>
      </c>
      <c r="G354" t="n">
        <v>264.5</v>
      </c>
      <c r="H354" t="n">
        <v>25.88</v>
      </c>
    </row>
    <row r="355">
      <c r="A355" t="n">
        <v>9</v>
      </c>
      <c r="B355" s="7" t="n">
        <v>45454.79166666666</v>
      </c>
      <c r="C355" t="inlineStr">
        <is>
          <t>C</t>
        </is>
      </c>
      <c r="D355" t="inlineStr">
        <is>
          <t>R2_Magnetite_Blend</t>
        </is>
      </c>
      <c r="E355" t="inlineStr">
        <is>
          <t>D09_SG07</t>
        </is>
      </c>
      <c r="F355" t="inlineStr">
        <is>
          <t>P0212_4</t>
        </is>
      </c>
      <c r="G355" t="n">
        <v>262.3</v>
      </c>
      <c r="H355" t="n">
        <v>25.66</v>
      </c>
    </row>
    <row r="356">
      <c r="A356" t="n">
        <v>9</v>
      </c>
      <c r="B356" s="7" t="n">
        <v>45454.79166666666</v>
      </c>
      <c r="C356" t="inlineStr">
        <is>
          <t>C</t>
        </is>
      </c>
      <c r="D356" t="inlineStr">
        <is>
          <t>R2_Magnetite_Blend</t>
        </is>
      </c>
      <c r="E356" t="inlineStr">
        <is>
          <t>D09_SG07</t>
        </is>
      </c>
      <c r="F356" t="inlineStr">
        <is>
          <t>P0212_5</t>
        </is>
      </c>
      <c r="G356" t="n">
        <v>256.3</v>
      </c>
      <c r="H356" t="n">
        <v>26.07</v>
      </c>
    </row>
    <row r="357">
      <c r="A357" t="n">
        <v>9</v>
      </c>
      <c r="B357" s="7" t="n">
        <v>45454.95833333334</v>
      </c>
      <c r="C357" t="inlineStr">
        <is>
          <t>C</t>
        </is>
      </c>
      <c r="D357" t="inlineStr">
        <is>
          <t>R2_Magnetite_Blend</t>
        </is>
      </c>
      <c r="E357" t="inlineStr">
        <is>
          <t>D09_SG08</t>
        </is>
      </c>
      <c r="F357" t="inlineStr">
        <is>
          <t>P0216_1</t>
        </is>
      </c>
      <c r="G357" t="n">
        <v>276.4</v>
      </c>
      <c r="H357" t="n">
        <v>24.29</v>
      </c>
    </row>
    <row r="358">
      <c r="A358" t="n">
        <v>9</v>
      </c>
      <c r="B358" s="7" t="n">
        <v>45454.95833333334</v>
      </c>
      <c r="C358" t="inlineStr">
        <is>
          <t>C</t>
        </is>
      </c>
      <c r="D358" t="inlineStr">
        <is>
          <t>R2_Magnetite_Blend</t>
        </is>
      </c>
      <c r="E358" t="inlineStr">
        <is>
          <t>D09_SG08</t>
        </is>
      </c>
      <c r="F358" t="inlineStr">
        <is>
          <t>P0216_2</t>
        </is>
      </c>
      <c r="G358" t="n">
        <v>279.4</v>
      </c>
      <c r="H358" t="n">
        <v>25.71</v>
      </c>
    </row>
    <row r="359">
      <c r="A359" t="n">
        <v>9</v>
      </c>
      <c r="B359" s="7" t="n">
        <v>45454.95833333334</v>
      </c>
      <c r="C359" t="inlineStr">
        <is>
          <t>C</t>
        </is>
      </c>
      <c r="D359" t="inlineStr">
        <is>
          <t>R2_Magnetite_Blend</t>
        </is>
      </c>
      <c r="E359" t="inlineStr">
        <is>
          <t>D09_SG08</t>
        </is>
      </c>
      <c r="F359" t="inlineStr">
        <is>
          <t>P0216_3</t>
        </is>
      </c>
      <c r="G359" t="n">
        <v>256.7</v>
      </c>
      <c r="H359" t="n">
        <v>25.13</v>
      </c>
    </row>
    <row r="360">
      <c r="A360" t="n">
        <v>9</v>
      </c>
      <c r="B360" s="7" t="n">
        <v>45454.95833333334</v>
      </c>
      <c r="C360" t="inlineStr">
        <is>
          <t>C</t>
        </is>
      </c>
      <c r="D360" t="inlineStr">
        <is>
          <t>R2_Magnetite_Blend</t>
        </is>
      </c>
      <c r="E360" t="inlineStr">
        <is>
          <t>D09_SG08</t>
        </is>
      </c>
      <c r="F360" t="inlineStr">
        <is>
          <t>P0216_4</t>
        </is>
      </c>
      <c r="G360" t="n">
        <v>264.9</v>
      </c>
      <c r="H360" t="n">
        <v>24.22</v>
      </c>
    </row>
    <row r="361">
      <c r="A361" t="n">
        <v>9</v>
      </c>
      <c r="B361" s="7" t="n">
        <v>45454.95833333334</v>
      </c>
      <c r="C361" t="inlineStr">
        <is>
          <t>C</t>
        </is>
      </c>
      <c r="D361" t="inlineStr">
        <is>
          <t>R2_Magnetite_Blend</t>
        </is>
      </c>
      <c r="E361" t="inlineStr">
        <is>
          <t>D09_SG08</t>
        </is>
      </c>
      <c r="F361" t="inlineStr">
        <is>
          <t>P0216_5</t>
        </is>
      </c>
      <c r="G361" t="n">
        <v>272.7</v>
      </c>
      <c r="H361" t="n">
        <v>24.71</v>
      </c>
    </row>
    <row r="362">
      <c r="A362" t="n">
        <v>10</v>
      </c>
      <c r="B362" s="7" t="n">
        <v>45455</v>
      </c>
      <c r="C362" t="inlineStr">
        <is>
          <t>A</t>
        </is>
      </c>
      <c r="D362" t="inlineStr">
        <is>
          <t>R2_Magnetite_Blend</t>
        </is>
      </c>
      <c r="E362" t="inlineStr">
        <is>
          <t>D10_SG01</t>
        </is>
      </c>
      <c r="F362" t="inlineStr">
        <is>
          <t>P0217_1</t>
        </is>
      </c>
      <c r="G362" t="n">
        <v>312.3</v>
      </c>
      <c r="H362" t="n">
        <v>25.53</v>
      </c>
    </row>
    <row r="363">
      <c r="A363" t="n">
        <v>10</v>
      </c>
      <c r="B363" s="7" t="n">
        <v>45455</v>
      </c>
      <c r="C363" t="inlineStr">
        <is>
          <t>A</t>
        </is>
      </c>
      <c r="D363" t="inlineStr">
        <is>
          <t>R2_Magnetite_Blend</t>
        </is>
      </c>
      <c r="E363" t="inlineStr">
        <is>
          <t>D10_SG01</t>
        </is>
      </c>
      <c r="F363" t="inlineStr">
        <is>
          <t>P0217_2</t>
        </is>
      </c>
      <c r="G363" t="n">
        <v>319.7</v>
      </c>
      <c r="H363" t="n">
        <v>25.93</v>
      </c>
    </row>
    <row r="364">
      <c r="A364" t="n">
        <v>10</v>
      </c>
      <c r="B364" s="7" t="n">
        <v>45455</v>
      </c>
      <c r="C364" t="inlineStr">
        <is>
          <t>A</t>
        </is>
      </c>
      <c r="D364" t="inlineStr">
        <is>
          <t>R2_Magnetite_Blend</t>
        </is>
      </c>
      <c r="E364" t="inlineStr">
        <is>
          <t>D10_SG01</t>
        </is>
      </c>
      <c r="F364" t="inlineStr">
        <is>
          <t>P0217_3</t>
        </is>
      </c>
      <c r="G364" t="n">
        <v>295.1</v>
      </c>
      <c r="H364" t="n">
        <v>26.29</v>
      </c>
    </row>
    <row r="365">
      <c r="A365" t="n">
        <v>10</v>
      </c>
      <c r="B365" s="7" t="n">
        <v>45455</v>
      </c>
      <c r="C365" t="inlineStr">
        <is>
          <t>A</t>
        </is>
      </c>
      <c r="D365" t="inlineStr">
        <is>
          <t>R2_Magnetite_Blend</t>
        </is>
      </c>
      <c r="E365" t="inlineStr">
        <is>
          <t>D10_SG01</t>
        </is>
      </c>
      <c r="F365" t="inlineStr">
        <is>
          <t>P0217_4</t>
        </is>
      </c>
      <c r="G365" t="n">
        <v>307.1</v>
      </c>
      <c r="H365" t="n">
        <v>26.18</v>
      </c>
    </row>
    <row r="366">
      <c r="A366" t="n">
        <v>10</v>
      </c>
      <c r="B366" s="7" t="n">
        <v>45455</v>
      </c>
      <c r="C366" t="inlineStr">
        <is>
          <t>A</t>
        </is>
      </c>
      <c r="D366" t="inlineStr">
        <is>
          <t>R2_Magnetite_Blend</t>
        </is>
      </c>
      <c r="E366" t="inlineStr">
        <is>
          <t>D10_SG01</t>
        </is>
      </c>
      <c r="F366" t="inlineStr">
        <is>
          <t>P0217_5</t>
        </is>
      </c>
      <c r="G366" t="n">
        <v>316.7</v>
      </c>
      <c r="H366" t="n">
        <v>25.64</v>
      </c>
    </row>
    <row r="367">
      <c r="A367" t="n">
        <v>10</v>
      </c>
      <c r="B367" s="7" t="n">
        <v>45455.125</v>
      </c>
      <c r="C367" t="inlineStr">
        <is>
          <t>A</t>
        </is>
      </c>
      <c r="D367" t="inlineStr">
        <is>
          <t>R2_Magnetite_Blend</t>
        </is>
      </c>
      <c r="E367" t="inlineStr">
        <is>
          <t>D10_SG02</t>
        </is>
      </c>
      <c r="F367" t="inlineStr">
        <is>
          <t>P0220_1</t>
        </is>
      </c>
      <c r="G367" t="n">
        <v>231.7</v>
      </c>
      <c r="H367" t="n">
        <v>25.38</v>
      </c>
    </row>
    <row r="368">
      <c r="A368" t="n">
        <v>10</v>
      </c>
      <c r="B368" s="7" t="n">
        <v>45455.125</v>
      </c>
      <c r="C368" t="inlineStr">
        <is>
          <t>A</t>
        </is>
      </c>
      <c r="D368" t="inlineStr">
        <is>
          <t>R2_Magnetite_Blend</t>
        </is>
      </c>
      <c r="E368" t="inlineStr">
        <is>
          <t>D10_SG02</t>
        </is>
      </c>
      <c r="F368" t="inlineStr">
        <is>
          <t>P0220_2</t>
        </is>
      </c>
      <c r="G368" t="n">
        <v>228.9</v>
      </c>
      <c r="H368" t="n">
        <v>26.18</v>
      </c>
    </row>
    <row r="369">
      <c r="A369" t="n">
        <v>10</v>
      </c>
      <c r="B369" s="7" t="n">
        <v>45455.125</v>
      </c>
      <c r="C369" t="inlineStr">
        <is>
          <t>A</t>
        </is>
      </c>
      <c r="D369" t="inlineStr">
        <is>
          <t>R2_Magnetite_Blend</t>
        </is>
      </c>
      <c r="E369" t="inlineStr">
        <is>
          <t>D10_SG02</t>
        </is>
      </c>
      <c r="F369" t="inlineStr">
        <is>
          <t>P0220_3</t>
        </is>
      </c>
      <c r="G369" t="n">
        <v>244.9</v>
      </c>
      <c r="H369" t="n">
        <v>24.76</v>
      </c>
    </row>
    <row r="370">
      <c r="A370" t="n">
        <v>10</v>
      </c>
      <c r="B370" s="7" t="n">
        <v>45455.125</v>
      </c>
      <c r="C370" t="inlineStr">
        <is>
          <t>A</t>
        </is>
      </c>
      <c r="D370" t="inlineStr">
        <is>
          <t>R2_Magnetite_Blend</t>
        </is>
      </c>
      <c r="E370" t="inlineStr">
        <is>
          <t>D10_SG02</t>
        </is>
      </c>
      <c r="F370" t="inlineStr">
        <is>
          <t>P0220_4</t>
        </is>
      </c>
      <c r="G370" t="n">
        <v>238.3</v>
      </c>
      <c r="H370" t="n">
        <v>26.08</v>
      </c>
    </row>
    <row r="371">
      <c r="A371" t="n">
        <v>10</v>
      </c>
      <c r="B371" s="7" t="n">
        <v>45455.125</v>
      </c>
      <c r="C371" t="inlineStr">
        <is>
          <t>A</t>
        </is>
      </c>
      <c r="D371" t="inlineStr">
        <is>
          <t>R2_Magnetite_Blend</t>
        </is>
      </c>
      <c r="E371" t="inlineStr">
        <is>
          <t>D10_SG02</t>
        </is>
      </c>
      <c r="F371" t="inlineStr">
        <is>
          <t>P0220_5</t>
        </is>
      </c>
      <c r="G371" t="n">
        <v>252.7</v>
      </c>
      <c r="H371" t="n">
        <v>26.62</v>
      </c>
    </row>
    <row r="372">
      <c r="A372" t="n">
        <v>10</v>
      </c>
      <c r="B372" s="7" t="n">
        <v>45455.25</v>
      </c>
      <c r="C372" t="inlineStr">
        <is>
          <t>A</t>
        </is>
      </c>
      <c r="D372" t="inlineStr">
        <is>
          <t>R2_Magnetite_Blend</t>
        </is>
      </c>
      <c r="E372" t="inlineStr">
        <is>
          <t>D10_SG03</t>
        </is>
      </c>
      <c r="F372" t="inlineStr">
        <is>
          <t>P0223_1</t>
        </is>
      </c>
      <c r="G372" t="n">
        <v>331.7</v>
      </c>
      <c r="H372" t="n">
        <v>25.64</v>
      </c>
    </row>
    <row r="373">
      <c r="A373" t="n">
        <v>10</v>
      </c>
      <c r="B373" s="7" t="n">
        <v>45455.25</v>
      </c>
      <c r="C373" t="inlineStr">
        <is>
          <t>A</t>
        </is>
      </c>
      <c r="D373" t="inlineStr">
        <is>
          <t>R2_Magnetite_Blend</t>
        </is>
      </c>
      <c r="E373" t="inlineStr">
        <is>
          <t>D10_SG03</t>
        </is>
      </c>
      <c r="F373" t="inlineStr">
        <is>
          <t>P0223_2</t>
        </is>
      </c>
      <c r="G373" t="n">
        <v>306.2</v>
      </c>
      <c r="H373" t="n">
        <v>25.18</v>
      </c>
    </row>
    <row r="374">
      <c r="A374" t="n">
        <v>10</v>
      </c>
      <c r="B374" s="7" t="n">
        <v>45455.25</v>
      </c>
      <c r="C374" t="inlineStr">
        <is>
          <t>A</t>
        </is>
      </c>
      <c r="D374" t="inlineStr">
        <is>
          <t>R2_Magnetite_Blend</t>
        </is>
      </c>
      <c r="E374" t="inlineStr">
        <is>
          <t>D10_SG03</t>
        </is>
      </c>
      <c r="F374" t="inlineStr">
        <is>
          <t>P0223_3</t>
        </is>
      </c>
      <c r="G374" t="n">
        <v>336.9</v>
      </c>
      <c r="H374" t="n">
        <v>25.43</v>
      </c>
    </row>
    <row r="375">
      <c r="A375" t="n">
        <v>10</v>
      </c>
      <c r="B375" s="7" t="n">
        <v>45455.25</v>
      </c>
      <c r="C375" t="inlineStr">
        <is>
          <t>A</t>
        </is>
      </c>
      <c r="D375" t="inlineStr">
        <is>
          <t>R2_Magnetite_Blend</t>
        </is>
      </c>
      <c r="E375" t="inlineStr">
        <is>
          <t>D10_SG03</t>
        </is>
      </c>
      <c r="F375" t="inlineStr">
        <is>
          <t>P0223_4</t>
        </is>
      </c>
      <c r="G375" t="n">
        <v>344.5</v>
      </c>
      <c r="H375" t="n">
        <v>26.22</v>
      </c>
    </row>
    <row r="376">
      <c r="A376" t="n">
        <v>10</v>
      </c>
      <c r="B376" s="7" t="n">
        <v>45455.25</v>
      </c>
      <c r="C376" t="inlineStr">
        <is>
          <t>A</t>
        </is>
      </c>
      <c r="D376" t="inlineStr">
        <is>
          <t>R2_Magnetite_Blend</t>
        </is>
      </c>
      <c r="E376" t="inlineStr">
        <is>
          <t>D10_SG03</t>
        </is>
      </c>
      <c r="F376" t="inlineStr">
        <is>
          <t>P0223_5</t>
        </is>
      </c>
      <c r="G376" t="n">
        <v>329.4</v>
      </c>
      <c r="H376" t="n">
        <v>26.32</v>
      </c>
    </row>
    <row r="377">
      <c r="A377" t="n">
        <v>10</v>
      </c>
      <c r="B377" s="7" t="n">
        <v>45455.375</v>
      </c>
      <c r="C377" t="inlineStr">
        <is>
          <t>B</t>
        </is>
      </c>
      <c r="D377" t="inlineStr">
        <is>
          <t>R2_Magnetite_Blend</t>
        </is>
      </c>
      <c r="E377" t="inlineStr">
        <is>
          <t>D10_SG04</t>
        </is>
      </c>
      <c r="F377" t="inlineStr">
        <is>
          <t>P0226_1</t>
        </is>
      </c>
      <c r="G377" t="n">
        <v>302.7</v>
      </c>
      <c r="H377" t="n">
        <v>26.24</v>
      </c>
    </row>
    <row r="378">
      <c r="A378" t="n">
        <v>10</v>
      </c>
      <c r="B378" s="7" t="n">
        <v>45455.375</v>
      </c>
      <c r="C378" t="inlineStr">
        <is>
          <t>B</t>
        </is>
      </c>
      <c r="D378" t="inlineStr">
        <is>
          <t>R2_Magnetite_Blend</t>
        </is>
      </c>
      <c r="E378" t="inlineStr">
        <is>
          <t>D10_SG04</t>
        </is>
      </c>
      <c r="F378" t="inlineStr">
        <is>
          <t>P0226_2</t>
        </is>
      </c>
      <c r="G378" t="n">
        <v>311.3</v>
      </c>
      <c r="H378" t="n">
        <v>26.72</v>
      </c>
    </row>
    <row r="379">
      <c r="A379" t="n">
        <v>10</v>
      </c>
      <c r="B379" s="7" t="n">
        <v>45455.375</v>
      </c>
      <c r="C379" t="inlineStr">
        <is>
          <t>B</t>
        </is>
      </c>
      <c r="D379" t="inlineStr">
        <is>
          <t>R2_Magnetite_Blend</t>
        </is>
      </c>
      <c r="E379" t="inlineStr">
        <is>
          <t>D10_SG04</t>
        </is>
      </c>
      <c r="F379" t="inlineStr">
        <is>
          <t>P0226_3</t>
        </is>
      </c>
      <c r="G379" t="n">
        <v>293.5</v>
      </c>
      <c r="H379" t="n">
        <v>25.62</v>
      </c>
    </row>
    <row r="380">
      <c r="A380" t="n">
        <v>10</v>
      </c>
      <c r="B380" s="7" t="n">
        <v>45455.375</v>
      </c>
      <c r="C380" t="inlineStr">
        <is>
          <t>B</t>
        </is>
      </c>
      <c r="D380" t="inlineStr">
        <is>
          <t>R2_Magnetite_Blend</t>
        </is>
      </c>
      <c r="E380" t="inlineStr">
        <is>
          <t>D10_SG04</t>
        </is>
      </c>
      <c r="F380" t="inlineStr">
        <is>
          <t>P0226_4</t>
        </is>
      </c>
      <c r="G380" t="n">
        <v>316.9</v>
      </c>
      <c r="H380" t="n">
        <v>26.47</v>
      </c>
    </row>
    <row r="381">
      <c r="A381" t="n">
        <v>10</v>
      </c>
      <c r="B381" s="7" t="n">
        <v>45455.375</v>
      </c>
      <c r="C381" t="inlineStr">
        <is>
          <t>B</t>
        </is>
      </c>
      <c r="D381" t="inlineStr">
        <is>
          <t>R2_Magnetite_Blend</t>
        </is>
      </c>
      <c r="E381" t="inlineStr">
        <is>
          <t>D10_SG04</t>
        </is>
      </c>
      <c r="F381" t="inlineStr">
        <is>
          <t>P0226_5</t>
        </is>
      </c>
      <c r="G381" t="n">
        <v>298.9</v>
      </c>
      <c r="H381" t="n">
        <v>26.68</v>
      </c>
    </row>
    <row r="382">
      <c r="A382" t="n">
        <v>10</v>
      </c>
      <c r="B382" s="7" t="n">
        <v>45455.54166666666</v>
      </c>
      <c r="C382" t="inlineStr">
        <is>
          <t>B</t>
        </is>
      </c>
      <c r="D382" t="inlineStr">
        <is>
          <t>R2_Magnetite_Blend</t>
        </is>
      </c>
      <c r="E382" t="inlineStr">
        <is>
          <t>D10_SG05</t>
        </is>
      </c>
      <c r="F382" t="inlineStr">
        <is>
          <t>P0230_1</t>
        </is>
      </c>
      <c r="G382" t="n">
        <v>262.5</v>
      </c>
      <c r="H382" t="n">
        <v>26.99</v>
      </c>
    </row>
    <row r="383">
      <c r="A383" t="n">
        <v>10</v>
      </c>
      <c r="B383" s="7" t="n">
        <v>45455.54166666666</v>
      </c>
      <c r="C383" t="inlineStr">
        <is>
          <t>B</t>
        </is>
      </c>
      <c r="D383" t="inlineStr">
        <is>
          <t>R2_Magnetite_Blend</t>
        </is>
      </c>
      <c r="E383" t="inlineStr">
        <is>
          <t>D10_SG05</t>
        </is>
      </c>
      <c r="F383" t="inlineStr">
        <is>
          <t>P0230_2</t>
        </is>
      </c>
      <c r="G383" t="n">
        <v>252.7</v>
      </c>
      <c r="H383" t="n">
        <v>26</v>
      </c>
    </row>
    <row r="384">
      <c r="A384" t="n">
        <v>10</v>
      </c>
      <c r="B384" s="7" t="n">
        <v>45455.54166666666</v>
      </c>
      <c r="C384" t="inlineStr">
        <is>
          <t>B</t>
        </is>
      </c>
      <c r="D384" t="inlineStr">
        <is>
          <t>R2_Magnetite_Blend</t>
        </is>
      </c>
      <c r="E384" t="inlineStr">
        <is>
          <t>D10_SG05</t>
        </is>
      </c>
      <c r="F384" t="inlineStr">
        <is>
          <t>P0230_3</t>
        </is>
      </c>
      <c r="G384" t="n">
        <v>254.6</v>
      </c>
      <c r="H384" t="n">
        <v>25.96</v>
      </c>
    </row>
    <row r="385">
      <c r="A385" t="n">
        <v>10</v>
      </c>
      <c r="B385" s="7" t="n">
        <v>45455.54166666666</v>
      </c>
      <c r="C385" t="inlineStr">
        <is>
          <t>B</t>
        </is>
      </c>
      <c r="D385" t="inlineStr">
        <is>
          <t>R2_Magnetite_Blend</t>
        </is>
      </c>
      <c r="E385" t="inlineStr">
        <is>
          <t>D10_SG05</t>
        </is>
      </c>
      <c r="F385" t="inlineStr">
        <is>
          <t>P0230_4</t>
        </is>
      </c>
      <c r="G385" t="n">
        <v>250.6</v>
      </c>
      <c r="H385" t="n">
        <v>27.07</v>
      </c>
    </row>
    <row r="386">
      <c r="A386" t="n">
        <v>10</v>
      </c>
      <c r="B386" s="7" t="n">
        <v>45455.54166666666</v>
      </c>
      <c r="C386" t="inlineStr">
        <is>
          <t>B</t>
        </is>
      </c>
      <c r="D386" t="inlineStr">
        <is>
          <t>R2_Magnetite_Blend</t>
        </is>
      </c>
      <c r="E386" t="inlineStr">
        <is>
          <t>D10_SG05</t>
        </is>
      </c>
      <c r="F386" t="inlineStr">
        <is>
          <t>P0230_5</t>
        </is>
      </c>
      <c r="G386" t="n">
        <v>271.4</v>
      </c>
      <c r="H386" t="n">
        <v>26.22</v>
      </c>
    </row>
    <row r="387">
      <c r="A387" t="n">
        <v>10</v>
      </c>
      <c r="B387" s="7" t="n">
        <v>45455.66666666666</v>
      </c>
      <c r="C387" t="inlineStr">
        <is>
          <t>C</t>
        </is>
      </c>
      <c r="D387" t="inlineStr">
        <is>
          <t>R2_Magnetite_Blend</t>
        </is>
      </c>
      <c r="E387" t="inlineStr">
        <is>
          <t>D10_SG06</t>
        </is>
      </c>
      <c r="F387" t="inlineStr">
        <is>
          <t>P0233_1</t>
        </is>
      </c>
      <c r="G387" t="n">
        <v>346.4</v>
      </c>
      <c r="H387" t="n">
        <v>25.75</v>
      </c>
    </row>
    <row r="388">
      <c r="A388" t="n">
        <v>10</v>
      </c>
      <c r="B388" s="7" t="n">
        <v>45455.66666666666</v>
      </c>
      <c r="C388" t="inlineStr">
        <is>
          <t>C</t>
        </is>
      </c>
      <c r="D388" t="inlineStr">
        <is>
          <t>R2_Magnetite_Blend</t>
        </is>
      </c>
      <c r="E388" t="inlineStr">
        <is>
          <t>D10_SG06</t>
        </is>
      </c>
      <c r="F388" t="inlineStr">
        <is>
          <t>P0233_2</t>
        </is>
      </c>
      <c r="G388" t="n">
        <v>341</v>
      </c>
      <c r="H388" t="n">
        <v>26.33</v>
      </c>
    </row>
    <row r="389">
      <c r="A389" t="n">
        <v>10</v>
      </c>
      <c r="B389" s="7" t="n">
        <v>45455.66666666666</v>
      </c>
      <c r="C389" t="inlineStr">
        <is>
          <t>C</t>
        </is>
      </c>
      <c r="D389" t="inlineStr">
        <is>
          <t>R2_Magnetite_Blend</t>
        </is>
      </c>
      <c r="E389" t="inlineStr">
        <is>
          <t>D10_SG06</t>
        </is>
      </c>
      <c r="F389" t="inlineStr">
        <is>
          <t>P0233_3</t>
        </is>
      </c>
      <c r="G389" t="n">
        <v>356</v>
      </c>
      <c r="H389" t="n">
        <v>25.65</v>
      </c>
    </row>
    <row r="390">
      <c r="A390" t="n">
        <v>10</v>
      </c>
      <c r="B390" s="7" t="n">
        <v>45455.66666666666</v>
      </c>
      <c r="C390" t="inlineStr">
        <is>
          <t>C</t>
        </is>
      </c>
      <c r="D390" t="inlineStr">
        <is>
          <t>R2_Magnetite_Blend</t>
        </is>
      </c>
      <c r="E390" t="inlineStr">
        <is>
          <t>D10_SG06</t>
        </is>
      </c>
      <c r="F390" t="inlineStr">
        <is>
          <t>P0233_4</t>
        </is>
      </c>
      <c r="G390" t="n">
        <v>367.1</v>
      </c>
      <c r="H390" t="n">
        <v>25.86</v>
      </c>
    </row>
    <row r="391">
      <c r="A391" t="n">
        <v>10</v>
      </c>
      <c r="B391" s="7" t="n">
        <v>45455.66666666666</v>
      </c>
      <c r="C391" t="inlineStr">
        <is>
          <t>C</t>
        </is>
      </c>
      <c r="D391" t="inlineStr">
        <is>
          <t>R2_Magnetite_Blend</t>
        </is>
      </c>
      <c r="E391" t="inlineStr">
        <is>
          <t>D10_SG06</t>
        </is>
      </c>
      <c r="F391" t="inlineStr">
        <is>
          <t>P0233_5</t>
        </is>
      </c>
      <c r="G391" t="n">
        <v>350.5</v>
      </c>
      <c r="H391" t="n">
        <v>25.8</v>
      </c>
    </row>
    <row r="392">
      <c r="A392" t="n">
        <v>10</v>
      </c>
      <c r="B392" s="7" t="n">
        <v>45455.79166666666</v>
      </c>
      <c r="C392" t="inlineStr">
        <is>
          <t>C</t>
        </is>
      </c>
      <c r="D392" t="inlineStr">
        <is>
          <t>R2_Magnetite_Blend</t>
        </is>
      </c>
      <c r="E392" t="inlineStr">
        <is>
          <t>D10_SG07</t>
        </is>
      </c>
      <c r="F392" t="inlineStr">
        <is>
          <t>P0236_1</t>
        </is>
      </c>
      <c r="G392" t="n">
        <v>343.4</v>
      </c>
      <c r="H392" t="n">
        <v>25.28</v>
      </c>
    </row>
    <row r="393">
      <c r="A393" t="n">
        <v>10</v>
      </c>
      <c r="B393" s="7" t="n">
        <v>45455.79166666666</v>
      </c>
      <c r="C393" t="inlineStr">
        <is>
          <t>C</t>
        </is>
      </c>
      <c r="D393" t="inlineStr">
        <is>
          <t>R2_Magnetite_Blend</t>
        </is>
      </c>
      <c r="E393" t="inlineStr">
        <is>
          <t>D10_SG07</t>
        </is>
      </c>
      <c r="F393" t="inlineStr">
        <is>
          <t>P0236_2</t>
        </is>
      </c>
      <c r="G393" t="n">
        <v>350.5</v>
      </c>
      <c r="H393" t="n">
        <v>24.8</v>
      </c>
    </row>
    <row r="394">
      <c r="A394" t="n">
        <v>10</v>
      </c>
      <c r="B394" s="7" t="n">
        <v>45455.79166666666</v>
      </c>
      <c r="C394" t="inlineStr">
        <is>
          <t>C</t>
        </is>
      </c>
      <c r="D394" t="inlineStr">
        <is>
          <t>R2_Magnetite_Blend</t>
        </is>
      </c>
      <c r="E394" t="inlineStr">
        <is>
          <t>D10_SG07</t>
        </is>
      </c>
      <c r="F394" t="inlineStr">
        <is>
          <t>P0236_3</t>
        </is>
      </c>
      <c r="G394" t="n">
        <v>384.9</v>
      </c>
      <c r="H394" t="n">
        <v>25.11</v>
      </c>
    </row>
    <row r="395">
      <c r="A395" t="n">
        <v>10</v>
      </c>
      <c r="B395" s="7" t="n">
        <v>45455.79166666666</v>
      </c>
      <c r="C395" t="inlineStr">
        <is>
          <t>C</t>
        </is>
      </c>
      <c r="D395" t="inlineStr">
        <is>
          <t>R2_Magnetite_Blend</t>
        </is>
      </c>
      <c r="E395" t="inlineStr">
        <is>
          <t>D10_SG07</t>
        </is>
      </c>
      <c r="F395" t="inlineStr">
        <is>
          <t>P0236_4</t>
        </is>
      </c>
      <c r="G395" t="n">
        <v>343.8</v>
      </c>
      <c r="H395" t="n">
        <v>24.93</v>
      </c>
    </row>
    <row r="396">
      <c r="A396" t="n">
        <v>10</v>
      </c>
      <c r="B396" s="7" t="n">
        <v>45455.79166666666</v>
      </c>
      <c r="C396" t="inlineStr">
        <is>
          <t>C</t>
        </is>
      </c>
      <c r="D396" t="inlineStr">
        <is>
          <t>R2_Magnetite_Blend</t>
        </is>
      </c>
      <c r="E396" t="inlineStr">
        <is>
          <t>D10_SG07</t>
        </is>
      </c>
      <c r="F396" t="inlineStr">
        <is>
          <t>P0236_5</t>
        </is>
      </c>
      <c r="G396" t="n">
        <v>336.2</v>
      </c>
      <c r="H396" t="n">
        <v>24.54</v>
      </c>
    </row>
    <row r="397">
      <c r="A397" t="n">
        <v>10</v>
      </c>
      <c r="B397" s="7" t="n">
        <v>45455.95833333334</v>
      </c>
      <c r="C397" t="inlineStr">
        <is>
          <t>C</t>
        </is>
      </c>
      <c r="D397" t="inlineStr">
        <is>
          <t>R2_Magnetite_Blend</t>
        </is>
      </c>
      <c r="E397" t="inlineStr">
        <is>
          <t>D10_SG08</t>
        </is>
      </c>
      <c r="F397" t="inlineStr">
        <is>
          <t>P0240_1</t>
        </is>
      </c>
      <c r="G397" t="n">
        <v>318.2</v>
      </c>
      <c r="H397" t="n">
        <v>27.25</v>
      </c>
    </row>
    <row r="398">
      <c r="A398" t="n">
        <v>10</v>
      </c>
      <c r="B398" s="7" t="n">
        <v>45455.95833333334</v>
      </c>
      <c r="C398" t="inlineStr">
        <is>
          <t>C</t>
        </is>
      </c>
      <c r="D398" t="inlineStr">
        <is>
          <t>R2_Magnetite_Blend</t>
        </is>
      </c>
      <c r="E398" t="inlineStr">
        <is>
          <t>D10_SG08</t>
        </is>
      </c>
      <c r="F398" t="inlineStr">
        <is>
          <t>P0240_2</t>
        </is>
      </c>
      <c r="G398" t="n">
        <v>327.7</v>
      </c>
      <c r="H398" t="n">
        <v>27.01</v>
      </c>
    </row>
    <row r="399">
      <c r="A399" t="n">
        <v>10</v>
      </c>
      <c r="B399" s="7" t="n">
        <v>45455.95833333334</v>
      </c>
      <c r="C399" t="inlineStr">
        <is>
          <t>C</t>
        </is>
      </c>
      <c r="D399" t="inlineStr">
        <is>
          <t>R2_Magnetite_Blend</t>
        </is>
      </c>
      <c r="E399" t="inlineStr">
        <is>
          <t>D10_SG08</t>
        </is>
      </c>
      <c r="F399" t="inlineStr">
        <is>
          <t>P0240_3</t>
        </is>
      </c>
      <c r="G399" t="n">
        <v>287.1</v>
      </c>
      <c r="H399" t="n">
        <v>26.27</v>
      </c>
    </row>
    <row r="400">
      <c r="A400" t="n">
        <v>10</v>
      </c>
      <c r="B400" s="7" t="n">
        <v>45455.95833333334</v>
      </c>
      <c r="C400" t="inlineStr">
        <is>
          <t>C</t>
        </is>
      </c>
      <c r="D400" t="inlineStr">
        <is>
          <t>R2_Magnetite_Blend</t>
        </is>
      </c>
      <c r="E400" t="inlineStr">
        <is>
          <t>D10_SG08</t>
        </is>
      </c>
      <c r="F400" t="inlineStr">
        <is>
          <t>P0240_4</t>
        </is>
      </c>
      <c r="G400" t="n">
        <v>311.8</v>
      </c>
      <c r="H400" t="n">
        <v>26.69</v>
      </c>
    </row>
    <row r="401">
      <c r="A401" t="n">
        <v>10</v>
      </c>
      <c r="B401" s="7" t="n">
        <v>45455.95833333334</v>
      </c>
      <c r="C401" t="inlineStr">
        <is>
          <t>C</t>
        </is>
      </c>
      <c r="D401" t="inlineStr">
        <is>
          <t>R2_Magnetite_Blend</t>
        </is>
      </c>
      <c r="E401" t="inlineStr">
        <is>
          <t>D10_SG08</t>
        </is>
      </c>
      <c r="F401" t="inlineStr">
        <is>
          <t>P0240_5</t>
        </is>
      </c>
      <c r="G401" t="n">
        <v>323.9</v>
      </c>
      <c r="H401" t="n">
        <v>26.19</v>
      </c>
    </row>
    <row r="402">
      <c r="A402" t="n">
        <v>11</v>
      </c>
      <c r="B402" s="7" t="n">
        <v>45456</v>
      </c>
      <c r="C402" t="inlineStr">
        <is>
          <t>A</t>
        </is>
      </c>
      <c r="D402" t="inlineStr">
        <is>
          <t>R2_Magnetite_Blend</t>
        </is>
      </c>
      <c r="E402" t="inlineStr">
        <is>
          <t>D11_SG01</t>
        </is>
      </c>
      <c r="F402" t="inlineStr">
        <is>
          <t>P0241_1</t>
        </is>
      </c>
      <c r="G402" t="n">
        <v>322.5</v>
      </c>
      <c r="H402" t="n">
        <v>25.69</v>
      </c>
    </row>
    <row r="403">
      <c r="A403" t="n">
        <v>11</v>
      </c>
      <c r="B403" s="7" t="n">
        <v>45456</v>
      </c>
      <c r="C403" t="inlineStr">
        <is>
          <t>A</t>
        </is>
      </c>
      <c r="D403" t="inlineStr">
        <is>
          <t>R2_Magnetite_Blend</t>
        </is>
      </c>
      <c r="E403" t="inlineStr">
        <is>
          <t>D11_SG01</t>
        </is>
      </c>
      <c r="F403" t="inlineStr">
        <is>
          <t>P0241_2</t>
        </is>
      </c>
      <c r="G403" t="n">
        <v>372.7</v>
      </c>
      <c r="H403" t="n">
        <v>25.5</v>
      </c>
    </row>
    <row r="404">
      <c r="A404" t="n">
        <v>11</v>
      </c>
      <c r="B404" s="7" t="n">
        <v>45456</v>
      </c>
      <c r="C404" t="inlineStr">
        <is>
          <t>A</t>
        </is>
      </c>
      <c r="D404" t="inlineStr">
        <is>
          <t>R2_Magnetite_Blend</t>
        </is>
      </c>
      <c r="E404" t="inlineStr">
        <is>
          <t>D11_SG01</t>
        </is>
      </c>
      <c r="F404" t="inlineStr">
        <is>
          <t>P0241_3</t>
        </is>
      </c>
      <c r="G404" t="n">
        <v>382.2</v>
      </c>
      <c r="H404" t="n">
        <v>25.95</v>
      </c>
    </row>
    <row r="405">
      <c r="A405" t="n">
        <v>11</v>
      </c>
      <c r="B405" s="7" t="n">
        <v>45456</v>
      </c>
      <c r="C405" t="inlineStr">
        <is>
          <t>A</t>
        </is>
      </c>
      <c r="D405" t="inlineStr">
        <is>
          <t>R2_Magnetite_Blend</t>
        </is>
      </c>
      <c r="E405" t="inlineStr">
        <is>
          <t>D11_SG01</t>
        </is>
      </c>
      <c r="F405" t="inlineStr">
        <is>
          <t>P0241_4</t>
        </is>
      </c>
      <c r="G405" t="n">
        <v>353.2</v>
      </c>
      <c r="H405" t="n">
        <v>26.55</v>
      </c>
    </row>
    <row r="406">
      <c r="A406" t="n">
        <v>11</v>
      </c>
      <c r="B406" s="7" t="n">
        <v>45456</v>
      </c>
      <c r="C406" t="inlineStr">
        <is>
          <t>A</t>
        </is>
      </c>
      <c r="D406" t="inlineStr">
        <is>
          <t>R2_Magnetite_Blend</t>
        </is>
      </c>
      <c r="E406" t="inlineStr">
        <is>
          <t>D11_SG01</t>
        </is>
      </c>
      <c r="F406" t="inlineStr">
        <is>
          <t>P0241_5</t>
        </is>
      </c>
      <c r="G406" t="n">
        <v>342.8</v>
      </c>
      <c r="H406" t="n">
        <v>26.24</v>
      </c>
    </row>
    <row r="407">
      <c r="A407" t="n">
        <v>11</v>
      </c>
      <c r="B407" s="7" t="n">
        <v>45456.125</v>
      </c>
      <c r="C407" t="inlineStr">
        <is>
          <t>A</t>
        </is>
      </c>
      <c r="D407" t="inlineStr">
        <is>
          <t>R2_Magnetite_Blend</t>
        </is>
      </c>
      <c r="E407" t="inlineStr">
        <is>
          <t>D11_SG02</t>
        </is>
      </c>
      <c r="F407" t="inlineStr">
        <is>
          <t>P0244_1</t>
        </is>
      </c>
      <c r="G407" t="n">
        <v>359.5</v>
      </c>
      <c r="H407" t="n">
        <v>24.46</v>
      </c>
    </row>
    <row r="408">
      <c r="A408" t="n">
        <v>11</v>
      </c>
      <c r="B408" s="7" t="n">
        <v>45456.125</v>
      </c>
      <c r="C408" t="inlineStr">
        <is>
          <t>A</t>
        </is>
      </c>
      <c r="D408" t="inlineStr">
        <is>
          <t>R2_Magnetite_Blend</t>
        </is>
      </c>
      <c r="E408" t="inlineStr">
        <is>
          <t>D11_SG02</t>
        </is>
      </c>
      <c r="F408" t="inlineStr">
        <is>
          <t>P0244_2</t>
        </is>
      </c>
      <c r="G408" t="n">
        <v>341.8</v>
      </c>
      <c r="H408" t="n">
        <v>24.81</v>
      </c>
    </row>
    <row r="409">
      <c r="A409" t="n">
        <v>11</v>
      </c>
      <c r="B409" s="7" t="n">
        <v>45456.125</v>
      </c>
      <c r="C409" t="inlineStr">
        <is>
          <t>A</t>
        </is>
      </c>
      <c r="D409" t="inlineStr">
        <is>
          <t>R2_Magnetite_Blend</t>
        </is>
      </c>
      <c r="E409" t="inlineStr">
        <is>
          <t>D11_SG02</t>
        </is>
      </c>
      <c r="F409" t="inlineStr">
        <is>
          <t>P0244_3</t>
        </is>
      </c>
      <c r="G409" t="n">
        <v>371.9</v>
      </c>
      <c r="H409" t="n">
        <v>25.64</v>
      </c>
    </row>
    <row r="410">
      <c r="A410" t="n">
        <v>11</v>
      </c>
      <c r="B410" s="7" t="n">
        <v>45456.125</v>
      </c>
      <c r="C410" t="inlineStr">
        <is>
          <t>A</t>
        </is>
      </c>
      <c r="D410" t="inlineStr">
        <is>
          <t>R2_Magnetite_Blend</t>
        </is>
      </c>
      <c r="E410" t="inlineStr">
        <is>
          <t>D11_SG02</t>
        </is>
      </c>
      <c r="F410" t="inlineStr">
        <is>
          <t>P0244_4</t>
        </is>
      </c>
      <c r="G410" t="n">
        <v>378.4</v>
      </c>
      <c r="H410" t="n">
        <v>24.92</v>
      </c>
    </row>
    <row r="411">
      <c r="A411" t="n">
        <v>11</v>
      </c>
      <c r="B411" s="7" t="n">
        <v>45456.125</v>
      </c>
      <c r="C411" t="inlineStr">
        <is>
          <t>A</t>
        </is>
      </c>
      <c r="D411" t="inlineStr">
        <is>
          <t>R2_Magnetite_Blend</t>
        </is>
      </c>
      <c r="E411" t="inlineStr">
        <is>
          <t>D11_SG02</t>
        </is>
      </c>
      <c r="F411" t="inlineStr">
        <is>
          <t>P0244_5</t>
        </is>
      </c>
      <c r="G411" t="n">
        <v>363</v>
      </c>
      <c r="H411" t="n">
        <v>25.35</v>
      </c>
    </row>
    <row r="412">
      <c r="A412" t="n">
        <v>11</v>
      </c>
      <c r="B412" s="7" t="n">
        <v>45456.25</v>
      </c>
      <c r="C412" t="inlineStr">
        <is>
          <t>A</t>
        </is>
      </c>
      <c r="D412" t="inlineStr">
        <is>
          <t>R2_Magnetite_Blend</t>
        </is>
      </c>
      <c r="E412" t="inlineStr">
        <is>
          <t>D11_SG03</t>
        </is>
      </c>
      <c r="F412" t="inlineStr">
        <is>
          <t>P0247_1</t>
        </is>
      </c>
      <c r="G412" t="n">
        <v>336.8</v>
      </c>
      <c r="H412" t="n">
        <v>25.79</v>
      </c>
    </row>
    <row r="413">
      <c r="A413" t="n">
        <v>11</v>
      </c>
      <c r="B413" s="7" t="n">
        <v>45456.25</v>
      </c>
      <c r="C413" t="inlineStr">
        <is>
          <t>A</t>
        </is>
      </c>
      <c r="D413" t="inlineStr">
        <is>
          <t>R2_Magnetite_Blend</t>
        </is>
      </c>
      <c r="E413" t="inlineStr">
        <is>
          <t>D11_SG03</t>
        </is>
      </c>
      <c r="F413" t="inlineStr">
        <is>
          <t>P0247_2</t>
        </is>
      </c>
      <c r="G413" t="n">
        <v>332.5</v>
      </c>
      <c r="H413" t="n">
        <v>26.27</v>
      </c>
    </row>
    <row r="414">
      <c r="A414" t="n">
        <v>11</v>
      </c>
      <c r="B414" s="7" t="n">
        <v>45456.25</v>
      </c>
      <c r="C414" t="inlineStr">
        <is>
          <t>A</t>
        </is>
      </c>
      <c r="D414" t="inlineStr">
        <is>
          <t>R2_Magnetite_Blend</t>
        </is>
      </c>
      <c r="E414" t="inlineStr">
        <is>
          <t>D11_SG03</t>
        </is>
      </c>
      <c r="F414" t="inlineStr">
        <is>
          <t>P0247_3</t>
        </is>
      </c>
      <c r="G414" t="n">
        <v>339.5</v>
      </c>
      <c r="H414" t="n">
        <v>25.31</v>
      </c>
    </row>
    <row r="415">
      <c r="A415" t="n">
        <v>11</v>
      </c>
      <c r="B415" s="7" t="n">
        <v>45456.25</v>
      </c>
      <c r="C415" t="inlineStr">
        <is>
          <t>A</t>
        </is>
      </c>
      <c r="D415" t="inlineStr">
        <is>
          <t>R2_Magnetite_Blend</t>
        </is>
      </c>
      <c r="E415" t="inlineStr">
        <is>
          <t>D11_SG03</t>
        </is>
      </c>
      <c r="F415" t="inlineStr">
        <is>
          <t>P0247_4</t>
        </is>
      </c>
      <c r="G415" t="n">
        <v>350.9</v>
      </c>
      <c r="H415" t="n">
        <v>25.96</v>
      </c>
    </row>
    <row r="416">
      <c r="A416" t="n">
        <v>11</v>
      </c>
      <c r="B416" s="7" t="n">
        <v>45456.25</v>
      </c>
      <c r="C416" t="inlineStr">
        <is>
          <t>A</t>
        </is>
      </c>
      <c r="D416" t="inlineStr">
        <is>
          <t>R2_Magnetite_Blend</t>
        </is>
      </c>
      <c r="E416" t="inlineStr">
        <is>
          <t>D11_SG03</t>
        </is>
      </c>
      <c r="F416" t="inlineStr">
        <is>
          <t>P0247_5</t>
        </is>
      </c>
      <c r="G416" t="n">
        <v>356.3</v>
      </c>
      <c r="H416" t="n">
        <v>25.44</v>
      </c>
    </row>
    <row r="417">
      <c r="A417" t="n">
        <v>11</v>
      </c>
      <c r="B417" s="7" t="n">
        <v>45456.375</v>
      </c>
      <c r="C417" t="inlineStr">
        <is>
          <t>B</t>
        </is>
      </c>
      <c r="D417" t="inlineStr">
        <is>
          <t>R2_Magnetite_Blend</t>
        </is>
      </c>
      <c r="E417" t="inlineStr">
        <is>
          <t>D11_SG04</t>
        </is>
      </c>
      <c r="F417" t="inlineStr">
        <is>
          <t>P0250_1</t>
        </is>
      </c>
      <c r="G417" t="n">
        <v>327.2</v>
      </c>
      <c r="H417" t="n">
        <v>24.05</v>
      </c>
    </row>
    <row r="418">
      <c r="A418" t="n">
        <v>11</v>
      </c>
      <c r="B418" s="7" t="n">
        <v>45456.375</v>
      </c>
      <c r="C418" t="inlineStr">
        <is>
          <t>B</t>
        </is>
      </c>
      <c r="D418" t="inlineStr">
        <is>
          <t>R2_Magnetite_Blend</t>
        </is>
      </c>
      <c r="E418" t="inlineStr">
        <is>
          <t>D11_SG04</t>
        </is>
      </c>
      <c r="F418" t="inlineStr">
        <is>
          <t>P0250_2</t>
        </is>
      </c>
      <c r="G418" t="n">
        <v>312.6</v>
      </c>
      <c r="H418" t="n">
        <v>23.94</v>
      </c>
    </row>
    <row r="419">
      <c r="A419" t="n">
        <v>11</v>
      </c>
      <c r="B419" s="7" t="n">
        <v>45456.375</v>
      </c>
      <c r="C419" t="inlineStr">
        <is>
          <t>B</t>
        </is>
      </c>
      <c r="D419" t="inlineStr">
        <is>
          <t>R2_Magnetite_Blend</t>
        </is>
      </c>
      <c r="E419" t="inlineStr">
        <is>
          <t>D11_SG04</t>
        </is>
      </c>
      <c r="F419" t="inlineStr">
        <is>
          <t>P0250_3</t>
        </is>
      </c>
      <c r="G419" t="n">
        <v>346.4</v>
      </c>
      <c r="H419" t="n">
        <v>25.13</v>
      </c>
    </row>
    <row r="420">
      <c r="A420" t="n">
        <v>11</v>
      </c>
      <c r="B420" s="7" t="n">
        <v>45456.375</v>
      </c>
      <c r="C420" t="inlineStr">
        <is>
          <t>B</t>
        </is>
      </c>
      <c r="D420" t="inlineStr">
        <is>
          <t>R2_Magnetite_Blend</t>
        </is>
      </c>
      <c r="E420" t="inlineStr">
        <is>
          <t>D11_SG04</t>
        </is>
      </c>
      <c r="F420" t="inlineStr">
        <is>
          <t>P0250_4</t>
        </is>
      </c>
      <c r="G420" t="n">
        <v>322.3</v>
      </c>
      <c r="H420" t="n">
        <v>24.33</v>
      </c>
    </row>
    <row r="421">
      <c r="A421" t="n">
        <v>11</v>
      </c>
      <c r="B421" s="7" t="n">
        <v>45456.375</v>
      </c>
      <c r="C421" t="inlineStr">
        <is>
          <t>B</t>
        </is>
      </c>
      <c r="D421" t="inlineStr">
        <is>
          <t>R2_Magnetite_Blend</t>
        </is>
      </c>
      <c r="E421" t="inlineStr">
        <is>
          <t>D11_SG04</t>
        </is>
      </c>
      <c r="F421" t="inlineStr">
        <is>
          <t>P0250_5</t>
        </is>
      </c>
      <c r="G421" t="n">
        <v>318.7</v>
      </c>
      <c r="H421" t="n">
        <v>24.91</v>
      </c>
    </row>
    <row r="422">
      <c r="A422" t="n">
        <v>11</v>
      </c>
      <c r="B422" s="7" t="n">
        <v>45456.54166666666</v>
      </c>
      <c r="C422" t="inlineStr">
        <is>
          <t>B</t>
        </is>
      </c>
      <c r="D422" t="inlineStr">
        <is>
          <t>R2_Magnetite_Blend</t>
        </is>
      </c>
      <c r="E422" t="inlineStr">
        <is>
          <t>D11_SG05</t>
        </is>
      </c>
      <c r="F422" t="inlineStr">
        <is>
          <t>P0254_1</t>
        </is>
      </c>
      <c r="G422" t="n">
        <v>397.2</v>
      </c>
      <c r="H422" t="n">
        <v>24.01</v>
      </c>
    </row>
    <row r="423">
      <c r="A423" t="n">
        <v>11</v>
      </c>
      <c r="B423" s="7" t="n">
        <v>45456.54166666666</v>
      </c>
      <c r="C423" t="inlineStr">
        <is>
          <t>B</t>
        </is>
      </c>
      <c r="D423" t="inlineStr">
        <is>
          <t>R2_Magnetite_Blend</t>
        </is>
      </c>
      <c r="E423" t="inlineStr">
        <is>
          <t>D11_SG05</t>
        </is>
      </c>
      <c r="F423" t="inlineStr">
        <is>
          <t>P0254_2</t>
        </is>
      </c>
      <c r="G423" t="n">
        <v>432.8</v>
      </c>
      <c r="H423" t="n">
        <v>24.43</v>
      </c>
    </row>
    <row r="424">
      <c r="A424" t="n">
        <v>11</v>
      </c>
      <c r="B424" s="7" t="n">
        <v>45456.54166666666</v>
      </c>
      <c r="C424" t="inlineStr">
        <is>
          <t>B</t>
        </is>
      </c>
      <c r="D424" t="inlineStr">
        <is>
          <t>R2_Magnetite_Blend</t>
        </is>
      </c>
      <c r="E424" t="inlineStr">
        <is>
          <t>D11_SG05</t>
        </is>
      </c>
      <c r="F424" t="inlineStr">
        <is>
          <t>P0254_3</t>
        </is>
      </c>
      <c r="G424" t="n">
        <v>431.2</v>
      </c>
      <c r="H424" t="n">
        <v>24.09</v>
      </c>
    </row>
    <row r="425">
      <c r="A425" t="n">
        <v>11</v>
      </c>
      <c r="B425" s="7" t="n">
        <v>45456.54166666666</v>
      </c>
      <c r="C425" t="inlineStr">
        <is>
          <t>B</t>
        </is>
      </c>
      <c r="D425" t="inlineStr">
        <is>
          <t>R2_Magnetite_Blend</t>
        </is>
      </c>
      <c r="E425" t="inlineStr">
        <is>
          <t>D11_SG05</t>
        </is>
      </c>
      <c r="F425" t="inlineStr">
        <is>
          <t>P0254_4</t>
        </is>
      </c>
      <c r="G425" t="n">
        <v>435.7</v>
      </c>
      <c r="H425" t="n">
        <v>24.69</v>
      </c>
    </row>
    <row r="426">
      <c r="A426" t="n">
        <v>11</v>
      </c>
      <c r="B426" s="7" t="n">
        <v>45456.54166666666</v>
      </c>
      <c r="C426" t="inlineStr">
        <is>
          <t>B</t>
        </is>
      </c>
      <c r="D426" t="inlineStr">
        <is>
          <t>R2_Magnetite_Blend</t>
        </is>
      </c>
      <c r="E426" t="inlineStr">
        <is>
          <t>D11_SG05</t>
        </is>
      </c>
      <c r="F426" t="inlineStr">
        <is>
          <t>P0254_5</t>
        </is>
      </c>
      <c r="G426" t="n">
        <v>420.8</v>
      </c>
      <c r="H426" t="n">
        <v>24.4</v>
      </c>
    </row>
    <row r="427">
      <c r="A427" t="n">
        <v>11</v>
      </c>
      <c r="B427" s="7" t="n">
        <v>45456.66666666666</v>
      </c>
      <c r="C427" t="inlineStr">
        <is>
          <t>C</t>
        </is>
      </c>
      <c r="D427" t="inlineStr">
        <is>
          <t>R2_Magnetite_Blend</t>
        </is>
      </c>
      <c r="E427" t="inlineStr">
        <is>
          <t>D11_SG06</t>
        </is>
      </c>
      <c r="F427" t="inlineStr">
        <is>
          <t>P0257_1</t>
        </is>
      </c>
      <c r="G427" t="n">
        <v>246.9</v>
      </c>
      <c r="H427" t="n">
        <v>27.65</v>
      </c>
    </row>
    <row r="428">
      <c r="A428" t="n">
        <v>11</v>
      </c>
      <c r="B428" s="7" t="n">
        <v>45456.66666666666</v>
      </c>
      <c r="C428" t="inlineStr">
        <is>
          <t>C</t>
        </is>
      </c>
      <c r="D428" t="inlineStr">
        <is>
          <t>R2_Magnetite_Blend</t>
        </is>
      </c>
      <c r="E428" t="inlineStr">
        <is>
          <t>D11_SG06</t>
        </is>
      </c>
      <c r="F428" t="inlineStr">
        <is>
          <t>P0257_2</t>
        </is>
      </c>
      <c r="G428" t="n">
        <v>265</v>
      </c>
      <c r="H428" t="n">
        <v>27.68</v>
      </c>
    </row>
    <row r="429">
      <c r="A429" t="n">
        <v>11</v>
      </c>
      <c r="B429" s="7" t="n">
        <v>45456.66666666666</v>
      </c>
      <c r="C429" t="inlineStr">
        <is>
          <t>C</t>
        </is>
      </c>
      <c r="D429" t="inlineStr">
        <is>
          <t>R2_Magnetite_Blend</t>
        </is>
      </c>
      <c r="E429" t="inlineStr">
        <is>
          <t>D11_SG06</t>
        </is>
      </c>
      <c r="F429" t="inlineStr">
        <is>
          <t>P0257_3</t>
        </is>
      </c>
      <c r="G429" t="n">
        <v>251.1</v>
      </c>
      <c r="H429" t="n">
        <v>28.87</v>
      </c>
    </row>
    <row r="430">
      <c r="A430" t="n">
        <v>11</v>
      </c>
      <c r="B430" s="7" t="n">
        <v>45456.66666666666</v>
      </c>
      <c r="C430" t="inlineStr">
        <is>
          <t>C</t>
        </is>
      </c>
      <c r="D430" t="inlineStr">
        <is>
          <t>R2_Magnetite_Blend</t>
        </is>
      </c>
      <c r="E430" t="inlineStr">
        <is>
          <t>D11_SG06</t>
        </is>
      </c>
      <c r="F430" t="inlineStr">
        <is>
          <t>P0257_4</t>
        </is>
      </c>
      <c r="G430" t="n">
        <v>275.2</v>
      </c>
      <c r="H430" t="n">
        <v>28.38</v>
      </c>
    </row>
    <row r="431">
      <c r="A431" t="n">
        <v>11</v>
      </c>
      <c r="B431" s="7" t="n">
        <v>45456.66666666666</v>
      </c>
      <c r="C431" t="inlineStr">
        <is>
          <t>C</t>
        </is>
      </c>
      <c r="D431" t="inlineStr">
        <is>
          <t>R2_Magnetite_Blend</t>
        </is>
      </c>
      <c r="E431" t="inlineStr">
        <is>
          <t>D11_SG06</t>
        </is>
      </c>
      <c r="F431" t="inlineStr">
        <is>
          <t>P0257_5</t>
        </is>
      </c>
      <c r="G431" t="n">
        <v>283.7</v>
      </c>
      <c r="H431" t="n">
        <v>27.97</v>
      </c>
    </row>
    <row r="432">
      <c r="A432" t="n">
        <v>11</v>
      </c>
      <c r="B432" s="7" t="n">
        <v>45456.79166666666</v>
      </c>
      <c r="C432" t="inlineStr">
        <is>
          <t>C</t>
        </is>
      </c>
      <c r="D432" t="inlineStr">
        <is>
          <t>R2_Magnetite_Blend</t>
        </is>
      </c>
      <c r="E432" t="inlineStr">
        <is>
          <t>D11_SG07</t>
        </is>
      </c>
      <c r="F432" t="inlineStr">
        <is>
          <t>P0260_1</t>
        </is>
      </c>
      <c r="G432" t="n">
        <v>403.2</v>
      </c>
      <c r="H432" t="n">
        <v>27.58</v>
      </c>
    </row>
    <row r="433">
      <c r="A433" t="n">
        <v>11</v>
      </c>
      <c r="B433" s="7" t="n">
        <v>45456.79166666666</v>
      </c>
      <c r="C433" t="inlineStr">
        <is>
          <t>C</t>
        </is>
      </c>
      <c r="D433" t="inlineStr">
        <is>
          <t>R2_Magnetite_Blend</t>
        </is>
      </c>
      <c r="E433" t="inlineStr">
        <is>
          <t>D11_SG07</t>
        </is>
      </c>
      <c r="F433" t="inlineStr">
        <is>
          <t>P0260_2</t>
        </is>
      </c>
      <c r="G433" t="n">
        <v>345.1</v>
      </c>
      <c r="H433" t="n">
        <v>27.25</v>
      </c>
    </row>
    <row r="434">
      <c r="A434" t="n">
        <v>11</v>
      </c>
      <c r="B434" s="7" t="n">
        <v>45456.79166666666</v>
      </c>
      <c r="C434" t="inlineStr">
        <is>
          <t>C</t>
        </is>
      </c>
      <c r="D434" t="inlineStr">
        <is>
          <t>R2_Magnetite_Blend</t>
        </is>
      </c>
      <c r="E434" t="inlineStr">
        <is>
          <t>D11_SG07</t>
        </is>
      </c>
      <c r="F434" t="inlineStr">
        <is>
          <t>P0260_3</t>
        </is>
      </c>
      <c r="G434" t="n">
        <v>349.4</v>
      </c>
      <c r="H434" t="n">
        <v>27.58</v>
      </c>
    </row>
    <row r="435">
      <c r="A435" t="n">
        <v>11</v>
      </c>
      <c r="B435" s="7" t="n">
        <v>45456.79166666666</v>
      </c>
      <c r="C435" t="inlineStr">
        <is>
          <t>C</t>
        </is>
      </c>
      <c r="D435" t="inlineStr">
        <is>
          <t>R2_Magnetite_Blend</t>
        </is>
      </c>
      <c r="E435" t="inlineStr">
        <is>
          <t>D11_SG07</t>
        </is>
      </c>
      <c r="F435" t="inlineStr">
        <is>
          <t>P0260_4</t>
        </is>
      </c>
      <c r="G435" t="n">
        <v>336</v>
      </c>
      <c r="H435" t="n">
        <v>27.07</v>
      </c>
    </row>
    <row r="436">
      <c r="A436" t="n">
        <v>11</v>
      </c>
      <c r="B436" s="7" t="n">
        <v>45456.79166666666</v>
      </c>
      <c r="C436" t="inlineStr">
        <is>
          <t>C</t>
        </is>
      </c>
      <c r="D436" t="inlineStr">
        <is>
          <t>R2_Magnetite_Blend</t>
        </is>
      </c>
      <c r="E436" t="inlineStr">
        <is>
          <t>D11_SG07</t>
        </is>
      </c>
      <c r="F436" t="inlineStr">
        <is>
          <t>P0260_5</t>
        </is>
      </c>
      <c r="G436" t="n">
        <v>362.4</v>
      </c>
      <c r="H436" t="n">
        <v>27.03</v>
      </c>
    </row>
    <row r="437">
      <c r="A437" t="n">
        <v>11</v>
      </c>
      <c r="B437" s="7" t="n">
        <v>45456.95833333334</v>
      </c>
      <c r="C437" t="inlineStr">
        <is>
          <t>C</t>
        </is>
      </c>
      <c r="D437" t="inlineStr">
        <is>
          <t>R2_Magnetite_Blend</t>
        </is>
      </c>
      <c r="E437" t="inlineStr">
        <is>
          <t>D11_SG08</t>
        </is>
      </c>
      <c r="F437" t="inlineStr">
        <is>
          <t>P0264_1</t>
        </is>
      </c>
      <c r="G437" t="n">
        <v>365.5</v>
      </c>
      <c r="H437" t="n">
        <v>24.76</v>
      </c>
    </row>
    <row r="438">
      <c r="A438" t="n">
        <v>11</v>
      </c>
      <c r="B438" s="7" t="n">
        <v>45456.95833333334</v>
      </c>
      <c r="C438" t="inlineStr">
        <is>
          <t>C</t>
        </is>
      </c>
      <c r="D438" t="inlineStr">
        <is>
          <t>R2_Magnetite_Blend</t>
        </is>
      </c>
      <c r="E438" t="inlineStr">
        <is>
          <t>D11_SG08</t>
        </is>
      </c>
      <c r="F438" t="inlineStr">
        <is>
          <t>P0264_2</t>
        </is>
      </c>
      <c r="G438" t="n">
        <v>365</v>
      </c>
      <c r="H438" t="n">
        <v>23.89</v>
      </c>
    </row>
    <row r="439">
      <c r="A439" t="n">
        <v>11</v>
      </c>
      <c r="B439" s="7" t="n">
        <v>45456.95833333334</v>
      </c>
      <c r="C439" t="inlineStr">
        <is>
          <t>C</t>
        </is>
      </c>
      <c r="D439" t="inlineStr">
        <is>
          <t>R2_Magnetite_Blend</t>
        </is>
      </c>
      <c r="E439" t="inlineStr">
        <is>
          <t>D11_SG08</t>
        </is>
      </c>
      <c r="F439" t="inlineStr">
        <is>
          <t>P0264_3</t>
        </is>
      </c>
      <c r="G439" t="n">
        <v>378.6</v>
      </c>
      <c r="H439" t="n">
        <v>25.16</v>
      </c>
    </row>
    <row r="440">
      <c r="A440" t="n">
        <v>11</v>
      </c>
      <c r="B440" s="7" t="n">
        <v>45456.95833333334</v>
      </c>
      <c r="C440" t="inlineStr">
        <is>
          <t>C</t>
        </is>
      </c>
      <c r="D440" t="inlineStr">
        <is>
          <t>R2_Magnetite_Blend</t>
        </is>
      </c>
      <c r="E440" t="inlineStr">
        <is>
          <t>D11_SG08</t>
        </is>
      </c>
      <c r="F440" t="inlineStr">
        <is>
          <t>P0264_4</t>
        </is>
      </c>
      <c r="G440" t="n">
        <v>396.7</v>
      </c>
      <c r="H440" t="n">
        <v>24.18</v>
      </c>
    </row>
    <row r="441">
      <c r="A441" t="n">
        <v>11</v>
      </c>
      <c r="B441" s="7" t="n">
        <v>45456.95833333334</v>
      </c>
      <c r="C441" t="inlineStr">
        <is>
          <t>C</t>
        </is>
      </c>
      <c r="D441" t="inlineStr">
        <is>
          <t>R2_Magnetite_Blend</t>
        </is>
      </c>
      <c r="E441" t="inlineStr">
        <is>
          <t>D11_SG08</t>
        </is>
      </c>
      <c r="F441" t="inlineStr">
        <is>
          <t>P0264_5</t>
        </is>
      </c>
      <c r="G441" t="n">
        <v>382.4</v>
      </c>
      <c r="H441" t="n">
        <v>24.56</v>
      </c>
    </row>
    <row r="442">
      <c r="A442" t="n">
        <v>12</v>
      </c>
      <c r="B442" s="7" t="n">
        <v>45457</v>
      </c>
      <c r="C442" t="inlineStr">
        <is>
          <t>A</t>
        </is>
      </c>
      <c r="D442" t="inlineStr">
        <is>
          <t>R2_Magnetite_Blend</t>
        </is>
      </c>
      <c r="E442" t="inlineStr">
        <is>
          <t>D12_SG01</t>
        </is>
      </c>
      <c r="F442" t="inlineStr">
        <is>
          <t>P0265_1</t>
        </is>
      </c>
      <c r="G442" t="n">
        <v>364.4</v>
      </c>
      <c r="H442" t="n">
        <v>24.94</v>
      </c>
    </row>
    <row r="443">
      <c r="A443" t="n">
        <v>12</v>
      </c>
      <c r="B443" s="7" t="n">
        <v>45457</v>
      </c>
      <c r="C443" t="inlineStr">
        <is>
          <t>A</t>
        </is>
      </c>
      <c r="D443" t="inlineStr">
        <is>
          <t>R2_Magnetite_Blend</t>
        </is>
      </c>
      <c r="E443" t="inlineStr">
        <is>
          <t>D12_SG01</t>
        </is>
      </c>
      <c r="F443" t="inlineStr">
        <is>
          <t>P0265_2</t>
        </is>
      </c>
      <c r="G443" t="n">
        <v>366.1</v>
      </c>
      <c r="H443" t="n">
        <v>25.46</v>
      </c>
    </row>
    <row r="444">
      <c r="A444" t="n">
        <v>12</v>
      </c>
      <c r="B444" s="7" t="n">
        <v>45457</v>
      </c>
      <c r="C444" t="inlineStr">
        <is>
          <t>A</t>
        </is>
      </c>
      <c r="D444" t="inlineStr">
        <is>
          <t>R2_Magnetite_Blend</t>
        </is>
      </c>
      <c r="E444" t="inlineStr">
        <is>
          <t>D12_SG01</t>
        </is>
      </c>
      <c r="F444" t="inlineStr">
        <is>
          <t>P0265_3</t>
        </is>
      </c>
      <c r="G444" t="n">
        <v>334.7</v>
      </c>
      <c r="H444" t="n">
        <v>24.7</v>
      </c>
    </row>
    <row r="445">
      <c r="A445" t="n">
        <v>12</v>
      </c>
      <c r="B445" s="7" t="n">
        <v>45457</v>
      </c>
      <c r="C445" t="inlineStr">
        <is>
          <t>A</t>
        </is>
      </c>
      <c r="D445" t="inlineStr">
        <is>
          <t>R2_Magnetite_Blend</t>
        </is>
      </c>
      <c r="E445" t="inlineStr">
        <is>
          <t>D12_SG01</t>
        </is>
      </c>
      <c r="F445" t="inlineStr">
        <is>
          <t>P0265_4</t>
        </is>
      </c>
      <c r="G445" t="n">
        <v>368.4</v>
      </c>
      <c r="H445" t="n">
        <v>24.19</v>
      </c>
    </row>
    <row r="446">
      <c r="A446" t="n">
        <v>12</v>
      </c>
      <c r="B446" s="7" t="n">
        <v>45457</v>
      </c>
      <c r="C446" t="inlineStr">
        <is>
          <t>A</t>
        </is>
      </c>
      <c r="D446" t="inlineStr">
        <is>
          <t>R2_Magnetite_Blend</t>
        </is>
      </c>
      <c r="E446" t="inlineStr">
        <is>
          <t>D12_SG01</t>
        </is>
      </c>
      <c r="F446" t="inlineStr">
        <is>
          <t>P0265_5</t>
        </is>
      </c>
      <c r="G446" t="n">
        <v>354</v>
      </c>
      <c r="H446" t="n">
        <v>24.14</v>
      </c>
    </row>
    <row r="447">
      <c r="A447" t="n">
        <v>12</v>
      </c>
      <c r="B447" s="7" t="n">
        <v>45457.125</v>
      </c>
      <c r="C447" t="inlineStr">
        <is>
          <t>A</t>
        </is>
      </c>
      <c r="D447" t="inlineStr">
        <is>
          <t>R2_Magnetite_Blend</t>
        </is>
      </c>
      <c r="E447" t="inlineStr">
        <is>
          <t>D12_SG02</t>
        </is>
      </c>
      <c r="F447" t="inlineStr">
        <is>
          <t>P0268_1</t>
        </is>
      </c>
      <c r="G447" t="n">
        <v>334.3</v>
      </c>
      <c r="H447" t="n">
        <v>24.82</v>
      </c>
    </row>
    <row r="448">
      <c r="A448" t="n">
        <v>12</v>
      </c>
      <c r="B448" s="7" t="n">
        <v>45457.125</v>
      </c>
      <c r="C448" t="inlineStr">
        <is>
          <t>A</t>
        </is>
      </c>
      <c r="D448" t="inlineStr">
        <is>
          <t>R2_Magnetite_Blend</t>
        </is>
      </c>
      <c r="E448" t="inlineStr">
        <is>
          <t>D12_SG02</t>
        </is>
      </c>
      <c r="F448" t="inlineStr">
        <is>
          <t>P0268_2</t>
        </is>
      </c>
      <c r="G448" t="n">
        <v>322.3</v>
      </c>
      <c r="H448" t="n">
        <v>25.04</v>
      </c>
    </row>
    <row r="449">
      <c r="A449" t="n">
        <v>12</v>
      </c>
      <c r="B449" s="7" t="n">
        <v>45457.125</v>
      </c>
      <c r="C449" t="inlineStr">
        <is>
          <t>A</t>
        </is>
      </c>
      <c r="D449" t="inlineStr">
        <is>
          <t>R2_Magnetite_Blend</t>
        </is>
      </c>
      <c r="E449" t="inlineStr">
        <is>
          <t>D12_SG02</t>
        </is>
      </c>
      <c r="F449" t="inlineStr">
        <is>
          <t>P0268_3</t>
        </is>
      </c>
      <c r="G449" t="n">
        <v>319.2</v>
      </c>
      <c r="H449" t="n">
        <v>24.51</v>
      </c>
    </row>
    <row r="450">
      <c r="A450" t="n">
        <v>12</v>
      </c>
      <c r="B450" s="7" t="n">
        <v>45457.125</v>
      </c>
      <c r="C450" t="inlineStr">
        <is>
          <t>A</t>
        </is>
      </c>
      <c r="D450" t="inlineStr">
        <is>
          <t>R2_Magnetite_Blend</t>
        </is>
      </c>
      <c r="E450" t="inlineStr">
        <is>
          <t>D12_SG02</t>
        </is>
      </c>
      <c r="F450" t="inlineStr">
        <is>
          <t>P0268_4</t>
        </is>
      </c>
      <c r="G450" t="n">
        <v>299.1</v>
      </c>
      <c r="H450" t="n">
        <v>24.87</v>
      </c>
    </row>
    <row r="451">
      <c r="A451" t="n">
        <v>12</v>
      </c>
      <c r="B451" s="7" t="n">
        <v>45457.125</v>
      </c>
      <c r="C451" t="inlineStr">
        <is>
          <t>A</t>
        </is>
      </c>
      <c r="D451" t="inlineStr">
        <is>
          <t>R2_Magnetite_Blend</t>
        </is>
      </c>
      <c r="E451" t="inlineStr">
        <is>
          <t>D12_SG02</t>
        </is>
      </c>
      <c r="F451" t="inlineStr">
        <is>
          <t>P0268_5</t>
        </is>
      </c>
      <c r="G451" t="n">
        <v>317.4</v>
      </c>
      <c r="H451" t="n">
        <v>24.53</v>
      </c>
    </row>
    <row r="452">
      <c r="A452" t="n">
        <v>12</v>
      </c>
      <c r="B452" s="7" t="n">
        <v>45457.25</v>
      </c>
      <c r="C452" t="inlineStr">
        <is>
          <t>A</t>
        </is>
      </c>
      <c r="D452" t="inlineStr">
        <is>
          <t>R2_Magnetite_Blend</t>
        </is>
      </c>
      <c r="E452" t="inlineStr">
        <is>
          <t>D12_SG03</t>
        </is>
      </c>
      <c r="F452" t="inlineStr">
        <is>
          <t>P0271_1</t>
        </is>
      </c>
      <c r="G452" t="n">
        <v>304.4</v>
      </c>
      <c r="H452" t="n">
        <v>24.77</v>
      </c>
    </row>
    <row r="453">
      <c r="A453" t="n">
        <v>12</v>
      </c>
      <c r="B453" s="7" t="n">
        <v>45457.25</v>
      </c>
      <c r="C453" t="inlineStr">
        <is>
          <t>A</t>
        </is>
      </c>
      <c r="D453" t="inlineStr">
        <is>
          <t>R2_Magnetite_Blend</t>
        </is>
      </c>
      <c r="E453" t="inlineStr">
        <is>
          <t>D12_SG03</t>
        </is>
      </c>
      <c r="F453" t="inlineStr">
        <is>
          <t>P0271_2</t>
        </is>
      </c>
      <c r="G453" t="n">
        <v>302.6</v>
      </c>
      <c r="H453" t="n">
        <v>25.06</v>
      </c>
    </row>
    <row r="454">
      <c r="A454" t="n">
        <v>12</v>
      </c>
      <c r="B454" s="7" t="n">
        <v>45457.25</v>
      </c>
      <c r="C454" t="inlineStr">
        <is>
          <t>A</t>
        </is>
      </c>
      <c r="D454" t="inlineStr">
        <is>
          <t>R2_Magnetite_Blend</t>
        </is>
      </c>
      <c r="E454" t="inlineStr">
        <is>
          <t>D12_SG03</t>
        </is>
      </c>
      <c r="F454" t="inlineStr">
        <is>
          <t>P0271_3</t>
        </is>
      </c>
      <c r="G454" t="n">
        <v>278.2</v>
      </c>
      <c r="H454" t="n">
        <v>25.17</v>
      </c>
    </row>
    <row r="455">
      <c r="A455" t="n">
        <v>12</v>
      </c>
      <c r="B455" s="7" t="n">
        <v>45457.25</v>
      </c>
      <c r="C455" t="inlineStr">
        <is>
          <t>A</t>
        </is>
      </c>
      <c r="D455" t="inlineStr">
        <is>
          <t>R2_Magnetite_Blend</t>
        </is>
      </c>
      <c r="E455" t="inlineStr">
        <is>
          <t>D12_SG03</t>
        </is>
      </c>
      <c r="F455" t="inlineStr">
        <is>
          <t>P0271_4</t>
        </is>
      </c>
      <c r="G455" t="n">
        <v>291</v>
      </c>
      <c r="H455" t="n">
        <v>24.92</v>
      </c>
    </row>
    <row r="456">
      <c r="A456" t="n">
        <v>12</v>
      </c>
      <c r="B456" s="7" t="n">
        <v>45457.25</v>
      </c>
      <c r="C456" t="inlineStr">
        <is>
          <t>A</t>
        </is>
      </c>
      <c r="D456" t="inlineStr">
        <is>
          <t>R2_Magnetite_Blend</t>
        </is>
      </c>
      <c r="E456" t="inlineStr">
        <is>
          <t>D12_SG03</t>
        </is>
      </c>
      <c r="F456" t="inlineStr">
        <is>
          <t>P0271_5</t>
        </is>
      </c>
      <c r="G456" t="n">
        <v>297.3</v>
      </c>
      <c r="H456" t="n">
        <v>25.77</v>
      </c>
    </row>
    <row r="457">
      <c r="A457" t="n">
        <v>12</v>
      </c>
      <c r="B457" s="7" t="n">
        <v>45457.375</v>
      </c>
      <c r="C457" t="inlineStr">
        <is>
          <t>B</t>
        </is>
      </c>
      <c r="D457" t="inlineStr">
        <is>
          <t>R2_Magnetite_Blend</t>
        </is>
      </c>
      <c r="E457" t="inlineStr">
        <is>
          <t>D12_SG04</t>
        </is>
      </c>
      <c r="F457" t="inlineStr">
        <is>
          <t>P0274_1</t>
        </is>
      </c>
      <c r="G457" t="n">
        <v>257.2</v>
      </c>
      <c r="H457" t="n">
        <v>23.78</v>
      </c>
    </row>
    <row r="458">
      <c r="A458" t="n">
        <v>12</v>
      </c>
      <c r="B458" s="7" t="n">
        <v>45457.375</v>
      </c>
      <c r="C458" t="inlineStr">
        <is>
          <t>B</t>
        </is>
      </c>
      <c r="D458" t="inlineStr">
        <is>
          <t>R2_Magnetite_Blend</t>
        </is>
      </c>
      <c r="E458" t="inlineStr">
        <is>
          <t>D12_SG04</t>
        </is>
      </c>
      <c r="F458" t="inlineStr">
        <is>
          <t>P0274_2</t>
        </is>
      </c>
      <c r="G458" t="n">
        <v>267.7</v>
      </c>
      <c r="H458" t="n">
        <v>24.18</v>
      </c>
    </row>
    <row r="459">
      <c r="A459" t="n">
        <v>12</v>
      </c>
      <c r="B459" s="7" t="n">
        <v>45457.375</v>
      </c>
      <c r="C459" t="inlineStr">
        <is>
          <t>B</t>
        </is>
      </c>
      <c r="D459" t="inlineStr">
        <is>
          <t>R2_Magnetite_Blend</t>
        </is>
      </c>
      <c r="E459" t="inlineStr">
        <is>
          <t>D12_SG04</t>
        </is>
      </c>
      <c r="F459" t="inlineStr">
        <is>
          <t>P0274_3</t>
        </is>
      </c>
      <c r="G459" t="n">
        <v>252.2</v>
      </c>
      <c r="H459" t="n">
        <v>24.28</v>
      </c>
    </row>
    <row r="460">
      <c r="A460" t="n">
        <v>12</v>
      </c>
      <c r="B460" s="7" t="n">
        <v>45457.375</v>
      </c>
      <c r="C460" t="inlineStr">
        <is>
          <t>B</t>
        </is>
      </c>
      <c r="D460" t="inlineStr">
        <is>
          <t>R2_Magnetite_Blend</t>
        </is>
      </c>
      <c r="E460" t="inlineStr">
        <is>
          <t>D12_SG04</t>
        </is>
      </c>
      <c r="F460" t="inlineStr">
        <is>
          <t>P0274_4</t>
        </is>
      </c>
      <c r="G460" t="n">
        <v>266.9</v>
      </c>
      <c r="H460" t="n">
        <v>24.95</v>
      </c>
    </row>
    <row r="461">
      <c r="A461" t="n">
        <v>12</v>
      </c>
      <c r="B461" s="7" t="n">
        <v>45457.375</v>
      </c>
      <c r="C461" t="inlineStr">
        <is>
          <t>B</t>
        </is>
      </c>
      <c r="D461" t="inlineStr">
        <is>
          <t>R2_Magnetite_Blend</t>
        </is>
      </c>
      <c r="E461" t="inlineStr">
        <is>
          <t>D12_SG04</t>
        </is>
      </c>
      <c r="F461" t="inlineStr">
        <is>
          <t>P0274_5</t>
        </is>
      </c>
      <c r="G461" t="n">
        <v>248.4</v>
      </c>
      <c r="H461" t="n">
        <v>24.01</v>
      </c>
    </row>
    <row r="462">
      <c r="A462" t="n">
        <v>12</v>
      </c>
      <c r="B462" s="7" t="n">
        <v>45457.54166666666</v>
      </c>
      <c r="C462" t="inlineStr">
        <is>
          <t>B</t>
        </is>
      </c>
      <c r="D462" t="inlineStr">
        <is>
          <t>R2_Magnetite_Blend</t>
        </is>
      </c>
      <c r="E462" t="inlineStr">
        <is>
          <t>D12_SG05</t>
        </is>
      </c>
      <c r="F462" t="inlineStr">
        <is>
          <t>P0278_1</t>
        </is>
      </c>
      <c r="G462" t="n">
        <v>395.9</v>
      </c>
      <c r="H462" t="n">
        <v>27</v>
      </c>
    </row>
    <row r="463">
      <c r="A463" t="n">
        <v>12</v>
      </c>
      <c r="B463" s="7" t="n">
        <v>45457.54166666666</v>
      </c>
      <c r="C463" t="inlineStr">
        <is>
          <t>B</t>
        </is>
      </c>
      <c r="D463" t="inlineStr">
        <is>
          <t>R2_Magnetite_Blend</t>
        </is>
      </c>
      <c r="E463" t="inlineStr">
        <is>
          <t>D12_SG05</t>
        </is>
      </c>
      <c r="F463" t="inlineStr">
        <is>
          <t>P0278_2</t>
        </is>
      </c>
      <c r="G463" t="n">
        <v>393.9</v>
      </c>
      <c r="H463" t="n">
        <v>27.67</v>
      </c>
    </row>
    <row r="464">
      <c r="A464" t="n">
        <v>12</v>
      </c>
      <c r="B464" s="7" t="n">
        <v>45457.54166666666</v>
      </c>
      <c r="C464" t="inlineStr">
        <is>
          <t>B</t>
        </is>
      </c>
      <c r="D464" t="inlineStr">
        <is>
          <t>R2_Magnetite_Blend</t>
        </is>
      </c>
      <c r="E464" t="inlineStr">
        <is>
          <t>D12_SG05</t>
        </is>
      </c>
      <c r="F464" t="inlineStr">
        <is>
          <t>P0278_3</t>
        </is>
      </c>
      <c r="G464" t="n">
        <v>445.5</v>
      </c>
      <c r="H464" t="n">
        <v>26.51</v>
      </c>
    </row>
    <row r="465">
      <c r="A465" t="n">
        <v>12</v>
      </c>
      <c r="B465" s="7" t="n">
        <v>45457.54166666666</v>
      </c>
      <c r="C465" t="inlineStr">
        <is>
          <t>B</t>
        </is>
      </c>
      <c r="D465" t="inlineStr">
        <is>
          <t>R2_Magnetite_Blend</t>
        </is>
      </c>
      <c r="E465" t="inlineStr">
        <is>
          <t>D12_SG05</t>
        </is>
      </c>
      <c r="F465" t="inlineStr">
        <is>
          <t>P0278_4</t>
        </is>
      </c>
      <c r="G465" t="n">
        <v>407.2</v>
      </c>
      <c r="H465" t="n">
        <v>26.69</v>
      </c>
    </row>
    <row r="466">
      <c r="A466" t="n">
        <v>12</v>
      </c>
      <c r="B466" s="7" t="n">
        <v>45457.54166666666</v>
      </c>
      <c r="C466" t="inlineStr">
        <is>
          <t>B</t>
        </is>
      </c>
      <c r="D466" t="inlineStr">
        <is>
          <t>R2_Magnetite_Blend</t>
        </is>
      </c>
      <c r="E466" t="inlineStr">
        <is>
          <t>D12_SG05</t>
        </is>
      </c>
      <c r="F466" t="inlineStr">
        <is>
          <t>P0278_5</t>
        </is>
      </c>
      <c r="G466" t="n">
        <v>405.9</v>
      </c>
      <c r="H466" t="n">
        <v>26.32</v>
      </c>
    </row>
    <row r="467">
      <c r="A467" t="n">
        <v>12</v>
      </c>
      <c r="B467" s="7" t="n">
        <v>45457.66666666666</v>
      </c>
      <c r="C467" t="inlineStr">
        <is>
          <t>C</t>
        </is>
      </c>
      <c r="D467" t="inlineStr">
        <is>
          <t>R2_Magnetite_Blend</t>
        </is>
      </c>
      <c r="E467" t="inlineStr">
        <is>
          <t>D12_SG06</t>
        </is>
      </c>
      <c r="F467" t="inlineStr">
        <is>
          <t>P0281_1</t>
        </is>
      </c>
      <c r="G467" t="n">
        <v>248.1</v>
      </c>
      <c r="H467" t="n">
        <v>26.03</v>
      </c>
    </row>
    <row r="468">
      <c r="A468" t="n">
        <v>12</v>
      </c>
      <c r="B468" s="7" t="n">
        <v>45457.66666666666</v>
      </c>
      <c r="C468" t="inlineStr">
        <is>
          <t>C</t>
        </is>
      </c>
      <c r="D468" t="inlineStr">
        <is>
          <t>R2_Magnetite_Blend</t>
        </is>
      </c>
      <c r="E468" t="inlineStr">
        <is>
          <t>D12_SG06</t>
        </is>
      </c>
      <c r="F468" t="inlineStr">
        <is>
          <t>P0281_2</t>
        </is>
      </c>
      <c r="G468" t="n">
        <v>251.3</v>
      </c>
      <c r="H468" t="n">
        <v>26.89</v>
      </c>
    </row>
    <row r="469">
      <c r="A469" t="n">
        <v>12</v>
      </c>
      <c r="B469" s="7" t="n">
        <v>45457.66666666666</v>
      </c>
      <c r="C469" t="inlineStr">
        <is>
          <t>C</t>
        </is>
      </c>
      <c r="D469" t="inlineStr">
        <is>
          <t>R2_Magnetite_Blend</t>
        </is>
      </c>
      <c r="E469" t="inlineStr">
        <is>
          <t>D12_SG06</t>
        </is>
      </c>
      <c r="F469" t="inlineStr">
        <is>
          <t>P0281_3</t>
        </is>
      </c>
      <c r="G469" t="n">
        <v>238.5</v>
      </c>
      <c r="H469" t="n">
        <v>26.91</v>
      </c>
    </row>
    <row r="470">
      <c r="A470" t="n">
        <v>12</v>
      </c>
      <c r="B470" s="7" t="n">
        <v>45457.66666666666</v>
      </c>
      <c r="C470" t="inlineStr">
        <is>
          <t>C</t>
        </is>
      </c>
      <c r="D470" t="inlineStr">
        <is>
          <t>R2_Magnetite_Blend</t>
        </is>
      </c>
      <c r="E470" t="inlineStr">
        <is>
          <t>D12_SG06</t>
        </is>
      </c>
      <c r="F470" t="inlineStr">
        <is>
          <t>P0281_4</t>
        </is>
      </c>
      <c r="G470" t="n">
        <v>251</v>
      </c>
      <c r="H470" t="n">
        <v>26.33</v>
      </c>
    </row>
    <row r="471">
      <c r="A471" t="n">
        <v>12</v>
      </c>
      <c r="B471" s="7" t="n">
        <v>45457.66666666666</v>
      </c>
      <c r="C471" t="inlineStr">
        <is>
          <t>C</t>
        </is>
      </c>
      <c r="D471" t="inlineStr">
        <is>
          <t>R2_Magnetite_Blend</t>
        </is>
      </c>
      <c r="E471" t="inlineStr">
        <is>
          <t>D12_SG06</t>
        </is>
      </c>
      <c r="F471" t="inlineStr">
        <is>
          <t>P0281_5</t>
        </is>
      </c>
      <c r="G471" t="n">
        <v>244.4</v>
      </c>
      <c r="H471" t="n">
        <v>27.11</v>
      </c>
    </row>
    <row r="472">
      <c r="A472" t="n">
        <v>12</v>
      </c>
      <c r="B472" s="7" t="n">
        <v>45457.79166666666</v>
      </c>
      <c r="C472" t="inlineStr">
        <is>
          <t>C</t>
        </is>
      </c>
      <c r="D472" t="inlineStr">
        <is>
          <t>R2_Magnetite_Blend</t>
        </is>
      </c>
      <c r="E472" t="inlineStr">
        <is>
          <t>D12_SG07</t>
        </is>
      </c>
      <c r="F472" t="inlineStr">
        <is>
          <t>P0284_1</t>
        </is>
      </c>
      <c r="G472" t="n">
        <v>268.1</v>
      </c>
      <c r="H472" t="n">
        <v>26.2</v>
      </c>
    </row>
    <row r="473">
      <c r="A473" t="n">
        <v>12</v>
      </c>
      <c r="B473" s="7" t="n">
        <v>45457.79166666666</v>
      </c>
      <c r="C473" t="inlineStr">
        <is>
          <t>C</t>
        </is>
      </c>
      <c r="D473" t="inlineStr">
        <is>
          <t>R2_Magnetite_Blend</t>
        </is>
      </c>
      <c r="E473" t="inlineStr">
        <is>
          <t>D12_SG07</t>
        </is>
      </c>
      <c r="F473" t="inlineStr">
        <is>
          <t>P0284_2</t>
        </is>
      </c>
      <c r="G473" t="n">
        <v>281.8</v>
      </c>
      <c r="H473" t="n">
        <v>26.48</v>
      </c>
    </row>
    <row r="474">
      <c r="A474" t="n">
        <v>12</v>
      </c>
      <c r="B474" s="7" t="n">
        <v>45457.79166666666</v>
      </c>
      <c r="C474" t="inlineStr">
        <is>
          <t>C</t>
        </is>
      </c>
      <c r="D474" t="inlineStr">
        <is>
          <t>R2_Magnetite_Blend</t>
        </is>
      </c>
      <c r="E474" t="inlineStr">
        <is>
          <t>D12_SG07</t>
        </is>
      </c>
      <c r="F474" t="inlineStr">
        <is>
          <t>P0284_3</t>
        </is>
      </c>
      <c r="G474" t="n">
        <v>278.4</v>
      </c>
      <c r="H474" t="n">
        <v>26.19</v>
      </c>
    </row>
    <row r="475">
      <c r="A475" t="n">
        <v>12</v>
      </c>
      <c r="B475" s="7" t="n">
        <v>45457.79166666666</v>
      </c>
      <c r="C475" t="inlineStr">
        <is>
          <t>C</t>
        </is>
      </c>
      <c r="D475" t="inlineStr">
        <is>
          <t>R2_Magnetite_Blend</t>
        </is>
      </c>
      <c r="E475" t="inlineStr">
        <is>
          <t>D12_SG07</t>
        </is>
      </c>
      <c r="F475" t="inlineStr">
        <is>
          <t>P0284_4</t>
        </is>
      </c>
      <c r="G475" t="n">
        <v>279.6</v>
      </c>
      <c r="H475" t="n">
        <v>26.41</v>
      </c>
    </row>
    <row r="476">
      <c r="A476" t="n">
        <v>12</v>
      </c>
      <c r="B476" s="7" t="n">
        <v>45457.79166666666</v>
      </c>
      <c r="C476" t="inlineStr">
        <is>
          <t>C</t>
        </is>
      </c>
      <c r="D476" t="inlineStr">
        <is>
          <t>R2_Magnetite_Blend</t>
        </is>
      </c>
      <c r="E476" t="inlineStr">
        <is>
          <t>D12_SG07</t>
        </is>
      </c>
      <c r="F476" t="inlineStr">
        <is>
          <t>P0284_5</t>
        </is>
      </c>
      <c r="G476" t="n">
        <v>317</v>
      </c>
      <c r="H476" t="n">
        <v>26.07</v>
      </c>
    </row>
    <row r="477">
      <c r="A477" t="n">
        <v>12</v>
      </c>
      <c r="B477" s="7" t="n">
        <v>45457.95833333334</v>
      </c>
      <c r="C477" t="inlineStr">
        <is>
          <t>C</t>
        </is>
      </c>
      <c r="D477" t="inlineStr">
        <is>
          <t>R2_Magnetite_Blend</t>
        </is>
      </c>
      <c r="E477" t="inlineStr">
        <is>
          <t>D12_SG08</t>
        </is>
      </c>
      <c r="F477" t="inlineStr">
        <is>
          <t>P0288_1</t>
        </is>
      </c>
      <c r="G477" t="n">
        <v>483.9</v>
      </c>
      <c r="H477" t="n">
        <v>25.43</v>
      </c>
    </row>
    <row r="478">
      <c r="A478" t="n">
        <v>12</v>
      </c>
      <c r="B478" s="7" t="n">
        <v>45457.95833333334</v>
      </c>
      <c r="C478" t="inlineStr">
        <is>
          <t>C</t>
        </is>
      </c>
      <c r="D478" t="inlineStr">
        <is>
          <t>R2_Magnetite_Blend</t>
        </is>
      </c>
      <c r="E478" t="inlineStr">
        <is>
          <t>D12_SG08</t>
        </is>
      </c>
      <c r="F478" t="inlineStr">
        <is>
          <t>P0288_2</t>
        </is>
      </c>
      <c r="G478" t="n">
        <v>458.7</v>
      </c>
      <c r="H478" t="n">
        <v>26.24</v>
      </c>
    </row>
    <row r="479">
      <c r="A479" t="n">
        <v>12</v>
      </c>
      <c r="B479" s="7" t="n">
        <v>45457.95833333334</v>
      </c>
      <c r="C479" t="inlineStr">
        <is>
          <t>C</t>
        </is>
      </c>
      <c r="D479" t="inlineStr">
        <is>
          <t>R2_Magnetite_Blend</t>
        </is>
      </c>
      <c r="E479" t="inlineStr">
        <is>
          <t>D12_SG08</t>
        </is>
      </c>
      <c r="F479" t="inlineStr">
        <is>
          <t>P0288_3</t>
        </is>
      </c>
      <c r="G479" t="n">
        <v>439</v>
      </c>
      <c r="H479" t="n">
        <v>25.86</v>
      </c>
    </row>
    <row r="480">
      <c r="A480" t="n">
        <v>12</v>
      </c>
      <c r="B480" s="7" t="n">
        <v>45457.95833333334</v>
      </c>
      <c r="C480" t="inlineStr">
        <is>
          <t>C</t>
        </is>
      </c>
      <c r="D480" t="inlineStr">
        <is>
          <t>R2_Magnetite_Blend</t>
        </is>
      </c>
      <c r="E480" t="inlineStr">
        <is>
          <t>D12_SG08</t>
        </is>
      </c>
      <c r="F480" t="inlineStr">
        <is>
          <t>P0288_4</t>
        </is>
      </c>
      <c r="G480" t="n">
        <v>447.5</v>
      </c>
      <c r="H480" t="n">
        <v>25.98</v>
      </c>
    </row>
    <row r="481">
      <c r="A481" t="n">
        <v>12</v>
      </c>
      <c r="B481" s="7" t="n">
        <v>45457.95833333334</v>
      </c>
      <c r="C481" t="inlineStr">
        <is>
          <t>C</t>
        </is>
      </c>
      <c r="D481" t="inlineStr">
        <is>
          <t>R2_Magnetite_Blend</t>
        </is>
      </c>
      <c r="E481" t="inlineStr">
        <is>
          <t>D12_SG08</t>
        </is>
      </c>
      <c r="F481" t="inlineStr">
        <is>
          <t>P0288_5</t>
        </is>
      </c>
      <c r="G481" t="n">
        <v>476.8</v>
      </c>
      <c r="H481" t="n">
        <v>25.95</v>
      </c>
    </row>
    <row r="482">
      <c r="A482" t="n">
        <v>13</v>
      </c>
      <c r="B482" s="7" t="n">
        <v>45458</v>
      </c>
      <c r="C482" t="inlineStr">
        <is>
          <t>A</t>
        </is>
      </c>
      <c r="D482" t="inlineStr">
        <is>
          <t>R3_Optimized</t>
        </is>
      </c>
      <c r="E482" t="inlineStr">
        <is>
          <t>D13_SG01</t>
        </is>
      </c>
      <c r="F482" t="inlineStr">
        <is>
          <t>P0289_1</t>
        </is>
      </c>
      <c r="G482" t="n">
        <v>239.2</v>
      </c>
      <c r="H482" t="n">
        <v>28.45</v>
      </c>
    </row>
    <row r="483">
      <c r="A483" t="n">
        <v>13</v>
      </c>
      <c r="B483" s="7" t="n">
        <v>45458</v>
      </c>
      <c r="C483" t="inlineStr">
        <is>
          <t>A</t>
        </is>
      </c>
      <c r="D483" t="inlineStr">
        <is>
          <t>R3_Optimized</t>
        </is>
      </c>
      <c r="E483" t="inlineStr">
        <is>
          <t>D13_SG01</t>
        </is>
      </c>
      <c r="F483" t="inlineStr">
        <is>
          <t>P0289_2</t>
        </is>
      </c>
      <c r="G483" t="n">
        <v>251.6</v>
      </c>
      <c r="H483" t="n">
        <v>28.06</v>
      </c>
    </row>
    <row r="484">
      <c r="A484" t="n">
        <v>13</v>
      </c>
      <c r="B484" s="7" t="n">
        <v>45458</v>
      </c>
      <c r="C484" t="inlineStr">
        <is>
          <t>A</t>
        </is>
      </c>
      <c r="D484" t="inlineStr">
        <is>
          <t>R3_Optimized</t>
        </is>
      </c>
      <c r="E484" t="inlineStr">
        <is>
          <t>D13_SG01</t>
        </is>
      </c>
      <c r="F484" t="inlineStr">
        <is>
          <t>P0289_3</t>
        </is>
      </c>
      <c r="G484" t="n">
        <v>242.1</v>
      </c>
      <c r="H484" t="n">
        <v>27.42</v>
      </c>
    </row>
    <row r="485">
      <c r="A485" t="n">
        <v>13</v>
      </c>
      <c r="B485" s="7" t="n">
        <v>45458</v>
      </c>
      <c r="C485" t="inlineStr">
        <is>
          <t>A</t>
        </is>
      </c>
      <c r="D485" t="inlineStr">
        <is>
          <t>R3_Optimized</t>
        </is>
      </c>
      <c r="E485" t="inlineStr">
        <is>
          <t>D13_SG01</t>
        </is>
      </c>
      <c r="F485" t="inlineStr">
        <is>
          <t>P0289_4</t>
        </is>
      </c>
      <c r="G485" t="n">
        <v>259.3</v>
      </c>
      <c r="H485" t="n">
        <v>28.19</v>
      </c>
    </row>
    <row r="486">
      <c r="A486" t="n">
        <v>13</v>
      </c>
      <c r="B486" s="7" t="n">
        <v>45458</v>
      </c>
      <c r="C486" t="inlineStr">
        <is>
          <t>A</t>
        </is>
      </c>
      <c r="D486" t="inlineStr">
        <is>
          <t>R3_Optimized</t>
        </is>
      </c>
      <c r="E486" t="inlineStr">
        <is>
          <t>D13_SG01</t>
        </is>
      </c>
      <c r="F486" t="inlineStr">
        <is>
          <t>P0289_5</t>
        </is>
      </c>
      <c r="G486" t="n">
        <v>237.2</v>
      </c>
      <c r="H486" t="n">
        <v>28.79</v>
      </c>
    </row>
    <row r="487">
      <c r="A487" t="n">
        <v>13</v>
      </c>
      <c r="B487" s="7" t="n">
        <v>45458.125</v>
      </c>
      <c r="C487" t="inlineStr">
        <is>
          <t>A</t>
        </is>
      </c>
      <c r="D487" t="inlineStr">
        <is>
          <t>R3_Optimized</t>
        </is>
      </c>
      <c r="E487" t="inlineStr">
        <is>
          <t>D13_SG02</t>
        </is>
      </c>
      <c r="F487" t="inlineStr">
        <is>
          <t>P0292_1</t>
        </is>
      </c>
      <c r="G487" t="n">
        <v>230.7</v>
      </c>
      <c r="H487" t="n">
        <v>27.27</v>
      </c>
    </row>
    <row r="488">
      <c r="A488" t="n">
        <v>13</v>
      </c>
      <c r="B488" s="7" t="n">
        <v>45458.125</v>
      </c>
      <c r="C488" t="inlineStr">
        <is>
          <t>A</t>
        </is>
      </c>
      <c r="D488" t="inlineStr">
        <is>
          <t>R3_Optimized</t>
        </is>
      </c>
      <c r="E488" t="inlineStr">
        <is>
          <t>D13_SG02</t>
        </is>
      </c>
      <c r="F488" t="inlineStr">
        <is>
          <t>P0292_2</t>
        </is>
      </c>
      <c r="G488" t="n">
        <v>230.5</v>
      </c>
      <c r="H488" t="n">
        <v>28.4</v>
      </c>
    </row>
    <row r="489">
      <c r="A489" t="n">
        <v>13</v>
      </c>
      <c r="B489" s="7" t="n">
        <v>45458.125</v>
      </c>
      <c r="C489" t="inlineStr">
        <is>
          <t>A</t>
        </is>
      </c>
      <c r="D489" t="inlineStr">
        <is>
          <t>R3_Optimized</t>
        </is>
      </c>
      <c r="E489" t="inlineStr">
        <is>
          <t>D13_SG02</t>
        </is>
      </c>
      <c r="F489" t="inlineStr">
        <is>
          <t>P0292_3</t>
        </is>
      </c>
      <c r="G489" t="n">
        <v>234.3</v>
      </c>
      <c r="H489" t="n">
        <v>27.88</v>
      </c>
    </row>
    <row r="490">
      <c r="A490" t="n">
        <v>13</v>
      </c>
      <c r="B490" s="7" t="n">
        <v>45458.125</v>
      </c>
      <c r="C490" t="inlineStr">
        <is>
          <t>A</t>
        </is>
      </c>
      <c r="D490" t="inlineStr">
        <is>
          <t>R3_Optimized</t>
        </is>
      </c>
      <c r="E490" t="inlineStr">
        <is>
          <t>D13_SG02</t>
        </is>
      </c>
      <c r="F490" t="inlineStr">
        <is>
          <t>P0292_4</t>
        </is>
      </c>
      <c r="G490" t="n">
        <v>238.1</v>
      </c>
      <c r="H490" t="n">
        <v>28.12</v>
      </c>
    </row>
    <row r="491">
      <c r="A491" t="n">
        <v>13</v>
      </c>
      <c r="B491" s="7" t="n">
        <v>45458.125</v>
      </c>
      <c r="C491" t="inlineStr">
        <is>
          <t>A</t>
        </is>
      </c>
      <c r="D491" t="inlineStr">
        <is>
          <t>R3_Optimized</t>
        </is>
      </c>
      <c r="E491" t="inlineStr">
        <is>
          <t>D13_SG02</t>
        </is>
      </c>
      <c r="F491" t="inlineStr">
        <is>
          <t>P0292_5</t>
        </is>
      </c>
      <c r="G491" t="n">
        <v>243.2</v>
      </c>
      <c r="H491" t="n">
        <v>27.63</v>
      </c>
    </row>
    <row r="492">
      <c r="A492" t="n">
        <v>13</v>
      </c>
      <c r="B492" s="7" t="n">
        <v>45458.25</v>
      </c>
      <c r="C492" t="inlineStr">
        <is>
          <t>A</t>
        </is>
      </c>
      <c r="D492" t="inlineStr">
        <is>
          <t>R3_Optimized</t>
        </is>
      </c>
      <c r="E492" t="inlineStr">
        <is>
          <t>D13_SG03</t>
        </is>
      </c>
      <c r="F492" t="inlineStr">
        <is>
          <t>P0295_1</t>
        </is>
      </c>
      <c r="G492" t="n">
        <v>233.4</v>
      </c>
      <c r="H492" t="n">
        <v>27.23</v>
      </c>
    </row>
    <row r="493">
      <c r="A493" t="n">
        <v>13</v>
      </c>
      <c r="B493" s="7" t="n">
        <v>45458.25</v>
      </c>
      <c r="C493" t="inlineStr">
        <is>
          <t>A</t>
        </is>
      </c>
      <c r="D493" t="inlineStr">
        <is>
          <t>R3_Optimized</t>
        </is>
      </c>
      <c r="E493" t="inlineStr">
        <is>
          <t>D13_SG03</t>
        </is>
      </c>
      <c r="F493" t="inlineStr">
        <is>
          <t>P0295_2</t>
        </is>
      </c>
      <c r="G493" t="n">
        <v>245.4</v>
      </c>
      <c r="H493" t="n">
        <v>27.37</v>
      </c>
    </row>
    <row r="494">
      <c r="A494" t="n">
        <v>13</v>
      </c>
      <c r="B494" s="7" t="n">
        <v>45458.25</v>
      </c>
      <c r="C494" t="inlineStr">
        <is>
          <t>A</t>
        </is>
      </c>
      <c r="D494" t="inlineStr">
        <is>
          <t>R3_Optimized</t>
        </is>
      </c>
      <c r="E494" t="inlineStr">
        <is>
          <t>D13_SG03</t>
        </is>
      </c>
      <c r="F494" t="inlineStr">
        <is>
          <t>P0295_3</t>
        </is>
      </c>
      <c r="G494" t="n">
        <v>249.2</v>
      </c>
      <c r="H494" t="n">
        <v>27.22</v>
      </c>
    </row>
    <row r="495">
      <c r="A495" t="n">
        <v>13</v>
      </c>
      <c r="B495" s="7" t="n">
        <v>45458.25</v>
      </c>
      <c r="C495" t="inlineStr">
        <is>
          <t>A</t>
        </is>
      </c>
      <c r="D495" t="inlineStr">
        <is>
          <t>R3_Optimized</t>
        </is>
      </c>
      <c r="E495" t="inlineStr">
        <is>
          <t>D13_SG03</t>
        </is>
      </c>
      <c r="F495" t="inlineStr">
        <is>
          <t>P0295_4</t>
        </is>
      </c>
      <c r="G495" t="n">
        <v>269.2</v>
      </c>
      <c r="H495" t="n">
        <v>27.49</v>
      </c>
    </row>
    <row r="496">
      <c r="A496" t="n">
        <v>13</v>
      </c>
      <c r="B496" s="7" t="n">
        <v>45458.25</v>
      </c>
      <c r="C496" t="inlineStr">
        <is>
          <t>A</t>
        </is>
      </c>
      <c r="D496" t="inlineStr">
        <is>
          <t>R3_Optimized</t>
        </is>
      </c>
      <c r="E496" t="inlineStr">
        <is>
          <t>D13_SG03</t>
        </is>
      </c>
      <c r="F496" t="inlineStr">
        <is>
          <t>P0295_5</t>
        </is>
      </c>
      <c r="G496" t="n">
        <v>222.9</v>
      </c>
      <c r="H496" t="n">
        <v>27.88</v>
      </c>
    </row>
    <row r="497">
      <c r="A497" t="n">
        <v>13</v>
      </c>
      <c r="B497" s="7" t="n">
        <v>45458.375</v>
      </c>
      <c r="C497" t="inlineStr">
        <is>
          <t>B</t>
        </is>
      </c>
      <c r="D497" t="inlineStr">
        <is>
          <t>R3_Optimized</t>
        </is>
      </c>
      <c r="E497" t="inlineStr">
        <is>
          <t>D13_SG04</t>
        </is>
      </c>
      <c r="F497" t="inlineStr">
        <is>
          <t>P0298_1</t>
        </is>
      </c>
      <c r="G497" t="n">
        <v>176.1</v>
      </c>
      <c r="H497" t="n">
        <v>26.26</v>
      </c>
    </row>
    <row r="498">
      <c r="A498" t="n">
        <v>13</v>
      </c>
      <c r="B498" s="7" t="n">
        <v>45458.375</v>
      </c>
      <c r="C498" t="inlineStr">
        <is>
          <t>B</t>
        </is>
      </c>
      <c r="D498" t="inlineStr">
        <is>
          <t>R3_Optimized</t>
        </is>
      </c>
      <c r="E498" t="inlineStr">
        <is>
          <t>D13_SG04</t>
        </is>
      </c>
      <c r="F498" t="inlineStr">
        <is>
          <t>P0298_2</t>
        </is>
      </c>
      <c r="G498" t="n">
        <v>193</v>
      </c>
      <c r="H498" t="n">
        <v>27.06</v>
      </c>
    </row>
    <row r="499">
      <c r="A499" t="n">
        <v>13</v>
      </c>
      <c r="B499" s="7" t="n">
        <v>45458.375</v>
      </c>
      <c r="C499" t="inlineStr">
        <is>
          <t>B</t>
        </is>
      </c>
      <c r="D499" t="inlineStr">
        <is>
          <t>R3_Optimized</t>
        </is>
      </c>
      <c r="E499" t="inlineStr">
        <is>
          <t>D13_SG04</t>
        </is>
      </c>
      <c r="F499" t="inlineStr">
        <is>
          <t>P0298_3</t>
        </is>
      </c>
      <c r="G499" t="n">
        <v>169</v>
      </c>
      <c r="H499" t="n">
        <v>26.16</v>
      </c>
    </row>
    <row r="500">
      <c r="A500" t="n">
        <v>13</v>
      </c>
      <c r="B500" s="7" t="n">
        <v>45458.375</v>
      </c>
      <c r="C500" t="inlineStr">
        <is>
          <t>B</t>
        </is>
      </c>
      <c r="D500" t="inlineStr">
        <is>
          <t>R3_Optimized</t>
        </is>
      </c>
      <c r="E500" t="inlineStr">
        <is>
          <t>D13_SG04</t>
        </is>
      </c>
      <c r="F500" t="inlineStr">
        <is>
          <t>P0298_4</t>
        </is>
      </c>
      <c r="G500" t="n">
        <v>167.2</v>
      </c>
      <c r="H500" t="n">
        <v>26.37</v>
      </c>
    </row>
    <row r="501">
      <c r="A501" t="n">
        <v>13</v>
      </c>
      <c r="B501" s="7" t="n">
        <v>45458.375</v>
      </c>
      <c r="C501" t="inlineStr">
        <is>
          <t>B</t>
        </is>
      </c>
      <c r="D501" t="inlineStr">
        <is>
          <t>R3_Optimized</t>
        </is>
      </c>
      <c r="E501" t="inlineStr">
        <is>
          <t>D13_SG04</t>
        </is>
      </c>
      <c r="F501" t="inlineStr">
        <is>
          <t>P0298_5</t>
        </is>
      </c>
      <c r="G501" t="n">
        <v>191.2</v>
      </c>
      <c r="H501" t="n">
        <v>26.35</v>
      </c>
    </row>
    <row r="502">
      <c r="A502" t="n">
        <v>13</v>
      </c>
      <c r="B502" s="7" t="n">
        <v>45458.54166666666</v>
      </c>
      <c r="C502" t="inlineStr">
        <is>
          <t>B</t>
        </is>
      </c>
      <c r="D502" t="inlineStr">
        <is>
          <t>R3_Optimized</t>
        </is>
      </c>
      <c r="E502" t="inlineStr">
        <is>
          <t>D13_SG05</t>
        </is>
      </c>
      <c r="F502" t="inlineStr">
        <is>
          <t>P0302_1</t>
        </is>
      </c>
      <c r="G502" t="n">
        <v>198.6</v>
      </c>
      <c r="H502" t="n">
        <v>25.78</v>
      </c>
    </row>
    <row r="503">
      <c r="A503" t="n">
        <v>13</v>
      </c>
      <c r="B503" s="7" t="n">
        <v>45458.54166666666</v>
      </c>
      <c r="C503" t="inlineStr">
        <is>
          <t>B</t>
        </is>
      </c>
      <c r="D503" t="inlineStr">
        <is>
          <t>R3_Optimized</t>
        </is>
      </c>
      <c r="E503" t="inlineStr">
        <is>
          <t>D13_SG05</t>
        </is>
      </c>
      <c r="F503" t="inlineStr">
        <is>
          <t>P0302_2</t>
        </is>
      </c>
      <c r="G503" t="n">
        <v>233</v>
      </c>
      <c r="H503" t="n">
        <v>26.18</v>
      </c>
    </row>
    <row r="504">
      <c r="A504" t="n">
        <v>13</v>
      </c>
      <c r="B504" s="7" t="n">
        <v>45458.54166666666</v>
      </c>
      <c r="C504" t="inlineStr">
        <is>
          <t>B</t>
        </is>
      </c>
      <c r="D504" t="inlineStr">
        <is>
          <t>R3_Optimized</t>
        </is>
      </c>
      <c r="E504" t="inlineStr">
        <is>
          <t>D13_SG05</t>
        </is>
      </c>
      <c r="F504" t="inlineStr">
        <is>
          <t>P0302_3</t>
        </is>
      </c>
      <c r="G504" t="n">
        <v>213.4</v>
      </c>
      <c r="H504" t="n">
        <v>25.72</v>
      </c>
    </row>
    <row r="505">
      <c r="A505" t="n">
        <v>13</v>
      </c>
      <c r="B505" s="7" t="n">
        <v>45458.54166666666</v>
      </c>
      <c r="C505" t="inlineStr">
        <is>
          <t>B</t>
        </is>
      </c>
      <c r="D505" t="inlineStr">
        <is>
          <t>R3_Optimized</t>
        </is>
      </c>
      <c r="E505" t="inlineStr">
        <is>
          <t>D13_SG05</t>
        </is>
      </c>
      <c r="F505" t="inlineStr">
        <is>
          <t>P0302_4</t>
        </is>
      </c>
      <c r="G505" t="n">
        <v>225.3</v>
      </c>
      <c r="H505" t="n">
        <v>25.71</v>
      </c>
    </row>
    <row r="506">
      <c r="A506" t="n">
        <v>13</v>
      </c>
      <c r="B506" s="7" t="n">
        <v>45458.54166666666</v>
      </c>
      <c r="C506" t="inlineStr">
        <is>
          <t>B</t>
        </is>
      </c>
      <c r="D506" t="inlineStr">
        <is>
          <t>R3_Optimized</t>
        </is>
      </c>
      <c r="E506" t="inlineStr">
        <is>
          <t>D13_SG05</t>
        </is>
      </c>
      <c r="F506" t="inlineStr">
        <is>
          <t>P0302_5</t>
        </is>
      </c>
      <c r="G506" t="n">
        <v>230.1</v>
      </c>
      <c r="H506" t="n">
        <v>24.96</v>
      </c>
    </row>
    <row r="507">
      <c r="A507" t="n">
        <v>13</v>
      </c>
      <c r="B507" s="7" t="n">
        <v>45458.66666666666</v>
      </c>
      <c r="C507" t="inlineStr">
        <is>
          <t>C</t>
        </is>
      </c>
      <c r="D507" t="inlineStr">
        <is>
          <t>R3_Optimized</t>
        </is>
      </c>
      <c r="E507" t="inlineStr">
        <is>
          <t>D13_SG06</t>
        </is>
      </c>
      <c r="F507" t="inlineStr">
        <is>
          <t>P0305_1</t>
        </is>
      </c>
      <c r="G507" t="n">
        <v>253.2</v>
      </c>
      <c r="H507" t="n">
        <v>24.87</v>
      </c>
    </row>
    <row r="508">
      <c r="A508" t="n">
        <v>13</v>
      </c>
      <c r="B508" s="7" t="n">
        <v>45458.66666666666</v>
      </c>
      <c r="C508" t="inlineStr">
        <is>
          <t>C</t>
        </is>
      </c>
      <c r="D508" t="inlineStr">
        <is>
          <t>R3_Optimized</t>
        </is>
      </c>
      <c r="E508" t="inlineStr">
        <is>
          <t>D13_SG06</t>
        </is>
      </c>
      <c r="F508" t="inlineStr">
        <is>
          <t>P0305_2</t>
        </is>
      </c>
      <c r="G508" t="n">
        <v>267.2</v>
      </c>
      <c r="H508" t="n">
        <v>24.94</v>
      </c>
    </row>
    <row r="509">
      <c r="A509" t="n">
        <v>13</v>
      </c>
      <c r="B509" s="7" t="n">
        <v>45458.66666666666</v>
      </c>
      <c r="C509" t="inlineStr">
        <is>
          <t>C</t>
        </is>
      </c>
      <c r="D509" t="inlineStr">
        <is>
          <t>R3_Optimized</t>
        </is>
      </c>
      <c r="E509" t="inlineStr">
        <is>
          <t>D13_SG06</t>
        </is>
      </c>
      <c r="F509" t="inlineStr">
        <is>
          <t>P0305_3</t>
        </is>
      </c>
      <c r="G509" t="n">
        <v>273.4</v>
      </c>
      <c r="H509" t="n">
        <v>24.83</v>
      </c>
    </row>
    <row r="510">
      <c r="A510" t="n">
        <v>13</v>
      </c>
      <c r="B510" s="7" t="n">
        <v>45458.66666666666</v>
      </c>
      <c r="C510" t="inlineStr">
        <is>
          <t>C</t>
        </is>
      </c>
      <c r="D510" t="inlineStr">
        <is>
          <t>R3_Optimized</t>
        </is>
      </c>
      <c r="E510" t="inlineStr">
        <is>
          <t>D13_SG06</t>
        </is>
      </c>
      <c r="F510" t="inlineStr">
        <is>
          <t>P0305_4</t>
        </is>
      </c>
      <c r="G510" t="n">
        <v>234.7</v>
      </c>
      <c r="H510" t="n">
        <v>24.81</v>
      </c>
    </row>
    <row r="511">
      <c r="A511" t="n">
        <v>13</v>
      </c>
      <c r="B511" s="7" t="n">
        <v>45458.66666666666</v>
      </c>
      <c r="C511" t="inlineStr">
        <is>
          <t>C</t>
        </is>
      </c>
      <c r="D511" t="inlineStr">
        <is>
          <t>R3_Optimized</t>
        </is>
      </c>
      <c r="E511" t="inlineStr">
        <is>
          <t>D13_SG06</t>
        </is>
      </c>
      <c r="F511" t="inlineStr">
        <is>
          <t>P0305_5</t>
        </is>
      </c>
      <c r="G511" t="n">
        <v>282.9</v>
      </c>
      <c r="H511" t="n">
        <v>25.2</v>
      </c>
    </row>
    <row r="512">
      <c r="A512" t="n">
        <v>13</v>
      </c>
      <c r="B512" s="7" t="n">
        <v>45458.79166666666</v>
      </c>
      <c r="C512" t="inlineStr">
        <is>
          <t>C</t>
        </is>
      </c>
      <c r="D512" t="inlineStr">
        <is>
          <t>R3_Optimized</t>
        </is>
      </c>
      <c r="E512" t="inlineStr">
        <is>
          <t>D13_SG07</t>
        </is>
      </c>
      <c r="F512" t="inlineStr">
        <is>
          <t>P0308_1</t>
        </is>
      </c>
      <c r="G512" t="n">
        <v>185.4</v>
      </c>
      <c r="H512" t="n">
        <v>29.57</v>
      </c>
    </row>
    <row r="513">
      <c r="A513" t="n">
        <v>13</v>
      </c>
      <c r="B513" s="7" t="n">
        <v>45458.79166666666</v>
      </c>
      <c r="C513" t="inlineStr">
        <is>
          <t>C</t>
        </is>
      </c>
      <c r="D513" t="inlineStr">
        <is>
          <t>R3_Optimized</t>
        </is>
      </c>
      <c r="E513" t="inlineStr">
        <is>
          <t>D13_SG07</t>
        </is>
      </c>
      <c r="F513" t="inlineStr">
        <is>
          <t>P0308_2</t>
        </is>
      </c>
      <c r="G513" t="n">
        <v>188.7</v>
      </c>
      <c r="H513" t="n">
        <v>30.36</v>
      </c>
    </row>
    <row r="514">
      <c r="A514" t="n">
        <v>13</v>
      </c>
      <c r="B514" s="7" t="n">
        <v>45458.79166666666</v>
      </c>
      <c r="C514" t="inlineStr">
        <is>
          <t>C</t>
        </is>
      </c>
      <c r="D514" t="inlineStr">
        <is>
          <t>R3_Optimized</t>
        </is>
      </c>
      <c r="E514" t="inlineStr">
        <is>
          <t>D13_SG07</t>
        </is>
      </c>
      <c r="F514" t="inlineStr">
        <is>
          <t>P0308_3</t>
        </is>
      </c>
      <c r="G514" t="n">
        <v>183.8</v>
      </c>
      <c r="H514" t="n">
        <v>29.99</v>
      </c>
    </row>
    <row r="515">
      <c r="A515" t="n">
        <v>13</v>
      </c>
      <c r="B515" s="7" t="n">
        <v>45458.79166666666</v>
      </c>
      <c r="C515" t="inlineStr">
        <is>
          <t>C</t>
        </is>
      </c>
      <c r="D515" t="inlineStr">
        <is>
          <t>R3_Optimized</t>
        </is>
      </c>
      <c r="E515" t="inlineStr">
        <is>
          <t>D13_SG07</t>
        </is>
      </c>
      <c r="F515" t="inlineStr">
        <is>
          <t>P0308_4</t>
        </is>
      </c>
      <c r="G515" t="n">
        <v>184.4</v>
      </c>
      <c r="H515" t="n">
        <v>29.34</v>
      </c>
    </row>
    <row r="516">
      <c r="A516" t="n">
        <v>13</v>
      </c>
      <c r="B516" s="7" t="n">
        <v>45458.79166666666</v>
      </c>
      <c r="C516" t="inlineStr">
        <is>
          <t>C</t>
        </is>
      </c>
      <c r="D516" t="inlineStr">
        <is>
          <t>R3_Optimized</t>
        </is>
      </c>
      <c r="E516" t="inlineStr">
        <is>
          <t>D13_SG07</t>
        </is>
      </c>
      <c r="F516" t="inlineStr">
        <is>
          <t>P0308_5</t>
        </is>
      </c>
      <c r="G516" t="n">
        <v>196.3</v>
      </c>
      <c r="H516" t="n">
        <v>30.58</v>
      </c>
    </row>
    <row r="517">
      <c r="A517" t="n">
        <v>13</v>
      </c>
      <c r="B517" s="7" t="n">
        <v>45458.95833333334</v>
      </c>
      <c r="C517" t="inlineStr">
        <is>
          <t>C</t>
        </is>
      </c>
      <c r="D517" t="inlineStr">
        <is>
          <t>R3_Optimized</t>
        </is>
      </c>
      <c r="E517" t="inlineStr">
        <is>
          <t>D13_SG08</t>
        </is>
      </c>
      <c r="F517" t="inlineStr">
        <is>
          <t>P0312_1</t>
        </is>
      </c>
      <c r="G517" t="n">
        <v>288.1</v>
      </c>
      <c r="H517" t="n">
        <v>26.52</v>
      </c>
    </row>
    <row r="518">
      <c r="A518" t="n">
        <v>13</v>
      </c>
      <c r="B518" s="7" t="n">
        <v>45458.95833333334</v>
      </c>
      <c r="C518" t="inlineStr">
        <is>
          <t>C</t>
        </is>
      </c>
      <c r="D518" t="inlineStr">
        <is>
          <t>R3_Optimized</t>
        </is>
      </c>
      <c r="E518" t="inlineStr">
        <is>
          <t>D13_SG08</t>
        </is>
      </c>
      <c r="F518" t="inlineStr">
        <is>
          <t>P0312_2</t>
        </is>
      </c>
      <c r="G518" t="n">
        <v>274.6</v>
      </c>
      <c r="H518" t="n">
        <v>27.58</v>
      </c>
    </row>
    <row r="519">
      <c r="A519" t="n">
        <v>13</v>
      </c>
      <c r="B519" s="7" t="n">
        <v>45458.95833333334</v>
      </c>
      <c r="C519" t="inlineStr">
        <is>
          <t>C</t>
        </is>
      </c>
      <c r="D519" t="inlineStr">
        <is>
          <t>R3_Optimized</t>
        </is>
      </c>
      <c r="E519" t="inlineStr">
        <is>
          <t>D13_SG08</t>
        </is>
      </c>
      <c r="F519" t="inlineStr">
        <is>
          <t>P0312_3</t>
        </is>
      </c>
      <c r="G519" t="n">
        <v>258</v>
      </c>
      <c r="H519" t="n">
        <v>25.84</v>
      </c>
    </row>
    <row r="520">
      <c r="A520" t="n">
        <v>13</v>
      </c>
      <c r="B520" s="7" t="n">
        <v>45458.95833333334</v>
      </c>
      <c r="C520" t="inlineStr">
        <is>
          <t>C</t>
        </is>
      </c>
      <c r="D520" t="inlineStr">
        <is>
          <t>R3_Optimized</t>
        </is>
      </c>
      <c r="E520" t="inlineStr">
        <is>
          <t>D13_SG08</t>
        </is>
      </c>
      <c r="F520" t="inlineStr">
        <is>
          <t>P0312_4</t>
        </is>
      </c>
      <c r="G520" t="n">
        <v>259.7</v>
      </c>
      <c r="H520" t="n">
        <v>26.11</v>
      </c>
    </row>
    <row r="521">
      <c r="A521" t="n">
        <v>13</v>
      </c>
      <c r="B521" s="7" t="n">
        <v>45458.95833333334</v>
      </c>
      <c r="C521" t="inlineStr">
        <is>
          <t>C</t>
        </is>
      </c>
      <c r="D521" t="inlineStr">
        <is>
          <t>R3_Optimized</t>
        </is>
      </c>
      <c r="E521" t="inlineStr">
        <is>
          <t>D13_SG08</t>
        </is>
      </c>
      <c r="F521" t="inlineStr">
        <is>
          <t>P0312_5</t>
        </is>
      </c>
      <c r="G521" t="n">
        <v>269.3</v>
      </c>
      <c r="H521" t="n">
        <v>25.87</v>
      </c>
    </row>
    <row r="522">
      <c r="A522" t="n">
        <v>14</v>
      </c>
      <c r="B522" s="7" t="n">
        <v>45459</v>
      </c>
      <c r="C522" t="inlineStr">
        <is>
          <t>A</t>
        </is>
      </c>
      <c r="D522" t="inlineStr">
        <is>
          <t>R3_Optimized</t>
        </is>
      </c>
      <c r="E522" t="inlineStr">
        <is>
          <t>D14_SG01</t>
        </is>
      </c>
      <c r="F522" t="inlineStr">
        <is>
          <t>P0313_1</t>
        </is>
      </c>
      <c r="G522" t="n">
        <v>342.5</v>
      </c>
      <c r="H522" t="n">
        <v>26.03</v>
      </c>
    </row>
    <row r="523">
      <c r="A523" t="n">
        <v>14</v>
      </c>
      <c r="B523" s="7" t="n">
        <v>45459</v>
      </c>
      <c r="C523" t="inlineStr">
        <is>
          <t>A</t>
        </is>
      </c>
      <c r="D523" t="inlineStr">
        <is>
          <t>R3_Optimized</t>
        </is>
      </c>
      <c r="E523" t="inlineStr">
        <is>
          <t>D14_SG01</t>
        </is>
      </c>
      <c r="F523" t="inlineStr">
        <is>
          <t>P0313_2</t>
        </is>
      </c>
      <c r="G523" t="n">
        <v>341.3</v>
      </c>
      <c r="H523" t="n">
        <v>25.9</v>
      </c>
    </row>
    <row r="524">
      <c r="A524" t="n">
        <v>14</v>
      </c>
      <c r="B524" s="7" t="n">
        <v>45459</v>
      </c>
      <c r="C524" t="inlineStr">
        <is>
          <t>A</t>
        </is>
      </c>
      <c r="D524" t="inlineStr">
        <is>
          <t>R3_Optimized</t>
        </is>
      </c>
      <c r="E524" t="inlineStr">
        <is>
          <t>D14_SG01</t>
        </is>
      </c>
      <c r="F524" t="inlineStr">
        <is>
          <t>P0313_3</t>
        </is>
      </c>
      <c r="G524" t="n">
        <v>333.7</v>
      </c>
      <c r="H524" t="n">
        <v>25.93</v>
      </c>
    </row>
    <row r="525">
      <c r="A525" t="n">
        <v>14</v>
      </c>
      <c r="B525" s="7" t="n">
        <v>45459</v>
      </c>
      <c r="C525" t="inlineStr">
        <is>
          <t>A</t>
        </is>
      </c>
      <c r="D525" t="inlineStr">
        <is>
          <t>R3_Optimized</t>
        </is>
      </c>
      <c r="E525" t="inlineStr">
        <is>
          <t>D14_SG01</t>
        </is>
      </c>
      <c r="F525" t="inlineStr">
        <is>
          <t>P0313_4</t>
        </is>
      </c>
      <c r="G525" t="n">
        <v>348</v>
      </c>
      <c r="H525" t="n">
        <v>26.62</v>
      </c>
    </row>
    <row r="526">
      <c r="A526" t="n">
        <v>14</v>
      </c>
      <c r="B526" s="7" t="n">
        <v>45459</v>
      </c>
      <c r="C526" t="inlineStr">
        <is>
          <t>A</t>
        </is>
      </c>
      <c r="D526" t="inlineStr">
        <is>
          <t>R3_Optimized</t>
        </is>
      </c>
      <c r="E526" t="inlineStr">
        <is>
          <t>D14_SG01</t>
        </is>
      </c>
      <c r="F526" t="inlineStr">
        <is>
          <t>P0313_5</t>
        </is>
      </c>
      <c r="G526" t="n">
        <v>336.1</v>
      </c>
      <c r="H526" t="n">
        <v>25.47</v>
      </c>
    </row>
    <row r="527">
      <c r="A527" t="n">
        <v>14</v>
      </c>
      <c r="B527" s="7" t="n">
        <v>45459.125</v>
      </c>
      <c r="C527" t="inlineStr">
        <is>
          <t>A</t>
        </is>
      </c>
      <c r="D527" t="inlineStr">
        <is>
          <t>R3_Optimized</t>
        </is>
      </c>
      <c r="E527" t="inlineStr">
        <is>
          <t>D14_SG02</t>
        </is>
      </c>
      <c r="F527" t="inlineStr">
        <is>
          <t>P0316_1</t>
        </is>
      </c>
      <c r="G527" t="n">
        <v>290.4</v>
      </c>
      <c r="H527" t="n">
        <v>27</v>
      </c>
    </row>
    <row r="528">
      <c r="A528" t="n">
        <v>14</v>
      </c>
      <c r="B528" s="7" t="n">
        <v>45459.125</v>
      </c>
      <c r="C528" t="inlineStr">
        <is>
          <t>A</t>
        </is>
      </c>
      <c r="D528" t="inlineStr">
        <is>
          <t>R3_Optimized</t>
        </is>
      </c>
      <c r="E528" t="inlineStr">
        <is>
          <t>D14_SG02</t>
        </is>
      </c>
      <c r="F528" t="inlineStr">
        <is>
          <t>P0316_2</t>
        </is>
      </c>
      <c r="G528" t="n">
        <v>284.4</v>
      </c>
      <c r="H528" t="n">
        <v>27.09</v>
      </c>
    </row>
    <row r="529">
      <c r="A529" t="n">
        <v>14</v>
      </c>
      <c r="B529" s="7" t="n">
        <v>45459.125</v>
      </c>
      <c r="C529" t="inlineStr">
        <is>
          <t>A</t>
        </is>
      </c>
      <c r="D529" t="inlineStr">
        <is>
          <t>R3_Optimized</t>
        </is>
      </c>
      <c r="E529" t="inlineStr">
        <is>
          <t>D14_SG02</t>
        </is>
      </c>
      <c r="F529" t="inlineStr">
        <is>
          <t>P0316_3</t>
        </is>
      </c>
      <c r="G529" t="n">
        <v>288.2</v>
      </c>
      <c r="H529" t="n">
        <v>26.57</v>
      </c>
    </row>
    <row r="530">
      <c r="A530" t="n">
        <v>14</v>
      </c>
      <c r="B530" s="7" t="n">
        <v>45459.125</v>
      </c>
      <c r="C530" t="inlineStr">
        <is>
          <t>A</t>
        </is>
      </c>
      <c r="D530" t="inlineStr">
        <is>
          <t>R3_Optimized</t>
        </is>
      </c>
      <c r="E530" t="inlineStr">
        <is>
          <t>D14_SG02</t>
        </is>
      </c>
      <c r="F530" t="inlineStr">
        <is>
          <t>P0316_4</t>
        </is>
      </c>
      <c r="G530" t="n">
        <v>302.6</v>
      </c>
      <c r="H530" t="n">
        <v>27.61</v>
      </c>
    </row>
    <row r="531">
      <c r="A531" t="n">
        <v>14</v>
      </c>
      <c r="B531" s="7" t="n">
        <v>45459.125</v>
      </c>
      <c r="C531" t="inlineStr">
        <is>
          <t>A</t>
        </is>
      </c>
      <c r="D531" t="inlineStr">
        <is>
          <t>R3_Optimized</t>
        </is>
      </c>
      <c r="E531" t="inlineStr">
        <is>
          <t>D14_SG02</t>
        </is>
      </c>
      <c r="F531" t="inlineStr">
        <is>
          <t>P0316_5</t>
        </is>
      </c>
      <c r="G531" t="n">
        <v>300.4</v>
      </c>
      <c r="H531" t="n">
        <v>27.03</v>
      </c>
    </row>
    <row r="532">
      <c r="A532" t="n">
        <v>14</v>
      </c>
      <c r="B532" s="7" t="n">
        <v>45459.25</v>
      </c>
      <c r="C532" t="inlineStr">
        <is>
          <t>A</t>
        </is>
      </c>
      <c r="D532" t="inlineStr">
        <is>
          <t>R3_Optimized</t>
        </is>
      </c>
      <c r="E532" t="inlineStr">
        <is>
          <t>D14_SG03</t>
        </is>
      </c>
      <c r="F532" t="inlineStr">
        <is>
          <t>P0319_1</t>
        </is>
      </c>
      <c r="G532" t="n">
        <v>273.9</v>
      </c>
      <c r="H532" t="n">
        <v>26.13</v>
      </c>
    </row>
    <row r="533">
      <c r="A533" t="n">
        <v>14</v>
      </c>
      <c r="B533" s="7" t="n">
        <v>45459.25</v>
      </c>
      <c r="C533" t="inlineStr">
        <is>
          <t>A</t>
        </is>
      </c>
      <c r="D533" t="inlineStr">
        <is>
          <t>R3_Optimized</t>
        </is>
      </c>
      <c r="E533" t="inlineStr">
        <is>
          <t>D14_SG03</t>
        </is>
      </c>
      <c r="F533" t="inlineStr">
        <is>
          <t>P0319_2</t>
        </is>
      </c>
      <c r="G533" t="n">
        <v>265.2</v>
      </c>
      <c r="H533" t="n">
        <v>25.84</v>
      </c>
    </row>
    <row r="534">
      <c r="A534" t="n">
        <v>14</v>
      </c>
      <c r="B534" s="7" t="n">
        <v>45459.25</v>
      </c>
      <c r="C534" t="inlineStr">
        <is>
          <t>A</t>
        </is>
      </c>
      <c r="D534" t="inlineStr">
        <is>
          <t>R3_Optimized</t>
        </is>
      </c>
      <c r="E534" t="inlineStr">
        <is>
          <t>D14_SG03</t>
        </is>
      </c>
      <c r="F534" t="inlineStr">
        <is>
          <t>P0319_3</t>
        </is>
      </c>
      <c r="G534" t="n">
        <v>246</v>
      </c>
      <c r="H534" t="n">
        <v>27.11</v>
      </c>
    </row>
    <row r="535">
      <c r="A535" t="n">
        <v>14</v>
      </c>
      <c r="B535" s="7" t="n">
        <v>45459.25</v>
      </c>
      <c r="C535" t="inlineStr">
        <is>
          <t>A</t>
        </is>
      </c>
      <c r="D535" t="inlineStr">
        <is>
          <t>R3_Optimized</t>
        </is>
      </c>
      <c r="E535" t="inlineStr">
        <is>
          <t>D14_SG03</t>
        </is>
      </c>
      <c r="F535" t="inlineStr">
        <is>
          <t>P0319_4</t>
        </is>
      </c>
      <c r="G535" t="n">
        <v>236.2</v>
      </c>
      <c r="H535" t="n">
        <v>26.25</v>
      </c>
    </row>
    <row r="536">
      <c r="A536" t="n">
        <v>14</v>
      </c>
      <c r="B536" s="7" t="n">
        <v>45459.25</v>
      </c>
      <c r="C536" t="inlineStr">
        <is>
          <t>A</t>
        </is>
      </c>
      <c r="D536" t="inlineStr">
        <is>
          <t>R3_Optimized</t>
        </is>
      </c>
      <c r="E536" t="inlineStr">
        <is>
          <t>D14_SG03</t>
        </is>
      </c>
      <c r="F536" t="inlineStr">
        <is>
          <t>P0319_5</t>
        </is>
      </c>
      <c r="G536" t="n">
        <v>250.4</v>
      </c>
      <c r="H536" t="n">
        <v>26.04</v>
      </c>
    </row>
    <row r="537">
      <c r="A537" t="n">
        <v>14</v>
      </c>
      <c r="B537" s="7" t="n">
        <v>45459.375</v>
      </c>
      <c r="C537" t="inlineStr">
        <is>
          <t>B</t>
        </is>
      </c>
      <c r="D537" t="inlineStr">
        <is>
          <t>R3_Optimized</t>
        </is>
      </c>
      <c r="E537" t="inlineStr">
        <is>
          <t>D14_SG04</t>
        </is>
      </c>
      <c r="F537" t="inlineStr">
        <is>
          <t>P0322_1</t>
        </is>
      </c>
      <c r="G537" t="n">
        <v>238.1</v>
      </c>
      <c r="H537" t="n">
        <v>25.51</v>
      </c>
    </row>
    <row r="538">
      <c r="A538" t="n">
        <v>14</v>
      </c>
      <c r="B538" s="7" t="n">
        <v>45459.375</v>
      </c>
      <c r="C538" t="inlineStr">
        <is>
          <t>B</t>
        </is>
      </c>
      <c r="D538" t="inlineStr">
        <is>
          <t>R3_Optimized</t>
        </is>
      </c>
      <c r="E538" t="inlineStr">
        <is>
          <t>D14_SG04</t>
        </is>
      </c>
      <c r="F538" t="inlineStr">
        <is>
          <t>P0322_2</t>
        </is>
      </c>
      <c r="G538" t="n">
        <v>243.6</v>
      </c>
      <c r="H538" t="n">
        <v>25.76</v>
      </c>
    </row>
    <row r="539">
      <c r="A539" t="n">
        <v>14</v>
      </c>
      <c r="B539" s="7" t="n">
        <v>45459.375</v>
      </c>
      <c r="C539" t="inlineStr">
        <is>
          <t>B</t>
        </is>
      </c>
      <c r="D539" t="inlineStr">
        <is>
          <t>R3_Optimized</t>
        </is>
      </c>
      <c r="E539" t="inlineStr">
        <is>
          <t>D14_SG04</t>
        </is>
      </c>
      <c r="F539" t="inlineStr">
        <is>
          <t>P0322_3</t>
        </is>
      </c>
      <c r="G539" t="n">
        <v>230.2</v>
      </c>
      <c r="H539" t="n">
        <v>24.35</v>
      </c>
    </row>
    <row r="540">
      <c r="A540" t="n">
        <v>14</v>
      </c>
      <c r="B540" s="7" t="n">
        <v>45459.375</v>
      </c>
      <c r="C540" t="inlineStr">
        <is>
          <t>B</t>
        </is>
      </c>
      <c r="D540" t="inlineStr">
        <is>
          <t>R3_Optimized</t>
        </is>
      </c>
      <c r="E540" t="inlineStr">
        <is>
          <t>D14_SG04</t>
        </is>
      </c>
      <c r="F540" t="inlineStr">
        <is>
          <t>P0322_4</t>
        </is>
      </c>
      <c r="G540" t="n">
        <v>240.7</v>
      </c>
      <c r="H540" t="n">
        <v>25.83</v>
      </c>
    </row>
    <row r="541">
      <c r="A541" t="n">
        <v>14</v>
      </c>
      <c r="B541" s="7" t="n">
        <v>45459.375</v>
      </c>
      <c r="C541" t="inlineStr">
        <is>
          <t>B</t>
        </is>
      </c>
      <c r="D541" t="inlineStr">
        <is>
          <t>R3_Optimized</t>
        </is>
      </c>
      <c r="E541" t="inlineStr">
        <is>
          <t>D14_SG04</t>
        </is>
      </c>
      <c r="F541" t="inlineStr">
        <is>
          <t>P0322_5</t>
        </is>
      </c>
      <c r="G541" t="n">
        <v>226.5</v>
      </c>
      <c r="H541" t="n">
        <v>25.28</v>
      </c>
    </row>
    <row r="542">
      <c r="A542" t="n">
        <v>14</v>
      </c>
      <c r="B542" s="7" t="n">
        <v>45459.54166666666</v>
      </c>
      <c r="C542" t="inlineStr">
        <is>
          <t>B</t>
        </is>
      </c>
      <c r="D542" t="inlineStr">
        <is>
          <t>R3_Optimized</t>
        </is>
      </c>
      <c r="E542" t="inlineStr">
        <is>
          <t>D14_SG05</t>
        </is>
      </c>
      <c r="F542" t="inlineStr">
        <is>
          <t>P0326_1</t>
        </is>
      </c>
      <c r="G542" t="n">
        <v>253.2</v>
      </c>
      <c r="H542" t="n">
        <v>26.05</v>
      </c>
    </row>
    <row r="543">
      <c r="A543" t="n">
        <v>14</v>
      </c>
      <c r="B543" s="7" t="n">
        <v>45459.54166666666</v>
      </c>
      <c r="C543" t="inlineStr">
        <is>
          <t>B</t>
        </is>
      </c>
      <c r="D543" t="inlineStr">
        <is>
          <t>R3_Optimized</t>
        </is>
      </c>
      <c r="E543" t="inlineStr">
        <is>
          <t>D14_SG05</t>
        </is>
      </c>
      <c r="F543" t="inlineStr">
        <is>
          <t>P0326_2</t>
        </is>
      </c>
      <c r="G543" t="n">
        <v>242.7</v>
      </c>
      <c r="H543" t="n">
        <v>25.86</v>
      </c>
    </row>
    <row r="544">
      <c r="A544" t="n">
        <v>14</v>
      </c>
      <c r="B544" s="7" t="n">
        <v>45459.54166666666</v>
      </c>
      <c r="C544" t="inlineStr">
        <is>
          <t>B</t>
        </is>
      </c>
      <c r="D544" t="inlineStr">
        <is>
          <t>R3_Optimized</t>
        </is>
      </c>
      <c r="E544" t="inlineStr">
        <is>
          <t>D14_SG05</t>
        </is>
      </c>
      <c r="F544" t="inlineStr">
        <is>
          <t>P0326_3</t>
        </is>
      </c>
      <c r="G544" t="n">
        <v>246.2</v>
      </c>
      <c r="H544" t="n">
        <v>25.91</v>
      </c>
    </row>
    <row r="545">
      <c r="A545" t="n">
        <v>14</v>
      </c>
      <c r="B545" s="7" t="n">
        <v>45459.54166666666</v>
      </c>
      <c r="C545" t="inlineStr">
        <is>
          <t>B</t>
        </is>
      </c>
      <c r="D545" t="inlineStr">
        <is>
          <t>R3_Optimized</t>
        </is>
      </c>
      <c r="E545" t="inlineStr">
        <is>
          <t>D14_SG05</t>
        </is>
      </c>
      <c r="F545" t="inlineStr">
        <is>
          <t>P0326_4</t>
        </is>
      </c>
      <c r="G545" t="n">
        <v>238.8</v>
      </c>
      <c r="H545" t="n">
        <v>26.42</v>
      </c>
    </row>
    <row r="546">
      <c r="A546" t="n">
        <v>14</v>
      </c>
      <c r="B546" s="7" t="n">
        <v>45459.54166666666</v>
      </c>
      <c r="C546" t="inlineStr">
        <is>
          <t>B</t>
        </is>
      </c>
      <c r="D546" t="inlineStr">
        <is>
          <t>R3_Optimized</t>
        </is>
      </c>
      <c r="E546" t="inlineStr">
        <is>
          <t>D14_SG05</t>
        </is>
      </c>
      <c r="F546" t="inlineStr">
        <is>
          <t>P0326_5</t>
        </is>
      </c>
      <c r="G546" t="n">
        <v>239.4</v>
      </c>
      <c r="H546" t="n">
        <v>26.02</v>
      </c>
    </row>
    <row r="547">
      <c r="A547" t="n">
        <v>14</v>
      </c>
      <c r="B547" s="7" t="n">
        <v>45459.66666666666</v>
      </c>
      <c r="C547" t="inlineStr">
        <is>
          <t>C</t>
        </is>
      </c>
      <c r="D547" t="inlineStr">
        <is>
          <t>R3_Optimized</t>
        </is>
      </c>
      <c r="E547" t="inlineStr">
        <is>
          <t>D14_SG06</t>
        </is>
      </c>
      <c r="F547" t="inlineStr">
        <is>
          <t>P0329_1</t>
        </is>
      </c>
      <c r="G547" t="n">
        <v>266.9</v>
      </c>
      <c r="H547" t="n">
        <v>26.23</v>
      </c>
    </row>
    <row r="548">
      <c r="A548" t="n">
        <v>14</v>
      </c>
      <c r="B548" s="7" t="n">
        <v>45459.66666666666</v>
      </c>
      <c r="C548" t="inlineStr">
        <is>
          <t>C</t>
        </is>
      </c>
      <c r="D548" t="inlineStr">
        <is>
          <t>R3_Optimized</t>
        </is>
      </c>
      <c r="E548" t="inlineStr">
        <is>
          <t>D14_SG06</t>
        </is>
      </c>
      <c r="F548" t="inlineStr">
        <is>
          <t>P0329_2</t>
        </is>
      </c>
      <c r="G548" t="n">
        <v>282.3</v>
      </c>
      <c r="H548" t="n">
        <v>26.95</v>
      </c>
    </row>
    <row r="549">
      <c r="A549" t="n">
        <v>14</v>
      </c>
      <c r="B549" s="7" t="n">
        <v>45459.66666666666</v>
      </c>
      <c r="C549" t="inlineStr">
        <is>
          <t>C</t>
        </is>
      </c>
      <c r="D549" t="inlineStr">
        <is>
          <t>R3_Optimized</t>
        </is>
      </c>
      <c r="E549" t="inlineStr">
        <is>
          <t>D14_SG06</t>
        </is>
      </c>
      <c r="F549" t="inlineStr">
        <is>
          <t>P0329_3</t>
        </is>
      </c>
      <c r="G549" t="n">
        <v>274.7</v>
      </c>
      <c r="H549" t="n">
        <v>27.78</v>
      </c>
    </row>
    <row r="550">
      <c r="A550" t="n">
        <v>14</v>
      </c>
      <c r="B550" s="7" t="n">
        <v>45459.66666666666</v>
      </c>
      <c r="C550" t="inlineStr">
        <is>
          <t>C</t>
        </is>
      </c>
      <c r="D550" t="inlineStr">
        <is>
          <t>R3_Optimized</t>
        </is>
      </c>
      <c r="E550" t="inlineStr">
        <is>
          <t>D14_SG06</t>
        </is>
      </c>
      <c r="F550" t="inlineStr">
        <is>
          <t>P0329_4</t>
        </is>
      </c>
      <c r="G550" t="n">
        <v>257.4</v>
      </c>
      <c r="H550" t="n">
        <v>27.29</v>
      </c>
    </row>
    <row r="551">
      <c r="A551" t="n">
        <v>14</v>
      </c>
      <c r="B551" s="7" t="n">
        <v>45459.66666666666</v>
      </c>
      <c r="C551" t="inlineStr">
        <is>
          <t>C</t>
        </is>
      </c>
      <c r="D551" t="inlineStr">
        <is>
          <t>R3_Optimized</t>
        </is>
      </c>
      <c r="E551" t="inlineStr">
        <is>
          <t>D14_SG06</t>
        </is>
      </c>
      <c r="F551" t="inlineStr">
        <is>
          <t>P0329_5</t>
        </is>
      </c>
      <c r="G551" t="n">
        <v>268.4</v>
      </c>
      <c r="H551" t="n">
        <v>27.59</v>
      </c>
    </row>
    <row r="552">
      <c r="A552" t="n">
        <v>14</v>
      </c>
      <c r="B552" s="7" t="n">
        <v>45459.79166666666</v>
      </c>
      <c r="C552" t="inlineStr">
        <is>
          <t>C</t>
        </is>
      </c>
      <c r="D552" t="inlineStr">
        <is>
          <t>R3_Optimized</t>
        </is>
      </c>
      <c r="E552" t="inlineStr">
        <is>
          <t>D14_SG07</t>
        </is>
      </c>
      <c r="F552" t="inlineStr">
        <is>
          <t>P0332_1</t>
        </is>
      </c>
      <c r="G552" t="n">
        <v>314.8</v>
      </c>
      <c r="H552" t="n">
        <v>27.24</v>
      </c>
    </row>
    <row r="553">
      <c r="A553" t="n">
        <v>14</v>
      </c>
      <c r="B553" s="7" t="n">
        <v>45459.79166666666</v>
      </c>
      <c r="C553" t="inlineStr">
        <is>
          <t>C</t>
        </is>
      </c>
      <c r="D553" t="inlineStr">
        <is>
          <t>R3_Optimized</t>
        </is>
      </c>
      <c r="E553" t="inlineStr">
        <is>
          <t>D14_SG07</t>
        </is>
      </c>
      <c r="F553" t="inlineStr">
        <is>
          <t>P0332_2</t>
        </is>
      </c>
      <c r="G553" t="n">
        <v>270.6</v>
      </c>
      <c r="H553" t="n">
        <v>27.06</v>
      </c>
    </row>
    <row r="554">
      <c r="A554" t="n">
        <v>14</v>
      </c>
      <c r="B554" s="7" t="n">
        <v>45459.79166666666</v>
      </c>
      <c r="C554" t="inlineStr">
        <is>
          <t>C</t>
        </is>
      </c>
      <c r="D554" t="inlineStr">
        <is>
          <t>R3_Optimized</t>
        </is>
      </c>
      <c r="E554" t="inlineStr">
        <is>
          <t>D14_SG07</t>
        </is>
      </c>
      <c r="F554" t="inlineStr">
        <is>
          <t>P0332_3</t>
        </is>
      </c>
      <c r="G554" t="n">
        <v>289.5</v>
      </c>
      <c r="H554" t="n">
        <v>26.43</v>
      </c>
    </row>
    <row r="555">
      <c r="A555" t="n">
        <v>14</v>
      </c>
      <c r="B555" s="7" t="n">
        <v>45459.79166666666</v>
      </c>
      <c r="C555" t="inlineStr">
        <is>
          <t>C</t>
        </is>
      </c>
      <c r="D555" t="inlineStr">
        <is>
          <t>R3_Optimized</t>
        </is>
      </c>
      <c r="E555" t="inlineStr">
        <is>
          <t>D14_SG07</t>
        </is>
      </c>
      <c r="F555" t="inlineStr">
        <is>
          <t>P0332_4</t>
        </is>
      </c>
      <c r="G555" t="n">
        <v>303.4</v>
      </c>
      <c r="H555" t="n">
        <v>26.81</v>
      </c>
    </row>
    <row r="556">
      <c r="A556" t="n">
        <v>14</v>
      </c>
      <c r="B556" s="7" t="n">
        <v>45459.79166666666</v>
      </c>
      <c r="C556" t="inlineStr">
        <is>
          <t>C</t>
        </is>
      </c>
      <c r="D556" t="inlineStr">
        <is>
          <t>R3_Optimized</t>
        </is>
      </c>
      <c r="E556" t="inlineStr">
        <is>
          <t>D14_SG07</t>
        </is>
      </c>
      <c r="F556" t="inlineStr">
        <is>
          <t>P0332_5</t>
        </is>
      </c>
      <c r="G556" t="n">
        <v>292.9</v>
      </c>
      <c r="H556" t="n">
        <v>26.69</v>
      </c>
    </row>
    <row r="557">
      <c r="A557" t="n">
        <v>14</v>
      </c>
      <c r="B557" s="7" t="n">
        <v>45459.95833333334</v>
      </c>
      <c r="C557" t="inlineStr">
        <is>
          <t>C</t>
        </is>
      </c>
      <c r="D557" t="inlineStr">
        <is>
          <t>R3_Optimized</t>
        </is>
      </c>
      <c r="E557" t="inlineStr">
        <is>
          <t>D14_SG08</t>
        </is>
      </c>
      <c r="F557" t="inlineStr">
        <is>
          <t>P0336_1</t>
        </is>
      </c>
      <c r="G557" t="n">
        <v>216.4</v>
      </c>
      <c r="H557" t="n">
        <v>25.54</v>
      </c>
    </row>
    <row r="558">
      <c r="A558" t="n">
        <v>14</v>
      </c>
      <c r="B558" s="7" t="n">
        <v>45459.95833333334</v>
      </c>
      <c r="C558" t="inlineStr">
        <is>
          <t>C</t>
        </is>
      </c>
      <c r="D558" t="inlineStr">
        <is>
          <t>R3_Optimized</t>
        </is>
      </c>
      <c r="E558" t="inlineStr">
        <is>
          <t>D14_SG08</t>
        </is>
      </c>
      <c r="F558" t="inlineStr">
        <is>
          <t>P0336_2</t>
        </is>
      </c>
      <c r="G558" t="n">
        <v>214</v>
      </c>
      <c r="H558" t="n">
        <v>25.19</v>
      </c>
    </row>
    <row r="559">
      <c r="A559" t="n">
        <v>14</v>
      </c>
      <c r="B559" s="7" t="n">
        <v>45459.95833333334</v>
      </c>
      <c r="C559" t="inlineStr">
        <is>
          <t>C</t>
        </is>
      </c>
      <c r="D559" t="inlineStr">
        <is>
          <t>R3_Optimized</t>
        </is>
      </c>
      <c r="E559" t="inlineStr">
        <is>
          <t>D14_SG08</t>
        </is>
      </c>
      <c r="F559" t="inlineStr">
        <is>
          <t>P0336_3</t>
        </is>
      </c>
      <c r="G559" t="n">
        <v>208</v>
      </c>
      <c r="H559" t="n">
        <v>24.25</v>
      </c>
    </row>
    <row r="560">
      <c r="A560" t="n">
        <v>14</v>
      </c>
      <c r="B560" s="7" t="n">
        <v>45459.95833333334</v>
      </c>
      <c r="C560" t="inlineStr">
        <is>
          <t>C</t>
        </is>
      </c>
      <c r="D560" t="inlineStr">
        <is>
          <t>R3_Optimized</t>
        </is>
      </c>
      <c r="E560" t="inlineStr">
        <is>
          <t>D14_SG08</t>
        </is>
      </c>
      <c r="F560" t="inlineStr">
        <is>
          <t>P0336_4</t>
        </is>
      </c>
      <c r="G560" t="n">
        <v>228.8</v>
      </c>
      <c r="H560" t="n">
        <v>25.42</v>
      </c>
    </row>
    <row r="561">
      <c r="A561" t="n">
        <v>14</v>
      </c>
      <c r="B561" s="7" t="n">
        <v>45459.95833333334</v>
      </c>
      <c r="C561" t="inlineStr">
        <is>
          <t>C</t>
        </is>
      </c>
      <c r="D561" t="inlineStr">
        <is>
          <t>R3_Optimized</t>
        </is>
      </c>
      <c r="E561" t="inlineStr">
        <is>
          <t>D14_SG08</t>
        </is>
      </c>
      <c r="F561" t="inlineStr">
        <is>
          <t>P0336_5</t>
        </is>
      </c>
      <c r="G561" t="n">
        <v>211.7</v>
      </c>
      <c r="H561" t="n">
        <v>25.1</v>
      </c>
    </row>
    <row r="562">
      <c r="A562" t="n">
        <v>15</v>
      </c>
      <c r="B562" s="7" t="n">
        <v>45460</v>
      </c>
      <c r="C562" t="inlineStr">
        <is>
          <t>A</t>
        </is>
      </c>
      <c r="D562" t="inlineStr">
        <is>
          <t>R3_Optimized</t>
        </is>
      </c>
      <c r="E562" t="inlineStr">
        <is>
          <t>D15_SG01</t>
        </is>
      </c>
      <c r="F562" t="inlineStr">
        <is>
          <t>P0337_1</t>
        </is>
      </c>
      <c r="G562" t="n">
        <v>217.7</v>
      </c>
      <c r="H562" t="n">
        <v>29.23</v>
      </c>
    </row>
    <row r="563">
      <c r="A563" t="n">
        <v>15</v>
      </c>
      <c r="B563" s="7" t="n">
        <v>45460</v>
      </c>
      <c r="C563" t="inlineStr">
        <is>
          <t>A</t>
        </is>
      </c>
      <c r="D563" t="inlineStr">
        <is>
          <t>R3_Optimized</t>
        </is>
      </c>
      <c r="E563" t="inlineStr">
        <is>
          <t>D15_SG01</t>
        </is>
      </c>
      <c r="F563" t="inlineStr">
        <is>
          <t>P0337_2</t>
        </is>
      </c>
      <c r="G563" t="n">
        <v>210.6</v>
      </c>
      <c r="H563" t="n">
        <v>29.75</v>
      </c>
    </row>
    <row r="564">
      <c r="A564" t="n">
        <v>15</v>
      </c>
      <c r="B564" s="7" t="n">
        <v>45460</v>
      </c>
      <c r="C564" t="inlineStr">
        <is>
          <t>A</t>
        </is>
      </c>
      <c r="D564" t="inlineStr">
        <is>
          <t>R3_Optimized</t>
        </is>
      </c>
      <c r="E564" t="inlineStr">
        <is>
          <t>D15_SG01</t>
        </is>
      </c>
      <c r="F564" t="inlineStr">
        <is>
          <t>P0337_3</t>
        </is>
      </c>
      <c r="G564" t="n">
        <v>214.3</v>
      </c>
      <c r="H564" t="n">
        <v>29.62</v>
      </c>
    </row>
    <row r="565">
      <c r="A565" t="n">
        <v>15</v>
      </c>
      <c r="B565" s="7" t="n">
        <v>45460</v>
      </c>
      <c r="C565" t="inlineStr">
        <is>
          <t>A</t>
        </is>
      </c>
      <c r="D565" t="inlineStr">
        <is>
          <t>R3_Optimized</t>
        </is>
      </c>
      <c r="E565" t="inlineStr">
        <is>
          <t>D15_SG01</t>
        </is>
      </c>
      <c r="F565" t="inlineStr">
        <is>
          <t>P0337_4</t>
        </is>
      </c>
      <c r="G565" t="n">
        <v>225.1</v>
      </c>
      <c r="H565" t="n">
        <v>29.12</v>
      </c>
    </row>
    <row r="566">
      <c r="A566" t="n">
        <v>15</v>
      </c>
      <c r="B566" s="7" t="n">
        <v>45460</v>
      </c>
      <c r="C566" t="inlineStr">
        <is>
          <t>A</t>
        </is>
      </c>
      <c r="D566" t="inlineStr">
        <is>
          <t>R3_Optimized</t>
        </is>
      </c>
      <c r="E566" t="inlineStr">
        <is>
          <t>D15_SG01</t>
        </is>
      </c>
      <c r="F566" t="inlineStr">
        <is>
          <t>P0337_5</t>
        </is>
      </c>
      <c r="G566" t="n">
        <v>211.8</v>
      </c>
      <c r="H566" t="n">
        <v>28.74</v>
      </c>
    </row>
    <row r="567">
      <c r="A567" t="n">
        <v>15</v>
      </c>
      <c r="B567" s="7" t="n">
        <v>45460.125</v>
      </c>
      <c r="C567" t="inlineStr">
        <is>
          <t>A</t>
        </is>
      </c>
      <c r="D567" t="inlineStr">
        <is>
          <t>R3_Optimized</t>
        </is>
      </c>
      <c r="E567" t="inlineStr">
        <is>
          <t>D15_SG02</t>
        </is>
      </c>
      <c r="F567" t="inlineStr">
        <is>
          <t>P0340_1</t>
        </is>
      </c>
      <c r="G567" t="n">
        <v>237.6</v>
      </c>
      <c r="H567" t="n">
        <v>24.88</v>
      </c>
    </row>
    <row r="568">
      <c r="A568" t="n">
        <v>15</v>
      </c>
      <c r="B568" s="7" t="n">
        <v>45460.125</v>
      </c>
      <c r="C568" t="inlineStr">
        <is>
          <t>A</t>
        </is>
      </c>
      <c r="D568" t="inlineStr">
        <is>
          <t>R3_Optimized</t>
        </is>
      </c>
      <c r="E568" t="inlineStr">
        <is>
          <t>D15_SG02</t>
        </is>
      </c>
      <c r="F568" t="inlineStr">
        <is>
          <t>P0340_2</t>
        </is>
      </c>
      <c r="G568" t="n">
        <v>224</v>
      </c>
      <c r="H568" t="n">
        <v>25.19</v>
      </c>
    </row>
    <row r="569">
      <c r="A569" t="n">
        <v>15</v>
      </c>
      <c r="B569" s="7" t="n">
        <v>45460.125</v>
      </c>
      <c r="C569" t="inlineStr">
        <is>
          <t>A</t>
        </is>
      </c>
      <c r="D569" t="inlineStr">
        <is>
          <t>R3_Optimized</t>
        </is>
      </c>
      <c r="E569" t="inlineStr">
        <is>
          <t>D15_SG02</t>
        </is>
      </c>
      <c r="F569" t="inlineStr">
        <is>
          <t>P0340_3</t>
        </is>
      </c>
      <c r="G569" t="n">
        <v>241.4</v>
      </c>
      <c r="H569" t="n">
        <v>24.72</v>
      </c>
    </row>
    <row r="570">
      <c r="A570" t="n">
        <v>15</v>
      </c>
      <c r="B570" s="7" t="n">
        <v>45460.125</v>
      </c>
      <c r="C570" t="inlineStr">
        <is>
          <t>A</t>
        </is>
      </c>
      <c r="D570" t="inlineStr">
        <is>
          <t>R3_Optimized</t>
        </is>
      </c>
      <c r="E570" t="inlineStr">
        <is>
          <t>D15_SG02</t>
        </is>
      </c>
      <c r="F570" t="inlineStr">
        <is>
          <t>P0340_4</t>
        </is>
      </c>
      <c r="G570" t="n">
        <v>240</v>
      </c>
      <c r="H570" t="n">
        <v>24.73</v>
      </c>
    </row>
    <row r="571">
      <c r="A571" t="n">
        <v>15</v>
      </c>
      <c r="B571" s="7" t="n">
        <v>45460.125</v>
      </c>
      <c r="C571" t="inlineStr">
        <is>
          <t>A</t>
        </is>
      </c>
      <c r="D571" t="inlineStr">
        <is>
          <t>R3_Optimized</t>
        </is>
      </c>
      <c r="E571" t="inlineStr">
        <is>
          <t>D15_SG02</t>
        </is>
      </c>
      <c r="F571" t="inlineStr">
        <is>
          <t>P0340_5</t>
        </is>
      </c>
      <c r="G571" t="n">
        <v>249.8</v>
      </c>
      <c r="H571" t="n">
        <v>24.76</v>
      </c>
    </row>
    <row r="572">
      <c r="A572" t="n">
        <v>15</v>
      </c>
      <c r="B572" s="7" t="n">
        <v>45460.25</v>
      </c>
      <c r="C572" t="inlineStr">
        <is>
          <t>A</t>
        </is>
      </c>
      <c r="D572" t="inlineStr">
        <is>
          <t>R3_Optimized</t>
        </is>
      </c>
      <c r="E572" t="inlineStr">
        <is>
          <t>D15_SG03</t>
        </is>
      </c>
      <c r="F572" t="inlineStr">
        <is>
          <t>P0343_1</t>
        </is>
      </c>
      <c r="G572" t="n">
        <v>211.8</v>
      </c>
      <c r="H572" t="n">
        <v>25.65</v>
      </c>
    </row>
    <row r="573">
      <c r="A573" t="n">
        <v>15</v>
      </c>
      <c r="B573" s="7" t="n">
        <v>45460.25</v>
      </c>
      <c r="C573" t="inlineStr">
        <is>
          <t>A</t>
        </is>
      </c>
      <c r="D573" t="inlineStr">
        <is>
          <t>R3_Optimized</t>
        </is>
      </c>
      <c r="E573" t="inlineStr">
        <is>
          <t>D15_SG03</t>
        </is>
      </c>
      <c r="F573" t="inlineStr">
        <is>
          <t>P0343_2</t>
        </is>
      </c>
      <c r="G573" t="n">
        <v>212.2</v>
      </c>
      <c r="H573" t="n">
        <v>26.03</v>
      </c>
    </row>
    <row r="574">
      <c r="A574" t="n">
        <v>15</v>
      </c>
      <c r="B574" s="7" t="n">
        <v>45460.25</v>
      </c>
      <c r="C574" t="inlineStr">
        <is>
          <t>A</t>
        </is>
      </c>
      <c r="D574" t="inlineStr">
        <is>
          <t>R3_Optimized</t>
        </is>
      </c>
      <c r="E574" t="inlineStr">
        <is>
          <t>D15_SG03</t>
        </is>
      </c>
      <c r="F574" t="inlineStr">
        <is>
          <t>P0343_3</t>
        </is>
      </c>
      <c r="G574" t="n">
        <v>203.3</v>
      </c>
      <c r="H574" t="n">
        <v>26.1</v>
      </c>
    </row>
    <row r="575">
      <c r="A575" t="n">
        <v>15</v>
      </c>
      <c r="B575" s="7" t="n">
        <v>45460.25</v>
      </c>
      <c r="C575" t="inlineStr">
        <is>
          <t>A</t>
        </is>
      </c>
      <c r="D575" t="inlineStr">
        <is>
          <t>R3_Optimized</t>
        </is>
      </c>
      <c r="E575" t="inlineStr">
        <is>
          <t>D15_SG03</t>
        </is>
      </c>
      <c r="F575" t="inlineStr">
        <is>
          <t>P0343_4</t>
        </is>
      </c>
      <c r="G575" t="n">
        <v>219.9</v>
      </c>
      <c r="H575" t="n">
        <v>26.39</v>
      </c>
    </row>
    <row r="576">
      <c r="A576" t="n">
        <v>15</v>
      </c>
      <c r="B576" s="7" t="n">
        <v>45460.25</v>
      </c>
      <c r="C576" t="inlineStr">
        <is>
          <t>A</t>
        </is>
      </c>
      <c r="D576" t="inlineStr">
        <is>
          <t>R3_Optimized</t>
        </is>
      </c>
      <c r="E576" t="inlineStr">
        <is>
          <t>D15_SG03</t>
        </is>
      </c>
      <c r="F576" t="inlineStr">
        <is>
          <t>P0343_5</t>
        </is>
      </c>
      <c r="G576" t="n">
        <v>225.5</v>
      </c>
      <c r="H576" t="n">
        <v>25.57</v>
      </c>
    </row>
    <row r="577">
      <c r="A577" t="n">
        <v>15</v>
      </c>
      <c r="B577" s="7" t="n">
        <v>45460.375</v>
      </c>
      <c r="C577" t="inlineStr">
        <is>
          <t>B</t>
        </is>
      </c>
      <c r="D577" t="inlineStr">
        <is>
          <t>R3_Optimized</t>
        </is>
      </c>
      <c r="E577" t="inlineStr">
        <is>
          <t>D15_SG04</t>
        </is>
      </c>
      <c r="F577" t="inlineStr">
        <is>
          <t>P0346_1</t>
        </is>
      </c>
      <c r="G577" t="n">
        <v>251.7</v>
      </c>
      <c r="H577" t="n">
        <v>30.19</v>
      </c>
    </row>
    <row r="578">
      <c r="A578" t="n">
        <v>15</v>
      </c>
      <c r="B578" s="7" t="n">
        <v>45460.375</v>
      </c>
      <c r="C578" t="inlineStr">
        <is>
          <t>B</t>
        </is>
      </c>
      <c r="D578" t="inlineStr">
        <is>
          <t>R3_Optimized</t>
        </is>
      </c>
      <c r="E578" t="inlineStr">
        <is>
          <t>D15_SG04</t>
        </is>
      </c>
      <c r="F578" t="inlineStr">
        <is>
          <t>P0346_2</t>
        </is>
      </c>
      <c r="G578" t="n">
        <v>242.2</v>
      </c>
      <c r="H578" t="n">
        <v>29.01</v>
      </c>
    </row>
    <row r="579">
      <c r="A579" t="n">
        <v>15</v>
      </c>
      <c r="B579" s="7" t="n">
        <v>45460.375</v>
      </c>
      <c r="C579" t="inlineStr">
        <is>
          <t>B</t>
        </is>
      </c>
      <c r="D579" t="inlineStr">
        <is>
          <t>R3_Optimized</t>
        </is>
      </c>
      <c r="E579" t="inlineStr">
        <is>
          <t>D15_SG04</t>
        </is>
      </c>
      <c r="F579" t="inlineStr">
        <is>
          <t>P0346_3</t>
        </is>
      </c>
      <c r="G579" t="n">
        <v>244.6</v>
      </c>
      <c r="H579" t="n">
        <v>29.7</v>
      </c>
    </row>
    <row r="580">
      <c r="A580" t="n">
        <v>15</v>
      </c>
      <c r="B580" s="7" t="n">
        <v>45460.375</v>
      </c>
      <c r="C580" t="inlineStr">
        <is>
          <t>B</t>
        </is>
      </c>
      <c r="D580" t="inlineStr">
        <is>
          <t>R3_Optimized</t>
        </is>
      </c>
      <c r="E580" t="inlineStr">
        <is>
          <t>D15_SG04</t>
        </is>
      </c>
      <c r="F580" t="inlineStr">
        <is>
          <t>P0346_4</t>
        </is>
      </c>
      <c r="G580" t="n">
        <v>252.5</v>
      </c>
      <c r="H580" t="n">
        <v>30.09</v>
      </c>
    </row>
    <row r="581">
      <c r="A581" t="n">
        <v>15</v>
      </c>
      <c r="B581" s="7" t="n">
        <v>45460.375</v>
      </c>
      <c r="C581" t="inlineStr">
        <is>
          <t>B</t>
        </is>
      </c>
      <c r="D581" t="inlineStr">
        <is>
          <t>R3_Optimized</t>
        </is>
      </c>
      <c r="E581" t="inlineStr">
        <is>
          <t>D15_SG04</t>
        </is>
      </c>
      <c r="F581" t="inlineStr">
        <is>
          <t>P0346_5</t>
        </is>
      </c>
      <c r="G581" t="n">
        <v>232.5</v>
      </c>
      <c r="H581" t="n">
        <v>29.33</v>
      </c>
    </row>
    <row r="582">
      <c r="A582" t="n">
        <v>15</v>
      </c>
      <c r="B582" s="7" t="n">
        <v>45460.54166666666</v>
      </c>
      <c r="C582" t="inlineStr">
        <is>
          <t>B</t>
        </is>
      </c>
      <c r="D582" t="inlineStr">
        <is>
          <t>R3_Optimized</t>
        </is>
      </c>
      <c r="E582" t="inlineStr">
        <is>
          <t>D15_SG05</t>
        </is>
      </c>
      <c r="F582" t="inlineStr">
        <is>
          <t>P0350_1</t>
        </is>
      </c>
      <c r="G582" t="n">
        <v>310.6</v>
      </c>
      <c r="H582" t="n">
        <v>24.87</v>
      </c>
    </row>
    <row r="583">
      <c r="A583" t="n">
        <v>15</v>
      </c>
      <c r="B583" s="7" t="n">
        <v>45460.54166666666</v>
      </c>
      <c r="C583" t="inlineStr">
        <is>
          <t>B</t>
        </is>
      </c>
      <c r="D583" t="inlineStr">
        <is>
          <t>R3_Optimized</t>
        </is>
      </c>
      <c r="E583" t="inlineStr">
        <is>
          <t>D15_SG05</t>
        </is>
      </c>
      <c r="F583" t="inlineStr">
        <is>
          <t>P0350_2</t>
        </is>
      </c>
      <c r="G583" t="n">
        <v>294.6</v>
      </c>
      <c r="H583" t="n">
        <v>25.24</v>
      </c>
    </row>
    <row r="584">
      <c r="A584" t="n">
        <v>15</v>
      </c>
      <c r="B584" s="7" t="n">
        <v>45460.54166666666</v>
      </c>
      <c r="C584" t="inlineStr">
        <is>
          <t>B</t>
        </is>
      </c>
      <c r="D584" t="inlineStr">
        <is>
          <t>R3_Optimized</t>
        </is>
      </c>
      <c r="E584" t="inlineStr">
        <is>
          <t>D15_SG05</t>
        </is>
      </c>
      <c r="F584" t="inlineStr">
        <is>
          <t>P0350_3</t>
        </is>
      </c>
      <c r="G584" t="n">
        <v>310.6</v>
      </c>
      <c r="H584" t="n">
        <v>25.64</v>
      </c>
    </row>
    <row r="585">
      <c r="A585" t="n">
        <v>15</v>
      </c>
      <c r="B585" s="7" t="n">
        <v>45460.54166666666</v>
      </c>
      <c r="C585" t="inlineStr">
        <is>
          <t>B</t>
        </is>
      </c>
      <c r="D585" t="inlineStr">
        <is>
          <t>R3_Optimized</t>
        </is>
      </c>
      <c r="E585" t="inlineStr">
        <is>
          <t>D15_SG05</t>
        </is>
      </c>
      <c r="F585" t="inlineStr">
        <is>
          <t>P0350_4</t>
        </is>
      </c>
      <c r="G585" t="n">
        <v>313.2</v>
      </c>
      <c r="H585" t="n">
        <v>25.04</v>
      </c>
    </row>
    <row r="586">
      <c r="A586" t="n">
        <v>15</v>
      </c>
      <c r="B586" s="7" t="n">
        <v>45460.54166666666</v>
      </c>
      <c r="C586" t="inlineStr">
        <is>
          <t>B</t>
        </is>
      </c>
      <c r="D586" t="inlineStr">
        <is>
          <t>R3_Optimized</t>
        </is>
      </c>
      <c r="E586" t="inlineStr">
        <is>
          <t>D15_SG05</t>
        </is>
      </c>
      <c r="F586" t="inlineStr">
        <is>
          <t>P0350_5</t>
        </is>
      </c>
      <c r="G586" t="n">
        <v>310.4</v>
      </c>
      <c r="H586" t="n">
        <v>24.43</v>
      </c>
    </row>
    <row r="587">
      <c r="A587" t="n">
        <v>15</v>
      </c>
      <c r="B587" s="7" t="n">
        <v>45460.66666666666</v>
      </c>
      <c r="C587" t="inlineStr">
        <is>
          <t>C</t>
        </is>
      </c>
      <c r="D587" t="inlineStr">
        <is>
          <t>R3_Optimized</t>
        </is>
      </c>
      <c r="E587" t="inlineStr">
        <is>
          <t>D15_SG06</t>
        </is>
      </c>
      <c r="F587" t="inlineStr">
        <is>
          <t>P0353_1</t>
        </is>
      </c>
      <c r="G587" t="n">
        <v>235.7</v>
      </c>
      <c r="H587" t="n">
        <v>26.03</v>
      </c>
    </row>
    <row r="588">
      <c r="A588" t="n">
        <v>15</v>
      </c>
      <c r="B588" s="7" t="n">
        <v>45460.66666666666</v>
      </c>
      <c r="C588" t="inlineStr">
        <is>
          <t>C</t>
        </is>
      </c>
      <c r="D588" t="inlineStr">
        <is>
          <t>R3_Optimized</t>
        </is>
      </c>
      <c r="E588" t="inlineStr">
        <is>
          <t>D15_SG06</t>
        </is>
      </c>
      <c r="F588" t="inlineStr">
        <is>
          <t>P0353_2</t>
        </is>
      </c>
      <c r="G588" t="n">
        <v>214.3</v>
      </c>
      <c r="H588" t="n">
        <v>25.71</v>
      </c>
    </row>
    <row r="589">
      <c r="A589" t="n">
        <v>15</v>
      </c>
      <c r="B589" s="7" t="n">
        <v>45460.66666666666</v>
      </c>
      <c r="C589" t="inlineStr">
        <is>
          <t>C</t>
        </is>
      </c>
      <c r="D589" t="inlineStr">
        <is>
          <t>R3_Optimized</t>
        </is>
      </c>
      <c r="E589" t="inlineStr">
        <is>
          <t>D15_SG06</t>
        </is>
      </c>
      <c r="F589" t="inlineStr">
        <is>
          <t>P0353_3</t>
        </is>
      </c>
      <c r="G589" t="n">
        <v>218.7</v>
      </c>
      <c r="H589" t="n">
        <v>26.27</v>
      </c>
    </row>
    <row r="590">
      <c r="A590" t="n">
        <v>15</v>
      </c>
      <c r="B590" s="7" t="n">
        <v>45460.66666666666</v>
      </c>
      <c r="C590" t="inlineStr">
        <is>
          <t>C</t>
        </is>
      </c>
      <c r="D590" t="inlineStr">
        <is>
          <t>R3_Optimized</t>
        </is>
      </c>
      <c r="E590" t="inlineStr">
        <is>
          <t>D15_SG06</t>
        </is>
      </c>
      <c r="F590" t="inlineStr">
        <is>
          <t>P0353_4</t>
        </is>
      </c>
      <c r="G590" t="n">
        <v>221.1</v>
      </c>
      <c r="H590" t="n">
        <v>26.16</v>
      </c>
    </row>
    <row r="591">
      <c r="A591" t="n">
        <v>15</v>
      </c>
      <c r="B591" s="7" t="n">
        <v>45460.66666666666</v>
      </c>
      <c r="C591" t="inlineStr">
        <is>
          <t>C</t>
        </is>
      </c>
      <c r="D591" t="inlineStr">
        <is>
          <t>R3_Optimized</t>
        </is>
      </c>
      <c r="E591" t="inlineStr">
        <is>
          <t>D15_SG06</t>
        </is>
      </c>
      <c r="F591" t="inlineStr">
        <is>
          <t>P0353_5</t>
        </is>
      </c>
      <c r="G591" t="n">
        <v>223</v>
      </c>
      <c r="H591" t="n">
        <v>25.54</v>
      </c>
    </row>
    <row r="592">
      <c r="A592" t="n">
        <v>15</v>
      </c>
      <c r="B592" s="7" t="n">
        <v>45460.79166666666</v>
      </c>
      <c r="C592" t="inlineStr">
        <is>
          <t>C</t>
        </is>
      </c>
      <c r="D592" t="inlineStr">
        <is>
          <t>R3_Optimized</t>
        </is>
      </c>
      <c r="E592" t="inlineStr">
        <is>
          <t>D15_SG07</t>
        </is>
      </c>
      <c r="F592" t="inlineStr">
        <is>
          <t>P0356_1</t>
        </is>
      </c>
      <c r="G592" t="n">
        <v>264.7</v>
      </c>
      <c r="H592" t="n">
        <v>26.2</v>
      </c>
    </row>
    <row r="593">
      <c r="A593" t="n">
        <v>15</v>
      </c>
      <c r="B593" s="7" t="n">
        <v>45460.79166666666</v>
      </c>
      <c r="C593" t="inlineStr">
        <is>
          <t>C</t>
        </is>
      </c>
      <c r="D593" t="inlineStr">
        <is>
          <t>R3_Optimized</t>
        </is>
      </c>
      <c r="E593" t="inlineStr">
        <is>
          <t>D15_SG07</t>
        </is>
      </c>
      <c r="F593" t="inlineStr">
        <is>
          <t>P0356_2</t>
        </is>
      </c>
      <c r="G593" t="n">
        <v>291.3</v>
      </c>
      <c r="H593" t="n">
        <v>25.67</v>
      </c>
    </row>
    <row r="594">
      <c r="A594" t="n">
        <v>15</v>
      </c>
      <c r="B594" s="7" t="n">
        <v>45460.79166666666</v>
      </c>
      <c r="C594" t="inlineStr">
        <is>
          <t>C</t>
        </is>
      </c>
      <c r="D594" t="inlineStr">
        <is>
          <t>R3_Optimized</t>
        </is>
      </c>
      <c r="E594" t="inlineStr">
        <is>
          <t>D15_SG07</t>
        </is>
      </c>
      <c r="F594" t="inlineStr">
        <is>
          <t>P0356_3</t>
        </is>
      </c>
      <c r="G594" t="n">
        <v>275</v>
      </c>
      <c r="H594" t="n">
        <v>26.2</v>
      </c>
    </row>
    <row r="595">
      <c r="A595" t="n">
        <v>15</v>
      </c>
      <c r="B595" s="7" t="n">
        <v>45460.79166666666</v>
      </c>
      <c r="C595" t="inlineStr">
        <is>
          <t>C</t>
        </is>
      </c>
      <c r="D595" t="inlineStr">
        <is>
          <t>R3_Optimized</t>
        </is>
      </c>
      <c r="E595" t="inlineStr">
        <is>
          <t>D15_SG07</t>
        </is>
      </c>
      <c r="F595" t="inlineStr">
        <is>
          <t>P0356_4</t>
        </is>
      </c>
      <c r="G595" t="n">
        <v>258.2</v>
      </c>
      <c r="H595" t="n">
        <v>26.1</v>
      </c>
    </row>
    <row r="596">
      <c r="A596" t="n">
        <v>15</v>
      </c>
      <c r="B596" s="7" t="n">
        <v>45460.79166666666</v>
      </c>
      <c r="C596" t="inlineStr">
        <is>
          <t>C</t>
        </is>
      </c>
      <c r="D596" t="inlineStr">
        <is>
          <t>R3_Optimized</t>
        </is>
      </c>
      <c r="E596" t="inlineStr">
        <is>
          <t>D15_SG07</t>
        </is>
      </c>
      <c r="F596" t="inlineStr">
        <is>
          <t>P0356_5</t>
        </is>
      </c>
      <c r="G596" t="n">
        <v>271.6</v>
      </c>
      <c r="H596" t="n">
        <v>26.41</v>
      </c>
    </row>
    <row r="597">
      <c r="A597" t="n">
        <v>15</v>
      </c>
      <c r="B597" s="7" t="n">
        <v>45460.95833333334</v>
      </c>
      <c r="C597" t="inlineStr">
        <is>
          <t>C</t>
        </is>
      </c>
      <c r="D597" t="inlineStr">
        <is>
          <t>R3_Optimized</t>
        </is>
      </c>
      <c r="E597" t="inlineStr">
        <is>
          <t>D15_SG08</t>
        </is>
      </c>
      <c r="F597" t="inlineStr">
        <is>
          <t>P0360_1</t>
        </is>
      </c>
      <c r="G597" t="n">
        <v>239.4</v>
      </c>
      <c r="H597" t="n">
        <v>26.28</v>
      </c>
    </row>
    <row r="598">
      <c r="A598" t="n">
        <v>15</v>
      </c>
      <c r="B598" s="7" t="n">
        <v>45460.95833333334</v>
      </c>
      <c r="C598" t="inlineStr">
        <is>
          <t>C</t>
        </is>
      </c>
      <c r="D598" t="inlineStr">
        <is>
          <t>R3_Optimized</t>
        </is>
      </c>
      <c r="E598" t="inlineStr">
        <is>
          <t>D15_SG08</t>
        </is>
      </c>
      <c r="F598" t="inlineStr">
        <is>
          <t>P0360_2</t>
        </is>
      </c>
      <c r="G598" t="n">
        <v>228.7</v>
      </c>
      <c r="H598" t="n">
        <v>25.94</v>
      </c>
    </row>
    <row r="599">
      <c r="A599" t="n">
        <v>15</v>
      </c>
      <c r="B599" s="7" t="n">
        <v>45460.95833333334</v>
      </c>
      <c r="C599" t="inlineStr">
        <is>
          <t>C</t>
        </is>
      </c>
      <c r="D599" t="inlineStr">
        <is>
          <t>R3_Optimized</t>
        </is>
      </c>
      <c r="E599" t="inlineStr">
        <is>
          <t>D15_SG08</t>
        </is>
      </c>
      <c r="F599" t="inlineStr">
        <is>
          <t>P0360_3</t>
        </is>
      </c>
      <c r="G599" t="n">
        <v>228.4</v>
      </c>
      <c r="H599" t="n">
        <v>26.26</v>
      </c>
    </row>
    <row r="600">
      <c r="A600" t="n">
        <v>15</v>
      </c>
      <c r="B600" s="7" t="n">
        <v>45460.95833333334</v>
      </c>
      <c r="C600" t="inlineStr">
        <is>
          <t>C</t>
        </is>
      </c>
      <c r="D600" t="inlineStr">
        <is>
          <t>R3_Optimized</t>
        </is>
      </c>
      <c r="E600" t="inlineStr">
        <is>
          <t>D15_SG08</t>
        </is>
      </c>
      <c r="F600" t="inlineStr">
        <is>
          <t>P0360_4</t>
        </is>
      </c>
      <c r="G600" t="n">
        <v>242.4</v>
      </c>
      <c r="H600" t="n">
        <v>26.04</v>
      </c>
    </row>
    <row r="601">
      <c r="A601" t="n">
        <v>15</v>
      </c>
      <c r="B601" s="7" t="n">
        <v>45460.95833333334</v>
      </c>
      <c r="C601" t="inlineStr">
        <is>
          <t>C</t>
        </is>
      </c>
      <c r="D601" t="inlineStr">
        <is>
          <t>R3_Optimized</t>
        </is>
      </c>
      <c r="E601" t="inlineStr">
        <is>
          <t>D15_SG08</t>
        </is>
      </c>
      <c r="F601" t="inlineStr">
        <is>
          <t>P0360_5</t>
        </is>
      </c>
      <c r="G601" t="n">
        <v>246.6</v>
      </c>
      <c r="H601" t="n">
        <v>26.43</v>
      </c>
    </row>
    <row r="602">
      <c r="A602" t="n">
        <v>16</v>
      </c>
      <c r="B602" s="7" t="n">
        <v>45461</v>
      </c>
      <c r="C602" t="inlineStr">
        <is>
          <t>A</t>
        </is>
      </c>
      <c r="D602" t="inlineStr">
        <is>
          <t>R3_Optimized</t>
        </is>
      </c>
      <c r="E602" t="inlineStr">
        <is>
          <t>D16_SG01</t>
        </is>
      </c>
      <c r="F602" t="inlineStr">
        <is>
          <t>P0361_1</t>
        </is>
      </c>
      <c r="G602" t="n">
        <v>359.6</v>
      </c>
      <c r="H602" t="n">
        <v>27.04</v>
      </c>
    </row>
    <row r="603">
      <c r="A603" t="n">
        <v>16</v>
      </c>
      <c r="B603" s="7" t="n">
        <v>45461</v>
      </c>
      <c r="C603" t="inlineStr">
        <is>
          <t>A</t>
        </is>
      </c>
      <c r="D603" t="inlineStr">
        <is>
          <t>R3_Optimized</t>
        </is>
      </c>
      <c r="E603" t="inlineStr">
        <is>
          <t>D16_SG01</t>
        </is>
      </c>
      <c r="F603" t="inlineStr">
        <is>
          <t>P0361_2</t>
        </is>
      </c>
      <c r="G603" t="n">
        <v>384.2</v>
      </c>
      <c r="H603" t="n">
        <v>27.2</v>
      </c>
    </row>
    <row r="604">
      <c r="A604" t="n">
        <v>16</v>
      </c>
      <c r="B604" s="7" t="n">
        <v>45461</v>
      </c>
      <c r="C604" t="inlineStr">
        <is>
          <t>A</t>
        </is>
      </c>
      <c r="D604" t="inlineStr">
        <is>
          <t>R3_Optimized</t>
        </is>
      </c>
      <c r="E604" t="inlineStr">
        <is>
          <t>D16_SG01</t>
        </is>
      </c>
      <c r="F604" t="inlineStr">
        <is>
          <t>P0361_3</t>
        </is>
      </c>
      <c r="G604" t="n">
        <v>342.5</v>
      </c>
      <c r="H604" t="n">
        <v>27.29</v>
      </c>
    </row>
    <row r="605">
      <c r="A605" t="n">
        <v>16</v>
      </c>
      <c r="B605" s="7" t="n">
        <v>45461</v>
      </c>
      <c r="C605" t="inlineStr">
        <is>
          <t>A</t>
        </is>
      </c>
      <c r="D605" t="inlineStr">
        <is>
          <t>R3_Optimized</t>
        </is>
      </c>
      <c r="E605" t="inlineStr">
        <is>
          <t>D16_SG01</t>
        </is>
      </c>
      <c r="F605" t="inlineStr">
        <is>
          <t>P0361_4</t>
        </is>
      </c>
      <c r="G605" t="n">
        <v>347.9</v>
      </c>
      <c r="H605" t="n">
        <v>26.84</v>
      </c>
    </row>
    <row r="606">
      <c r="A606" t="n">
        <v>16</v>
      </c>
      <c r="B606" s="7" t="n">
        <v>45461</v>
      </c>
      <c r="C606" t="inlineStr">
        <is>
          <t>A</t>
        </is>
      </c>
      <c r="D606" t="inlineStr">
        <is>
          <t>R3_Optimized</t>
        </is>
      </c>
      <c r="E606" t="inlineStr">
        <is>
          <t>D16_SG01</t>
        </is>
      </c>
      <c r="F606" t="inlineStr">
        <is>
          <t>P0361_5</t>
        </is>
      </c>
      <c r="G606" t="n">
        <v>347.9</v>
      </c>
      <c r="H606" t="n">
        <v>26.12</v>
      </c>
    </row>
    <row r="607">
      <c r="A607" t="n">
        <v>16</v>
      </c>
      <c r="B607" s="7" t="n">
        <v>45461.125</v>
      </c>
      <c r="C607" t="inlineStr">
        <is>
          <t>A</t>
        </is>
      </c>
      <c r="D607" t="inlineStr">
        <is>
          <t>R3_Optimized</t>
        </is>
      </c>
      <c r="E607" t="inlineStr">
        <is>
          <t>D16_SG02</t>
        </is>
      </c>
      <c r="F607" t="inlineStr">
        <is>
          <t>P0364_1</t>
        </is>
      </c>
      <c r="G607" t="n">
        <v>263.6</v>
      </c>
      <c r="H607" t="n">
        <v>26.35</v>
      </c>
    </row>
    <row r="608">
      <c r="A608" t="n">
        <v>16</v>
      </c>
      <c r="B608" s="7" t="n">
        <v>45461.125</v>
      </c>
      <c r="C608" t="inlineStr">
        <is>
          <t>A</t>
        </is>
      </c>
      <c r="D608" t="inlineStr">
        <is>
          <t>R3_Optimized</t>
        </is>
      </c>
      <c r="E608" t="inlineStr">
        <is>
          <t>D16_SG02</t>
        </is>
      </c>
      <c r="F608" t="inlineStr">
        <is>
          <t>P0364_2</t>
        </is>
      </c>
      <c r="G608" t="n">
        <v>284.3</v>
      </c>
      <c r="H608" t="n">
        <v>25.54</v>
      </c>
    </row>
    <row r="609">
      <c r="A609" t="n">
        <v>16</v>
      </c>
      <c r="B609" s="7" t="n">
        <v>45461.125</v>
      </c>
      <c r="C609" t="inlineStr">
        <is>
          <t>A</t>
        </is>
      </c>
      <c r="D609" t="inlineStr">
        <is>
          <t>R3_Optimized</t>
        </is>
      </c>
      <c r="E609" t="inlineStr">
        <is>
          <t>D16_SG02</t>
        </is>
      </c>
      <c r="F609" t="inlineStr">
        <is>
          <t>P0364_3</t>
        </is>
      </c>
      <c r="G609" t="n">
        <v>257.8</v>
      </c>
      <c r="H609" t="n">
        <v>25.43</v>
      </c>
    </row>
    <row r="610">
      <c r="A610" t="n">
        <v>16</v>
      </c>
      <c r="B610" s="7" t="n">
        <v>45461.125</v>
      </c>
      <c r="C610" t="inlineStr">
        <is>
          <t>A</t>
        </is>
      </c>
      <c r="D610" t="inlineStr">
        <is>
          <t>R3_Optimized</t>
        </is>
      </c>
      <c r="E610" t="inlineStr">
        <is>
          <t>D16_SG02</t>
        </is>
      </c>
      <c r="F610" t="inlineStr">
        <is>
          <t>P0364_4</t>
        </is>
      </c>
      <c r="G610" t="n">
        <v>243.4</v>
      </c>
      <c r="H610" t="n">
        <v>25.66</v>
      </c>
    </row>
    <row r="611">
      <c r="A611" t="n">
        <v>16</v>
      </c>
      <c r="B611" s="7" t="n">
        <v>45461.125</v>
      </c>
      <c r="C611" t="inlineStr">
        <is>
          <t>A</t>
        </is>
      </c>
      <c r="D611" t="inlineStr">
        <is>
          <t>R3_Optimized</t>
        </is>
      </c>
      <c r="E611" t="inlineStr">
        <is>
          <t>D16_SG02</t>
        </is>
      </c>
      <c r="F611" t="inlineStr">
        <is>
          <t>P0364_5</t>
        </is>
      </c>
      <c r="G611" t="n">
        <v>256.5</v>
      </c>
      <c r="H611" t="n">
        <v>26.01</v>
      </c>
    </row>
    <row r="612">
      <c r="A612" t="n">
        <v>16</v>
      </c>
      <c r="B612" s="7" t="n">
        <v>45461.25</v>
      </c>
      <c r="C612" t="inlineStr">
        <is>
          <t>A</t>
        </is>
      </c>
      <c r="D612" t="inlineStr">
        <is>
          <t>R3_Optimized</t>
        </is>
      </c>
      <c r="E612" t="inlineStr">
        <is>
          <t>D16_SG03</t>
        </is>
      </c>
      <c r="F612" t="inlineStr">
        <is>
          <t>P0367_1</t>
        </is>
      </c>
      <c r="G612" t="n">
        <v>213.3</v>
      </c>
      <c r="H612" t="n">
        <v>26.67</v>
      </c>
    </row>
    <row r="613">
      <c r="A613" t="n">
        <v>16</v>
      </c>
      <c r="B613" s="7" t="n">
        <v>45461.25</v>
      </c>
      <c r="C613" t="inlineStr">
        <is>
          <t>A</t>
        </is>
      </c>
      <c r="D613" t="inlineStr">
        <is>
          <t>R3_Optimized</t>
        </is>
      </c>
      <c r="E613" t="inlineStr">
        <is>
          <t>D16_SG03</t>
        </is>
      </c>
      <c r="F613" t="inlineStr">
        <is>
          <t>P0367_2</t>
        </is>
      </c>
      <c r="G613" t="n">
        <v>242.5</v>
      </c>
      <c r="H613" t="n">
        <v>26.47</v>
      </c>
    </row>
    <row r="614">
      <c r="A614" t="n">
        <v>16</v>
      </c>
      <c r="B614" s="7" t="n">
        <v>45461.25</v>
      </c>
      <c r="C614" t="inlineStr">
        <is>
          <t>A</t>
        </is>
      </c>
      <c r="D614" t="inlineStr">
        <is>
          <t>R3_Optimized</t>
        </is>
      </c>
      <c r="E614" t="inlineStr">
        <is>
          <t>D16_SG03</t>
        </is>
      </c>
      <c r="F614" t="inlineStr">
        <is>
          <t>P0367_3</t>
        </is>
      </c>
      <c r="G614" t="n">
        <v>206.3</v>
      </c>
      <c r="H614" t="n">
        <v>26.94</v>
      </c>
    </row>
    <row r="615">
      <c r="A615" t="n">
        <v>16</v>
      </c>
      <c r="B615" s="7" t="n">
        <v>45461.25</v>
      </c>
      <c r="C615" t="inlineStr">
        <is>
          <t>A</t>
        </is>
      </c>
      <c r="D615" t="inlineStr">
        <is>
          <t>R3_Optimized</t>
        </is>
      </c>
      <c r="E615" t="inlineStr">
        <is>
          <t>D16_SG03</t>
        </is>
      </c>
      <c r="F615" t="inlineStr">
        <is>
          <t>P0367_4</t>
        </is>
      </c>
      <c r="G615" t="n">
        <v>233.1</v>
      </c>
      <c r="H615" t="n">
        <v>26.25</v>
      </c>
    </row>
    <row r="616">
      <c r="A616" t="n">
        <v>16</v>
      </c>
      <c r="B616" s="7" t="n">
        <v>45461.25</v>
      </c>
      <c r="C616" t="inlineStr">
        <is>
          <t>A</t>
        </is>
      </c>
      <c r="D616" t="inlineStr">
        <is>
          <t>R3_Optimized</t>
        </is>
      </c>
      <c r="E616" t="inlineStr">
        <is>
          <t>D16_SG03</t>
        </is>
      </c>
      <c r="F616" t="inlineStr">
        <is>
          <t>P0367_5</t>
        </is>
      </c>
      <c r="G616" t="n">
        <v>226</v>
      </c>
      <c r="H616" t="n">
        <v>25.48</v>
      </c>
    </row>
    <row r="617">
      <c r="A617" t="n">
        <v>16</v>
      </c>
      <c r="B617" s="7" t="n">
        <v>45461.375</v>
      </c>
      <c r="C617" t="inlineStr">
        <is>
          <t>B</t>
        </is>
      </c>
      <c r="D617" t="inlineStr">
        <is>
          <t>R3_Optimized</t>
        </is>
      </c>
      <c r="E617" t="inlineStr">
        <is>
          <t>D16_SG04</t>
        </is>
      </c>
      <c r="F617" t="inlineStr">
        <is>
          <t>P0370_1</t>
        </is>
      </c>
      <c r="G617" t="n">
        <v>259.3</v>
      </c>
      <c r="H617" t="n">
        <v>26.18</v>
      </c>
    </row>
    <row r="618">
      <c r="A618" t="n">
        <v>16</v>
      </c>
      <c r="B618" s="7" t="n">
        <v>45461.375</v>
      </c>
      <c r="C618" t="inlineStr">
        <is>
          <t>B</t>
        </is>
      </c>
      <c r="D618" t="inlineStr">
        <is>
          <t>R3_Optimized</t>
        </is>
      </c>
      <c r="E618" t="inlineStr">
        <is>
          <t>D16_SG04</t>
        </is>
      </c>
      <c r="F618" t="inlineStr">
        <is>
          <t>P0370_2</t>
        </is>
      </c>
      <c r="G618" t="n">
        <v>259.2</v>
      </c>
      <c r="H618" t="n">
        <v>27.05</v>
      </c>
    </row>
    <row r="619">
      <c r="A619" t="n">
        <v>16</v>
      </c>
      <c r="B619" s="7" t="n">
        <v>45461.375</v>
      </c>
      <c r="C619" t="inlineStr">
        <is>
          <t>B</t>
        </is>
      </c>
      <c r="D619" t="inlineStr">
        <is>
          <t>R3_Optimized</t>
        </is>
      </c>
      <c r="E619" t="inlineStr">
        <is>
          <t>D16_SG04</t>
        </is>
      </c>
      <c r="F619" t="inlineStr">
        <is>
          <t>P0370_3</t>
        </is>
      </c>
      <c r="G619" t="n">
        <v>246.9</v>
      </c>
      <c r="H619" t="n">
        <v>25.64</v>
      </c>
    </row>
    <row r="620">
      <c r="A620" t="n">
        <v>16</v>
      </c>
      <c r="B620" s="7" t="n">
        <v>45461.375</v>
      </c>
      <c r="C620" t="inlineStr">
        <is>
          <t>B</t>
        </is>
      </c>
      <c r="D620" t="inlineStr">
        <is>
          <t>R3_Optimized</t>
        </is>
      </c>
      <c r="E620" t="inlineStr">
        <is>
          <t>D16_SG04</t>
        </is>
      </c>
      <c r="F620" t="inlineStr">
        <is>
          <t>P0370_4</t>
        </is>
      </c>
      <c r="G620" t="n">
        <v>244.5</v>
      </c>
      <c r="H620" t="n">
        <v>26.28</v>
      </c>
    </row>
    <row r="621">
      <c r="A621" t="n">
        <v>16</v>
      </c>
      <c r="B621" s="7" t="n">
        <v>45461.375</v>
      </c>
      <c r="C621" t="inlineStr">
        <is>
          <t>B</t>
        </is>
      </c>
      <c r="D621" t="inlineStr">
        <is>
          <t>R3_Optimized</t>
        </is>
      </c>
      <c r="E621" t="inlineStr">
        <is>
          <t>D16_SG04</t>
        </is>
      </c>
      <c r="F621" t="inlineStr">
        <is>
          <t>P0370_5</t>
        </is>
      </c>
      <c r="G621" t="n">
        <v>277.1</v>
      </c>
      <c r="H621" t="n">
        <v>26.15</v>
      </c>
    </row>
    <row r="622">
      <c r="A622" t="n">
        <v>16</v>
      </c>
      <c r="B622" s="7" t="n">
        <v>45461.54166666666</v>
      </c>
      <c r="C622" t="inlineStr">
        <is>
          <t>B</t>
        </is>
      </c>
      <c r="D622" t="inlineStr">
        <is>
          <t>R3_Optimized</t>
        </is>
      </c>
      <c r="E622" t="inlineStr">
        <is>
          <t>D16_SG05</t>
        </is>
      </c>
      <c r="F622" t="inlineStr">
        <is>
          <t>P0374_1</t>
        </is>
      </c>
      <c r="G622" t="n">
        <v>200.2</v>
      </c>
      <c r="H622" t="n">
        <v>26.77</v>
      </c>
    </row>
    <row r="623">
      <c r="A623" t="n">
        <v>16</v>
      </c>
      <c r="B623" s="7" t="n">
        <v>45461.54166666666</v>
      </c>
      <c r="C623" t="inlineStr">
        <is>
          <t>B</t>
        </is>
      </c>
      <c r="D623" t="inlineStr">
        <is>
          <t>R3_Optimized</t>
        </is>
      </c>
      <c r="E623" t="inlineStr">
        <is>
          <t>D16_SG05</t>
        </is>
      </c>
      <c r="F623" t="inlineStr">
        <is>
          <t>P0374_2</t>
        </is>
      </c>
      <c r="G623" t="n">
        <v>210.5</v>
      </c>
      <c r="H623" t="n">
        <v>26.04</v>
      </c>
    </row>
    <row r="624">
      <c r="A624" t="n">
        <v>16</v>
      </c>
      <c r="B624" s="7" t="n">
        <v>45461.54166666666</v>
      </c>
      <c r="C624" t="inlineStr">
        <is>
          <t>B</t>
        </is>
      </c>
      <c r="D624" t="inlineStr">
        <is>
          <t>R3_Optimized</t>
        </is>
      </c>
      <c r="E624" t="inlineStr">
        <is>
          <t>D16_SG05</t>
        </is>
      </c>
      <c r="F624" t="inlineStr">
        <is>
          <t>P0374_3</t>
        </is>
      </c>
      <c r="G624" t="n">
        <v>206.5</v>
      </c>
      <c r="H624" t="n">
        <v>26.76</v>
      </c>
    </row>
    <row r="625">
      <c r="A625" t="n">
        <v>16</v>
      </c>
      <c r="B625" s="7" t="n">
        <v>45461.54166666666</v>
      </c>
      <c r="C625" t="inlineStr">
        <is>
          <t>B</t>
        </is>
      </c>
      <c r="D625" t="inlineStr">
        <is>
          <t>R3_Optimized</t>
        </is>
      </c>
      <c r="E625" t="inlineStr">
        <is>
          <t>D16_SG05</t>
        </is>
      </c>
      <c r="F625" t="inlineStr">
        <is>
          <t>P0374_4</t>
        </is>
      </c>
      <c r="G625" t="n">
        <v>224.9</v>
      </c>
      <c r="H625" t="n">
        <v>26</v>
      </c>
    </row>
    <row r="626">
      <c r="A626" t="n">
        <v>16</v>
      </c>
      <c r="B626" s="7" t="n">
        <v>45461.54166666666</v>
      </c>
      <c r="C626" t="inlineStr">
        <is>
          <t>B</t>
        </is>
      </c>
      <c r="D626" t="inlineStr">
        <is>
          <t>R3_Optimized</t>
        </is>
      </c>
      <c r="E626" t="inlineStr">
        <is>
          <t>D16_SG05</t>
        </is>
      </c>
      <c r="F626" t="inlineStr">
        <is>
          <t>P0374_5</t>
        </is>
      </c>
      <c r="G626" t="n">
        <v>210.8</v>
      </c>
      <c r="H626" t="n">
        <v>26.1</v>
      </c>
    </row>
    <row r="627">
      <c r="A627" t="n">
        <v>16</v>
      </c>
      <c r="B627" s="7" t="n">
        <v>45461.66666666666</v>
      </c>
      <c r="C627" t="inlineStr">
        <is>
          <t>C</t>
        </is>
      </c>
      <c r="D627" t="inlineStr">
        <is>
          <t>R3_Optimized</t>
        </is>
      </c>
      <c r="E627" t="inlineStr">
        <is>
          <t>D16_SG06</t>
        </is>
      </c>
      <c r="F627" t="inlineStr">
        <is>
          <t>P0377_1</t>
        </is>
      </c>
      <c r="G627" t="n">
        <v>257.4</v>
      </c>
      <c r="H627" t="n">
        <v>27.95</v>
      </c>
    </row>
    <row r="628">
      <c r="A628" t="n">
        <v>16</v>
      </c>
      <c r="B628" s="7" t="n">
        <v>45461.66666666666</v>
      </c>
      <c r="C628" t="inlineStr">
        <is>
          <t>C</t>
        </is>
      </c>
      <c r="D628" t="inlineStr">
        <is>
          <t>R3_Optimized</t>
        </is>
      </c>
      <c r="E628" t="inlineStr">
        <is>
          <t>D16_SG06</t>
        </is>
      </c>
      <c r="F628" t="inlineStr">
        <is>
          <t>P0377_2</t>
        </is>
      </c>
      <c r="G628" t="n">
        <v>241.2</v>
      </c>
      <c r="H628" t="n">
        <v>27.81</v>
      </c>
    </row>
    <row r="629">
      <c r="A629" t="n">
        <v>16</v>
      </c>
      <c r="B629" s="7" t="n">
        <v>45461.66666666666</v>
      </c>
      <c r="C629" t="inlineStr">
        <is>
          <t>C</t>
        </is>
      </c>
      <c r="D629" t="inlineStr">
        <is>
          <t>R3_Optimized</t>
        </is>
      </c>
      <c r="E629" t="inlineStr">
        <is>
          <t>D16_SG06</t>
        </is>
      </c>
      <c r="F629" t="inlineStr">
        <is>
          <t>P0377_3</t>
        </is>
      </c>
      <c r="G629" t="n">
        <v>250.5</v>
      </c>
      <c r="H629" t="n">
        <v>27.38</v>
      </c>
    </row>
    <row r="630">
      <c r="A630" t="n">
        <v>16</v>
      </c>
      <c r="B630" s="7" t="n">
        <v>45461.66666666666</v>
      </c>
      <c r="C630" t="inlineStr">
        <is>
          <t>C</t>
        </is>
      </c>
      <c r="D630" t="inlineStr">
        <is>
          <t>R3_Optimized</t>
        </is>
      </c>
      <c r="E630" t="inlineStr">
        <is>
          <t>D16_SG06</t>
        </is>
      </c>
      <c r="F630" t="inlineStr">
        <is>
          <t>P0377_4</t>
        </is>
      </c>
      <c r="G630" t="n">
        <v>226.5</v>
      </c>
      <c r="H630" t="n">
        <v>27.29</v>
      </c>
    </row>
    <row r="631">
      <c r="A631" t="n">
        <v>16</v>
      </c>
      <c r="B631" s="7" t="n">
        <v>45461.66666666666</v>
      </c>
      <c r="C631" t="inlineStr">
        <is>
          <t>C</t>
        </is>
      </c>
      <c r="D631" t="inlineStr">
        <is>
          <t>R3_Optimized</t>
        </is>
      </c>
      <c r="E631" t="inlineStr">
        <is>
          <t>D16_SG06</t>
        </is>
      </c>
      <c r="F631" t="inlineStr">
        <is>
          <t>P0377_5</t>
        </is>
      </c>
      <c r="G631" t="n">
        <v>265.2</v>
      </c>
      <c r="H631" t="n">
        <v>28.38</v>
      </c>
    </row>
    <row r="632">
      <c r="A632" t="n">
        <v>16</v>
      </c>
      <c r="B632" s="7" t="n">
        <v>45461.79166666666</v>
      </c>
      <c r="C632" t="inlineStr">
        <is>
          <t>C</t>
        </is>
      </c>
      <c r="D632" t="inlineStr">
        <is>
          <t>R3_Optimized</t>
        </is>
      </c>
      <c r="E632" t="inlineStr">
        <is>
          <t>D16_SG07</t>
        </is>
      </c>
      <c r="F632" t="inlineStr">
        <is>
          <t>P0380_1</t>
        </is>
      </c>
      <c r="G632" t="n">
        <v>227.2</v>
      </c>
    </row>
    <row r="633">
      <c r="A633" t="n">
        <v>16</v>
      </c>
      <c r="B633" s="7" t="n">
        <v>45461.79166666666</v>
      </c>
      <c r="C633" t="inlineStr">
        <is>
          <t>C</t>
        </is>
      </c>
      <c r="D633" t="inlineStr">
        <is>
          <t>R3_Optimized</t>
        </is>
      </c>
      <c r="E633" t="inlineStr">
        <is>
          <t>D16_SG07</t>
        </is>
      </c>
      <c r="F633" t="inlineStr">
        <is>
          <t>P0380_2</t>
        </is>
      </c>
      <c r="G633" t="n">
        <v>241.8</v>
      </c>
    </row>
    <row r="634">
      <c r="A634" t="n">
        <v>16</v>
      </c>
      <c r="B634" s="7" t="n">
        <v>45461.79166666666</v>
      </c>
      <c r="C634" t="inlineStr">
        <is>
          <t>C</t>
        </is>
      </c>
      <c r="D634" t="inlineStr">
        <is>
          <t>R3_Optimized</t>
        </is>
      </c>
      <c r="E634" t="inlineStr">
        <is>
          <t>D16_SG07</t>
        </is>
      </c>
      <c r="F634" t="inlineStr">
        <is>
          <t>P0380_3</t>
        </is>
      </c>
      <c r="G634" t="n">
        <v>238.3</v>
      </c>
    </row>
    <row r="635">
      <c r="A635" t="n">
        <v>16</v>
      </c>
      <c r="B635" s="7" t="n">
        <v>45461.79166666666</v>
      </c>
      <c r="C635" t="inlineStr">
        <is>
          <t>C</t>
        </is>
      </c>
      <c r="D635" t="inlineStr">
        <is>
          <t>R3_Optimized</t>
        </is>
      </c>
      <c r="E635" t="inlineStr">
        <is>
          <t>D16_SG07</t>
        </is>
      </c>
      <c r="F635" t="inlineStr">
        <is>
          <t>P0380_4</t>
        </is>
      </c>
      <c r="G635" t="n">
        <v>238.3</v>
      </c>
    </row>
    <row r="636">
      <c r="A636" t="n">
        <v>16</v>
      </c>
      <c r="B636" s="7" t="n">
        <v>45461.79166666666</v>
      </c>
      <c r="C636" t="inlineStr">
        <is>
          <t>C</t>
        </is>
      </c>
      <c r="D636" t="inlineStr">
        <is>
          <t>R3_Optimized</t>
        </is>
      </c>
      <c r="E636" t="inlineStr">
        <is>
          <t>D16_SG07</t>
        </is>
      </c>
      <c r="F636" t="inlineStr">
        <is>
          <t>P0380_5</t>
        </is>
      </c>
      <c r="G636" t="n">
        <v>237.4</v>
      </c>
    </row>
    <row r="637">
      <c r="A637" t="n">
        <v>16</v>
      </c>
      <c r="B637" s="7" t="n">
        <v>45461.95833333334</v>
      </c>
      <c r="C637" t="inlineStr">
        <is>
          <t>C</t>
        </is>
      </c>
      <c r="D637" t="inlineStr">
        <is>
          <t>R3_Optimized</t>
        </is>
      </c>
      <c r="E637" t="inlineStr">
        <is>
          <t>D16_SG08</t>
        </is>
      </c>
      <c r="F637" t="inlineStr">
        <is>
          <t>P0384_1</t>
        </is>
      </c>
      <c r="G637" t="n">
        <v>216.7</v>
      </c>
      <c r="H637" t="n">
        <v>25.91</v>
      </c>
    </row>
    <row r="638">
      <c r="A638" t="n">
        <v>16</v>
      </c>
      <c r="B638" s="7" t="n">
        <v>45461.95833333334</v>
      </c>
      <c r="C638" t="inlineStr">
        <is>
          <t>C</t>
        </is>
      </c>
      <c r="D638" t="inlineStr">
        <is>
          <t>R3_Optimized</t>
        </is>
      </c>
      <c r="E638" t="inlineStr">
        <is>
          <t>D16_SG08</t>
        </is>
      </c>
      <c r="F638" t="inlineStr">
        <is>
          <t>P0384_2</t>
        </is>
      </c>
      <c r="G638" t="n">
        <v>227.9</v>
      </c>
      <c r="H638" t="n">
        <v>26.24</v>
      </c>
    </row>
    <row r="639">
      <c r="A639" t="n">
        <v>16</v>
      </c>
      <c r="B639" s="7" t="n">
        <v>45461.95833333334</v>
      </c>
      <c r="C639" t="inlineStr">
        <is>
          <t>C</t>
        </is>
      </c>
      <c r="D639" t="inlineStr">
        <is>
          <t>R3_Optimized</t>
        </is>
      </c>
      <c r="E639" t="inlineStr">
        <is>
          <t>D16_SG08</t>
        </is>
      </c>
      <c r="F639" t="inlineStr">
        <is>
          <t>P0384_3</t>
        </is>
      </c>
      <c r="G639" t="n">
        <v>230.3</v>
      </c>
      <c r="H639" t="n">
        <v>26.4</v>
      </c>
    </row>
    <row r="640">
      <c r="A640" t="n">
        <v>16</v>
      </c>
      <c r="B640" s="7" t="n">
        <v>45461.95833333334</v>
      </c>
      <c r="C640" t="inlineStr">
        <is>
          <t>C</t>
        </is>
      </c>
      <c r="D640" t="inlineStr">
        <is>
          <t>R3_Optimized</t>
        </is>
      </c>
      <c r="E640" t="inlineStr">
        <is>
          <t>D16_SG08</t>
        </is>
      </c>
      <c r="F640" t="inlineStr">
        <is>
          <t>P0384_4</t>
        </is>
      </c>
      <c r="G640" t="n">
        <v>212.7</v>
      </c>
      <c r="H640" t="n">
        <v>25.84</v>
      </c>
    </row>
    <row r="641">
      <c r="A641" t="n">
        <v>16</v>
      </c>
      <c r="B641" s="7" t="n">
        <v>45461.95833333334</v>
      </c>
      <c r="C641" t="inlineStr">
        <is>
          <t>C</t>
        </is>
      </c>
      <c r="D641" t="inlineStr">
        <is>
          <t>R3_Optimized</t>
        </is>
      </c>
      <c r="E641" t="inlineStr">
        <is>
          <t>D16_SG08</t>
        </is>
      </c>
      <c r="F641" t="inlineStr">
        <is>
          <t>P0384_5</t>
        </is>
      </c>
      <c r="G641" t="n">
        <v>227.7</v>
      </c>
      <c r="H641" t="n">
        <v>25.43</v>
      </c>
    </row>
    <row r="642">
      <c r="A642" t="n">
        <v>17</v>
      </c>
      <c r="B642" s="7" t="n">
        <v>45462</v>
      </c>
      <c r="C642" t="inlineStr">
        <is>
          <t>A</t>
        </is>
      </c>
      <c r="D642" t="inlineStr">
        <is>
          <t>R3_Optimized</t>
        </is>
      </c>
      <c r="E642" t="inlineStr">
        <is>
          <t>D17_SG01</t>
        </is>
      </c>
      <c r="F642" t="inlineStr">
        <is>
          <t>P0385_1</t>
        </is>
      </c>
      <c r="G642" t="n">
        <v>219.7</v>
      </c>
      <c r="H642" t="n">
        <v>28.29</v>
      </c>
    </row>
    <row r="643">
      <c r="A643" t="n">
        <v>17</v>
      </c>
      <c r="B643" s="7" t="n">
        <v>45462</v>
      </c>
      <c r="C643" t="inlineStr">
        <is>
          <t>A</t>
        </is>
      </c>
      <c r="D643" t="inlineStr">
        <is>
          <t>R3_Optimized</t>
        </is>
      </c>
      <c r="E643" t="inlineStr">
        <is>
          <t>D17_SG01</t>
        </is>
      </c>
      <c r="F643" t="inlineStr">
        <is>
          <t>P0385_2</t>
        </is>
      </c>
      <c r="G643" t="n">
        <v>203.7</v>
      </c>
      <c r="H643" t="n">
        <v>28.21</v>
      </c>
    </row>
    <row r="644">
      <c r="A644" t="n">
        <v>17</v>
      </c>
      <c r="B644" s="7" t="n">
        <v>45462</v>
      </c>
      <c r="C644" t="inlineStr">
        <is>
          <t>A</t>
        </is>
      </c>
      <c r="D644" t="inlineStr">
        <is>
          <t>R3_Optimized</t>
        </is>
      </c>
      <c r="E644" t="inlineStr">
        <is>
          <t>D17_SG01</t>
        </is>
      </c>
      <c r="F644" t="inlineStr">
        <is>
          <t>P0385_3</t>
        </is>
      </c>
      <c r="G644" t="n">
        <v>214.2</v>
      </c>
      <c r="H644" t="n">
        <v>27.39</v>
      </c>
    </row>
    <row r="645">
      <c r="A645" t="n">
        <v>17</v>
      </c>
      <c r="B645" s="7" t="n">
        <v>45462</v>
      </c>
      <c r="C645" t="inlineStr">
        <is>
          <t>A</t>
        </is>
      </c>
      <c r="D645" t="inlineStr">
        <is>
          <t>R3_Optimized</t>
        </is>
      </c>
      <c r="E645" t="inlineStr">
        <is>
          <t>D17_SG01</t>
        </is>
      </c>
      <c r="F645" t="inlineStr">
        <is>
          <t>P0385_4</t>
        </is>
      </c>
      <c r="G645" t="n">
        <v>230.8</v>
      </c>
      <c r="H645" t="n">
        <v>28.73</v>
      </c>
    </row>
    <row r="646">
      <c r="A646" t="n">
        <v>17</v>
      </c>
      <c r="B646" s="7" t="n">
        <v>45462</v>
      </c>
      <c r="C646" t="inlineStr">
        <is>
          <t>A</t>
        </is>
      </c>
      <c r="D646" t="inlineStr">
        <is>
          <t>R3_Optimized</t>
        </is>
      </c>
      <c r="E646" t="inlineStr">
        <is>
          <t>D17_SG01</t>
        </is>
      </c>
      <c r="F646" t="inlineStr">
        <is>
          <t>P0385_5</t>
        </is>
      </c>
      <c r="G646" t="n">
        <v>215.2</v>
      </c>
      <c r="H646" t="n">
        <v>27.91</v>
      </c>
    </row>
    <row r="647">
      <c r="A647" t="n">
        <v>17</v>
      </c>
      <c r="B647" s="7" t="n">
        <v>45462.125</v>
      </c>
      <c r="C647" t="inlineStr">
        <is>
          <t>A</t>
        </is>
      </c>
      <c r="D647" t="inlineStr">
        <is>
          <t>R3_Optimized</t>
        </is>
      </c>
      <c r="E647" t="inlineStr">
        <is>
          <t>D17_SG02</t>
        </is>
      </c>
      <c r="F647" t="inlineStr">
        <is>
          <t>P0388_1</t>
        </is>
      </c>
      <c r="G647" t="n">
        <v>215.4</v>
      </c>
      <c r="H647" t="n">
        <v>27.55</v>
      </c>
    </row>
    <row r="648">
      <c r="A648" t="n">
        <v>17</v>
      </c>
      <c r="B648" s="7" t="n">
        <v>45462.125</v>
      </c>
      <c r="C648" t="inlineStr">
        <is>
          <t>A</t>
        </is>
      </c>
      <c r="D648" t="inlineStr">
        <is>
          <t>R3_Optimized</t>
        </is>
      </c>
      <c r="E648" t="inlineStr">
        <is>
          <t>D17_SG02</t>
        </is>
      </c>
      <c r="F648" t="inlineStr">
        <is>
          <t>P0388_2</t>
        </is>
      </c>
      <c r="G648" t="n">
        <v>201.9</v>
      </c>
      <c r="H648" t="n">
        <v>27.62</v>
      </c>
    </row>
    <row r="649">
      <c r="A649" t="n">
        <v>17</v>
      </c>
      <c r="B649" s="7" t="n">
        <v>45462.125</v>
      </c>
      <c r="C649" t="inlineStr">
        <is>
          <t>A</t>
        </is>
      </c>
      <c r="D649" t="inlineStr">
        <is>
          <t>R3_Optimized</t>
        </is>
      </c>
      <c r="E649" t="inlineStr">
        <is>
          <t>D17_SG02</t>
        </is>
      </c>
      <c r="F649" t="inlineStr">
        <is>
          <t>P0388_3</t>
        </is>
      </c>
      <c r="G649" t="n">
        <v>193.9</v>
      </c>
      <c r="H649" t="n">
        <v>28.14</v>
      </c>
    </row>
    <row r="650">
      <c r="A650" t="n">
        <v>17</v>
      </c>
      <c r="B650" s="7" t="n">
        <v>45462.125</v>
      </c>
      <c r="C650" t="inlineStr">
        <is>
          <t>A</t>
        </is>
      </c>
      <c r="D650" t="inlineStr">
        <is>
          <t>R3_Optimized</t>
        </is>
      </c>
      <c r="E650" t="inlineStr">
        <is>
          <t>D17_SG02</t>
        </is>
      </c>
      <c r="F650" t="inlineStr">
        <is>
          <t>P0388_4</t>
        </is>
      </c>
      <c r="G650" t="n">
        <v>208.4</v>
      </c>
      <c r="H650" t="n">
        <v>27.59</v>
      </c>
    </row>
    <row r="651">
      <c r="A651" t="n">
        <v>17</v>
      </c>
      <c r="B651" s="7" t="n">
        <v>45462.125</v>
      </c>
      <c r="C651" t="inlineStr">
        <is>
          <t>A</t>
        </is>
      </c>
      <c r="D651" t="inlineStr">
        <is>
          <t>R3_Optimized</t>
        </is>
      </c>
      <c r="E651" t="inlineStr">
        <is>
          <t>D17_SG02</t>
        </is>
      </c>
      <c r="F651" t="inlineStr">
        <is>
          <t>P0388_5</t>
        </is>
      </c>
      <c r="G651" t="n">
        <v>200.8</v>
      </c>
      <c r="H651" t="n">
        <v>27.77</v>
      </c>
    </row>
    <row r="652">
      <c r="A652" t="n">
        <v>17</v>
      </c>
      <c r="B652" s="7" t="n">
        <v>45462.25</v>
      </c>
      <c r="C652" t="inlineStr">
        <is>
          <t>A</t>
        </is>
      </c>
      <c r="D652" t="inlineStr">
        <is>
          <t>R3_Optimized</t>
        </is>
      </c>
      <c r="E652" t="inlineStr">
        <is>
          <t>D17_SG03</t>
        </is>
      </c>
      <c r="F652" t="inlineStr">
        <is>
          <t>P0391_1</t>
        </is>
      </c>
      <c r="G652" t="n">
        <v>174.8</v>
      </c>
      <c r="H652" t="n">
        <v>31.58</v>
      </c>
    </row>
    <row r="653">
      <c r="A653" t="n">
        <v>17</v>
      </c>
      <c r="B653" s="7" t="n">
        <v>45462.25</v>
      </c>
      <c r="C653" t="inlineStr">
        <is>
          <t>A</t>
        </is>
      </c>
      <c r="D653" t="inlineStr">
        <is>
          <t>R3_Optimized</t>
        </is>
      </c>
      <c r="E653" t="inlineStr">
        <is>
          <t>D17_SG03</t>
        </is>
      </c>
      <c r="F653" t="inlineStr">
        <is>
          <t>P0391_2</t>
        </is>
      </c>
      <c r="G653" t="n">
        <v>177.6</v>
      </c>
      <c r="H653" t="n">
        <v>31.08</v>
      </c>
    </row>
    <row r="654">
      <c r="A654" t="n">
        <v>17</v>
      </c>
      <c r="B654" s="7" t="n">
        <v>45462.25</v>
      </c>
      <c r="C654" t="inlineStr">
        <is>
          <t>A</t>
        </is>
      </c>
      <c r="D654" t="inlineStr">
        <is>
          <t>R3_Optimized</t>
        </is>
      </c>
      <c r="E654" t="inlineStr">
        <is>
          <t>D17_SG03</t>
        </is>
      </c>
      <c r="F654" t="inlineStr">
        <is>
          <t>P0391_3</t>
        </is>
      </c>
      <c r="G654" t="n">
        <v>167.5</v>
      </c>
      <c r="H654" t="n">
        <v>30.17</v>
      </c>
    </row>
    <row r="655">
      <c r="A655" t="n">
        <v>17</v>
      </c>
      <c r="B655" s="7" t="n">
        <v>45462.25</v>
      </c>
      <c r="C655" t="inlineStr">
        <is>
          <t>A</t>
        </is>
      </c>
      <c r="D655" t="inlineStr">
        <is>
          <t>R3_Optimized</t>
        </is>
      </c>
      <c r="E655" t="inlineStr">
        <is>
          <t>D17_SG03</t>
        </is>
      </c>
      <c r="F655" t="inlineStr">
        <is>
          <t>P0391_4</t>
        </is>
      </c>
      <c r="G655" t="n">
        <v>178</v>
      </c>
      <c r="H655" t="n">
        <v>30.25</v>
      </c>
    </row>
    <row r="656">
      <c r="A656" t="n">
        <v>17</v>
      </c>
      <c r="B656" s="7" t="n">
        <v>45462.25</v>
      </c>
      <c r="C656" t="inlineStr">
        <is>
          <t>A</t>
        </is>
      </c>
      <c r="D656" t="inlineStr">
        <is>
          <t>R3_Optimized</t>
        </is>
      </c>
      <c r="E656" t="inlineStr">
        <is>
          <t>D17_SG03</t>
        </is>
      </c>
      <c r="F656" t="inlineStr">
        <is>
          <t>P0391_5</t>
        </is>
      </c>
      <c r="G656" t="n">
        <v>177.4</v>
      </c>
      <c r="H656" t="n">
        <v>30.27</v>
      </c>
    </row>
    <row r="657">
      <c r="A657" t="n">
        <v>17</v>
      </c>
      <c r="B657" s="7" t="n">
        <v>45462.375</v>
      </c>
      <c r="C657" t="inlineStr">
        <is>
          <t>B</t>
        </is>
      </c>
      <c r="D657" t="inlineStr">
        <is>
          <t>R3_Optimized</t>
        </is>
      </c>
      <c r="E657" t="inlineStr">
        <is>
          <t>D17_SG04</t>
        </is>
      </c>
      <c r="F657" t="inlineStr">
        <is>
          <t>P0394_1</t>
        </is>
      </c>
      <c r="G657" t="n">
        <v>226.7</v>
      </c>
      <c r="H657" t="n">
        <v>29.29</v>
      </c>
    </row>
    <row r="658">
      <c r="A658" t="n">
        <v>17</v>
      </c>
      <c r="B658" s="7" t="n">
        <v>45462.375</v>
      </c>
      <c r="C658" t="inlineStr">
        <is>
          <t>B</t>
        </is>
      </c>
      <c r="D658" t="inlineStr">
        <is>
          <t>R3_Optimized</t>
        </is>
      </c>
      <c r="E658" t="inlineStr">
        <is>
          <t>D17_SG04</t>
        </is>
      </c>
      <c r="F658" t="inlineStr">
        <is>
          <t>P0394_2</t>
        </is>
      </c>
      <c r="G658" t="n">
        <v>220.9</v>
      </c>
      <c r="H658" t="n">
        <v>28.53</v>
      </c>
    </row>
    <row r="659">
      <c r="A659" t="n">
        <v>17</v>
      </c>
      <c r="B659" s="7" t="n">
        <v>45462.375</v>
      </c>
      <c r="C659" t="inlineStr">
        <is>
          <t>B</t>
        </is>
      </c>
      <c r="D659" t="inlineStr">
        <is>
          <t>R3_Optimized</t>
        </is>
      </c>
      <c r="E659" t="inlineStr">
        <is>
          <t>D17_SG04</t>
        </is>
      </c>
      <c r="F659" t="inlineStr">
        <is>
          <t>P0394_3</t>
        </is>
      </c>
      <c r="G659" t="n">
        <v>236.3</v>
      </c>
      <c r="H659" t="n">
        <v>28.3</v>
      </c>
    </row>
    <row r="660">
      <c r="A660" t="n">
        <v>17</v>
      </c>
      <c r="B660" s="7" t="n">
        <v>45462.375</v>
      </c>
      <c r="C660" t="inlineStr">
        <is>
          <t>B</t>
        </is>
      </c>
      <c r="D660" t="inlineStr">
        <is>
          <t>R3_Optimized</t>
        </is>
      </c>
      <c r="E660" t="inlineStr">
        <is>
          <t>D17_SG04</t>
        </is>
      </c>
      <c r="F660" t="inlineStr">
        <is>
          <t>P0394_4</t>
        </is>
      </c>
      <c r="G660" t="n">
        <v>239.1</v>
      </c>
      <c r="H660" t="n">
        <v>28.67</v>
      </c>
    </row>
    <row r="661">
      <c r="A661" t="n">
        <v>17</v>
      </c>
      <c r="B661" s="7" t="n">
        <v>45462.375</v>
      </c>
      <c r="C661" t="inlineStr">
        <is>
          <t>B</t>
        </is>
      </c>
      <c r="D661" t="inlineStr">
        <is>
          <t>R3_Optimized</t>
        </is>
      </c>
      <c r="E661" t="inlineStr">
        <is>
          <t>D17_SG04</t>
        </is>
      </c>
      <c r="F661" t="inlineStr">
        <is>
          <t>P0394_5</t>
        </is>
      </c>
      <c r="G661" t="n">
        <v>227.5</v>
      </c>
      <c r="H661" t="n">
        <v>27.72</v>
      </c>
    </row>
    <row r="662">
      <c r="A662" t="n">
        <v>17</v>
      </c>
      <c r="B662" s="7" t="n">
        <v>45462.54166666666</v>
      </c>
      <c r="C662" t="inlineStr">
        <is>
          <t>B</t>
        </is>
      </c>
      <c r="D662" t="inlineStr">
        <is>
          <t>R3_Optimized</t>
        </is>
      </c>
      <c r="E662" t="inlineStr">
        <is>
          <t>D17_SG05</t>
        </is>
      </c>
      <c r="F662" t="inlineStr">
        <is>
          <t>P0398_1</t>
        </is>
      </c>
      <c r="G662" t="n">
        <v>242.7</v>
      </c>
      <c r="H662" t="n">
        <v>25.32</v>
      </c>
    </row>
    <row r="663">
      <c r="A663" t="n">
        <v>17</v>
      </c>
      <c r="B663" s="7" t="n">
        <v>45462.54166666666</v>
      </c>
      <c r="C663" t="inlineStr">
        <is>
          <t>B</t>
        </is>
      </c>
      <c r="D663" t="inlineStr">
        <is>
          <t>R3_Optimized</t>
        </is>
      </c>
      <c r="E663" t="inlineStr">
        <is>
          <t>D17_SG05</t>
        </is>
      </c>
      <c r="F663" t="inlineStr">
        <is>
          <t>P0398_2</t>
        </is>
      </c>
      <c r="G663" t="n">
        <v>269.2</v>
      </c>
      <c r="H663" t="n">
        <v>25.69</v>
      </c>
    </row>
    <row r="664">
      <c r="A664" t="n">
        <v>17</v>
      </c>
      <c r="B664" s="7" t="n">
        <v>45462.54166666666</v>
      </c>
      <c r="C664" t="inlineStr">
        <is>
          <t>B</t>
        </is>
      </c>
      <c r="D664" t="inlineStr">
        <is>
          <t>R3_Optimized</t>
        </is>
      </c>
      <c r="E664" t="inlineStr">
        <is>
          <t>D17_SG05</t>
        </is>
      </c>
      <c r="F664" t="inlineStr">
        <is>
          <t>P0398_3</t>
        </is>
      </c>
      <c r="G664" t="n">
        <v>225.2</v>
      </c>
      <c r="H664" t="n">
        <v>25.19</v>
      </c>
    </row>
    <row r="665">
      <c r="A665" t="n">
        <v>17</v>
      </c>
      <c r="B665" s="7" t="n">
        <v>45462.54166666666</v>
      </c>
      <c r="C665" t="inlineStr">
        <is>
          <t>B</t>
        </is>
      </c>
      <c r="D665" t="inlineStr">
        <is>
          <t>R3_Optimized</t>
        </is>
      </c>
      <c r="E665" t="inlineStr">
        <is>
          <t>D17_SG05</t>
        </is>
      </c>
      <c r="F665" t="inlineStr">
        <is>
          <t>P0398_4</t>
        </is>
      </c>
      <c r="G665" t="n">
        <v>243.6</v>
      </c>
      <c r="H665" t="n">
        <v>25.84</v>
      </c>
    </row>
    <row r="666">
      <c r="A666" t="n">
        <v>17</v>
      </c>
      <c r="B666" s="7" t="n">
        <v>45462.54166666666</v>
      </c>
      <c r="C666" t="inlineStr">
        <is>
          <t>B</t>
        </is>
      </c>
      <c r="D666" t="inlineStr">
        <is>
          <t>R3_Optimized</t>
        </is>
      </c>
      <c r="E666" t="inlineStr">
        <is>
          <t>D17_SG05</t>
        </is>
      </c>
      <c r="F666" t="inlineStr">
        <is>
          <t>P0398_5</t>
        </is>
      </c>
      <c r="G666" t="n">
        <v>245</v>
      </c>
      <c r="H666" t="n">
        <v>25.72</v>
      </c>
    </row>
    <row r="667">
      <c r="A667" t="n">
        <v>17</v>
      </c>
      <c r="B667" s="7" t="n">
        <v>45462.66666666666</v>
      </c>
      <c r="C667" t="inlineStr">
        <is>
          <t>C</t>
        </is>
      </c>
      <c r="D667" t="inlineStr">
        <is>
          <t>R3_Optimized</t>
        </is>
      </c>
      <c r="E667" t="inlineStr">
        <is>
          <t>D17_SG06</t>
        </is>
      </c>
      <c r="F667" t="inlineStr">
        <is>
          <t>P0401_1</t>
        </is>
      </c>
      <c r="G667" t="n">
        <v>194.7</v>
      </c>
      <c r="H667" t="n">
        <v>26.03</v>
      </c>
    </row>
    <row r="668">
      <c r="A668" t="n">
        <v>17</v>
      </c>
      <c r="B668" s="7" t="n">
        <v>45462.66666666666</v>
      </c>
      <c r="C668" t="inlineStr">
        <is>
          <t>C</t>
        </is>
      </c>
      <c r="D668" t="inlineStr">
        <is>
          <t>R3_Optimized</t>
        </is>
      </c>
      <c r="E668" t="inlineStr">
        <is>
          <t>D17_SG06</t>
        </is>
      </c>
      <c r="F668" t="inlineStr">
        <is>
          <t>P0401_2</t>
        </is>
      </c>
      <c r="G668" t="n">
        <v>181.9</v>
      </c>
      <c r="H668" t="n">
        <v>25.88</v>
      </c>
    </row>
    <row r="669">
      <c r="A669" t="n">
        <v>17</v>
      </c>
      <c r="B669" s="7" t="n">
        <v>45462.66666666666</v>
      </c>
      <c r="C669" t="inlineStr">
        <is>
          <t>C</t>
        </is>
      </c>
      <c r="D669" t="inlineStr">
        <is>
          <t>R3_Optimized</t>
        </is>
      </c>
      <c r="E669" t="inlineStr">
        <is>
          <t>D17_SG06</t>
        </is>
      </c>
      <c r="F669" t="inlineStr">
        <is>
          <t>P0401_3</t>
        </is>
      </c>
      <c r="G669" t="n">
        <v>197.1</v>
      </c>
      <c r="H669" t="n">
        <v>25.81</v>
      </c>
    </row>
    <row r="670">
      <c r="A670" t="n">
        <v>17</v>
      </c>
      <c r="B670" s="7" t="n">
        <v>45462.66666666666</v>
      </c>
      <c r="C670" t="inlineStr">
        <is>
          <t>C</t>
        </is>
      </c>
      <c r="D670" t="inlineStr">
        <is>
          <t>R3_Optimized</t>
        </is>
      </c>
      <c r="E670" t="inlineStr">
        <is>
          <t>D17_SG06</t>
        </is>
      </c>
      <c r="F670" t="inlineStr">
        <is>
          <t>P0401_4</t>
        </is>
      </c>
      <c r="G670" t="n">
        <v>191.2</v>
      </c>
      <c r="H670" t="n">
        <v>25.2</v>
      </c>
    </row>
    <row r="671">
      <c r="A671" t="n">
        <v>17</v>
      </c>
      <c r="B671" s="7" t="n">
        <v>45462.66666666666</v>
      </c>
      <c r="C671" t="inlineStr">
        <is>
          <t>C</t>
        </is>
      </c>
      <c r="D671" t="inlineStr">
        <is>
          <t>R3_Optimized</t>
        </is>
      </c>
      <c r="E671" t="inlineStr">
        <is>
          <t>D17_SG06</t>
        </is>
      </c>
      <c r="F671" t="inlineStr">
        <is>
          <t>P0401_5</t>
        </is>
      </c>
      <c r="G671" t="n">
        <v>185.4</v>
      </c>
      <c r="H671" t="n">
        <v>25.91</v>
      </c>
    </row>
    <row r="672">
      <c r="A672" t="n">
        <v>17</v>
      </c>
      <c r="B672" s="7" t="n">
        <v>45462.79166666666</v>
      </c>
      <c r="C672" t="inlineStr">
        <is>
          <t>C</t>
        </is>
      </c>
      <c r="D672" t="inlineStr">
        <is>
          <t>R3_Optimized</t>
        </is>
      </c>
      <c r="E672" t="inlineStr">
        <is>
          <t>D17_SG07</t>
        </is>
      </c>
      <c r="F672" t="inlineStr">
        <is>
          <t>P0404_1</t>
        </is>
      </c>
      <c r="G672" t="n">
        <v>284.4</v>
      </c>
      <c r="H672" t="n">
        <v>25.4</v>
      </c>
    </row>
    <row r="673">
      <c r="A673" t="n">
        <v>17</v>
      </c>
      <c r="B673" s="7" t="n">
        <v>45462.79166666666</v>
      </c>
      <c r="C673" t="inlineStr">
        <is>
          <t>C</t>
        </is>
      </c>
      <c r="D673" t="inlineStr">
        <is>
          <t>R3_Optimized</t>
        </is>
      </c>
      <c r="E673" t="inlineStr">
        <is>
          <t>D17_SG07</t>
        </is>
      </c>
      <c r="F673" t="inlineStr">
        <is>
          <t>P0404_2</t>
        </is>
      </c>
      <c r="G673" t="n">
        <v>290.4</v>
      </c>
      <c r="H673" t="n">
        <v>25.52</v>
      </c>
    </row>
    <row r="674">
      <c r="A674" t="n">
        <v>17</v>
      </c>
      <c r="B674" s="7" t="n">
        <v>45462.79166666666</v>
      </c>
      <c r="C674" t="inlineStr">
        <is>
          <t>C</t>
        </is>
      </c>
      <c r="D674" t="inlineStr">
        <is>
          <t>R3_Optimized</t>
        </is>
      </c>
      <c r="E674" t="inlineStr">
        <is>
          <t>D17_SG07</t>
        </is>
      </c>
      <c r="F674" t="inlineStr">
        <is>
          <t>P0404_3</t>
        </is>
      </c>
      <c r="G674" t="n">
        <v>276.8</v>
      </c>
      <c r="H674" t="n">
        <v>25.35</v>
      </c>
    </row>
    <row r="675">
      <c r="A675" t="n">
        <v>17</v>
      </c>
      <c r="B675" s="7" t="n">
        <v>45462.79166666666</v>
      </c>
      <c r="C675" t="inlineStr">
        <is>
          <t>C</t>
        </is>
      </c>
      <c r="D675" t="inlineStr">
        <is>
          <t>R3_Optimized</t>
        </is>
      </c>
      <c r="E675" t="inlineStr">
        <is>
          <t>D17_SG07</t>
        </is>
      </c>
      <c r="F675" t="inlineStr">
        <is>
          <t>P0404_4</t>
        </is>
      </c>
      <c r="G675" t="n">
        <v>296.3</v>
      </c>
      <c r="H675" t="n">
        <v>26.21</v>
      </c>
    </row>
    <row r="676">
      <c r="A676" t="n">
        <v>17</v>
      </c>
      <c r="B676" s="7" t="n">
        <v>45462.79166666666</v>
      </c>
      <c r="C676" t="inlineStr">
        <is>
          <t>C</t>
        </is>
      </c>
      <c r="D676" t="inlineStr">
        <is>
          <t>R3_Optimized</t>
        </is>
      </c>
      <c r="E676" t="inlineStr">
        <is>
          <t>D17_SG07</t>
        </is>
      </c>
      <c r="F676" t="inlineStr">
        <is>
          <t>P0404_5</t>
        </is>
      </c>
      <c r="G676" t="n">
        <v>306.3</v>
      </c>
      <c r="H676" t="n">
        <v>25.58</v>
      </c>
    </row>
    <row r="677">
      <c r="A677" t="n">
        <v>17</v>
      </c>
      <c r="B677" s="7" t="n">
        <v>45462.95833333334</v>
      </c>
      <c r="C677" t="inlineStr">
        <is>
          <t>C</t>
        </is>
      </c>
      <c r="D677" t="inlineStr">
        <is>
          <t>R3_Optimized</t>
        </is>
      </c>
      <c r="E677" t="inlineStr">
        <is>
          <t>D17_SG08</t>
        </is>
      </c>
      <c r="F677" t="inlineStr">
        <is>
          <t>P0408_1</t>
        </is>
      </c>
      <c r="G677" t="n">
        <v>244.7</v>
      </c>
      <c r="H677" t="n">
        <v>26.14</v>
      </c>
    </row>
    <row r="678">
      <c r="A678" t="n">
        <v>17</v>
      </c>
      <c r="B678" s="7" t="n">
        <v>45462.95833333334</v>
      </c>
      <c r="C678" t="inlineStr">
        <is>
          <t>C</t>
        </is>
      </c>
      <c r="D678" t="inlineStr">
        <is>
          <t>R3_Optimized</t>
        </is>
      </c>
      <c r="E678" t="inlineStr">
        <is>
          <t>D17_SG08</t>
        </is>
      </c>
      <c r="F678" t="inlineStr">
        <is>
          <t>P0408_2</t>
        </is>
      </c>
      <c r="G678" t="n">
        <v>236.4</v>
      </c>
      <c r="H678" t="n">
        <v>24.67</v>
      </c>
    </row>
    <row r="679">
      <c r="A679" t="n">
        <v>17</v>
      </c>
      <c r="B679" s="7" t="n">
        <v>45462.95833333334</v>
      </c>
      <c r="C679" t="inlineStr">
        <is>
          <t>C</t>
        </is>
      </c>
      <c r="D679" t="inlineStr">
        <is>
          <t>R3_Optimized</t>
        </is>
      </c>
      <c r="E679" t="inlineStr">
        <is>
          <t>D17_SG08</t>
        </is>
      </c>
      <c r="F679" t="inlineStr">
        <is>
          <t>P0408_3</t>
        </is>
      </c>
      <c r="G679" t="n">
        <v>231.5</v>
      </c>
      <c r="H679" t="n">
        <v>26.06</v>
      </c>
    </row>
    <row r="680">
      <c r="A680" t="n">
        <v>17</v>
      </c>
      <c r="B680" s="7" t="n">
        <v>45462.95833333334</v>
      </c>
      <c r="C680" t="inlineStr">
        <is>
          <t>C</t>
        </is>
      </c>
      <c r="D680" t="inlineStr">
        <is>
          <t>R3_Optimized</t>
        </is>
      </c>
      <c r="E680" t="inlineStr">
        <is>
          <t>D17_SG08</t>
        </is>
      </c>
      <c r="F680" t="inlineStr">
        <is>
          <t>P0408_4</t>
        </is>
      </c>
      <c r="G680" t="n">
        <v>220.1</v>
      </c>
      <c r="H680" t="n">
        <v>26.68</v>
      </c>
    </row>
    <row r="681">
      <c r="A681" t="n">
        <v>17</v>
      </c>
      <c r="B681" s="7" t="n">
        <v>45462.95833333334</v>
      </c>
      <c r="C681" t="inlineStr">
        <is>
          <t>C</t>
        </is>
      </c>
      <c r="D681" t="inlineStr">
        <is>
          <t>R3_Optimized</t>
        </is>
      </c>
      <c r="E681" t="inlineStr">
        <is>
          <t>D17_SG08</t>
        </is>
      </c>
      <c r="F681" t="inlineStr">
        <is>
          <t>P0408_5</t>
        </is>
      </c>
      <c r="G681" t="n">
        <v>233</v>
      </c>
      <c r="H681" t="n">
        <v>26.38</v>
      </c>
    </row>
    <row r="682">
      <c r="A682" t="n">
        <v>18</v>
      </c>
      <c r="B682" s="7" t="n">
        <v>45463</v>
      </c>
      <c r="C682" t="inlineStr">
        <is>
          <t>A</t>
        </is>
      </c>
      <c r="D682" t="inlineStr">
        <is>
          <t>R3_Optimized</t>
        </is>
      </c>
      <c r="E682" t="inlineStr">
        <is>
          <t>D18_SG01</t>
        </is>
      </c>
      <c r="F682" t="inlineStr">
        <is>
          <t>P0409_1</t>
        </is>
      </c>
      <c r="G682" t="n">
        <v>192.6</v>
      </c>
      <c r="H682" t="n">
        <v>26.24</v>
      </c>
    </row>
    <row r="683">
      <c r="A683" t="n">
        <v>18</v>
      </c>
      <c r="B683" s="7" t="n">
        <v>45463</v>
      </c>
      <c r="C683" t="inlineStr">
        <is>
          <t>A</t>
        </is>
      </c>
      <c r="D683" t="inlineStr">
        <is>
          <t>R3_Optimized</t>
        </is>
      </c>
      <c r="E683" t="inlineStr">
        <is>
          <t>D18_SG01</t>
        </is>
      </c>
      <c r="F683" t="inlineStr">
        <is>
          <t>P0409_2</t>
        </is>
      </c>
      <c r="G683" t="n">
        <v>180.3</v>
      </c>
      <c r="H683" t="n">
        <v>25.59</v>
      </c>
    </row>
    <row r="684">
      <c r="A684" t="n">
        <v>18</v>
      </c>
      <c r="B684" s="7" t="n">
        <v>45463</v>
      </c>
      <c r="C684" t="inlineStr">
        <is>
          <t>A</t>
        </is>
      </c>
      <c r="D684" t="inlineStr">
        <is>
          <t>R3_Optimized</t>
        </is>
      </c>
      <c r="E684" t="inlineStr">
        <is>
          <t>D18_SG01</t>
        </is>
      </c>
      <c r="F684" t="inlineStr">
        <is>
          <t>P0409_3</t>
        </is>
      </c>
      <c r="G684" t="n">
        <v>186.2</v>
      </c>
      <c r="H684" t="n">
        <v>27.13</v>
      </c>
    </row>
    <row r="685">
      <c r="A685" t="n">
        <v>18</v>
      </c>
      <c r="B685" s="7" t="n">
        <v>45463</v>
      </c>
      <c r="C685" t="inlineStr">
        <is>
          <t>A</t>
        </is>
      </c>
      <c r="D685" t="inlineStr">
        <is>
          <t>R3_Optimized</t>
        </is>
      </c>
      <c r="E685" t="inlineStr">
        <is>
          <t>D18_SG01</t>
        </is>
      </c>
      <c r="F685" t="inlineStr">
        <is>
          <t>P0409_4</t>
        </is>
      </c>
      <c r="G685" t="n">
        <v>201.4</v>
      </c>
      <c r="H685" t="n">
        <v>27.15</v>
      </c>
    </row>
    <row r="686">
      <c r="A686" t="n">
        <v>18</v>
      </c>
      <c r="B686" s="7" t="n">
        <v>45463</v>
      </c>
      <c r="C686" t="inlineStr">
        <is>
          <t>A</t>
        </is>
      </c>
      <c r="D686" t="inlineStr">
        <is>
          <t>R3_Optimized</t>
        </is>
      </c>
      <c r="E686" t="inlineStr">
        <is>
          <t>D18_SG01</t>
        </is>
      </c>
      <c r="F686" t="inlineStr">
        <is>
          <t>P0409_5</t>
        </is>
      </c>
      <c r="G686" t="n">
        <v>189.6</v>
      </c>
      <c r="H686" t="n">
        <v>25.42</v>
      </c>
    </row>
    <row r="687">
      <c r="A687" t="n">
        <v>18</v>
      </c>
      <c r="B687" s="7" t="n">
        <v>45463.125</v>
      </c>
      <c r="C687" t="inlineStr">
        <is>
          <t>A</t>
        </is>
      </c>
      <c r="D687" t="inlineStr">
        <is>
          <t>R3_Optimized</t>
        </is>
      </c>
      <c r="E687" t="inlineStr">
        <is>
          <t>D18_SG02</t>
        </is>
      </c>
      <c r="F687" t="inlineStr">
        <is>
          <t>P0412_1</t>
        </is>
      </c>
      <c r="G687" t="n">
        <v>165</v>
      </c>
      <c r="H687" t="n">
        <v>26.23</v>
      </c>
    </row>
    <row r="688">
      <c r="A688" t="n">
        <v>18</v>
      </c>
      <c r="B688" s="7" t="n">
        <v>45463.125</v>
      </c>
      <c r="C688" t="inlineStr">
        <is>
          <t>A</t>
        </is>
      </c>
      <c r="D688" t="inlineStr">
        <is>
          <t>R3_Optimized</t>
        </is>
      </c>
      <c r="E688" t="inlineStr">
        <is>
          <t>D18_SG02</t>
        </is>
      </c>
      <c r="F688" t="inlineStr">
        <is>
          <t>P0412_2</t>
        </is>
      </c>
      <c r="G688" t="n">
        <v>154.2</v>
      </c>
      <c r="H688" t="n">
        <v>25.89</v>
      </c>
    </row>
    <row r="689">
      <c r="A689" t="n">
        <v>18</v>
      </c>
      <c r="B689" s="7" t="n">
        <v>45463.125</v>
      </c>
      <c r="C689" t="inlineStr">
        <is>
          <t>A</t>
        </is>
      </c>
      <c r="D689" t="inlineStr">
        <is>
          <t>R3_Optimized</t>
        </is>
      </c>
      <c r="E689" t="inlineStr">
        <is>
          <t>D18_SG02</t>
        </is>
      </c>
      <c r="F689" t="inlineStr">
        <is>
          <t>P0412_3</t>
        </is>
      </c>
      <c r="G689" t="n">
        <v>146.5</v>
      </c>
      <c r="H689" t="n">
        <v>26.37</v>
      </c>
    </row>
    <row r="690">
      <c r="A690" t="n">
        <v>18</v>
      </c>
      <c r="B690" s="7" t="n">
        <v>45463.125</v>
      </c>
      <c r="C690" t="inlineStr">
        <is>
          <t>A</t>
        </is>
      </c>
      <c r="D690" t="inlineStr">
        <is>
          <t>R3_Optimized</t>
        </is>
      </c>
      <c r="E690" t="inlineStr">
        <is>
          <t>D18_SG02</t>
        </is>
      </c>
      <c r="F690" t="inlineStr">
        <is>
          <t>P0412_4</t>
        </is>
      </c>
      <c r="G690" t="n">
        <v>147.7</v>
      </c>
      <c r="H690" t="n">
        <v>26.18</v>
      </c>
    </row>
    <row r="691">
      <c r="A691" t="n">
        <v>18</v>
      </c>
      <c r="B691" s="7" t="n">
        <v>45463.125</v>
      </c>
      <c r="C691" t="inlineStr">
        <is>
          <t>A</t>
        </is>
      </c>
      <c r="D691" t="inlineStr">
        <is>
          <t>R3_Optimized</t>
        </is>
      </c>
      <c r="E691" t="inlineStr">
        <is>
          <t>D18_SG02</t>
        </is>
      </c>
      <c r="F691" t="inlineStr">
        <is>
          <t>P0412_5</t>
        </is>
      </c>
      <c r="G691" t="n">
        <v>150</v>
      </c>
      <c r="H691" t="n">
        <v>25.55</v>
      </c>
    </row>
    <row r="692">
      <c r="A692" t="n">
        <v>18</v>
      </c>
      <c r="B692" s="7" t="n">
        <v>45463.25</v>
      </c>
      <c r="C692" t="inlineStr">
        <is>
          <t>A</t>
        </is>
      </c>
      <c r="D692" t="inlineStr">
        <is>
          <t>R3_Optimized</t>
        </is>
      </c>
      <c r="E692" t="inlineStr">
        <is>
          <t>D18_SG03</t>
        </is>
      </c>
      <c r="F692" t="inlineStr">
        <is>
          <t>P0415_1</t>
        </is>
      </c>
      <c r="G692" t="n">
        <v>206.8</v>
      </c>
      <c r="H692" t="n">
        <v>30.55</v>
      </c>
    </row>
    <row r="693">
      <c r="A693" t="n">
        <v>18</v>
      </c>
      <c r="B693" s="7" t="n">
        <v>45463.25</v>
      </c>
      <c r="C693" t="inlineStr">
        <is>
          <t>A</t>
        </is>
      </c>
      <c r="D693" t="inlineStr">
        <is>
          <t>R3_Optimized</t>
        </is>
      </c>
      <c r="E693" t="inlineStr">
        <is>
          <t>D18_SG03</t>
        </is>
      </c>
      <c r="F693" t="inlineStr">
        <is>
          <t>P0415_2</t>
        </is>
      </c>
      <c r="G693" t="n">
        <v>193</v>
      </c>
      <c r="H693" t="n">
        <v>29.88</v>
      </c>
    </row>
    <row r="694">
      <c r="A694" t="n">
        <v>18</v>
      </c>
      <c r="B694" s="7" t="n">
        <v>45463.25</v>
      </c>
      <c r="C694" t="inlineStr">
        <is>
          <t>A</t>
        </is>
      </c>
      <c r="D694" t="inlineStr">
        <is>
          <t>R3_Optimized</t>
        </is>
      </c>
      <c r="E694" t="inlineStr">
        <is>
          <t>D18_SG03</t>
        </is>
      </c>
      <c r="F694" t="inlineStr">
        <is>
          <t>P0415_3</t>
        </is>
      </c>
      <c r="G694" t="n">
        <v>192.9</v>
      </c>
      <c r="H694" t="n">
        <v>29.11</v>
      </c>
    </row>
    <row r="695">
      <c r="A695" t="n">
        <v>18</v>
      </c>
      <c r="B695" s="7" t="n">
        <v>45463.25</v>
      </c>
      <c r="C695" t="inlineStr">
        <is>
          <t>A</t>
        </is>
      </c>
      <c r="D695" t="inlineStr">
        <is>
          <t>R3_Optimized</t>
        </is>
      </c>
      <c r="E695" t="inlineStr">
        <is>
          <t>D18_SG03</t>
        </is>
      </c>
      <c r="F695" t="inlineStr">
        <is>
          <t>P0415_4</t>
        </is>
      </c>
      <c r="G695" t="n">
        <v>191.3</v>
      </c>
      <c r="H695" t="n">
        <v>28.63</v>
      </c>
    </row>
    <row r="696">
      <c r="A696" t="n">
        <v>18</v>
      </c>
      <c r="B696" s="7" t="n">
        <v>45463.25</v>
      </c>
      <c r="C696" t="inlineStr">
        <is>
          <t>A</t>
        </is>
      </c>
      <c r="D696" t="inlineStr">
        <is>
          <t>R3_Optimized</t>
        </is>
      </c>
      <c r="E696" t="inlineStr">
        <is>
          <t>D18_SG03</t>
        </is>
      </c>
      <c r="F696" t="inlineStr">
        <is>
          <t>P0415_5</t>
        </is>
      </c>
      <c r="G696" t="n">
        <v>197.9</v>
      </c>
      <c r="H696" t="n">
        <v>28.92</v>
      </c>
    </row>
    <row r="697">
      <c r="A697" t="n">
        <v>18</v>
      </c>
      <c r="B697" s="7" t="n">
        <v>45463.375</v>
      </c>
      <c r="C697" t="inlineStr">
        <is>
          <t>B</t>
        </is>
      </c>
      <c r="D697" t="inlineStr">
        <is>
          <t>R3_Optimized</t>
        </is>
      </c>
      <c r="E697" t="inlineStr">
        <is>
          <t>D18_SG04</t>
        </is>
      </c>
      <c r="F697" t="inlineStr">
        <is>
          <t>P0418_1</t>
        </is>
      </c>
      <c r="G697" t="n">
        <v>257.7</v>
      </c>
      <c r="H697" t="n">
        <v>25.83</v>
      </c>
    </row>
    <row r="698">
      <c r="A698" t="n">
        <v>18</v>
      </c>
      <c r="B698" s="7" t="n">
        <v>45463.375</v>
      </c>
      <c r="C698" t="inlineStr">
        <is>
          <t>B</t>
        </is>
      </c>
      <c r="D698" t="inlineStr">
        <is>
          <t>R3_Optimized</t>
        </is>
      </c>
      <c r="E698" t="inlineStr">
        <is>
          <t>D18_SG04</t>
        </is>
      </c>
      <c r="F698" t="inlineStr">
        <is>
          <t>P0418_2</t>
        </is>
      </c>
      <c r="G698" t="n">
        <v>260.8</v>
      </c>
      <c r="H698" t="n">
        <v>27.33</v>
      </c>
    </row>
    <row r="699">
      <c r="A699" t="n">
        <v>18</v>
      </c>
      <c r="B699" s="7" t="n">
        <v>45463.375</v>
      </c>
      <c r="C699" t="inlineStr">
        <is>
          <t>B</t>
        </is>
      </c>
      <c r="D699" t="inlineStr">
        <is>
          <t>R3_Optimized</t>
        </is>
      </c>
      <c r="E699" t="inlineStr">
        <is>
          <t>D18_SG04</t>
        </is>
      </c>
      <c r="F699" t="inlineStr">
        <is>
          <t>P0418_3</t>
        </is>
      </c>
      <c r="G699" t="n">
        <v>263.2</v>
      </c>
      <c r="H699" t="n">
        <v>27.03</v>
      </c>
    </row>
    <row r="700">
      <c r="A700" t="n">
        <v>18</v>
      </c>
      <c r="B700" s="7" t="n">
        <v>45463.375</v>
      </c>
      <c r="C700" t="inlineStr">
        <is>
          <t>B</t>
        </is>
      </c>
      <c r="D700" t="inlineStr">
        <is>
          <t>R3_Optimized</t>
        </is>
      </c>
      <c r="E700" t="inlineStr">
        <is>
          <t>D18_SG04</t>
        </is>
      </c>
      <c r="F700" t="inlineStr">
        <is>
          <t>P0418_4</t>
        </is>
      </c>
      <c r="G700" t="n">
        <v>238.5</v>
      </c>
      <c r="H700" t="n">
        <v>26.46</v>
      </c>
    </row>
    <row r="701">
      <c r="A701" t="n">
        <v>18</v>
      </c>
      <c r="B701" s="7" t="n">
        <v>45463.375</v>
      </c>
      <c r="C701" t="inlineStr">
        <is>
          <t>B</t>
        </is>
      </c>
      <c r="D701" t="inlineStr">
        <is>
          <t>R3_Optimized</t>
        </is>
      </c>
      <c r="E701" t="inlineStr">
        <is>
          <t>D18_SG04</t>
        </is>
      </c>
      <c r="F701" t="inlineStr">
        <is>
          <t>P0418_5</t>
        </is>
      </c>
      <c r="G701" t="n">
        <v>230.3</v>
      </c>
      <c r="H701" t="n">
        <v>26.52</v>
      </c>
    </row>
    <row r="702">
      <c r="A702" t="n">
        <v>18</v>
      </c>
      <c r="B702" s="7" t="n">
        <v>45463.54166666666</v>
      </c>
      <c r="C702" t="inlineStr">
        <is>
          <t>B</t>
        </is>
      </c>
      <c r="D702" t="inlineStr">
        <is>
          <t>R3_Optimized</t>
        </is>
      </c>
      <c r="E702" t="inlineStr">
        <is>
          <t>D18_SG05</t>
        </is>
      </c>
      <c r="F702" t="inlineStr">
        <is>
          <t>P0422_1</t>
        </is>
      </c>
      <c r="G702" t="n">
        <v>281.7</v>
      </c>
      <c r="H702" t="n">
        <v>28.25</v>
      </c>
    </row>
    <row r="703">
      <c r="A703" t="n">
        <v>18</v>
      </c>
      <c r="B703" s="7" t="n">
        <v>45463.54166666666</v>
      </c>
      <c r="C703" t="inlineStr">
        <is>
          <t>B</t>
        </is>
      </c>
      <c r="D703" t="inlineStr">
        <is>
          <t>R3_Optimized</t>
        </is>
      </c>
      <c r="E703" t="inlineStr">
        <is>
          <t>D18_SG05</t>
        </is>
      </c>
      <c r="F703" t="inlineStr">
        <is>
          <t>P0422_2</t>
        </is>
      </c>
      <c r="G703" t="n">
        <v>270.8</v>
      </c>
      <c r="H703" t="n">
        <v>27.21</v>
      </c>
    </row>
    <row r="704">
      <c r="A704" t="n">
        <v>18</v>
      </c>
      <c r="B704" s="7" t="n">
        <v>45463.54166666666</v>
      </c>
      <c r="C704" t="inlineStr">
        <is>
          <t>B</t>
        </is>
      </c>
      <c r="D704" t="inlineStr">
        <is>
          <t>R3_Optimized</t>
        </is>
      </c>
      <c r="E704" t="inlineStr">
        <is>
          <t>D18_SG05</t>
        </is>
      </c>
      <c r="F704" t="inlineStr">
        <is>
          <t>P0422_3</t>
        </is>
      </c>
      <c r="G704" t="n">
        <v>280.8</v>
      </c>
      <c r="H704" t="n">
        <v>26.95</v>
      </c>
    </row>
    <row r="705">
      <c r="A705" t="n">
        <v>18</v>
      </c>
      <c r="B705" s="7" t="n">
        <v>45463.54166666666</v>
      </c>
      <c r="C705" t="inlineStr">
        <is>
          <t>B</t>
        </is>
      </c>
      <c r="D705" t="inlineStr">
        <is>
          <t>R3_Optimized</t>
        </is>
      </c>
      <c r="E705" t="inlineStr">
        <is>
          <t>D18_SG05</t>
        </is>
      </c>
      <c r="F705" t="inlineStr">
        <is>
          <t>P0422_4</t>
        </is>
      </c>
      <c r="G705" t="n">
        <v>271.6</v>
      </c>
      <c r="H705" t="n">
        <v>27.17</v>
      </c>
    </row>
    <row r="706">
      <c r="A706" t="n">
        <v>18</v>
      </c>
      <c r="B706" s="7" t="n">
        <v>45463.54166666666</v>
      </c>
      <c r="C706" t="inlineStr">
        <is>
          <t>B</t>
        </is>
      </c>
      <c r="D706" t="inlineStr">
        <is>
          <t>R3_Optimized</t>
        </is>
      </c>
      <c r="E706" t="inlineStr">
        <is>
          <t>D18_SG05</t>
        </is>
      </c>
      <c r="F706" t="inlineStr">
        <is>
          <t>P0422_5</t>
        </is>
      </c>
      <c r="G706" t="n">
        <v>286.9</v>
      </c>
      <c r="H706" t="n">
        <v>26.85</v>
      </c>
    </row>
    <row r="707">
      <c r="A707" t="n">
        <v>18</v>
      </c>
      <c r="B707" s="7" t="n">
        <v>45463.66666666666</v>
      </c>
      <c r="C707" t="inlineStr">
        <is>
          <t>C</t>
        </is>
      </c>
      <c r="D707" t="inlineStr">
        <is>
          <t>R3_Optimized</t>
        </is>
      </c>
      <c r="E707" t="inlineStr">
        <is>
          <t>D18_SG06</t>
        </is>
      </c>
      <c r="F707" t="inlineStr">
        <is>
          <t>P0425_1</t>
        </is>
      </c>
      <c r="G707" t="n">
        <v>320.5</v>
      </c>
      <c r="H707" t="n">
        <v>22.84</v>
      </c>
    </row>
    <row r="708">
      <c r="A708" t="n">
        <v>18</v>
      </c>
      <c r="B708" s="7" t="n">
        <v>45463.66666666666</v>
      </c>
      <c r="C708" t="inlineStr">
        <is>
          <t>C</t>
        </is>
      </c>
      <c r="D708" t="inlineStr">
        <is>
          <t>R3_Optimized</t>
        </is>
      </c>
      <c r="E708" t="inlineStr">
        <is>
          <t>D18_SG06</t>
        </is>
      </c>
      <c r="F708" t="inlineStr">
        <is>
          <t>P0425_2</t>
        </is>
      </c>
      <c r="G708" t="n">
        <v>296.9</v>
      </c>
      <c r="H708" t="n">
        <v>22.74</v>
      </c>
    </row>
    <row r="709">
      <c r="A709" t="n">
        <v>18</v>
      </c>
      <c r="B709" s="7" t="n">
        <v>45463.66666666666</v>
      </c>
      <c r="C709" t="inlineStr">
        <is>
          <t>C</t>
        </is>
      </c>
      <c r="D709" t="inlineStr">
        <is>
          <t>R3_Optimized</t>
        </is>
      </c>
      <c r="E709" t="inlineStr">
        <is>
          <t>D18_SG06</t>
        </is>
      </c>
      <c r="F709" t="inlineStr">
        <is>
          <t>P0425_3</t>
        </is>
      </c>
      <c r="G709" t="n">
        <v>338.4</v>
      </c>
      <c r="H709" t="n">
        <v>22.63</v>
      </c>
    </row>
    <row r="710">
      <c r="A710" t="n">
        <v>18</v>
      </c>
      <c r="B710" s="7" t="n">
        <v>45463.66666666666</v>
      </c>
      <c r="C710" t="inlineStr">
        <is>
          <t>C</t>
        </is>
      </c>
      <c r="D710" t="inlineStr">
        <is>
          <t>R3_Optimized</t>
        </is>
      </c>
      <c r="E710" t="inlineStr">
        <is>
          <t>D18_SG06</t>
        </is>
      </c>
      <c r="F710" t="inlineStr">
        <is>
          <t>P0425_4</t>
        </is>
      </c>
      <c r="G710" t="n">
        <v>321.9</v>
      </c>
      <c r="H710" t="n">
        <v>23.4</v>
      </c>
    </row>
    <row r="711">
      <c r="A711" t="n">
        <v>18</v>
      </c>
      <c r="B711" s="7" t="n">
        <v>45463.66666666666</v>
      </c>
      <c r="C711" t="inlineStr">
        <is>
          <t>C</t>
        </is>
      </c>
      <c r="D711" t="inlineStr">
        <is>
          <t>R3_Optimized</t>
        </is>
      </c>
      <c r="E711" t="inlineStr">
        <is>
          <t>D18_SG06</t>
        </is>
      </c>
      <c r="F711" t="inlineStr">
        <is>
          <t>P0425_5</t>
        </is>
      </c>
      <c r="G711" t="n">
        <v>344.3</v>
      </c>
      <c r="H711" t="n">
        <v>23.11</v>
      </c>
    </row>
    <row r="712">
      <c r="A712" t="n">
        <v>18</v>
      </c>
      <c r="B712" s="7" t="n">
        <v>45463.79166666666</v>
      </c>
      <c r="C712" t="inlineStr">
        <is>
          <t>C</t>
        </is>
      </c>
      <c r="D712" t="inlineStr">
        <is>
          <t>R3_Optimized</t>
        </is>
      </c>
      <c r="E712" t="inlineStr">
        <is>
          <t>D18_SG07</t>
        </is>
      </c>
      <c r="F712" t="inlineStr">
        <is>
          <t>P0428_1</t>
        </is>
      </c>
      <c r="G712" t="n">
        <v>225.7</v>
      </c>
      <c r="H712" t="n">
        <v>26.59</v>
      </c>
    </row>
    <row r="713">
      <c r="A713" t="n">
        <v>18</v>
      </c>
      <c r="B713" s="7" t="n">
        <v>45463.79166666666</v>
      </c>
      <c r="C713" t="inlineStr">
        <is>
          <t>C</t>
        </is>
      </c>
      <c r="D713" t="inlineStr">
        <is>
          <t>R3_Optimized</t>
        </is>
      </c>
      <c r="E713" t="inlineStr">
        <is>
          <t>D18_SG07</t>
        </is>
      </c>
      <c r="F713" t="inlineStr">
        <is>
          <t>P0428_2</t>
        </is>
      </c>
      <c r="G713" t="n">
        <v>228.5</v>
      </c>
      <c r="H713" t="n">
        <v>26.84</v>
      </c>
    </row>
    <row r="714">
      <c r="A714" t="n">
        <v>18</v>
      </c>
      <c r="B714" s="7" t="n">
        <v>45463.79166666666</v>
      </c>
      <c r="C714" t="inlineStr">
        <is>
          <t>C</t>
        </is>
      </c>
      <c r="D714" t="inlineStr">
        <is>
          <t>R3_Optimized</t>
        </is>
      </c>
      <c r="E714" t="inlineStr">
        <is>
          <t>D18_SG07</t>
        </is>
      </c>
      <c r="F714" t="inlineStr">
        <is>
          <t>P0428_3</t>
        </is>
      </c>
      <c r="G714" t="n">
        <v>231.8</v>
      </c>
      <c r="H714" t="n">
        <v>26.3</v>
      </c>
    </row>
    <row r="715">
      <c r="A715" t="n">
        <v>18</v>
      </c>
      <c r="B715" s="7" t="n">
        <v>45463.79166666666</v>
      </c>
      <c r="C715" t="inlineStr">
        <is>
          <t>C</t>
        </is>
      </c>
      <c r="D715" t="inlineStr">
        <is>
          <t>R3_Optimized</t>
        </is>
      </c>
      <c r="E715" t="inlineStr">
        <is>
          <t>D18_SG07</t>
        </is>
      </c>
      <c r="F715" t="inlineStr">
        <is>
          <t>P0428_4</t>
        </is>
      </c>
      <c r="G715" t="n">
        <v>226.2</v>
      </c>
      <c r="H715" t="n">
        <v>27.42</v>
      </c>
    </row>
    <row r="716">
      <c r="A716" t="n">
        <v>18</v>
      </c>
      <c r="B716" s="7" t="n">
        <v>45463.79166666666</v>
      </c>
      <c r="C716" t="inlineStr">
        <is>
          <t>C</t>
        </is>
      </c>
      <c r="D716" t="inlineStr">
        <is>
          <t>R3_Optimized</t>
        </is>
      </c>
      <c r="E716" t="inlineStr">
        <is>
          <t>D18_SG07</t>
        </is>
      </c>
      <c r="F716" t="inlineStr">
        <is>
          <t>P0428_5</t>
        </is>
      </c>
      <c r="G716" t="n">
        <v>253.2</v>
      </c>
      <c r="H716" t="n">
        <v>26.99</v>
      </c>
    </row>
    <row r="717">
      <c r="A717" t="n">
        <v>18</v>
      </c>
      <c r="B717" s="7" t="n">
        <v>45463.95833333334</v>
      </c>
      <c r="C717" t="inlineStr">
        <is>
          <t>C</t>
        </is>
      </c>
      <c r="D717" t="inlineStr">
        <is>
          <t>R3_Optimized</t>
        </is>
      </c>
      <c r="E717" t="inlineStr">
        <is>
          <t>D18_SG08</t>
        </is>
      </c>
      <c r="F717" t="inlineStr">
        <is>
          <t>P0432_1</t>
        </is>
      </c>
      <c r="G717" t="n">
        <v>272.3</v>
      </c>
      <c r="H717" t="n">
        <v>27.54</v>
      </c>
    </row>
    <row r="718">
      <c r="A718" t="n">
        <v>18</v>
      </c>
      <c r="B718" s="7" t="n">
        <v>45463.95833333334</v>
      </c>
      <c r="C718" t="inlineStr">
        <is>
          <t>C</t>
        </is>
      </c>
      <c r="D718" t="inlineStr">
        <is>
          <t>R3_Optimized</t>
        </is>
      </c>
      <c r="E718" t="inlineStr">
        <is>
          <t>D18_SG08</t>
        </is>
      </c>
      <c r="F718" t="inlineStr">
        <is>
          <t>P0432_2</t>
        </is>
      </c>
      <c r="G718" t="n">
        <v>271.6</v>
      </c>
      <c r="H718" t="n">
        <v>27.32</v>
      </c>
    </row>
    <row r="719">
      <c r="A719" t="n">
        <v>18</v>
      </c>
      <c r="B719" s="7" t="n">
        <v>45463.95833333334</v>
      </c>
      <c r="C719" t="inlineStr">
        <is>
          <t>C</t>
        </is>
      </c>
      <c r="D719" t="inlineStr">
        <is>
          <t>R3_Optimized</t>
        </is>
      </c>
      <c r="E719" t="inlineStr">
        <is>
          <t>D18_SG08</t>
        </is>
      </c>
      <c r="F719" t="inlineStr">
        <is>
          <t>P0432_3</t>
        </is>
      </c>
      <c r="G719" t="n">
        <v>258.8</v>
      </c>
      <c r="H719" t="n">
        <v>27.8</v>
      </c>
    </row>
    <row r="720">
      <c r="A720" t="n">
        <v>18</v>
      </c>
      <c r="B720" s="7" t="n">
        <v>45463.95833333334</v>
      </c>
      <c r="C720" t="inlineStr">
        <is>
          <t>C</t>
        </is>
      </c>
      <c r="D720" t="inlineStr">
        <is>
          <t>R3_Optimized</t>
        </is>
      </c>
      <c r="E720" t="inlineStr">
        <is>
          <t>D18_SG08</t>
        </is>
      </c>
      <c r="F720" t="inlineStr">
        <is>
          <t>P0432_4</t>
        </is>
      </c>
      <c r="G720" t="n">
        <v>283</v>
      </c>
      <c r="H720" t="n">
        <v>28.22</v>
      </c>
    </row>
    <row r="721">
      <c r="A721" t="n">
        <v>18</v>
      </c>
      <c r="B721" s="7" t="n">
        <v>45463.95833333334</v>
      </c>
      <c r="C721" t="inlineStr">
        <is>
          <t>C</t>
        </is>
      </c>
      <c r="D721" t="inlineStr">
        <is>
          <t>R3_Optimized</t>
        </is>
      </c>
      <c r="E721" t="inlineStr">
        <is>
          <t>D18_SG08</t>
        </is>
      </c>
      <c r="F721" t="inlineStr">
        <is>
          <t>P0432_5</t>
        </is>
      </c>
      <c r="G721" t="n">
        <v>265.4</v>
      </c>
      <c r="H721" t="n">
        <v>27.74</v>
      </c>
    </row>
    <row r="722">
      <c r="A722" t="n">
        <v>19</v>
      </c>
      <c r="B722" s="7" t="n">
        <v>45464</v>
      </c>
      <c r="C722" t="inlineStr">
        <is>
          <t>A</t>
        </is>
      </c>
      <c r="D722" t="inlineStr">
        <is>
          <t>R3_Optimized</t>
        </is>
      </c>
      <c r="E722" t="inlineStr">
        <is>
          <t>D19_SG01</t>
        </is>
      </c>
      <c r="F722" t="inlineStr">
        <is>
          <t>P0433_1</t>
        </is>
      </c>
      <c r="G722" t="n">
        <v>259.9</v>
      </c>
      <c r="H722" t="n">
        <v>26.41</v>
      </c>
    </row>
    <row r="723">
      <c r="A723" t="n">
        <v>19</v>
      </c>
      <c r="B723" s="7" t="n">
        <v>45464</v>
      </c>
      <c r="C723" t="inlineStr">
        <is>
          <t>A</t>
        </is>
      </c>
      <c r="D723" t="inlineStr">
        <is>
          <t>R3_Optimized</t>
        </is>
      </c>
      <c r="E723" t="inlineStr">
        <is>
          <t>D19_SG01</t>
        </is>
      </c>
      <c r="F723" t="inlineStr">
        <is>
          <t>P0433_2</t>
        </is>
      </c>
      <c r="G723" t="n">
        <v>248.3</v>
      </c>
      <c r="H723" t="n">
        <v>26.73</v>
      </c>
    </row>
    <row r="724">
      <c r="A724" t="n">
        <v>19</v>
      </c>
      <c r="B724" s="7" t="n">
        <v>45464</v>
      </c>
      <c r="C724" t="inlineStr">
        <is>
          <t>A</t>
        </is>
      </c>
      <c r="D724" t="inlineStr">
        <is>
          <t>R3_Optimized</t>
        </is>
      </c>
      <c r="E724" t="inlineStr">
        <is>
          <t>D19_SG01</t>
        </is>
      </c>
      <c r="F724" t="inlineStr">
        <is>
          <t>P0433_3</t>
        </is>
      </c>
      <c r="G724" t="n">
        <v>240.3</v>
      </c>
      <c r="H724" t="n">
        <v>26.6</v>
      </c>
    </row>
    <row r="725">
      <c r="A725" t="n">
        <v>19</v>
      </c>
      <c r="B725" s="7" t="n">
        <v>45464</v>
      </c>
      <c r="C725" t="inlineStr">
        <is>
          <t>A</t>
        </is>
      </c>
      <c r="D725" t="inlineStr">
        <is>
          <t>R3_Optimized</t>
        </is>
      </c>
      <c r="E725" t="inlineStr">
        <is>
          <t>D19_SG01</t>
        </is>
      </c>
      <c r="F725" t="inlineStr">
        <is>
          <t>P0433_4</t>
        </is>
      </c>
      <c r="G725" t="n">
        <v>259.7</v>
      </c>
      <c r="H725" t="n">
        <v>27.66</v>
      </c>
    </row>
    <row r="726">
      <c r="A726" t="n">
        <v>19</v>
      </c>
      <c r="B726" s="7" t="n">
        <v>45464</v>
      </c>
      <c r="C726" t="inlineStr">
        <is>
          <t>A</t>
        </is>
      </c>
      <c r="D726" t="inlineStr">
        <is>
          <t>R3_Optimized</t>
        </is>
      </c>
      <c r="E726" t="inlineStr">
        <is>
          <t>D19_SG01</t>
        </is>
      </c>
      <c r="F726" t="inlineStr">
        <is>
          <t>P0433_5</t>
        </is>
      </c>
      <c r="G726" t="n">
        <v>243.8</v>
      </c>
      <c r="H726" t="n">
        <v>27.34</v>
      </c>
    </row>
    <row r="727">
      <c r="A727" t="n">
        <v>19</v>
      </c>
      <c r="B727" s="7" t="n">
        <v>45464.125</v>
      </c>
      <c r="C727" t="inlineStr">
        <is>
          <t>A</t>
        </is>
      </c>
      <c r="D727" t="inlineStr">
        <is>
          <t>R3_Optimized</t>
        </is>
      </c>
      <c r="E727" t="inlineStr">
        <is>
          <t>D19_SG02</t>
        </is>
      </c>
      <c r="F727" t="inlineStr">
        <is>
          <t>P0436_1</t>
        </is>
      </c>
      <c r="G727" t="n">
        <v>265.6</v>
      </c>
      <c r="H727" t="n">
        <v>25.09</v>
      </c>
    </row>
    <row r="728">
      <c r="A728" t="n">
        <v>19</v>
      </c>
      <c r="B728" s="7" t="n">
        <v>45464.125</v>
      </c>
      <c r="C728" t="inlineStr">
        <is>
          <t>A</t>
        </is>
      </c>
      <c r="D728" t="inlineStr">
        <is>
          <t>R3_Optimized</t>
        </is>
      </c>
      <c r="E728" t="inlineStr">
        <is>
          <t>D19_SG02</t>
        </is>
      </c>
      <c r="F728" t="inlineStr">
        <is>
          <t>P0436_2</t>
        </is>
      </c>
      <c r="G728" t="n">
        <v>262.4</v>
      </c>
      <c r="H728" t="n">
        <v>23.7</v>
      </c>
    </row>
    <row r="729">
      <c r="A729" t="n">
        <v>19</v>
      </c>
      <c r="B729" s="7" t="n">
        <v>45464.125</v>
      </c>
      <c r="C729" t="inlineStr">
        <is>
          <t>A</t>
        </is>
      </c>
      <c r="D729" t="inlineStr">
        <is>
          <t>R3_Optimized</t>
        </is>
      </c>
      <c r="E729" t="inlineStr">
        <is>
          <t>D19_SG02</t>
        </is>
      </c>
      <c r="F729" t="inlineStr">
        <is>
          <t>P0436_3</t>
        </is>
      </c>
      <c r="G729" t="n">
        <v>268.6</v>
      </c>
      <c r="H729" t="n">
        <v>24.42</v>
      </c>
    </row>
    <row r="730">
      <c r="A730" t="n">
        <v>19</v>
      </c>
      <c r="B730" s="7" t="n">
        <v>45464.125</v>
      </c>
      <c r="C730" t="inlineStr">
        <is>
          <t>A</t>
        </is>
      </c>
      <c r="D730" t="inlineStr">
        <is>
          <t>R3_Optimized</t>
        </is>
      </c>
      <c r="E730" t="inlineStr">
        <is>
          <t>D19_SG02</t>
        </is>
      </c>
      <c r="F730" t="inlineStr">
        <is>
          <t>P0436_4</t>
        </is>
      </c>
      <c r="G730" t="n">
        <v>277.3</v>
      </c>
      <c r="H730" t="n">
        <v>25.51</v>
      </c>
    </row>
    <row r="731">
      <c r="A731" t="n">
        <v>19</v>
      </c>
      <c r="B731" s="7" t="n">
        <v>45464.125</v>
      </c>
      <c r="C731" t="inlineStr">
        <is>
          <t>A</t>
        </is>
      </c>
      <c r="D731" t="inlineStr">
        <is>
          <t>R3_Optimized</t>
        </is>
      </c>
      <c r="E731" t="inlineStr">
        <is>
          <t>D19_SG02</t>
        </is>
      </c>
      <c r="F731" t="inlineStr">
        <is>
          <t>P0436_5</t>
        </is>
      </c>
      <c r="G731" t="n">
        <v>269.8</v>
      </c>
      <c r="H731" t="n">
        <v>24.73</v>
      </c>
    </row>
    <row r="732">
      <c r="A732" t="n">
        <v>19</v>
      </c>
      <c r="B732" s="7" t="n">
        <v>45464.25</v>
      </c>
      <c r="C732" t="inlineStr">
        <is>
          <t>A</t>
        </is>
      </c>
      <c r="D732" t="inlineStr">
        <is>
          <t>R3_Optimized</t>
        </is>
      </c>
      <c r="E732" t="inlineStr">
        <is>
          <t>D19_SG03</t>
        </is>
      </c>
      <c r="F732" t="inlineStr">
        <is>
          <t>P0439_1</t>
        </is>
      </c>
      <c r="G732" t="n">
        <v>283.6</v>
      </c>
      <c r="H732" t="n">
        <v>27.29</v>
      </c>
    </row>
    <row r="733">
      <c r="A733" t="n">
        <v>19</v>
      </c>
      <c r="B733" s="7" t="n">
        <v>45464.25</v>
      </c>
      <c r="C733" t="inlineStr">
        <is>
          <t>A</t>
        </is>
      </c>
      <c r="D733" t="inlineStr">
        <is>
          <t>R3_Optimized</t>
        </is>
      </c>
      <c r="E733" t="inlineStr">
        <is>
          <t>D19_SG03</t>
        </is>
      </c>
      <c r="F733" t="inlineStr">
        <is>
          <t>P0439_2</t>
        </is>
      </c>
      <c r="G733" t="n">
        <v>264.3</v>
      </c>
      <c r="H733" t="n">
        <v>26.17</v>
      </c>
    </row>
    <row r="734">
      <c r="A734" t="n">
        <v>19</v>
      </c>
      <c r="B734" s="7" t="n">
        <v>45464.25</v>
      </c>
      <c r="C734" t="inlineStr">
        <is>
          <t>A</t>
        </is>
      </c>
      <c r="D734" t="inlineStr">
        <is>
          <t>R3_Optimized</t>
        </is>
      </c>
      <c r="E734" t="inlineStr">
        <is>
          <t>D19_SG03</t>
        </is>
      </c>
      <c r="F734" t="inlineStr">
        <is>
          <t>P0439_3</t>
        </is>
      </c>
      <c r="G734" t="n">
        <v>267.6</v>
      </c>
      <c r="H734" t="n">
        <v>25.98</v>
      </c>
    </row>
    <row r="735">
      <c r="A735" t="n">
        <v>19</v>
      </c>
      <c r="B735" s="7" t="n">
        <v>45464.25</v>
      </c>
      <c r="C735" t="inlineStr">
        <is>
          <t>A</t>
        </is>
      </c>
      <c r="D735" t="inlineStr">
        <is>
          <t>R3_Optimized</t>
        </is>
      </c>
      <c r="E735" t="inlineStr">
        <is>
          <t>D19_SG03</t>
        </is>
      </c>
      <c r="F735" t="inlineStr">
        <is>
          <t>P0439_4</t>
        </is>
      </c>
      <c r="G735" t="n">
        <v>258.3</v>
      </c>
      <c r="H735" t="n">
        <v>26.49</v>
      </c>
    </row>
    <row r="736">
      <c r="A736" t="n">
        <v>19</v>
      </c>
      <c r="B736" s="7" t="n">
        <v>45464.25</v>
      </c>
      <c r="C736" t="inlineStr">
        <is>
          <t>A</t>
        </is>
      </c>
      <c r="D736" t="inlineStr">
        <is>
          <t>R3_Optimized</t>
        </is>
      </c>
      <c r="E736" t="inlineStr">
        <is>
          <t>D19_SG03</t>
        </is>
      </c>
      <c r="F736" t="inlineStr">
        <is>
          <t>P0439_5</t>
        </is>
      </c>
      <c r="G736" t="n">
        <v>277.4</v>
      </c>
      <c r="H736" t="n">
        <v>26.24</v>
      </c>
    </row>
    <row r="737">
      <c r="A737" t="n">
        <v>19</v>
      </c>
      <c r="B737" s="7" t="n">
        <v>45464.375</v>
      </c>
      <c r="C737" t="inlineStr">
        <is>
          <t>B</t>
        </is>
      </c>
      <c r="D737" t="inlineStr">
        <is>
          <t>R3_Optimized</t>
        </is>
      </c>
      <c r="E737" t="inlineStr">
        <is>
          <t>D19_SG04</t>
        </is>
      </c>
      <c r="F737" t="inlineStr">
        <is>
          <t>P0442_1</t>
        </is>
      </c>
      <c r="G737" t="n">
        <v>223.5</v>
      </c>
      <c r="H737" t="n">
        <v>27.65</v>
      </c>
    </row>
    <row r="738">
      <c r="A738" t="n">
        <v>19</v>
      </c>
      <c r="B738" s="7" t="n">
        <v>45464.375</v>
      </c>
      <c r="C738" t="inlineStr">
        <is>
          <t>B</t>
        </is>
      </c>
      <c r="D738" t="inlineStr">
        <is>
          <t>R3_Optimized</t>
        </is>
      </c>
      <c r="E738" t="inlineStr">
        <is>
          <t>D19_SG04</t>
        </is>
      </c>
      <c r="F738" t="inlineStr">
        <is>
          <t>P0442_2</t>
        </is>
      </c>
      <c r="G738" t="n">
        <v>215.1</v>
      </c>
      <c r="H738" t="n">
        <v>28.39</v>
      </c>
    </row>
    <row r="739">
      <c r="A739" t="n">
        <v>19</v>
      </c>
      <c r="B739" s="7" t="n">
        <v>45464.375</v>
      </c>
      <c r="C739" t="inlineStr">
        <is>
          <t>B</t>
        </is>
      </c>
      <c r="D739" t="inlineStr">
        <is>
          <t>R3_Optimized</t>
        </is>
      </c>
      <c r="E739" t="inlineStr">
        <is>
          <t>D19_SG04</t>
        </is>
      </c>
      <c r="F739" t="inlineStr">
        <is>
          <t>P0442_3</t>
        </is>
      </c>
      <c r="G739" t="n">
        <v>194.1</v>
      </c>
      <c r="H739" t="n">
        <v>26.68</v>
      </c>
    </row>
    <row r="740">
      <c r="A740" t="n">
        <v>19</v>
      </c>
      <c r="B740" s="7" t="n">
        <v>45464.375</v>
      </c>
      <c r="C740" t="inlineStr">
        <is>
          <t>B</t>
        </is>
      </c>
      <c r="D740" t="inlineStr">
        <is>
          <t>R3_Optimized</t>
        </is>
      </c>
      <c r="E740" t="inlineStr">
        <is>
          <t>D19_SG04</t>
        </is>
      </c>
      <c r="F740" t="inlineStr">
        <is>
          <t>P0442_4</t>
        </is>
      </c>
      <c r="G740" t="n">
        <v>215</v>
      </c>
      <c r="H740" t="n">
        <v>28.07</v>
      </c>
    </row>
    <row r="741">
      <c r="A741" t="n">
        <v>19</v>
      </c>
      <c r="B741" s="7" t="n">
        <v>45464.375</v>
      </c>
      <c r="C741" t="inlineStr">
        <is>
          <t>B</t>
        </is>
      </c>
      <c r="D741" t="inlineStr">
        <is>
          <t>R3_Optimized</t>
        </is>
      </c>
      <c r="E741" t="inlineStr">
        <is>
          <t>D19_SG04</t>
        </is>
      </c>
      <c r="F741" t="inlineStr">
        <is>
          <t>P0442_5</t>
        </is>
      </c>
      <c r="G741" t="n">
        <v>222.5</v>
      </c>
      <c r="H741" t="n">
        <v>27.54</v>
      </c>
    </row>
    <row r="742">
      <c r="A742" t="n">
        <v>19</v>
      </c>
      <c r="B742" s="7" t="n">
        <v>45464.54166666666</v>
      </c>
      <c r="C742" t="inlineStr">
        <is>
          <t>B</t>
        </is>
      </c>
      <c r="D742" t="inlineStr">
        <is>
          <t>R3_Optimized</t>
        </is>
      </c>
      <c r="E742" t="inlineStr">
        <is>
          <t>D19_SG05</t>
        </is>
      </c>
      <c r="F742" t="inlineStr">
        <is>
          <t>P0446_1</t>
        </is>
      </c>
      <c r="G742" t="n">
        <v>224.4</v>
      </c>
      <c r="H742" t="n">
        <v>28.08</v>
      </c>
    </row>
    <row r="743">
      <c r="A743" t="n">
        <v>19</v>
      </c>
      <c r="B743" s="7" t="n">
        <v>45464.54166666666</v>
      </c>
      <c r="C743" t="inlineStr">
        <is>
          <t>B</t>
        </is>
      </c>
      <c r="D743" t="inlineStr">
        <is>
          <t>R3_Optimized</t>
        </is>
      </c>
      <c r="E743" t="inlineStr">
        <is>
          <t>D19_SG05</t>
        </is>
      </c>
      <c r="F743" t="inlineStr">
        <is>
          <t>P0446_2</t>
        </is>
      </c>
      <c r="G743" t="n">
        <v>240.7</v>
      </c>
      <c r="H743" t="n">
        <v>27.77</v>
      </c>
    </row>
    <row r="744">
      <c r="A744" t="n">
        <v>19</v>
      </c>
      <c r="B744" s="7" t="n">
        <v>45464.54166666666</v>
      </c>
      <c r="C744" t="inlineStr">
        <is>
          <t>B</t>
        </is>
      </c>
      <c r="D744" t="inlineStr">
        <is>
          <t>R3_Optimized</t>
        </is>
      </c>
      <c r="E744" t="inlineStr">
        <is>
          <t>D19_SG05</t>
        </is>
      </c>
      <c r="F744" t="inlineStr">
        <is>
          <t>P0446_3</t>
        </is>
      </c>
      <c r="G744" t="n">
        <v>236.3</v>
      </c>
      <c r="H744" t="n">
        <v>28.46</v>
      </c>
    </row>
    <row r="745">
      <c r="A745" t="n">
        <v>19</v>
      </c>
      <c r="B745" s="7" t="n">
        <v>45464.54166666666</v>
      </c>
      <c r="C745" t="inlineStr">
        <is>
          <t>B</t>
        </is>
      </c>
      <c r="D745" t="inlineStr">
        <is>
          <t>R3_Optimized</t>
        </is>
      </c>
      <c r="E745" t="inlineStr">
        <is>
          <t>D19_SG05</t>
        </is>
      </c>
      <c r="F745" t="inlineStr">
        <is>
          <t>P0446_4</t>
        </is>
      </c>
      <c r="G745" t="n">
        <v>236</v>
      </c>
      <c r="H745" t="n">
        <v>28.47</v>
      </c>
    </row>
    <row r="746">
      <c r="A746" t="n">
        <v>19</v>
      </c>
      <c r="B746" s="7" t="n">
        <v>45464.54166666666</v>
      </c>
      <c r="C746" t="inlineStr">
        <is>
          <t>B</t>
        </is>
      </c>
      <c r="D746" t="inlineStr">
        <is>
          <t>R3_Optimized</t>
        </is>
      </c>
      <c r="E746" t="inlineStr">
        <is>
          <t>D19_SG05</t>
        </is>
      </c>
      <c r="F746" t="inlineStr">
        <is>
          <t>P0446_5</t>
        </is>
      </c>
      <c r="G746" t="n">
        <v>227.2</v>
      </c>
      <c r="H746" t="n">
        <v>27.28</v>
      </c>
    </row>
    <row r="747">
      <c r="A747" t="n">
        <v>19</v>
      </c>
      <c r="B747" s="7" t="n">
        <v>45464.66666666666</v>
      </c>
      <c r="C747" t="inlineStr">
        <is>
          <t>C</t>
        </is>
      </c>
      <c r="D747" t="inlineStr">
        <is>
          <t>R3_Optimized</t>
        </is>
      </c>
      <c r="E747" t="inlineStr">
        <is>
          <t>D19_SG06</t>
        </is>
      </c>
      <c r="F747" t="inlineStr">
        <is>
          <t>P0449_1</t>
        </is>
      </c>
      <c r="G747" t="n">
        <v>206.3</v>
      </c>
      <c r="H747" t="n">
        <v>24.51</v>
      </c>
    </row>
    <row r="748">
      <c r="A748" t="n">
        <v>19</v>
      </c>
      <c r="B748" s="7" t="n">
        <v>45464.66666666666</v>
      </c>
      <c r="C748" t="inlineStr">
        <is>
          <t>C</t>
        </is>
      </c>
      <c r="D748" t="inlineStr">
        <is>
          <t>R3_Optimized</t>
        </is>
      </c>
      <c r="E748" t="inlineStr">
        <is>
          <t>D19_SG06</t>
        </is>
      </c>
      <c r="F748" t="inlineStr">
        <is>
          <t>P0449_2</t>
        </is>
      </c>
      <c r="G748" t="n">
        <v>229.2</v>
      </c>
      <c r="H748" t="n">
        <v>25.02</v>
      </c>
    </row>
    <row r="749">
      <c r="A749" t="n">
        <v>19</v>
      </c>
      <c r="B749" s="7" t="n">
        <v>45464.66666666666</v>
      </c>
      <c r="C749" t="inlineStr">
        <is>
          <t>C</t>
        </is>
      </c>
      <c r="D749" t="inlineStr">
        <is>
          <t>R3_Optimized</t>
        </is>
      </c>
      <c r="E749" t="inlineStr">
        <is>
          <t>D19_SG06</t>
        </is>
      </c>
      <c r="F749" t="inlineStr">
        <is>
          <t>P0449_3</t>
        </is>
      </c>
      <c r="G749" t="n">
        <v>235.2</v>
      </c>
      <c r="H749" t="n">
        <v>25.1</v>
      </c>
    </row>
    <row r="750">
      <c r="A750" t="n">
        <v>19</v>
      </c>
      <c r="B750" s="7" t="n">
        <v>45464.66666666666</v>
      </c>
      <c r="C750" t="inlineStr">
        <is>
          <t>C</t>
        </is>
      </c>
      <c r="D750" t="inlineStr">
        <is>
          <t>R3_Optimized</t>
        </is>
      </c>
      <c r="E750" t="inlineStr">
        <is>
          <t>D19_SG06</t>
        </is>
      </c>
      <c r="F750" t="inlineStr">
        <is>
          <t>P0449_4</t>
        </is>
      </c>
      <c r="G750" t="n">
        <v>225.3</v>
      </c>
      <c r="H750" t="n">
        <v>23.97</v>
      </c>
    </row>
    <row r="751">
      <c r="A751" t="n">
        <v>19</v>
      </c>
      <c r="B751" s="7" t="n">
        <v>45464.66666666666</v>
      </c>
      <c r="C751" t="inlineStr">
        <is>
          <t>C</t>
        </is>
      </c>
      <c r="D751" t="inlineStr">
        <is>
          <t>R3_Optimized</t>
        </is>
      </c>
      <c r="E751" t="inlineStr">
        <is>
          <t>D19_SG06</t>
        </is>
      </c>
      <c r="F751" t="inlineStr">
        <is>
          <t>P0449_5</t>
        </is>
      </c>
      <c r="G751" t="n">
        <v>223.9</v>
      </c>
      <c r="H751" t="n">
        <v>24.94</v>
      </c>
    </row>
    <row r="752">
      <c r="A752" t="n">
        <v>19</v>
      </c>
      <c r="B752" s="7" t="n">
        <v>45464.79166666666</v>
      </c>
      <c r="C752" t="inlineStr">
        <is>
          <t>C</t>
        </is>
      </c>
      <c r="D752" t="inlineStr">
        <is>
          <t>R3_Optimized</t>
        </is>
      </c>
      <c r="E752" t="inlineStr">
        <is>
          <t>D19_SG07</t>
        </is>
      </c>
      <c r="F752" t="inlineStr">
        <is>
          <t>P0452_1</t>
        </is>
      </c>
      <c r="G752" t="n">
        <v>233</v>
      </c>
      <c r="H752" t="n">
        <v>24.77</v>
      </c>
    </row>
    <row r="753">
      <c r="A753" t="n">
        <v>19</v>
      </c>
      <c r="B753" s="7" t="n">
        <v>45464.79166666666</v>
      </c>
      <c r="C753" t="inlineStr">
        <is>
          <t>C</t>
        </is>
      </c>
      <c r="D753" t="inlineStr">
        <is>
          <t>R3_Optimized</t>
        </is>
      </c>
      <c r="E753" t="inlineStr">
        <is>
          <t>D19_SG07</t>
        </is>
      </c>
      <c r="F753" t="inlineStr">
        <is>
          <t>P0452_2</t>
        </is>
      </c>
      <c r="G753" t="n">
        <v>228.9</v>
      </c>
      <c r="H753" t="n">
        <v>24.13</v>
      </c>
    </row>
    <row r="754">
      <c r="A754" t="n">
        <v>19</v>
      </c>
      <c r="B754" s="7" t="n">
        <v>45464.79166666666</v>
      </c>
      <c r="C754" t="inlineStr">
        <is>
          <t>C</t>
        </is>
      </c>
      <c r="D754" t="inlineStr">
        <is>
          <t>R3_Optimized</t>
        </is>
      </c>
      <c r="E754" t="inlineStr">
        <is>
          <t>D19_SG07</t>
        </is>
      </c>
      <c r="F754" t="inlineStr">
        <is>
          <t>P0452_3</t>
        </is>
      </c>
      <c r="G754" t="n">
        <v>215.9</v>
      </c>
      <c r="H754" t="n">
        <v>25.19</v>
      </c>
    </row>
    <row r="755">
      <c r="A755" t="n">
        <v>19</v>
      </c>
      <c r="B755" s="7" t="n">
        <v>45464.79166666666</v>
      </c>
      <c r="C755" t="inlineStr">
        <is>
          <t>C</t>
        </is>
      </c>
      <c r="D755" t="inlineStr">
        <is>
          <t>R3_Optimized</t>
        </is>
      </c>
      <c r="E755" t="inlineStr">
        <is>
          <t>D19_SG07</t>
        </is>
      </c>
      <c r="F755" t="inlineStr">
        <is>
          <t>P0452_4</t>
        </is>
      </c>
      <c r="G755" t="n">
        <v>220.2</v>
      </c>
      <c r="H755" t="n">
        <v>24.59</v>
      </c>
    </row>
    <row r="756">
      <c r="A756" t="n">
        <v>19</v>
      </c>
      <c r="B756" s="7" t="n">
        <v>45464.79166666666</v>
      </c>
      <c r="C756" t="inlineStr">
        <is>
          <t>C</t>
        </is>
      </c>
      <c r="D756" t="inlineStr">
        <is>
          <t>R3_Optimized</t>
        </is>
      </c>
      <c r="E756" t="inlineStr">
        <is>
          <t>D19_SG07</t>
        </is>
      </c>
      <c r="F756" t="inlineStr">
        <is>
          <t>P0452_5</t>
        </is>
      </c>
      <c r="G756" t="n">
        <v>206.6</v>
      </c>
      <c r="H756" t="n">
        <v>24.35</v>
      </c>
    </row>
    <row r="757">
      <c r="A757" t="n">
        <v>19</v>
      </c>
      <c r="B757" s="7" t="n">
        <v>45464.95833333334</v>
      </c>
      <c r="C757" t="inlineStr">
        <is>
          <t>C</t>
        </is>
      </c>
      <c r="D757" t="inlineStr">
        <is>
          <t>R3_Optimized</t>
        </is>
      </c>
      <c r="E757" t="inlineStr">
        <is>
          <t>D19_SG08</t>
        </is>
      </c>
      <c r="F757" t="inlineStr">
        <is>
          <t>P0456_1</t>
        </is>
      </c>
      <c r="G757" t="n">
        <v>234.8</v>
      </c>
      <c r="H757" t="n">
        <v>25.79</v>
      </c>
    </row>
    <row r="758">
      <c r="A758" t="n">
        <v>19</v>
      </c>
      <c r="B758" s="7" t="n">
        <v>45464.95833333334</v>
      </c>
      <c r="C758" t="inlineStr">
        <is>
          <t>C</t>
        </is>
      </c>
      <c r="D758" t="inlineStr">
        <is>
          <t>R3_Optimized</t>
        </is>
      </c>
      <c r="E758" t="inlineStr">
        <is>
          <t>D19_SG08</t>
        </is>
      </c>
      <c r="F758" t="inlineStr">
        <is>
          <t>P0456_2</t>
        </is>
      </c>
      <c r="G758" t="n">
        <v>246.3</v>
      </c>
      <c r="H758" t="n">
        <v>26.11</v>
      </c>
    </row>
    <row r="759">
      <c r="A759" t="n">
        <v>19</v>
      </c>
      <c r="B759" s="7" t="n">
        <v>45464.95833333334</v>
      </c>
      <c r="C759" t="inlineStr">
        <is>
          <t>C</t>
        </is>
      </c>
      <c r="D759" t="inlineStr">
        <is>
          <t>R3_Optimized</t>
        </is>
      </c>
      <c r="E759" t="inlineStr">
        <is>
          <t>D19_SG08</t>
        </is>
      </c>
      <c r="F759" t="inlineStr">
        <is>
          <t>P0456_3</t>
        </is>
      </c>
      <c r="G759" t="n">
        <v>251.6</v>
      </c>
      <c r="H759" t="n">
        <v>26.11</v>
      </c>
    </row>
    <row r="760">
      <c r="A760" t="n">
        <v>19</v>
      </c>
      <c r="B760" s="7" t="n">
        <v>45464.95833333334</v>
      </c>
      <c r="C760" t="inlineStr">
        <is>
          <t>C</t>
        </is>
      </c>
      <c r="D760" t="inlineStr">
        <is>
          <t>R3_Optimized</t>
        </is>
      </c>
      <c r="E760" t="inlineStr">
        <is>
          <t>D19_SG08</t>
        </is>
      </c>
      <c r="F760" t="inlineStr">
        <is>
          <t>P0456_4</t>
        </is>
      </c>
      <c r="G760" t="n">
        <v>243.1</v>
      </c>
      <c r="H760" t="n">
        <v>25.77</v>
      </c>
    </row>
    <row r="761">
      <c r="A761" t="n">
        <v>19</v>
      </c>
      <c r="B761" s="7" t="n">
        <v>45464.95833333334</v>
      </c>
      <c r="C761" t="inlineStr">
        <is>
          <t>C</t>
        </is>
      </c>
      <c r="D761" t="inlineStr">
        <is>
          <t>R3_Optimized</t>
        </is>
      </c>
      <c r="E761" t="inlineStr">
        <is>
          <t>D19_SG08</t>
        </is>
      </c>
      <c r="F761" t="inlineStr">
        <is>
          <t>P0456_5</t>
        </is>
      </c>
      <c r="G761" t="n">
        <v>244.7</v>
      </c>
      <c r="H761" t="n">
        <v>26.35</v>
      </c>
    </row>
    <row r="762">
      <c r="A762" t="n">
        <v>20</v>
      </c>
      <c r="B762" s="7" t="n">
        <v>45465</v>
      </c>
      <c r="C762" t="inlineStr">
        <is>
          <t>A</t>
        </is>
      </c>
      <c r="D762" t="inlineStr">
        <is>
          <t>R3_Optimized</t>
        </is>
      </c>
      <c r="E762" t="inlineStr">
        <is>
          <t>D20_SG01</t>
        </is>
      </c>
      <c r="F762" t="inlineStr">
        <is>
          <t>P0457_1</t>
        </is>
      </c>
      <c r="G762" t="n">
        <v>197.8</v>
      </c>
      <c r="H762" t="n">
        <v>26.87</v>
      </c>
    </row>
    <row r="763">
      <c r="A763" t="n">
        <v>20</v>
      </c>
      <c r="B763" s="7" t="n">
        <v>45465</v>
      </c>
      <c r="C763" t="inlineStr">
        <is>
          <t>A</t>
        </is>
      </c>
      <c r="D763" t="inlineStr">
        <is>
          <t>R3_Optimized</t>
        </is>
      </c>
      <c r="E763" t="inlineStr">
        <is>
          <t>D20_SG01</t>
        </is>
      </c>
      <c r="F763" t="inlineStr">
        <is>
          <t>P0457_2</t>
        </is>
      </c>
      <c r="G763" t="n">
        <v>207</v>
      </c>
      <c r="H763" t="n">
        <v>27.3</v>
      </c>
    </row>
    <row r="764">
      <c r="A764" t="n">
        <v>20</v>
      </c>
      <c r="B764" s="7" t="n">
        <v>45465</v>
      </c>
      <c r="C764" t="inlineStr">
        <is>
          <t>A</t>
        </is>
      </c>
      <c r="D764" t="inlineStr">
        <is>
          <t>R3_Optimized</t>
        </is>
      </c>
      <c r="E764" t="inlineStr">
        <is>
          <t>D20_SG01</t>
        </is>
      </c>
      <c r="F764" t="inlineStr">
        <is>
          <t>P0457_3</t>
        </is>
      </c>
      <c r="G764" t="n">
        <v>206.7</v>
      </c>
      <c r="H764" t="n">
        <v>27.83</v>
      </c>
    </row>
    <row r="765">
      <c r="A765" t="n">
        <v>20</v>
      </c>
      <c r="B765" s="7" t="n">
        <v>45465</v>
      </c>
      <c r="C765" t="inlineStr">
        <is>
          <t>A</t>
        </is>
      </c>
      <c r="D765" t="inlineStr">
        <is>
          <t>R3_Optimized</t>
        </is>
      </c>
      <c r="E765" t="inlineStr">
        <is>
          <t>D20_SG01</t>
        </is>
      </c>
      <c r="F765" t="inlineStr">
        <is>
          <t>P0457_4</t>
        </is>
      </c>
      <c r="G765" t="n">
        <v>215.3</v>
      </c>
      <c r="H765" t="n">
        <v>28.44</v>
      </c>
    </row>
    <row r="766">
      <c r="A766" t="n">
        <v>20</v>
      </c>
      <c r="B766" s="7" t="n">
        <v>45465</v>
      </c>
      <c r="C766" t="inlineStr">
        <is>
          <t>A</t>
        </is>
      </c>
      <c r="D766" t="inlineStr">
        <is>
          <t>R3_Optimized</t>
        </is>
      </c>
      <c r="E766" t="inlineStr">
        <is>
          <t>D20_SG01</t>
        </is>
      </c>
      <c r="F766" t="inlineStr">
        <is>
          <t>P0457_5</t>
        </is>
      </c>
      <c r="G766" t="n">
        <v>215.9</v>
      </c>
      <c r="H766" t="n">
        <v>27.29</v>
      </c>
    </row>
    <row r="767">
      <c r="A767" t="n">
        <v>20</v>
      </c>
      <c r="B767" s="7" t="n">
        <v>45465.125</v>
      </c>
      <c r="C767" t="inlineStr">
        <is>
          <t>A</t>
        </is>
      </c>
      <c r="D767" t="inlineStr">
        <is>
          <t>R3_Optimized</t>
        </is>
      </c>
      <c r="E767" t="inlineStr">
        <is>
          <t>D20_SG02</t>
        </is>
      </c>
      <c r="F767" t="inlineStr">
        <is>
          <t>P0460_1</t>
        </is>
      </c>
      <c r="G767" t="n">
        <v>268.8</v>
      </c>
      <c r="H767" t="n">
        <v>27.83</v>
      </c>
    </row>
    <row r="768">
      <c r="A768" t="n">
        <v>20</v>
      </c>
      <c r="B768" s="7" t="n">
        <v>45465.125</v>
      </c>
      <c r="C768" t="inlineStr">
        <is>
          <t>A</t>
        </is>
      </c>
      <c r="D768" t="inlineStr">
        <is>
          <t>R3_Optimized</t>
        </is>
      </c>
      <c r="E768" t="inlineStr">
        <is>
          <t>D20_SG02</t>
        </is>
      </c>
      <c r="F768" t="inlineStr">
        <is>
          <t>P0460_2</t>
        </is>
      </c>
      <c r="G768" t="n">
        <v>262.1</v>
      </c>
      <c r="H768" t="n">
        <v>27.88</v>
      </c>
    </row>
    <row r="769">
      <c r="A769" t="n">
        <v>20</v>
      </c>
      <c r="B769" s="7" t="n">
        <v>45465.125</v>
      </c>
      <c r="C769" t="inlineStr">
        <is>
          <t>A</t>
        </is>
      </c>
      <c r="D769" t="inlineStr">
        <is>
          <t>R3_Optimized</t>
        </is>
      </c>
      <c r="E769" t="inlineStr">
        <is>
          <t>D20_SG02</t>
        </is>
      </c>
      <c r="F769" t="inlineStr">
        <is>
          <t>P0460_3</t>
        </is>
      </c>
      <c r="G769" t="n">
        <v>270.8</v>
      </c>
      <c r="H769" t="n">
        <v>27.99</v>
      </c>
    </row>
    <row r="770">
      <c r="A770" t="n">
        <v>20</v>
      </c>
      <c r="B770" s="7" t="n">
        <v>45465.125</v>
      </c>
      <c r="C770" t="inlineStr">
        <is>
          <t>A</t>
        </is>
      </c>
      <c r="D770" t="inlineStr">
        <is>
          <t>R3_Optimized</t>
        </is>
      </c>
      <c r="E770" t="inlineStr">
        <is>
          <t>D20_SG02</t>
        </is>
      </c>
      <c r="F770" t="inlineStr">
        <is>
          <t>P0460_4</t>
        </is>
      </c>
      <c r="G770" t="n">
        <v>246.5</v>
      </c>
      <c r="H770" t="n">
        <v>27.21</v>
      </c>
    </row>
    <row r="771">
      <c r="A771" t="n">
        <v>20</v>
      </c>
      <c r="B771" s="7" t="n">
        <v>45465.125</v>
      </c>
      <c r="C771" t="inlineStr">
        <is>
          <t>A</t>
        </is>
      </c>
      <c r="D771" t="inlineStr">
        <is>
          <t>R3_Optimized</t>
        </is>
      </c>
      <c r="E771" t="inlineStr">
        <is>
          <t>D20_SG02</t>
        </is>
      </c>
      <c r="F771" t="inlineStr">
        <is>
          <t>P0460_5</t>
        </is>
      </c>
      <c r="G771" t="n">
        <v>276.3</v>
      </c>
      <c r="H771" t="n">
        <v>27.31</v>
      </c>
    </row>
    <row r="772">
      <c r="A772" t="n">
        <v>20</v>
      </c>
      <c r="B772" s="7" t="n">
        <v>45465.25</v>
      </c>
      <c r="C772" t="inlineStr">
        <is>
          <t>A</t>
        </is>
      </c>
      <c r="D772" t="inlineStr">
        <is>
          <t>R3_Optimized</t>
        </is>
      </c>
      <c r="E772" t="inlineStr">
        <is>
          <t>D20_SG03</t>
        </is>
      </c>
      <c r="F772" t="inlineStr">
        <is>
          <t>P0463_1</t>
        </is>
      </c>
      <c r="G772" t="n">
        <v>230</v>
      </c>
      <c r="H772" t="n">
        <v>27.01</v>
      </c>
    </row>
    <row r="773">
      <c r="A773" t="n">
        <v>20</v>
      </c>
      <c r="B773" s="7" t="n">
        <v>45465.25</v>
      </c>
      <c r="C773" t="inlineStr">
        <is>
          <t>A</t>
        </is>
      </c>
      <c r="D773" t="inlineStr">
        <is>
          <t>R3_Optimized</t>
        </is>
      </c>
      <c r="E773" t="inlineStr">
        <is>
          <t>D20_SG03</t>
        </is>
      </c>
      <c r="F773" t="inlineStr">
        <is>
          <t>P0463_2</t>
        </is>
      </c>
      <c r="G773" t="n">
        <v>221.8</v>
      </c>
      <c r="H773" t="n">
        <v>26.98</v>
      </c>
    </row>
    <row r="774">
      <c r="A774" t="n">
        <v>20</v>
      </c>
      <c r="B774" s="7" t="n">
        <v>45465.25</v>
      </c>
      <c r="C774" t="inlineStr">
        <is>
          <t>A</t>
        </is>
      </c>
      <c r="D774" t="inlineStr">
        <is>
          <t>R3_Optimized</t>
        </is>
      </c>
      <c r="E774" t="inlineStr">
        <is>
          <t>D20_SG03</t>
        </is>
      </c>
      <c r="F774" t="inlineStr">
        <is>
          <t>P0463_3</t>
        </is>
      </c>
      <c r="G774" t="n">
        <v>226.4</v>
      </c>
      <c r="H774" t="n">
        <v>26.7</v>
      </c>
    </row>
    <row r="775">
      <c r="A775" t="n">
        <v>20</v>
      </c>
      <c r="B775" s="7" t="n">
        <v>45465.25</v>
      </c>
      <c r="C775" t="inlineStr">
        <is>
          <t>A</t>
        </is>
      </c>
      <c r="D775" t="inlineStr">
        <is>
          <t>R3_Optimized</t>
        </is>
      </c>
      <c r="E775" t="inlineStr">
        <is>
          <t>D20_SG03</t>
        </is>
      </c>
      <c r="F775" t="inlineStr">
        <is>
          <t>P0463_4</t>
        </is>
      </c>
      <c r="G775" t="n">
        <v>215.3</v>
      </c>
      <c r="H775" t="n">
        <v>26.53</v>
      </c>
    </row>
    <row r="776">
      <c r="A776" t="n">
        <v>20</v>
      </c>
      <c r="B776" s="7" t="n">
        <v>45465.25</v>
      </c>
      <c r="C776" t="inlineStr">
        <is>
          <t>A</t>
        </is>
      </c>
      <c r="D776" t="inlineStr">
        <is>
          <t>R3_Optimized</t>
        </is>
      </c>
      <c r="E776" t="inlineStr">
        <is>
          <t>D20_SG03</t>
        </is>
      </c>
      <c r="F776" t="inlineStr">
        <is>
          <t>P0463_5</t>
        </is>
      </c>
      <c r="G776" t="n">
        <v>215.9</v>
      </c>
      <c r="H776" t="n">
        <v>26.65</v>
      </c>
    </row>
    <row r="777">
      <c r="A777" t="n">
        <v>20</v>
      </c>
      <c r="B777" s="7" t="n">
        <v>45465.375</v>
      </c>
      <c r="C777" t="inlineStr">
        <is>
          <t>B</t>
        </is>
      </c>
      <c r="D777" t="inlineStr">
        <is>
          <t>R3_Optimized</t>
        </is>
      </c>
      <c r="E777" t="inlineStr">
        <is>
          <t>D20_SG04</t>
        </is>
      </c>
      <c r="F777" t="inlineStr">
        <is>
          <t>P0466_1</t>
        </is>
      </c>
      <c r="G777" t="n">
        <v>226.6</v>
      </c>
      <c r="H777" t="n">
        <v>29.86</v>
      </c>
    </row>
    <row r="778">
      <c r="A778" t="n">
        <v>20</v>
      </c>
      <c r="B778" s="7" t="n">
        <v>45465.375</v>
      </c>
      <c r="C778" t="inlineStr">
        <is>
          <t>B</t>
        </is>
      </c>
      <c r="D778" t="inlineStr">
        <is>
          <t>R3_Optimized</t>
        </is>
      </c>
      <c r="E778" t="inlineStr">
        <is>
          <t>D20_SG04</t>
        </is>
      </c>
      <c r="F778" t="inlineStr">
        <is>
          <t>P0466_2</t>
        </is>
      </c>
      <c r="G778" t="n">
        <v>229.8</v>
      </c>
      <c r="H778" t="n">
        <v>28.68</v>
      </c>
    </row>
    <row r="779">
      <c r="A779" t="n">
        <v>20</v>
      </c>
      <c r="B779" s="7" t="n">
        <v>45465.375</v>
      </c>
      <c r="C779" t="inlineStr">
        <is>
          <t>B</t>
        </is>
      </c>
      <c r="D779" t="inlineStr">
        <is>
          <t>R3_Optimized</t>
        </is>
      </c>
      <c r="E779" t="inlineStr">
        <is>
          <t>D20_SG04</t>
        </is>
      </c>
      <c r="F779" t="inlineStr">
        <is>
          <t>P0466_3</t>
        </is>
      </c>
      <c r="G779" t="n">
        <v>226.7</v>
      </c>
      <c r="H779" t="n">
        <v>28.21</v>
      </c>
    </row>
    <row r="780">
      <c r="A780" t="n">
        <v>20</v>
      </c>
      <c r="B780" s="7" t="n">
        <v>45465.375</v>
      </c>
      <c r="C780" t="inlineStr">
        <is>
          <t>B</t>
        </is>
      </c>
      <c r="D780" t="inlineStr">
        <is>
          <t>R3_Optimized</t>
        </is>
      </c>
      <c r="E780" t="inlineStr">
        <is>
          <t>D20_SG04</t>
        </is>
      </c>
      <c r="F780" t="inlineStr">
        <is>
          <t>P0466_4</t>
        </is>
      </c>
      <c r="G780" t="n">
        <v>217.8</v>
      </c>
      <c r="H780" t="n">
        <v>29.02</v>
      </c>
    </row>
    <row r="781">
      <c r="A781" t="n">
        <v>20</v>
      </c>
      <c r="B781" s="7" t="n">
        <v>45465.375</v>
      </c>
      <c r="C781" t="inlineStr">
        <is>
          <t>B</t>
        </is>
      </c>
      <c r="D781" t="inlineStr">
        <is>
          <t>R3_Optimized</t>
        </is>
      </c>
      <c r="E781" t="inlineStr">
        <is>
          <t>D20_SG04</t>
        </is>
      </c>
      <c r="F781" t="inlineStr">
        <is>
          <t>P0466_5</t>
        </is>
      </c>
      <c r="G781" t="n">
        <v>230.8</v>
      </c>
      <c r="H781" t="n">
        <v>28.77</v>
      </c>
    </row>
    <row r="782">
      <c r="A782" t="n">
        <v>20</v>
      </c>
      <c r="B782" s="7" t="n">
        <v>45465.54166666666</v>
      </c>
      <c r="C782" t="inlineStr">
        <is>
          <t>B</t>
        </is>
      </c>
      <c r="D782" t="inlineStr">
        <is>
          <t>R3_Optimized</t>
        </is>
      </c>
      <c r="E782" t="inlineStr">
        <is>
          <t>D20_SG05</t>
        </is>
      </c>
      <c r="F782" t="inlineStr">
        <is>
          <t>P0470_1</t>
        </is>
      </c>
      <c r="G782" t="n">
        <v>281.9</v>
      </c>
      <c r="H782" t="n">
        <v>27.95</v>
      </c>
    </row>
    <row r="783">
      <c r="A783" t="n">
        <v>20</v>
      </c>
      <c r="B783" s="7" t="n">
        <v>45465.54166666666</v>
      </c>
      <c r="C783" t="inlineStr">
        <is>
          <t>B</t>
        </is>
      </c>
      <c r="D783" t="inlineStr">
        <is>
          <t>R3_Optimized</t>
        </is>
      </c>
      <c r="E783" t="inlineStr">
        <is>
          <t>D20_SG05</t>
        </is>
      </c>
      <c r="F783" t="inlineStr">
        <is>
          <t>P0470_2</t>
        </is>
      </c>
      <c r="G783" t="n">
        <v>253.4</v>
      </c>
      <c r="H783" t="n">
        <v>27.73</v>
      </c>
    </row>
    <row r="784">
      <c r="A784" t="n">
        <v>20</v>
      </c>
      <c r="B784" s="7" t="n">
        <v>45465.54166666666</v>
      </c>
      <c r="C784" t="inlineStr">
        <is>
          <t>B</t>
        </is>
      </c>
      <c r="D784" t="inlineStr">
        <is>
          <t>R3_Optimized</t>
        </is>
      </c>
      <c r="E784" t="inlineStr">
        <is>
          <t>D20_SG05</t>
        </is>
      </c>
      <c r="F784" t="inlineStr">
        <is>
          <t>P0470_3</t>
        </is>
      </c>
      <c r="G784" t="n">
        <v>275.2</v>
      </c>
      <c r="H784" t="n">
        <v>27.63</v>
      </c>
    </row>
    <row r="785">
      <c r="A785" t="n">
        <v>20</v>
      </c>
      <c r="B785" s="7" t="n">
        <v>45465.54166666666</v>
      </c>
      <c r="C785" t="inlineStr">
        <is>
          <t>B</t>
        </is>
      </c>
      <c r="D785" t="inlineStr">
        <is>
          <t>R3_Optimized</t>
        </is>
      </c>
      <c r="E785" t="inlineStr">
        <is>
          <t>D20_SG05</t>
        </is>
      </c>
      <c r="F785" t="inlineStr">
        <is>
          <t>P0470_4</t>
        </is>
      </c>
      <c r="G785" t="n">
        <v>276.4</v>
      </c>
      <c r="H785" t="n">
        <v>27.57</v>
      </c>
    </row>
    <row r="786">
      <c r="A786" t="n">
        <v>20</v>
      </c>
      <c r="B786" s="7" t="n">
        <v>45465.54166666666</v>
      </c>
      <c r="C786" t="inlineStr">
        <is>
          <t>B</t>
        </is>
      </c>
      <c r="D786" t="inlineStr">
        <is>
          <t>R3_Optimized</t>
        </is>
      </c>
      <c r="E786" t="inlineStr">
        <is>
          <t>D20_SG05</t>
        </is>
      </c>
      <c r="F786" t="inlineStr">
        <is>
          <t>P0470_5</t>
        </is>
      </c>
      <c r="G786" t="n">
        <v>278.8</v>
      </c>
      <c r="H786" t="n">
        <v>27.63</v>
      </c>
    </row>
    <row r="787">
      <c r="A787" t="n">
        <v>20</v>
      </c>
      <c r="B787" s="7" t="n">
        <v>45465.66666666666</v>
      </c>
      <c r="C787" t="inlineStr">
        <is>
          <t>C</t>
        </is>
      </c>
      <c r="D787" t="inlineStr">
        <is>
          <t>R3_Optimized</t>
        </is>
      </c>
      <c r="E787" t="inlineStr">
        <is>
          <t>D20_SG06</t>
        </is>
      </c>
      <c r="F787" t="inlineStr">
        <is>
          <t>P0473_1</t>
        </is>
      </c>
      <c r="G787" t="n">
        <v>248.6</v>
      </c>
      <c r="H787" t="n">
        <v>27.88</v>
      </c>
    </row>
    <row r="788">
      <c r="A788" t="n">
        <v>20</v>
      </c>
      <c r="B788" s="7" t="n">
        <v>45465.66666666666</v>
      </c>
      <c r="C788" t="inlineStr">
        <is>
          <t>C</t>
        </is>
      </c>
      <c r="D788" t="inlineStr">
        <is>
          <t>R3_Optimized</t>
        </is>
      </c>
      <c r="E788" t="inlineStr">
        <is>
          <t>D20_SG06</t>
        </is>
      </c>
      <c r="F788" t="inlineStr">
        <is>
          <t>P0473_2</t>
        </is>
      </c>
      <c r="G788" t="n">
        <v>241</v>
      </c>
      <c r="H788" t="n">
        <v>27.08</v>
      </c>
    </row>
    <row r="789">
      <c r="A789" t="n">
        <v>20</v>
      </c>
      <c r="B789" s="7" t="n">
        <v>45465.66666666666</v>
      </c>
      <c r="C789" t="inlineStr">
        <is>
          <t>C</t>
        </is>
      </c>
      <c r="D789" t="inlineStr">
        <is>
          <t>R3_Optimized</t>
        </is>
      </c>
      <c r="E789" t="inlineStr">
        <is>
          <t>D20_SG06</t>
        </is>
      </c>
      <c r="F789" t="inlineStr">
        <is>
          <t>P0473_3</t>
        </is>
      </c>
      <c r="G789" t="n">
        <v>237.3</v>
      </c>
      <c r="H789" t="n">
        <v>28.79</v>
      </c>
    </row>
    <row r="790">
      <c r="A790" t="n">
        <v>20</v>
      </c>
      <c r="B790" s="7" t="n">
        <v>45465.66666666666</v>
      </c>
      <c r="C790" t="inlineStr">
        <is>
          <t>C</t>
        </is>
      </c>
      <c r="D790" t="inlineStr">
        <is>
          <t>R3_Optimized</t>
        </is>
      </c>
      <c r="E790" t="inlineStr">
        <is>
          <t>D20_SG06</t>
        </is>
      </c>
      <c r="F790" t="inlineStr">
        <is>
          <t>P0473_4</t>
        </is>
      </c>
      <c r="G790" t="n">
        <v>286.1</v>
      </c>
      <c r="H790" t="n">
        <v>29.06</v>
      </c>
    </row>
    <row r="791">
      <c r="A791" t="n">
        <v>20</v>
      </c>
      <c r="B791" s="7" t="n">
        <v>45465.66666666666</v>
      </c>
      <c r="C791" t="inlineStr">
        <is>
          <t>C</t>
        </is>
      </c>
      <c r="D791" t="inlineStr">
        <is>
          <t>R3_Optimized</t>
        </is>
      </c>
      <c r="E791" t="inlineStr">
        <is>
          <t>D20_SG06</t>
        </is>
      </c>
      <c r="F791" t="inlineStr">
        <is>
          <t>P0473_5</t>
        </is>
      </c>
      <c r="G791" t="n">
        <v>237.3</v>
      </c>
      <c r="H791" t="n">
        <v>27.64</v>
      </c>
    </row>
    <row r="792">
      <c r="A792" t="n">
        <v>20</v>
      </c>
      <c r="B792" s="7" t="n">
        <v>45465.79166666666</v>
      </c>
      <c r="C792" t="inlineStr">
        <is>
          <t>C</t>
        </is>
      </c>
      <c r="D792" t="inlineStr">
        <is>
          <t>R3_Optimized</t>
        </is>
      </c>
      <c r="E792" t="inlineStr">
        <is>
          <t>D20_SG07</t>
        </is>
      </c>
      <c r="F792" t="inlineStr">
        <is>
          <t>P0476_1</t>
        </is>
      </c>
      <c r="G792" t="n">
        <v>258.6</v>
      </c>
      <c r="H792" t="n">
        <v>27.12</v>
      </c>
    </row>
    <row r="793">
      <c r="A793" t="n">
        <v>20</v>
      </c>
      <c r="B793" s="7" t="n">
        <v>45465.79166666666</v>
      </c>
      <c r="C793" t="inlineStr">
        <is>
          <t>C</t>
        </is>
      </c>
      <c r="D793" t="inlineStr">
        <is>
          <t>R3_Optimized</t>
        </is>
      </c>
      <c r="E793" t="inlineStr">
        <is>
          <t>D20_SG07</t>
        </is>
      </c>
      <c r="F793" t="inlineStr">
        <is>
          <t>P0476_2</t>
        </is>
      </c>
      <c r="G793" t="n">
        <v>241.7</v>
      </c>
      <c r="H793" t="n">
        <v>26.87</v>
      </c>
    </row>
    <row r="794">
      <c r="A794" t="n">
        <v>20</v>
      </c>
      <c r="B794" s="7" t="n">
        <v>45465.79166666666</v>
      </c>
      <c r="C794" t="inlineStr">
        <is>
          <t>C</t>
        </is>
      </c>
      <c r="D794" t="inlineStr">
        <is>
          <t>R3_Optimized</t>
        </is>
      </c>
      <c r="E794" t="inlineStr">
        <is>
          <t>D20_SG07</t>
        </is>
      </c>
      <c r="F794" t="inlineStr">
        <is>
          <t>P0476_3</t>
        </is>
      </c>
      <c r="G794" t="n">
        <v>251.3</v>
      </c>
      <c r="H794" t="n">
        <v>26.99</v>
      </c>
    </row>
    <row r="795">
      <c r="A795" t="n">
        <v>20</v>
      </c>
      <c r="B795" s="7" t="n">
        <v>45465.79166666666</v>
      </c>
      <c r="C795" t="inlineStr">
        <is>
          <t>C</t>
        </is>
      </c>
      <c r="D795" t="inlineStr">
        <is>
          <t>R3_Optimized</t>
        </is>
      </c>
      <c r="E795" t="inlineStr">
        <is>
          <t>D20_SG07</t>
        </is>
      </c>
      <c r="F795" t="inlineStr">
        <is>
          <t>P0476_4</t>
        </is>
      </c>
      <c r="G795" t="n">
        <v>274.4</v>
      </c>
      <c r="H795" t="n">
        <v>26.76</v>
      </c>
    </row>
    <row r="796">
      <c r="A796" t="n">
        <v>20</v>
      </c>
      <c r="B796" s="7" t="n">
        <v>45465.79166666666</v>
      </c>
      <c r="C796" t="inlineStr">
        <is>
          <t>C</t>
        </is>
      </c>
      <c r="D796" t="inlineStr">
        <is>
          <t>R3_Optimized</t>
        </is>
      </c>
      <c r="E796" t="inlineStr">
        <is>
          <t>D20_SG07</t>
        </is>
      </c>
      <c r="F796" t="inlineStr">
        <is>
          <t>P0476_5</t>
        </is>
      </c>
      <c r="G796" t="n">
        <v>273.7</v>
      </c>
      <c r="H796" t="n">
        <v>27.4</v>
      </c>
    </row>
    <row r="797">
      <c r="A797" t="n">
        <v>20</v>
      </c>
      <c r="B797" s="7" t="n">
        <v>45465.95833333334</v>
      </c>
      <c r="C797" t="inlineStr">
        <is>
          <t>C</t>
        </is>
      </c>
      <c r="D797" t="inlineStr">
        <is>
          <t>R3_Optimized</t>
        </is>
      </c>
      <c r="E797" t="inlineStr">
        <is>
          <t>D20_SG08</t>
        </is>
      </c>
      <c r="F797" t="inlineStr">
        <is>
          <t>P0480_1</t>
        </is>
      </c>
      <c r="G797" t="n">
        <v>249.1</v>
      </c>
      <c r="H797" t="n">
        <v>26.19</v>
      </c>
    </row>
    <row r="798">
      <c r="A798" t="n">
        <v>20</v>
      </c>
      <c r="B798" s="7" t="n">
        <v>45465.95833333334</v>
      </c>
      <c r="C798" t="inlineStr">
        <is>
          <t>C</t>
        </is>
      </c>
      <c r="D798" t="inlineStr">
        <is>
          <t>R3_Optimized</t>
        </is>
      </c>
      <c r="E798" t="inlineStr">
        <is>
          <t>D20_SG08</t>
        </is>
      </c>
      <c r="F798" t="inlineStr">
        <is>
          <t>P0480_2</t>
        </is>
      </c>
      <c r="G798" t="n">
        <v>256.2</v>
      </c>
      <c r="H798" t="n">
        <v>26.18</v>
      </c>
    </row>
    <row r="799">
      <c r="A799" t="n">
        <v>20</v>
      </c>
      <c r="B799" s="7" t="n">
        <v>45465.95833333334</v>
      </c>
      <c r="C799" t="inlineStr">
        <is>
          <t>C</t>
        </is>
      </c>
      <c r="D799" t="inlineStr">
        <is>
          <t>R3_Optimized</t>
        </is>
      </c>
      <c r="E799" t="inlineStr">
        <is>
          <t>D20_SG08</t>
        </is>
      </c>
      <c r="F799" t="inlineStr">
        <is>
          <t>P0480_3</t>
        </is>
      </c>
      <c r="G799" t="n">
        <v>267.5</v>
      </c>
      <c r="H799" t="n">
        <v>25.82</v>
      </c>
    </row>
    <row r="800">
      <c r="A800" t="n">
        <v>20</v>
      </c>
      <c r="B800" s="7" t="n">
        <v>45465.95833333334</v>
      </c>
      <c r="C800" t="inlineStr">
        <is>
          <t>C</t>
        </is>
      </c>
      <c r="D800" t="inlineStr">
        <is>
          <t>R3_Optimized</t>
        </is>
      </c>
      <c r="E800" t="inlineStr">
        <is>
          <t>D20_SG08</t>
        </is>
      </c>
      <c r="F800" t="inlineStr">
        <is>
          <t>P0480_4</t>
        </is>
      </c>
      <c r="G800" t="n">
        <v>242.5</v>
      </c>
      <c r="H800" t="n">
        <v>25.56</v>
      </c>
    </row>
    <row r="801">
      <c r="A801" t="n">
        <v>20</v>
      </c>
      <c r="B801" s="7" t="n">
        <v>45465.95833333334</v>
      </c>
      <c r="C801" t="inlineStr">
        <is>
          <t>C</t>
        </is>
      </c>
      <c r="D801" t="inlineStr">
        <is>
          <t>R3_Optimized</t>
        </is>
      </c>
      <c r="E801" t="inlineStr">
        <is>
          <t>D20_SG08</t>
        </is>
      </c>
      <c r="F801" t="inlineStr">
        <is>
          <t>P0480_5</t>
        </is>
      </c>
      <c r="G801" t="n">
        <v>240.7</v>
      </c>
      <c r="H801" t="n">
        <v>26.35</v>
      </c>
    </row>
  </sheetData>
  <autoFilter ref="A1:H24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36" customWidth="1" min="6" max="6"/>
  </cols>
  <sheetData>
    <row r="1" ht="28" customHeight="1">
      <c r="A1" s="4" t="inlineStr">
        <is>
          <t>Characteristic</t>
        </is>
      </c>
      <c r="B1" s="4" t="inlineStr">
        <is>
          <t>Unit</t>
        </is>
      </c>
      <c r="C1" s="4" t="inlineStr">
        <is>
          <t>LSL</t>
        </is>
      </c>
      <c r="D1" s="4" t="inlineStr">
        <is>
          <t>USL</t>
        </is>
      </c>
      <c r="E1" s="4" t="inlineStr">
        <is>
          <t>Direction</t>
        </is>
      </c>
      <c r="F1" s="4" t="inlineStr">
        <is>
          <t>Notes</t>
        </is>
      </c>
    </row>
    <row r="2">
      <c r="A2" t="inlineStr">
        <is>
          <t>CCS_kg</t>
        </is>
      </c>
      <c r="B2" t="inlineStr">
        <is>
          <t>kg/pellet</t>
        </is>
      </c>
      <c r="C2" t="n">
        <v>250</v>
      </c>
      <c r="E2" t="inlineStr">
        <is>
          <t>Lower only</t>
        </is>
      </c>
      <c r="F2" t="inlineStr">
        <is>
          <t>Example from chapter; Cp undefined</t>
        </is>
      </c>
    </row>
    <row r="3">
      <c r="A3" t="inlineStr">
        <is>
          <t>Porosity_pct</t>
        </is>
      </c>
      <c r="B3" t="inlineStr">
        <is>
          <t>%</t>
        </is>
      </c>
      <c r="C3" t="n">
        <v>22</v>
      </c>
      <c r="D3" t="n">
        <v>30</v>
      </c>
      <c r="E3" t="inlineStr">
        <is>
          <t>Two-sided</t>
        </is>
      </c>
      <c r="F3" t="inlineStr">
        <is>
          <t>Illustrative bounded response</t>
        </is>
      </c>
    </row>
    <row r="4">
      <c r="A4" t="inlineStr">
        <is>
          <t>TI_pct</t>
        </is>
      </c>
      <c r="B4" t="inlineStr">
        <is>
          <t>%</t>
        </is>
      </c>
      <c r="C4" t="n">
        <v>94</v>
      </c>
      <c r="E4" t="inlineStr">
        <is>
          <t>Lower only</t>
        </is>
      </c>
      <c r="F4" t="inlineStr">
        <is>
          <t>Illustrative training limit</t>
        </is>
      </c>
    </row>
    <row r="5">
      <c r="A5" t="inlineStr">
        <is>
          <t>Abrasion_pct</t>
        </is>
      </c>
      <c r="B5" t="inlineStr">
        <is>
          <t>%</t>
        </is>
      </c>
      <c r="D5" t="n">
        <v>6.5</v>
      </c>
      <c r="E5" t="inlineStr">
        <is>
          <t>Upper only</t>
        </is>
      </c>
      <c r="F5" t="inlineStr">
        <is>
          <t>Illustrative training limit</t>
        </is>
      </c>
    </row>
    <row r="6">
      <c r="A6" t="inlineStr">
        <is>
          <t>FeO</t>
        </is>
      </c>
      <c r="B6" t="inlineStr">
        <is>
          <t>%</t>
        </is>
      </c>
      <c r="D6" t="n">
        <v>4</v>
      </c>
      <c r="E6" t="inlineStr">
        <is>
          <t>Upper only</t>
        </is>
      </c>
      <c r="F6" t="inlineStr">
        <is>
          <t>Illustrative training limit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05" customWidth="1" min="3" max="3"/>
  </cols>
  <sheetData>
    <row r="1" ht="28" customHeight="1">
      <c r="A1" s="1" t="inlineStr">
        <is>
          <t>Capability calculation template</t>
        </is>
      </c>
      <c r="B1" s="1" t="inlineStr">
        <is>
          <t>Value / formula</t>
        </is>
      </c>
      <c r="C1" s="1" t="inlineStr">
        <is>
          <t>Notes</t>
        </is>
      </c>
    </row>
    <row r="2" ht="34" customHeight="1">
      <c r="A2" s="6" t="inlineStr">
        <is>
          <t>Measure</t>
        </is>
      </c>
      <c r="B2" s="6" t="inlineStr">
        <is>
          <t>CCS_kg</t>
        </is>
      </c>
      <c r="C2" s="6" t="inlineStr">
        <is>
          <t>Change measure and formula ranges if needed.</t>
        </is>
      </c>
    </row>
    <row r="3" ht="34" customHeight="1">
      <c r="A3" s="6" t="inlineStr">
        <is>
          <t>LSL</t>
        </is>
      </c>
      <c r="B3" s="6">
        <f>specs!C2</f>
        <v/>
      </c>
      <c r="C3" s="6" t="inlineStr">
        <is>
          <t>CCS has lower spec only; no Cp.</t>
        </is>
      </c>
    </row>
    <row r="4" ht="34" customHeight="1">
      <c r="A4" s="6" t="inlineStr">
        <is>
          <t>USL</t>
        </is>
      </c>
      <c r="B4" s="6">
        <f>specs!D2</f>
        <v/>
      </c>
      <c r="C4" s="6" t="inlineStr">
        <is>
          <t>Blank for CCS.</t>
        </is>
      </c>
    </row>
    <row r="5" ht="34" customHeight="1">
      <c r="A5" s="6" t="inlineStr">
        <is>
          <t>n valid</t>
        </is>
      </c>
      <c r="B5" s="6">
        <f>COUNT(data_long!P2:P481)</f>
        <v/>
      </c>
      <c r="C5" s="6" t="inlineStr">
        <is>
          <t>Excludes blanks.</t>
        </is>
      </c>
    </row>
    <row r="6" ht="34" customHeight="1">
      <c r="A6" s="6" t="inlineStr">
        <is>
          <t>Mean</t>
        </is>
      </c>
      <c r="B6" s="6">
        <f>AVERAGE(data_long!P2:P481)</f>
        <v/>
      </c>
      <c r="C6" s="6" t="inlineStr"/>
    </row>
    <row r="7" ht="34" customHeight="1">
      <c r="A7" s="6" t="inlineStr">
        <is>
          <t>Std dev (sample)</t>
        </is>
      </c>
      <c r="B7" s="6">
        <f>STDEV.S(data_long!P2:P481)</f>
        <v/>
      </c>
      <c r="C7" s="6" t="inlineStr">
        <is>
          <t>Overall sample standard deviation; not within sigma.</t>
        </is>
      </c>
    </row>
    <row r="8" ht="34" customHeight="1">
      <c r="A8" s="6" t="inlineStr">
        <is>
          <t>Median</t>
        </is>
      </c>
      <c r="B8" s="6">
        <f>MEDIAN(data_long!P2:P481)</f>
        <v/>
      </c>
      <c r="C8" s="6" t="inlineStr"/>
    </row>
    <row r="9" ht="34" customHeight="1">
      <c r="A9" s="6" t="inlineStr">
        <is>
          <t>Skewness</t>
        </is>
      </c>
      <c r="B9" s="6">
        <f>SKEW(data_long!P2:P481)</f>
        <v/>
      </c>
      <c r="C9" s="6" t="inlineStr">
        <is>
          <t>Excel SKEW sample estimate.</t>
        </is>
      </c>
    </row>
    <row r="10" ht="34" customHeight="1">
      <c r="A10" s="6" t="inlineStr">
        <is>
          <t>Excess kurtosis</t>
        </is>
      </c>
      <c r="B10" s="6">
        <f>KURT(data_long!P2:P481)</f>
        <v/>
      </c>
      <c r="C10" s="6" t="inlineStr">
        <is>
          <t>Excel KURT returns excess kurtosis.</t>
        </is>
      </c>
    </row>
    <row r="11" ht="34" customHeight="1">
      <c r="A11" s="6" t="inlineStr">
        <is>
          <t>Normal Cpl (LSL only)</t>
        </is>
      </c>
      <c r="B11" s="6">
        <f>IF(B3="","",(B6-B3)/(3*B7))</f>
        <v/>
      </c>
      <c r="C11" s="6" t="inlineStr">
        <is>
          <t>Classical estimate; interpretation assumes stable, approximately normal process.</t>
        </is>
      </c>
    </row>
    <row r="12" ht="34" customHeight="1">
      <c r="A12" s="6" t="inlineStr">
        <is>
          <t>Normal Cpu (USL only)</t>
        </is>
      </c>
      <c r="B12" s="6">
        <f>IF(B4="","",(B4-B6)/(3*B7))</f>
        <v/>
      </c>
      <c r="C12" s="6" t="inlineStr"/>
    </row>
    <row r="13" ht="34" customHeight="1">
      <c r="A13" s="6" t="inlineStr">
        <is>
          <t>Normal Cpk</t>
        </is>
      </c>
      <c r="B13" s="6">
        <f>IF(AND(B3&lt;&gt;"",B4&lt;&gt;""),MIN((B4-B6)/(3*B7),(B6-B3)/(3*B7)),IF(B3&lt;&gt;"",(B6-B3)/(3*B7),IF(B4&lt;&gt;"",(B4-B6)/(3*B7),"")))</f>
        <v/>
      </c>
      <c r="C13" s="6" t="inlineStr">
        <is>
          <t>One-sided reduces to Cpl or Cpu; not Cp when only one limit.</t>
        </is>
      </c>
    </row>
    <row r="14" ht="34" customHeight="1">
      <c r="A14" s="6" t="inlineStr">
        <is>
          <t>Observed below LSL</t>
        </is>
      </c>
      <c r="B14" s="6">
        <f>IF(B3="","",COUNTIF(data_long!P2:P481,"&lt;"&amp;B3)/COUNT(data_long!P2:P481))</f>
        <v/>
      </c>
      <c r="C14" s="6" t="inlineStr">
        <is>
          <t>Empirical fraction among valid observations.</t>
        </is>
      </c>
    </row>
    <row r="15" ht="34" customHeight="1">
      <c r="A15" s="6" t="inlineStr">
        <is>
          <t>Observed above USL</t>
        </is>
      </c>
      <c r="B15" s="6">
        <f>IF(B4="","",COUNTIF(data_long!P2:P481,"&gt;"&amp;B4)/COUNT(data_long!P2:P481))</f>
        <v/>
      </c>
      <c r="C15" s="6" t="inlineStr"/>
    </row>
    <row r="16" ht="34" customHeight="1">
      <c r="A16" s="6" t="inlineStr">
        <is>
          <t>Observed total nonconforming</t>
        </is>
      </c>
      <c r="B16" s="6">
        <f>IF(B3="",0,B14)+IF(B4="",0,B15)</f>
        <v/>
      </c>
      <c r="C16" s="6" t="inlineStr">
        <is>
          <t>For two-sided specs, sums both tails.</t>
        </is>
      </c>
    </row>
    <row r="17" ht="34" customHeight="1">
      <c r="A17" s="6" t="inlineStr">
        <is>
          <t>Box-Cox transform (LAMBDA placeholder)</t>
        </is>
      </c>
      <c r="B17" s="6">
        <f>LAMBDA(x,lambda,IF(ABS(lambda)&lt;1E-10,LN(x),(x^lambda-1)/lambda))</f>
        <v/>
      </c>
      <c r="C17" s="6" t="inlineStr">
        <is>
          <t>Excel 365 function definition only: apply as =BoxCox(A2,lambda), after defining name; estimate lambda outside this template. Transform both data and specification limits.</t>
        </is>
      </c>
    </row>
    <row r="18" ht="34" customHeight="1">
      <c r="A18" s="6" t="inlineStr">
        <is>
          <t>Suggested procedure</t>
        </is>
      </c>
      <c r="B18" s="6" t="inlineStr"/>
      <c r="C18" s="6" t="inlineStr">
        <is>
          <t>Use histogram/probability plot + AD + process context. Prefer fitted nonnormal distribution / Box-Cox / Johnson as justified; report expected nonconformance and uncertainty.</t>
        </is>
      </c>
    </row>
    <row r="19" ht="34" customHeight="1">
      <c r="A19" s="6" t="inlineStr">
        <is>
          <t>Warning</t>
        </is>
      </c>
      <c r="B19" s="6" t="inlineStr"/>
      <c r="C19" s="6" t="inlineStr">
        <is>
          <t>This dataset deliberately contains regime mixture, special cause, missing values and flagged outliers; capability on all rows is pedagogical, not a valid production conclusion.</t>
        </is>
      </c>
    </row>
  </sheetData>
  <autoFilter ref="A1:C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</cols>
  <sheetData>
    <row r="1" ht="28" customHeight="1">
      <c r="A1" s="4" t="inlineStr">
        <is>
          <t>Observation</t>
        </is>
      </c>
      <c r="B1" s="4" t="inlineStr">
        <is>
          <t>CCS_kg_per_pellet</t>
        </is>
      </c>
    </row>
    <row r="2">
      <c r="A2" t="n">
        <v>1</v>
      </c>
      <c r="B2" t="n">
        <v>218</v>
      </c>
    </row>
    <row r="3">
      <c r="A3" t="n">
        <v>2</v>
      </c>
      <c r="B3" t="n">
        <v>225</v>
      </c>
    </row>
    <row r="4">
      <c r="A4" t="n">
        <v>3</v>
      </c>
      <c r="B4" t="n">
        <v>238</v>
      </c>
    </row>
    <row r="5">
      <c r="A5" t="n">
        <v>4</v>
      </c>
      <c r="B5" t="n">
        <v>242</v>
      </c>
    </row>
    <row r="6">
      <c r="A6" t="n">
        <v>5</v>
      </c>
      <c r="B6" t="n">
        <v>248</v>
      </c>
    </row>
    <row r="7">
      <c r="A7" t="n">
        <v>6</v>
      </c>
      <c r="B7" t="n">
        <v>252</v>
      </c>
    </row>
    <row r="8">
      <c r="A8" t="n">
        <v>7</v>
      </c>
      <c r="B8" t="n">
        <v>255</v>
      </c>
    </row>
    <row r="9">
      <c r="A9" t="n">
        <v>8</v>
      </c>
      <c r="B9" t="n">
        <v>256</v>
      </c>
    </row>
    <row r="10">
      <c r="A10" t="n">
        <v>9</v>
      </c>
      <c r="B10" t="n">
        <v>259</v>
      </c>
    </row>
    <row r="11">
      <c r="A11" t="n">
        <v>10</v>
      </c>
      <c r="B11" t="n">
        <v>260</v>
      </c>
    </row>
    <row r="12">
      <c r="A12" t="n">
        <v>11</v>
      </c>
      <c r="B12" t="n">
        <v>261</v>
      </c>
    </row>
    <row r="13">
      <c r="A13" t="n">
        <v>12</v>
      </c>
      <c r="B13" t="n">
        <v>262</v>
      </c>
    </row>
    <row r="14">
      <c r="A14" t="n">
        <v>13</v>
      </c>
      <c r="B14" t="n">
        <v>263</v>
      </c>
    </row>
    <row r="15">
      <c r="A15" t="n">
        <v>14</v>
      </c>
      <c r="B15" t="n">
        <v>265</v>
      </c>
    </row>
    <row r="16">
      <c r="A16" t="n">
        <v>15</v>
      </c>
      <c r="B16" t="n">
        <v>266</v>
      </c>
    </row>
    <row r="17">
      <c r="A17" t="n">
        <v>16</v>
      </c>
      <c r="B17" t="n">
        <v>268</v>
      </c>
    </row>
    <row r="18">
      <c r="A18" t="n">
        <v>17</v>
      </c>
      <c r="B18" t="n">
        <v>269</v>
      </c>
    </row>
    <row r="19">
      <c r="A19" t="n">
        <v>18</v>
      </c>
      <c r="B19" t="n">
        <v>270</v>
      </c>
    </row>
    <row r="20">
      <c r="A20" t="n">
        <v>19</v>
      </c>
      <c r="B20" t="n">
        <v>271</v>
      </c>
    </row>
    <row r="21">
      <c r="A21" t="n">
        <v>20</v>
      </c>
      <c r="B21" t="n">
        <v>272</v>
      </c>
    </row>
    <row r="22">
      <c r="A22" t="n">
        <v>21</v>
      </c>
      <c r="B22" t="n">
        <v>273</v>
      </c>
    </row>
    <row r="23">
      <c r="A23" t="n">
        <v>22</v>
      </c>
      <c r="B23" t="n">
        <v>274</v>
      </c>
    </row>
    <row r="24">
      <c r="A24" t="n">
        <v>23</v>
      </c>
      <c r="B24" t="n">
        <v>275</v>
      </c>
    </row>
    <row r="25">
      <c r="A25" t="n">
        <v>24</v>
      </c>
      <c r="B25" t="n">
        <v>275</v>
      </c>
    </row>
    <row r="26">
      <c r="A26" t="n">
        <v>25</v>
      </c>
      <c r="B26" t="n">
        <v>276</v>
      </c>
    </row>
    <row r="27">
      <c r="A27" t="n">
        <v>26</v>
      </c>
      <c r="B27" t="n">
        <v>277</v>
      </c>
    </row>
    <row r="28">
      <c r="A28" t="n">
        <v>27</v>
      </c>
      <c r="B28" t="n">
        <v>278</v>
      </c>
    </row>
    <row r="29">
      <c r="A29" t="n">
        <v>28</v>
      </c>
      <c r="B29" t="n">
        <v>279</v>
      </c>
    </row>
    <row r="30">
      <c r="A30" t="n">
        <v>29</v>
      </c>
      <c r="B30" t="n">
        <v>280</v>
      </c>
    </row>
    <row r="31">
      <c r="A31" t="n">
        <v>30</v>
      </c>
      <c r="B31" t="n">
        <v>280</v>
      </c>
    </row>
    <row r="32">
      <c r="A32" t="n">
        <v>31</v>
      </c>
      <c r="B32" t="n">
        <v>281</v>
      </c>
    </row>
    <row r="33">
      <c r="A33" t="n">
        <v>32</v>
      </c>
      <c r="B33" t="n">
        <v>282</v>
      </c>
    </row>
    <row r="34">
      <c r="A34" t="n">
        <v>33</v>
      </c>
      <c r="B34" t="n">
        <v>283</v>
      </c>
    </row>
    <row r="35">
      <c r="A35" t="n">
        <v>34</v>
      </c>
      <c r="B35" t="n">
        <v>283</v>
      </c>
    </row>
    <row r="36">
      <c r="A36" t="n">
        <v>35</v>
      </c>
      <c r="B36" t="n">
        <v>284</v>
      </c>
    </row>
    <row r="37">
      <c r="A37" t="n">
        <v>36</v>
      </c>
      <c r="B37" t="n">
        <v>285</v>
      </c>
    </row>
    <row r="38">
      <c r="A38" t="n">
        <v>37</v>
      </c>
      <c r="B38" t="n">
        <v>285</v>
      </c>
    </row>
    <row r="39">
      <c r="A39" t="n">
        <v>38</v>
      </c>
      <c r="B39" t="n">
        <v>286</v>
      </c>
    </row>
    <row r="40">
      <c r="A40" t="n">
        <v>39</v>
      </c>
      <c r="B40" t="n">
        <v>287</v>
      </c>
    </row>
    <row r="41">
      <c r="A41" t="n">
        <v>40</v>
      </c>
      <c r="B41" t="n">
        <v>288</v>
      </c>
    </row>
    <row r="42">
      <c r="A42" t="n">
        <v>41</v>
      </c>
      <c r="B42" t="n">
        <v>288</v>
      </c>
    </row>
    <row r="43">
      <c r="A43" t="n">
        <v>42</v>
      </c>
      <c r="B43" t="n">
        <v>289</v>
      </c>
    </row>
    <row r="44">
      <c r="A44" t="n">
        <v>43</v>
      </c>
      <c r="B44" t="n">
        <v>290</v>
      </c>
    </row>
    <row r="45">
      <c r="A45" t="n">
        <v>44</v>
      </c>
      <c r="B45" t="n">
        <v>290</v>
      </c>
    </row>
    <row r="46">
      <c r="A46" t="n">
        <v>45</v>
      </c>
      <c r="B46" t="n">
        <v>291</v>
      </c>
    </row>
    <row r="47">
      <c r="A47" t="n">
        <v>46</v>
      </c>
      <c r="B47" t="n">
        <v>292</v>
      </c>
    </row>
    <row r="48">
      <c r="A48" t="n">
        <v>47</v>
      </c>
      <c r="B48" t="n">
        <v>293</v>
      </c>
    </row>
    <row r="49">
      <c r="A49" t="n">
        <v>48</v>
      </c>
      <c r="B49" t="n">
        <v>294</v>
      </c>
    </row>
    <row r="50">
      <c r="A50" t="n">
        <v>49</v>
      </c>
      <c r="B50" t="n">
        <v>295</v>
      </c>
    </row>
    <row r="51">
      <c r="A51" t="n">
        <v>50</v>
      </c>
      <c r="B51" t="n">
        <v>295</v>
      </c>
    </row>
    <row r="52">
      <c r="A52" t="n">
        <v>51</v>
      </c>
      <c r="B52" t="n">
        <v>296</v>
      </c>
    </row>
    <row r="53">
      <c r="A53" t="n">
        <v>52</v>
      </c>
      <c r="B53" t="n">
        <v>297</v>
      </c>
    </row>
    <row r="54">
      <c r="A54" t="n">
        <v>53</v>
      </c>
      <c r="B54" t="n">
        <v>298</v>
      </c>
    </row>
    <row r="55">
      <c r="A55" t="n">
        <v>54</v>
      </c>
      <c r="B55" t="n">
        <v>299</v>
      </c>
    </row>
    <row r="56">
      <c r="A56" t="n">
        <v>55</v>
      </c>
      <c r="B56" t="n">
        <v>300</v>
      </c>
    </row>
    <row r="57">
      <c r="A57" t="n">
        <v>56</v>
      </c>
      <c r="B57" t="n">
        <v>301</v>
      </c>
    </row>
    <row r="58">
      <c r="A58" t="n">
        <v>57</v>
      </c>
      <c r="B58" t="n">
        <v>302</v>
      </c>
    </row>
    <row r="59">
      <c r="A59" t="n">
        <v>58</v>
      </c>
      <c r="B59" t="n">
        <v>304</v>
      </c>
    </row>
    <row r="60">
      <c r="A60" t="n">
        <v>59</v>
      </c>
      <c r="B60" t="n">
        <v>305</v>
      </c>
    </row>
    <row r="61">
      <c r="A61" t="n">
        <v>60</v>
      </c>
      <c r="B61" t="n">
        <v>306</v>
      </c>
    </row>
    <row r="62">
      <c r="A62" t="n">
        <v>61</v>
      </c>
      <c r="B62" t="n">
        <v>308</v>
      </c>
    </row>
    <row r="63">
      <c r="A63" t="n">
        <v>62</v>
      </c>
      <c r="B63" t="n">
        <v>310</v>
      </c>
    </row>
    <row r="64">
      <c r="A64" t="n">
        <v>63</v>
      </c>
      <c r="B64" t="n">
        <v>311</v>
      </c>
    </row>
    <row r="65">
      <c r="A65" t="n">
        <v>64</v>
      </c>
      <c r="B65" t="n">
        <v>312</v>
      </c>
    </row>
    <row r="66">
      <c r="A66" t="n">
        <v>65</v>
      </c>
      <c r="B66" t="n">
        <v>314</v>
      </c>
    </row>
    <row r="67">
      <c r="A67" t="n">
        <v>66</v>
      </c>
      <c r="B67" t="n">
        <v>315</v>
      </c>
    </row>
    <row r="68">
      <c r="A68" t="n">
        <v>67</v>
      </c>
      <c r="B68" t="n">
        <v>317</v>
      </c>
    </row>
    <row r="69">
      <c r="A69" t="n">
        <v>68</v>
      </c>
      <c r="B69" t="n">
        <v>319</v>
      </c>
    </row>
    <row r="70">
      <c r="A70" t="n">
        <v>69</v>
      </c>
      <c r="B70" t="n">
        <v>320</v>
      </c>
    </row>
    <row r="71">
      <c r="A71" t="n">
        <v>70</v>
      </c>
      <c r="B71" t="n">
        <v>322</v>
      </c>
    </row>
    <row r="72">
      <c r="A72" t="n">
        <v>71</v>
      </c>
      <c r="B72" t="n">
        <v>325</v>
      </c>
    </row>
    <row r="73">
      <c r="A73" t="n">
        <v>72</v>
      </c>
      <c r="B73" t="n">
        <v>327</v>
      </c>
    </row>
    <row r="74">
      <c r="A74" t="n">
        <v>73</v>
      </c>
      <c r="B74" t="n">
        <v>329</v>
      </c>
    </row>
    <row r="75">
      <c r="A75" t="n">
        <v>74</v>
      </c>
      <c r="B75" t="n">
        <v>330</v>
      </c>
    </row>
    <row r="76">
      <c r="A76" t="n">
        <v>75</v>
      </c>
      <c r="B76" t="n">
        <v>332</v>
      </c>
    </row>
    <row r="77">
      <c r="A77" t="n">
        <v>76</v>
      </c>
      <c r="B77" t="n">
        <v>335</v>
      </c>
    </row>
    <row r="78">
      <c r="A78" t="n">
        <v>77</v>
      </c>
      <c r="B78" t="n">
        <v>338</v>
      </c>
    </row>
    <row r="79">
      <c r="A79" t="n">
        <v>78</v>
      </c>
      <c r="B79" t="n">
        <v>340</v>
      </c>
    </row>
    <row r="80">
      <c r="A80" t="n">
        <v>79</v>
      </c>
      <c r="B80" t="n">
        <v>342</v>
      </c>
    </row>
    <row r="81">
      <c r="A81" t="n">
        <v>80</v>
      </c>
      <c r="B81" t="n">
        <v>345</v>
      </c>
    </row>
    <row r="82">
      <c r="A82" t="n">
        <v>81</v>
      </c>
      <c r="B82" t="n">
        <v>348</v>
      </c>
    </row>
    <row r="83">
      <c r="A83" t="n">
        <v>82</v>
      </c>
      <c r="B83" t="n">
        <v>350</v>
      </c>
    </row>
    <row r="84">
      <c r="A84" t="n">
        <v>83</v>
      </c>
      <c r="B84" t="n">
        <v>352</v>
      </c>
    </row>
    <row r="85">
      <c r="A85" t="n">
        <v>84</v>
      </c>
      <c r="B85" t="n">
        <v>355</v>
      </c>
    </row>
    <row r="86">
      <c r="A86" t="n">
        <v>85</v>
      </c>
      <c r="B86" t="n">
        <v>358</v>
      </c>
    </row>
    <row r="87">
      <c r="A87" t="n">
        <v>86</v>
      </c>
      <c r="B87" t="n">
        <v>362</v>
      </c>
    </row>
    <row r="88">
      <c r="A88" t="n">
        <v>87</v>
      </c>
      <c r="B88" t="n">
        <v>365</v>
      </c>
    </row>
    <row r="89">
      <c r="A89" t="n">
        <v>88</v>
      </c>
      <c r="B89" t="n">
        <v>369</v>
      </c>
    </row>
    <row r="90">
      <c r="A90" t="n">
        <v>89</v>
      </c>
      <c r="B90" t="n">
        <v>372</v>
      </c>
    </row>
    <row r="91">
      <c r="A91" t="n">
        <v>90</v>
      </c>
      <c r="B91" t="n">
        <v>375</v>
      </c>
    </row>
    <row r="92">
      <c r="A92" t="n">
        <v>91</v>
      </c>
      <c r="B92" t="n">
        <v>378</v>
      </c>
    </row>
    <row r="93">
      <c r="A93" t="n">
        <v>92</v>
      </c>
      <c r="B93" t="n">
        <v>382</v>
      </c>
    </row>
    <row r="94">
      <c r="A94" t="n">
        <v>93</v>
      </c>
      <c r="B94" t="n">
        <v>385</v>
      </c>
    </row>
    <row r="95">
      <c r="A95" t="n">
        <v>94</v>
      </c>
      <c r="B95" t="n">
        <v>389</v>
      </c>
    </row>
    <row r="96">
      <c r="A96" t="n">
        <v>95</v>
      </c>
      <c r="B96" t="n">
        <v>392</v>
      </c>
    </row>
    <row r="97">
      <c r="A97" t="n">
        <v>96</v>
      </c>
      <c r="B97" t="n">
        <v>396</v>
      </c>
    </row>
    <row r="98">
      <c r="A98" t="n">
        <v>97</v>
      </c>
      <c r="B98" t="n">
        <v>402</v>
      </c>
    </row>
    <row r="99">
      <c r="A99" t="n">
        <v>98</v>
      </c>
      <c r="B99" t="n">
        <v>410</v>
      </c>
    </row>
    <row r="100">
      <c r="A100" t="n">
        <v>99</v>
      </c>
      <c r="B100" t="n">
        <v>418</v>
      </c>
    </row>
    <row r="101">
      <c r="A101" t="n">
        <v>100</v>
      </c>
      <c r="B101" t="n">
        <v>425</v>
      </c>
    </row>
  </sheetData>
  <autoFilter ref="A1:B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2026-10-02T11:04:33Z</dcterms:created>
  <dcterms:modified xmlns:dcterms="http://purl.org/dc/terms/" xmlns:xsi="http://www.w3.org/2001/XMLSchema-instance" xsi:type="dcterms:W3CDTF">2026-10-02T11:05:28Z</dcterms:modified>
</cp:coreProperties>
</file>