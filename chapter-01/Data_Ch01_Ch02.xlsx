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Data_Dictionary" sheetId="1" state="visible" r:id="rId1"/>
    <sheet xmlns:r="http://schemas.openxmlformats.org/officeDocument/2006/relationships" name="Ch01_Feed_Mineralogy_Chemistry" sheetId="2" state="visible" r:id="rId2"/>
    <sheet xmlns:r="http://schemas.openxmlformats.org/officeDocument/2006/relationships" name="Ch02_Grinding_Mill_Energy" sheetId="3" state="visible" r:id="rId3"/>
    <sheet xmlns:r="http://schemas.openxmlformats.org/officeDocument/2006/relationships" name="Ch02_Cyclone_PSD_Tromp" sheetId="4" state="visible" r:id="rId4"/>
    <sheet xmlns:r="http://schemas.openxmlformats.org/officeDocument/2006/relationships" name="Ch02_Shift_KPI_Monitoring_SPC" sheetId="5" state="visible" r:id="rId5"/>
  </sheets>
  <definedNames>
    <definedName name="_xlnm._FilterDatabase" localSheetId="1" hidden="1">'Ch01_Feed_Mineralogy_Chemistry'!$A$1:$U$201</definedName>
    <definedName name="_xlnm._FilterDatabase" localSheetId="2" hidden="1">'Ch02_Grinding_Mill_Energy'!$A$1:$P$181</definedName>
    <definedName name="_xlnm._FilterDatabase" localSheetId="4" hidden="1">'Ch02_Shift_KPI_Monitoring_SPC'!$A$1:$R$251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"/>
    <numFmt numFmtId="166" formatCode="0.0"/>
    <numFmt numFmtId="167" formatCode="YYYY-MM-DD HH:MM"/>
    <numFmt numFmtId="168" formatCode="yyyy-mm-dd"/>
    <numFmt numFmtId="169" formatCode="yyyy-mm-dd hh:mm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onsolas"/>
      <color rgb="001B4F72"/>
      <sz val="9.5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2E4053"/>
        <bgColor rgb="002E405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595959"/>
      </left>
      <right style="thin">
        <color rgb="0059595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0" borderId="0" pivotButton="0" quotePrefix="0" xfId="0"/>
    <xf numFmtId="165" fontId="3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6" fontId="3" fillId="0" borderId="0" pivotButton="0" quotePrefix="0" xfId="0"/>
    <xf numFmtId="166" fontId="5" fillId="0" borderId="0" pivotButton="0" quotePrefix="0" xfId="0"/>
    <xf numFmtId="0" fontId="0" fillId="0" borderId="0" applyAlignment="1" pivotButton="0" quotePrefix="0" xfId="0">
      <alignment vertical="top" wrapText="1"/>
    </xf>
    <xf numFmtId="169" fontId="5" fillId="0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mpaign1PSD" displayName="Campaign1PSD" ref="A5:J15" headerRowCount="1">
  <autoFilter ref="A5:J15"/>
  <tableColumns count="10">
    <tableColumn id="1" name="Sieve_Mesh_um"/>
    <tableColumn id="2" name="Sieve_Aperture_di_um"/>
    <tableColumn id="3" name="Overflow_Cum_Pass_pct (oi)"/>
    <tableColumn id="4" name="Underflow_Cum_Pass_pct (ui)"/>
    <tableColumn id="5" name="CycloneFeed_Cum_Pass_pct (cfi)"/>
    <tableColumn id="6" name="Calculated_CLR_Ci"/>
    <tableColumn id="7" name="Overflow_Indiv_Ret_pct (Oi)"/>
    <tableColumn id="8" name="Underflow_Indiv_Ret_pct (Ui)"/>
    <tableColumn id="9" name="Actual_Partition_to_UF_pct (Ti)"/>
    <tableColumn id="10" name="Corrected_Partition_Tci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mpaign2PSD" displayName="Campaign2PSD" ref="A26:J36" headerRowCount="1">
  <autoFilter ref="A26:J36"/>
  <tableColumns count="10">
    <tableColumn id="1" name="Sieve_Mesh_um"/>
    <tableColumn id="2" name="Sieve_Aperture_di_um"/>
    <tableColumn id="3" name="Overflow_Cum_Pass_pct (oi)"/>
    <tableColumn id="4" name="Underflow_Cum_Pass_pct (ui)"/>
    <tableColumn id="5" name="CycloneFeed_Cum_Pass_pct (cfi)"/>
    <tableColumn id="6" name="Calculated_CLR_Ci"/>
    <tableColumn id="7" name="Overflow_Indiv_Ret_pct (Oi)"/>
    <tableColumn id="8" name="Underflow_Indiv_Ret_pct (Ui)"/>
    <tableColumn id="9" name="Actual_Partition_to_UF_pct (Ti)"/>
    <tableColumn id="10" name="Corrected_Partition_Tci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45" customWidth="1" min="4" max="4"/>
    <col width="35" customWidth="1" min="5" max="5"/>
  </cols>
  <sheetData>
    <row r="1">
      <c r="A1" s="1" t="inlineStr">
        <is>
          <t>SMIC Iron Ore Concentrator &amp; Pelletizing Quality Engineering Database</t>
        </is>
      </c>
    </row>
    <row r="2">
      <c r="A2" s="2" t="inlineStr">
        <is>
          <t>Master Educational QC Analytics Dataset for Chapters 1 &amp; 2 (GitHub Repository Ready)</t>
        </is>
      </c>
    </row>
    <row r="4">
      <c r="A4" s="3" t="inlineStr">
        <is>
          <t>Sheet Inventory &amp; Descriptions</t>
        </is>
      </c>
    </row>
    <row r="5">
      <c r="A5" s="4" t="inlineStr">
        <is>
          <t>Sheet Name</t>
        </is>
      </c>
      <c r="B5" s="4" t="inlineStr">
        <is>
          <t>Domain / Process Area</t>
        </is>
      </c>
      <c r="C5" s="4" t="inlineStr">
        <is>
          <t>Record Count</t>
        </is>
      </c>
      <c r="D5" s="4" t="inlineStr">
        <is>
          <t>Key Physics / Metallurgical Formulas</t>
        </is>
      </c>
      <c r="E5" s="4" t="inlineStr">
        <is>
          <t>Primary Pedagogical Tools</t>
        </is>
      </c>
    </row>
    <row r="6">
      <c r="A6" s="5" t="inlineStr">
        <is>
          <t>README_Data_Dictionary</t>
        </is>
      </c>
      <c r="B6" s="6" t="inlineStr">
        <is>
          <t>Documentation &amp; Software Mapping</t>
        </is>
      </c>
      <c r="C6" s="6" t="inlineStr">
        <is>
          <t>N/A</t>
        </is>
      </c>
      <c r="D6" s="6" t="inlineStr">
        <is>
          <t>Data Dictionary, Software Suitability Matrix, GitHub Repo Architecture</t>
        </is>
      </c>
      <c r="E6" s="6" t="inlineStr">
        <is>
          <t>Excel / Markdown</t>
        </is>
      </c>
    </row>
    <row r="7">
      <c r="A7" s="7" t="inlineStr">
        <is>
          <t>Ch01_Feed_Mineralogy_Chemistry</t>
        </is>
      </c>
      <c r="B7" s="8" t="inlineStr">
        <is>
          <t>Ch 1: Feed Mineralogy, Phase Chemistry &amp; Deleterious Elements</t>
        </is>
      </c>
      <c r="C7" s="8" t="inlineStr">
        <is>
          <t>200 Samples</t>
        </is>
      </c>
      <c r="D7" s="8" t="inlineStr">
        <is>
          <t>MF = Satmagan / Fe_Tot * 100, Theoretical FeO vs Fe3O4 stoichiometry, Basicity (CaO+MgO)/(SiO2+Al2O3)</t>
        </is>
      </c>
      <c r="E7" s="8" t="inlineStr">
        <is>
          <t>Python (EDA, ML, Seaborn), Power BI (Quality KPIs), Minitab (Capability, Regression)</t>
        </is>
      </c>
    </row>
    <row r="8">
      <c r="A8" s="5" t="inlineStr">
        <is>
          <t>Ch02_Grinding_Mill_Energy</t>
        </is>
      </c>
      <c r="B8" s="6" t="inlineStr">
        <is>
          <t>Ch 2: Ball Mill Energy, Bond Work Index &amp; Charge Dynamics</t>
        </is>
      </c>
      <c r="C8" s="6" t="inlineStr">
        <is>
          <t>180 Shifts</t>
        </is>
      </c>
      <c r="D8" s="6" t="inlineStr">
        <is>
          <t>E_spec = Pnet / F, Wi_op = E_plant / [10*(1/sqrt(P80)-1/sqrt(F80))], Eta = Wi_op / Wi_lab</t>
        </is>
      </c>
      <c r="E8" s="6" t="inlineStr">
        <is>
          <t>Excel (What-If, Goal Seek), Python (Curve fitting, Optimization), Minitab (DOE, ANOVA)</t>
        </is>
      </c>
    </row>
    <row r="9">
      <c r="A9" s="7" t="inlineStr">
        <is>
          <t>Ch02_Cyclone_PSD_Tromp</t>
        </is>
      </c>
      <c r="B9" s="8" t="inlineStr">
        <is>
          <t>Ch 2: Hydrocyclone Classification, Multi-Sieve PSD &amp; Tromp Partition</t>
        </is>
      </c>
      <c r="C9" s="8" t="inlineStr">
        <is>
          <t>4 Campaigns (10 Sieves)</t>
        </is>
      </c>
      <c r="D9" s="8" t="inlineStr">
        <is>
          <t>Circulating Load Ratio C = (o-cf)/(cf-u), Mass Balance, Tromp Corrected Curve, d50c, Imperfection I</t>
        </is>
      </c>
      <c r="E9" s="8" t="inlineStr">
        <is>
          <t>Python (Nonlinear regression, SciPy), Excel (Solver, Charting)</t>
        </is>
      </c>
    </row>
    <row r="10">
      <c r="A10" s="5" t="inlineStr">
        <is>
          <t>Ch02_Shift_KPI_Monitoring_SPC</t>
        </is>
      </c>
      <c r="B10" s="6" t="inlineStr">
        <is>
          <t>Ch 2: High-Frequency Shift SPC &amp; Hydrocyclone Underflow Monitoring</t>
        </is>
      </c>
      <c r="C10" s="6" t="inlineStr">
        <is>
          <t>250 Hourly Logs</t>
        </is>
      </c>
      <c r="D10" s="6" t="inlineStr">
        <is>
          <t>I-MR / Xbar-R Control Limits, Cp/Cpk, Blaine Specific Surface vs Pellet Drop Number Impact</t>
        </is>
      </c>
      <c r="E10" s="6" t="inlineStr">
        <is>
          <t>Minitab (SPC, Gage R&amp;R, Cpk), Power BI (Live Streaming/Alerts), Python (Real-time SPC)</t>
        </is>
      </c>
    </row>
    <row r="13">
      <c r="A13" s="3" t="inlineStr">
        <is>
          <t>Software Tool Suitability Matrix (Which Software to Use for What)</t>
        </is>
      </c>
    </row>
    <row r="14">
      <c r="A14" s="9" t="inlineStr">
        <is>
          <t>Software Tool</t>
        </is>
      </c>
      <c r="B14" s="9" t="inlineStr">
        <is>
          <t>Best Used For in These Datasets</t>
        </is>
      </c>
      <c r="C14" s="9" t="inlineStr">
        <is>
          <t>Example Educational Exercises</t>
        </is>
      </c>
      <c r="D14" s="9" t="inlineStr">
        <is>
          <t>Recommended Script / Output</t>
        </is>
      </c>
    </row>
    <row r="15">
      <c r="A15" s="6" t="inlineStr">
        <is>
          <t>Microsoft Excel</t>
        </is>
      </c>
      <c r="B15" s="6" t="inlineStr">
        <is>
          <t>M&amp;W Balance, quick what-if models, Bond operating Wi calculations, Tromp partition curves with Solver.</t>
        </is>
      </c>
      <c r="C15" s="6" t="inlineStr">
        <is>
          <t>1. Solve 10-step mass &amp; water balance.
2. Goal Seek for optimal mill power vs feed rate.
3. Dynamic Conditional Formatting for P/Alkali QC violations.</t>
        </is>
      </c>
      <c r="D15" s="6" t="inlineStr">
        <is>
          <t>Dynamic .xlsx model with formulas &amp; dropdowns</t>
        </is>
      </c>
    </row>
    <row r="16">
      <c r="A16" s="6" t="inlineStr">
        <is>
          <t>Minitab</t>
        </is>
      </c>
      <c r="B16" s="6" t="inlineStr">
        <is>
          <t>Industrial Statistical Process Control (SPC), Process Capability (Cp/Cpk), ANOVA, Regression, Box-Cox.</t>
        </is>
      </c>
      <c r="C16" s="6" t="inlineStr">
        <is>
          <t>1. I-MR &amp; Xbar-S charts on Overflow P80 and Blaine.
2. Capability analysis on Deleterious Elements (P &lt;= 0.035%).
3. ANOVA on Ore Type vs Operating Work Index (Wiop).</t>
        </is>
      </c>
      <c r="D16" s="6" t="inlineStr">
        <is>
          <t>Minitab Project (.mpj / .mpx) &amp; Quality Reports</t>
        </is>
      </c>
    </row>
    <row r="17">
      <c r="A17" s="6" t="inlineStr">
        <is>
          <t>Python (pandas, scipy, seaborn)</t>
        </is>
      </c>
      <c r="B17" s="6" t="inlineStr">
        <is>
          <t>Massive data cleaning, nonlinear Tromp curve fitting (Rosin-Rammler / Lynch models), multivariate ML classification.</t>
        </is>
      </c>
      <c r="C17" s="6" t="inlineStr">
        <is>
          <t>1. Automated Rosin-Rammler &amp; Plitt cyclone parameter fitting.
2. Random Forest / XGBoost predicting Pellet Drop Number from Blaine &amp; PSD.
3. Interactive Plotly dashboards.</t>
        </is>
      </c>
      <c r="D17" s="6" t="inlineStr">
        <is>
          <t>Jupyter Notebooks (.ipynb) in `/notebooks` folder</t>
        </is>
      </c>
    </row>
    <row r="18">
      <c r="A18" s="6" t="inlineStr">
        <is>
          <t>Microsoft Power BI</t>
        </is>
      </c>
      <c r="B18" s="6" t="inlineStr">
        <is>
          <t>Executive QA/QC dashboards, shift handover KPI tracking, real-time threshold violation alerting.</t>
        </is>
      </c>
      <c r="C18" s="6" t="inlineStr">
        <is>
          <t>1. Shift KPI card visuals (P80, Blaine, Bond Efficiency).
2. Drill-down from Ore Geology -&gt; Feed Chemistry -&gt; Milling Energy.
3. Anomaly detection visual for Roping events.</t>
        </is>
      </c>
      <c r="D18" s="6" t="inlineStr">
        <is>
          <t>Power BI Dashboard (.pbix) connected to Master Excel</t>
        </is>
      </c>
    </row>
    <row r="20">
      <c r="A20" s="3" t="inlineStr">
        <is>
          <t>Recommended GitHub Repository Directory Structure</t>
        </is>
      </c>
    </row>
    <row r="21">
      <c r="A21" s="10" t="inlineStr">
        <is>
          <t xml:space="preserve">iron-ore-qc-analytics/
├── README.md                           # Main project documentation and syllabus link
├── data/
│   ├── raw/
│   │   └── SMIC_QC_Data_Ch01_Ch02.xlsx # Master workbook (All sheets)
│   └── processed/
│       ├── ch01_mineralogy_clean.csv   # Standalone CSV for Python/Power BI
│       ├── ch02_grinding_energy.csv
│       └── ch02_spc_hourly_log.csv
├── notebooks/                          # Educational Jupyter Notebooks
│   ├── 01_ch01_chemistry_eda_and_ml.ipynb
│   ├── 02_ch02_bond_work_index_modelling.ipynb
│   └── 03_ch02_cyclone_tromp_curve_fitting.ipynb
├── minitab/                            # Minitab macro scripts &amp; project files
│   ├── ch01_capability_phosphorus.mac
│   └── ch02_spc_imr_blaine.mac
├── powerbi/                            # Power BI reporting template
│   └── SMIC_QC_Executive_Dashboard.pbix
└── docs/
    └── metallurgy_theory_reference.md  # Theoretical derivations (Bond, Plitt, Kozeny-Carman)
</t>
        </is>
      </c>
    </row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A21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4" customWidth="1" min="4" max="4"/>
    <col width="28" customWidth="1" min="5" max="5"/>
    <col width="13" customWidth="1" min="6" max="6"/>
    <col width="11" customWidth="1" min="7" max="7"/>
    <col width="15" customWidth="1" min="8" max="8"/>
    <col width="21" customWidth="1" min="9" max="9"/>
    <col width="11" customWidth="1" min="10" max="10"/>
    <col width="12" customWidth="1" min="11" max="11"/>
    <col width="11" customWidth="1" min="12" max="12"/>
    <col width="11" customWidth="1" min="13" max="13"/>
    <col width="27" customWidth="1" min="14" max="14"/>
    <col width="11" customWidth="1" min="15" max="15"/>
    <col width="11" customWidth="1" min="16" max="16"/>
    <col width="23" customWidth="1" min="17" max="17"/>
    <col width="11" customWidth="1" min="18" max="18"/>
    <col width="38" customWidth="1" min="19" max="19"/>
    <col width="45" customWidth="1" min="20" max="20"/>
    <col width="16" customWidth="1" min="21" max="21"/>
  </cols>
  <sheetData>
    <row r="1">
      <c r="A1" s="11" t="inlineStr">
        <is>
          <t>Sample_ID</t>
        </is>
      </c>
      <c r="B1" s="11" t="inlineStr">
        <is>
          <t>Date</t>
        </is>
      </c>
      <c r="C1" s="11" t="inlineStr">
        <is>
          <t>Shift</t>
        </is>
      </c>
      <c r="D1" s="11" t="inlineStr">
        <is>
          <t>Ore_Type</t>
        </is>
      </c>
      <c r="E1" s="11" t="inlineStr">
        <is>
          <t>Dominant_Mineral</t>
        </is>
      </c>
      <c r="F1" s="11" t="inlineStr">
        <is>
          <t>Fe_Tot_pct</t>
        </is>
      </c>
      <c r="G1" s="11" t="inlineStr">
        <is>
          <t>FeO_pct</t>
        </is>
      </c>
      <c r="H1" s="11" t="inlineStr">
        <is>
          <t>Satmagan_pct</t>
        </is>
      </c>
      <c r="I1" s="11" t="inlineStr">
        <is>
          <t>Magnetic_Factor_MF</t>
        </is>
      </c>
      <c r="J1" s="11" t="inlineStr">
        <is>
          <t>SiO2_pct</t>
        </is>
      </c>
      <c r="K1" s="11" t="inlineStr">
        <is>
          <t>Al2O3_pct</t>
        </is>
      </c>
      <c r="L1" s="11" t="inlineStr">
        <is>
          <t>CaO_pct</t>
        </is>
      </c>
      <c r="M1" s="11" t="inlineStr">
        <is>
          <t>MgO_pct</t>
        </is>
      </c>
      <c r="N1" s="11" t="inlineStr">
        <is>
          <t>Basicity_B2</t>
        </is>
      </c>
      <c r="O1" s="11" t="inlineStr">
        <is>
          <t>P_pct</t>
        </is>
      </c>
      <c r="P1" s="11" t="inlineStr">
        <is>
          <t>S_pct</t>
        </is>
      </c>
      <c r="Q1" s="11" t="inlineStr">
        <is>
          <t>Alkalis_Na2O_K2O_pct</t>
        </is>
      </c>
      <c r="R1" s="11" t="inlineStr">
        <is>
          <t>LOI_pct</t>
        </is>
      </c>
      <c r="S1" s="11" t="inlineStr">
        <is>
          <t>Grindability_Index</t>
        </is>
      </c>
      <c r="T1" s="11" t="inlineStr">
        <is>
          <t>Downstream_Risk_Note</t>
        </is>
      </c>
      <c r="U1" s="11" t="inlineStr">
        <is>
          <t>QC_Chemistry_Status</t>
        </is>
      </c>
    </row>
    <row r="2">
      <c r="A2" s="12" t="inlineStr">
        <is>
          <t>SMP-CH01-1001</t>
        </is>
      </c>
      <c r="B2" s="39" t="n">
        <v>45292</v>
      </c>
      <c r="C2" s="12" t="inlineStr">
        <is>
          <t>Shift_A</t>
        </is>
      </c>
      <c r="D2" s="12" t="inlineStr">
        <is>
          <t>Primary Magnetite</t>
        </is>
      </c>
      <c r="E2" s="12" t="inlineStr">
        <is>
          <t>Magnetite</t>
        </is>
      </c>
      <c r="F2" s="14" t="n">
        <v>66.17</v>
      </c>
      <c r="G2" s="14" t="n">
        <v>23.97</v>
      </c>
      <c r="H2" s="14" t="n">
        <v>60.37</v>
      </c>
      <c r="I2" s="14">
        <f>H2/F2*100</f>
        <v/>
      </c>
      <c r="J2" s="14" t="n">
        <v>2.66</v>
      </c>
      <c r="K2" s="14" t="n">
        <v>0.64</v>
      </c>
      <c r="L2" s="14" t="n">
        <v>0.55</v>
      </c>
      <c r="M2" s="14" t="n">
        <v>0.5600000000000001</v>
      </c>
      <c r="N2" s="14">
        <f>(L2+M2)/(J2+K2)</f>
        <v/>
      </c>
      <c r="O2" s="15" t="n">
        <v>0.0188</v>
      </c>
      <c r="P2" s="15" t="n">
        <v>0.0364</v>
      </c>
      <c r="Q2" s="15" t="n">
        <v>0.0306</v>
      </c>
      <c r="R2" s="14" t="n">
        <v>0.1</v>
      </c>
      <c r="S2" s="12" t="inlineStr">
        <is>
          <t>Medium (Wi 13.5-14.5)</t>
        </is>
      </c>
      <c r="T2" s="16" t="inlineStr">
        <is>
          <t>Standard DR-Grade; High exothermic heat during induration.</t>
        </is>
      </c>
      <c r="U2" s="12">
        <f>IF(OR(O2&gt;0.035, Q2&gt;0.060, I2&lt;80), "REJECT", IF(OR(O2&gt;0.028, Q2&gt;0.050, I2&lt;85), "WARNING", "PASS"))</f>
        <v/>
      </c>
    </row>
    <row r="3">
      <c r="A3" s="17" t="inlineStr">
        <is>
          <t>SMP-CH01-1002</t>
        </is>
      </c>
      <c r="B3" s="40" t="n">
        <v>45292</v>
      </c>
      <c r="C3" s="17" t="inlineStr">
        <is>
          <t>Shift_B</t>
        </is>
      </c>
      <c r="D3" s="17" t="inlineStr">
        <is>
          <t>Primary Magnetite</t>
        </is>
      </c>
      <c r="E3" s="17" t="inlineStr">
        <is>
          <t>Magnetite</t>
        </is>
      </c>
      <c r="F3" s="19" t="n">
        <v>68.64</v>
      </c>
      <c r="G3" s="19" t="n">
        <v>26.09</v>
      </c>
      <c r="H3" s="19" t="n">
        <v>65.14</v>
      </c>
      <c r="I3" s="19">
        <f>H3/F3*100</f>
        <v/>
      </c>
      <c r="J3" s="19" t="n">
        <v>2.05</v>
      </c>
      <c r="K3" s="19" t="n">
        <v>0.39</v>
      </c>
      <c r="L3" s="19" t="n">
        <v>0.6</v>
      </c>
      <c r="M3" s="19" t="n">
        <v>0.62</v>
      </c>
      <c r="N3" s="19">
        <f>(L3+M3)/(J3+K3)</f>
        <v/>
      </c>
      <c r="O3" s="20" t="n">
        <v>0.0224</v>
      </c>
      <c r="P3" s="20" t="n">
        <v>0.0236</v>
      </c>
      <c r="Q3" s="20" t="n">
        <v>0.0336</v>
      </c>
      <c r="R3" s="19" t="n">
        <v>0.42</v>
      </c>
      <c r="S3" s="17" t="inlineStr">
        <is>
          <t>Medium (Wi 13.5-14.5)</t>
        </is>
      </c>
      <c r="T3" s="21" t="inlineStr">
        <is>
          <t>Standard DR-Grade; High exothermic heat during induration.</t>
        </is>
      </c>
      <c r="U3" s="17">
        <f>IF(OR(O3&gt;0.035, Q3&gt;0.060, I3&lt;80), "REJECT", IF(OR(O3&gt;0.028, Q3&gt;0.050, I3&lt;85), "WARNING", "PASS"))</f>
        <v/>
      </c>
    </row>
    <row r="4">
      <c r="A4" s="12" t="inlineStr">
        <is>
          <t>SMP-CH01-1003</t>
        </is>
      </c>
      <c r="B4" s="39" t="n">
        <v>45292</v>
      </c>
      <c r="C4" s="12" t="inlineStr">
        <is>
          <t>Shift_C</t>
        </is>
      </c>
      <c r="D4" s="12" t="inlineStr">
        <is>
          <t>Martitic Ore</t>
        </is>
      </c>
      <c r="E4" s="12" t="inlineStr">
        <is>
          <t>Martite / Semi-oxidized Magnetite</t>
        </is>
      </c>
      <c r="F4" s="14" t="n">
        <v>64.90000000000001</v>
      </c>
      <c r="G4" s="14" t="n">
        <v>19.12</v>
      </c>
      <c r="H4" s="14" t="n">
        <v>47.49</v>
      </c>
      <c r="I4" s="14">
        <f>H4/F4*100</f>
        <v/>
      </c>
      <c r="J4" s="14" t="n">
        <v>4.56</v>
      </c>
      <c r="K4" s="14" t="n">
        <v>0.6899999999999999</v>
      </c>
      <c r="L4" s="14" t="n">
        <v>0.53</v>
      </c>
      <c r="M4" s="14" t="n">
        <v>0.64</v>
      </c>
      <c r="N4" s="14">
        <f>(L4+M4)/(J4+K4)</f>
        <v/>
      </c>
      <c r="O4" s="15" t="n">
        <v>0.032</v>
      </c>
      <c r="P4" s="15" t="n">
        <v>0.0593</v>
      </c>
      <c r="Q4" s="15" t="n">
        <v>0.0567</v>
      </c>
      <c r="R4" s="14" t="n">
        <v>0.82</v>
      </c>
      <c r="S4" s="12" t="inlineStr">
        <is>
          <t>Hard (Wi 15.5-17.0)</t>
        </is>
      </c>
      <c r="T4" s="16" t="inlineStr">
        <is>
          <t>Martitization alert: Low LIMS recovery; requires WHIMS or higher drum RPM.</t>
        </is>
      </c>
      <c r="U4" s="12">
        <f>IF(OR(O4&gt;0.035, Q4&gt;0.060, I4&lt;80), "REJECT", IF(OR(O4&gt;0.028, Q4&gt;0.050, I4&lt;85), "WARNING", "PASS"))</f>
        <v/>
      </c>
    </row>
    <row r="5">
      <c r="A5" s="17" t="inlineStr">
        <is>
          <t>SMP-CH01-1004</t>
        </is>
      </c>
      <c r="B5" s="40" t="n">
        <v>45293</v>
      </c>
      <c r="C5" s="17" t="inlineStr">
        <is>
          <t>Shift_A</t>
        </is>
      </c>
      <c r="D5" s="17" t="inlineStr">
        <is>
          <t>Primary Magnetite</t>
        </is>
      </c>
      <c r="E5" s="17" t="inlineStr">
        <is>
          <t>Magnetite</t>
        </is>
      </c>
      <c r="F5" s="19" t="n">
        <v>68.81</v>
      </c>
      <c r="G5" s="19" t="n">
        <v>26.13</v>
      </c>
      <c r="H5" s="19" t="n">
        <v>64.94</v>
      </c>
      <c r="I5" s="19">
        <f>H5/F5*100</f>
        <v/>
      </c>
      <c r="J5" s="19" t="n">
        <v>2.87</v>
      </c>
      <c r="K5" s="19" t="n">
        <v>0.63</v>
      </c>
      <c r="L5" s="19" t="n">
        <v>0.44</v>
      </c>
      <c r="M5" s="19" t="n">
        <v>0.6</v>
      </c>
      <c r="N5" s="19">
        <f>(L5+M5)/(J5+K5)</f>
        <v/>
      </c>
      <c r="O5" s="20" t="n">
        <v>0.0131</v>
      </c>
      <c r="P5" s="20" t="n">
        <v>0.0342</v>
      </c>
      <c r="Q5" s="20" t="n">
        <v>0.0343</v>
      </c>
      <c r="R5" s="19" t="n">
        <v>0.5600000000000001</v>
      </c>
      <c r="S5" s="17" t="inlineStr">
        <is>
          <t>Medium (Wi 13.5-14.5)</t>
        </is>
      </c>
      <c r="T5" s="21" t="inlineStr">
        <is>
          <t>Standard DR-Grade; High exothermic heat during induration.</t>
        </is>
      </c>
      <c r="U5" s="17">
        <f>IF(OR(O5&gt;0.035, Q5&gt;0.060, I5&lt;80), "REJECT", IF(OR(O5&gt;0.028, Q5&gt;0.050, I5&lt;85), "WARNING", "PASS"))</f>
        <v/>
      </c>
    </row>
    <row r="6">
      <c r="A6" s="12" t="inlineStr">
        <is>
          <t>SMP-CH01-1005</t>
        </is>
      </c>
      <c r="B6" s="39" t="n">
        <v>45293</v>
      </c>
      <c r="C6" s="12" t="inlineStr">
        <is>
          <t>Shift_B</t>
        </is>
      </c>
      <c r="D6" s="12" t="inlineStr">
        <is>
          <t>Primary Magnetite</t>
        </is>
      </c>
      <c r="E6" s="12" t="inlineStr">
        <is>
          <t>Magnetite</t>
        </is>
      </c>
      <c r="F6" s="14" t="n">
        <v>66.14</v>
      </c>
      <c r="G6" s="14" t="n">
        <v>25.36</v>
      </c>
      <c r="H6" s="14" t="n">
        <v>63.77</v>
      </c>
      <c r="I6" s="14">
        <f>H6/F6*100</f>
        <v/>
      </c>
      <c r="J6" s="14" t="n">
        <v>2.57</v>
      </c>
      <c r="K6" s="14" t="n">
        <v>0.6899999999999999</v>
      </c>
      <c r="L6" s="14" t="n">
        <v>0.54</v>
      </c>
      <c r="M6" s="14" t="n">
        <v>0.78</v>
      </c>
      <c r="N6" s="14">
        <f>(L6+M6)/(J6+K6)</f>
        <v/>
      </c>
      <c r="O6" s="15" t="n">
        <v>0.0265</v>
      </c>
      <c r="P6" s="15" t="n">
        <v>0.0419</v>
      </c>
      <c r="Q6" s="15" t="n">
        <v>0.033</v>
      </c>
      <c r="R6" s="14" t="n">
        <v>0.17</v>
      </c>
      <c r="S6" s="12" t="inlineStr">
        <is>
          <t>Medium (Wi 13.5-14.5)</t>
        </is>
      </c>
      <c r="T6" s="16" t="inlineStr">
        <is>
          <t>Standard DR-Grade; High exothermic heat during induration.</t>
        </is>
      </c>
      <c r="U6" s="12">
        <f>IF(OR(O6&gt;0.035, Q6&gt;0.060, I6&lt;80), "REJECT", IF(OR(O6&gt;0.028, Q6&gt;0.050, I6&lt;85), "WARNING", "PASS"))</f>
        <v/>
      </c>
    </row>
    <row r="7">
      <c r="A7" s="17" t="inlineStr">
        <is>
          <t>SMP-CH01-1006</t>
        </is>
      </c>
      <c r="B7" s="40" t="n">
        <v>45293</v>
      </c>
      <c r="C7" s="17" t="inlineStr">
        <is>
          <t>Shift_C</t>
        </is>
      </c>
      <c r="D7" s="17" t="inlineStr">
        <is>
          <t>Primary Magnetite</t>
        </is>
      </c>
      <c r="E7" s="17" t="inlineStr">
        <is>
          <t>Magnetite</t>
        </is>
      </c>
      <c r="F7" s="19" t="n">
        <v>68.81999999999999</v>
      </c>
      <c r="G7" s="19" t="n">
        <v>26</v>
      </c>
      <c r="H7" s="19" t="n">
        <v>63.65</v>
      </c>
      <c r="I7" s="19">
        <f>H7/F7*100</f>
        <v/>
      </c>
      <c r="J7" s="19" t="n">
        <v>2.91</v>
      </c>
      <c r="K7" s="19" t="n">
        <v>0.8</v>
      </c>
      <c r="L7" s="19" t="n">
        <v>0.44</v>
      </c>
      <c r="M7" s="19" t="n">
        <v>0.8</v>
      </c>
      <c r="N7" s="19">
        <f>(L7+M7)/(J7+K7)</f>
        <v/>
      </c>
      <c r="O7" s="20" t="n">
        <v>0.0242</v>
      </c>
      <c r="P7" s="20" t="n">
        <v>0.0353</v>
      </c>
      <c r="Q7" s="20" t="n">
        <v>0.0409</v>
      </c>
      <c r="R7" s="19" t="n">
        <v>0.63</v>
      </c>
      <c r="S7" s="17" t="inlineStr">
        <is>
          <t>Medium (Wi 13.5-14.5)</t>
        </is>
      </c>
      <c r="T7" s="21" t="inlineStr">
        <is>
          <t>Standard DR-Grade; High exothermic heat during induration.</t>
        </is>
      </c>
      <c r="U7" s="17">
        <f>IF(OR(O7&gt;0.035, Q7&gt;0.060, I7&lt;80), "REJECT", IF(OR(O7&gt;0.028, Q7&gt;0.050, I7&lt;85), "WARNING", "PASS"))</f>
        <v/>
      </c>
    </row>
    <row r="8">
      <c r="A8" s="12" t="inlineStr">
        <is>
          <t>SMP-CH01-1007</t>
        </is>
      </c>
      <c r="B8" s="39" t="n">
        <v>45294</v>
      </c>
      <c r="C8" s="12" t="inlineStr">
        <is>
          <t>Shift_A</t>
        </is>
      </c>
      <c r="D8" s="12" t="inlineStr">
        <is>
          <t>Martitic Ore</t>
        </is>
      </c>
      <c r="E8" s="12" t="inlineStr">
        <is>
          <t>Martite / Semi-oxidized Magnetite</t>
        </is>
      </c>
      <c r="F8" s="14" t="n">
        <v>68.5</v>
      </c>
      <c r="G8" s="14" t="n">
        <v>19.33</v>
      </c>
      <c r="H8" s="14" t="n">
        <v>52.83</v>
      </c>
      <c r="I8" s="14">
        <f>H8/F8*100</f>
        <v/>
      </c>
      <c r="J8" s="14" t="n">
        <v>3.06</v>
      </c>
      <c r="K8" s="14" t="n">
        <v>0.6</v>
      </c>
      <c r="L8" s="14" t="n">
        <v>0.68</v>
      </c>
      <c r="M8" s="14" t="n">
        <v>0.93</v>
      </c>
      <c r="N8" s="14">
        <f>(L8+M8)/(J8+K8)</f>
        <v/>
      </c>
      <c r="O8" s="15" t="n">
        <v>0.0322</v>
      </c>
      <c r="P8" s="15" t="n">
        <v>0.0516</v>
      </c>
      <c r="Q8" s="15" t="n">
        <v>0.0341</v>
      </c>
      <c r="R8" s="14" t="n">
        <v>0.96</v>
      </c>
      <c r="S8" s="12" t="inlineStr">
        <is>
          <t>Hard (Wi 15.5-17.0)</t>
        </is>
      </c>
      <c r="T8" s="16" t="inlineStr">
        <is>
          <t>Martitization alert: Low LIMS recovery; requires WHIMS or higher drum RPM.</t>
        </is>
      </c>
      <c r="U8" s="12">
        <f>IF(OR(O8&gt;0.035, Q8&gt;0.060, I8&lt;80), "REJECT", IF(OR(O8&gt;0.028, Q8&gt;0.050, I8&lt;85), "WARNING", "PASS"))</f>
        <v/>
      </c>
    </row>
    <row r="9">
      <c r="A9" s="17" t="inlineStr">
        <is>
          <t>SMP-CH01-1008</t>
        </is>
      </c>
      <c r="B9" s="40" t="n">
        <v>45294</v>
      </c>
      <c r="C9" s="17" t="inlineStr">
        <is>
          <t>Shift_B</t>
        </is>
      </c>
      <c r="D9" s="17" t="inlineStr">
        <is>
          <t>Primary Magnetite</t>
        </is>
      </c>
      <c r="E9" s="17" t="inlineStr">
        <is>
          <t>Magnetite</t>
        </is>
      </c>
      <c r="F9" s="19" t="n">
        <v>68.39</v>
      </c>
      <c r="G9" s="19" t="n">
        <v>25.35</v>
      </c>
      <c r="H9" s="19" t="n">
        <v>63.14</v>
      </c>
      <c r="I9" s="19">
        <f>H9/F9*100</f>
        <v/>
      </c>
      <c r="J9" s="19" t="n">
        <v>2.96</v>
      </c>
      <c r="K9" s="19" t="n">
        <v>0.65</v>
      </c>
      <c r="L9" s="19" t="n">
        <v>0.4</v>
      </c>
      <c r="M9" s="19" t="n">
        <v>0.73</v>
      </c>
      <c r="N9" s="19">
        <f>(L9+M9)/(J9+K9)</f>
        <v/>
      </c>
      <c r="O9" s="20" t="n">
        <v>0.0226</v>
      </c>
      <c r="P9" s="20" t="n">
        <v>0.0595</v>
      </c>
      <c r="Q9" s="20" t="n">
        <v>0.0324</v>
      </c>
      <c r="R9" s="19" t="n">
        <v>0.35</v>
      </c>
      <c r="S9" s="17" t="inlineStr">
        <is>
          <t>Medium (Wi 13.5-14.5)</t>
        </is>
      </c>
      <c r="T9" s="21" t="inlineStr">
        <is>
          <t>Standard DR-Grade; High exothermic heat during induration.</t>
        </is>
      </c>
      <c r="U9" s="17">
        <f>IF(OR(O9&gt;0.035, Q9&gt;0.060, I9&lt;80), "REJECT", IF(OR(O9&gt;0.028, Q9&gt;0.050, I9&lt;85), "WARNING", "PASS"))</f>
        <v/>
      </c>
    </row>
    <row r="10">
      <c r="A10" s="12" t="inlineStr">
        <is>
          <t>SMP-CH01-1009</t>
        </is>
      </c>
      <c r="B10" s="39" t="n">
        <v>45294</v>
      </c>
      <c r="C10" s="12" t="inlineStr">
        <is>
          <t>Shift_C</t>
        </is>
      </c>
      <c r="D10" s="12" t="inlineStr">
        <is>
          <t>Primary Magnetite</t>
        </is>
      </c>
      <c r="E10" s="12" t="inlineStr">
        <is>
          <t>Magnetite</t>
        </is>
      </c>
      <c r="F10" s="14" t="n">
        <v>69.03</v>
      </c>
      <c r="G10" s="14" t="n">
        <v>26.41</v>
      </c>
      <c r="H10" s="14" t="n">
        <v>66.88</v>
      </c>
      <c r="I10" s="14">
        <f>H10/F10*100</f>
        <v/>
      </c>
      <c r="J10" s="14" t="n">
        <v>2.35</v>
      </c>
      <c r="K10" s="14" t="n">
        <v>0.2</v>
      </c>
      <c r="L10" s="14" t="n">
        <v>0.48</v>
      </c>
      <c r="M10" s="14" t="n">
        <v>0.59</v>
      </c>
      <c r="N10" s="14">
        <f>(L10+M10)/(J10+K10)</f>
        <v/>
      </c>
      <c r="O10" s="15" t="n">
        <v>0.0203</v>
      </c>
      <c r="P10" s="15" t="n">
        <v>0.0518</v>
      </c>
      <c r="Q10" s="15" t="n">
        <v>0.0367</v>
      </c>
      <c r="R10" s="14" t="n">
        <v>0.43</v>
      </c>
      <c r="S10" s="12" t="inlineStr">
        <is>
          <t>Medium (Wi 13.5-14.5)</t>
        </is>
      </c>
      <c r="T10" s="16" t="inlineStr">
        <is>
          <t>Standard DR-Grade; High exothermic heat during induration.</t>
        </is>
      </c>
      <c r="U10" s="12">
        <f>IF(OR(O10&gt;0.035, Q10&gt;0.060, I10&lt;80), "REJECT", IF(OR(O10&gt;0.028, Q10&gt;0.050, I10&lt;85), "WARNING", "PASS"))</f>
        <v/>
      </c>
    </row>
    <row r="11">
      <c r="A11" s="17" t="inlineStr">
        <is>
          <t>SMP-CH01-1010</t>
        </is>
      </c>
      <c r="B11" s="40" t="n">
        <v>45295</v>
      </c>
      <c r="C11" s="17" t="inlineStr">
        <is>
          <t>Shift_A</t>
        </is>
      </c>
      <c r="D11" s="17" t="inlineStr">
        <is>
          <t>Martitic Ore</t>
        </is>
      </c>
      <c r="E11" s="17" t="inlineStr">
        <is>
          <t>Martite / Semi-oxidized Magnetite</t>
        </is>
      </c>
      <c r="F11" s="19" t="n">
        <v>62.77</v>
      </c>
      <c r="G11" s="19" t="n">
        <v>20.07</v>
      </c>
      <c r="H11" s="19" t="n">
        <v>47.93</v>
      </c>
      <c r="I11" s="19">
        <f>H11/F11*100</f>
        <v/>
      </c>
      <c r="J11" s="19" t="n">
        <v>2.26</v>
      </c>
      <c r="K11" s="19" t="n">
        <v>0.9399999999999999</v>
      </c>
      <c r="L11" s="19" t="n">
        <v>0.5600000000000001</v>
      </c>
      <c r="M11" s="19" t="n">
        <v>1.24</v>
      </c>
      <c r="N11" s="19">
        <f>(L11+M11)/(J11+K11)</f>
        <v/>
      </c>
      <c r="O11" s="20" t="n">
        <v>0.0305</v>
      </c>
      <c r="P11" s="20" t="n">
        <v>0.0725</v>
      </c>
      <c r="Q11" s="20" t="n">
        <v>0.0516</v>
      </c>
      <c r="R11" s="19" t="n">
        <v>0.85</v>
      </c>
      <c r="S11" s="17" t="inlineStr">
        <is>
          <t>Hard (Wi 15.5-17.0)</t>
        </is>
      </c>
      <c r="T11" s="21" t="inlineStr">
        <is>
          <t>Martitization alert: Low LIMS recovery; requires WHIMS or higher drum RPM.</t>
        </is>
      </c>
      <c r="U11" s="17">
        <f>IF(OR(O11&gt;0.035, Q11&gt;0.060, I11&lt;80), "REJECT", IF(OR(O11&gt;0.028, Q11&gt;0.050, I11&lt;85), "WARNING", "PASS"))</f>
        <v/>
      </c>
    </row>
    <row r="12">
      <c r="A12" s="12" t="inlineStr">
        <is>
          <t>SMP-CH01-1011</t>
        </is>
      </c>
      <c r="B12" s="39" t="n">
        <v>45295</v>
      </c>
      <c r="C12" s="12" t="inlineStr">
        <is>
          <t>Shift_B</t>
        </is>
      </c>
      <c r="D12" s="12" t="inlineStr">
        <is>
          <t>Hematite-Goethite / Weathered Skarn</t>
        </is>
      </c>
      <c r="E12" s="12" t="inlineStr">
        <is>
          <t>Goethite / Quartz-rich Hematite</t>
        </is>
      </c>
      <c r="F12" s="14" t="n">
        <v>63.03</v>
      </c>
      <c r="G12" s="14" t="n">
        <v>3.57</v>
      </c>
      <c r="H12" s="14" t="n">
        <v>33.1</v>
      </c>
      <c r="I12" s="14">
        <f>H12/F12*100</f>
        <v/>
      </c>
      <c r="J12" s="14" t="n">
        <v>4.42</v>
      </c>
      <c r="K12" s="14" t="n">
        <v>1.48</v>
      </c>
      <c r="L12" s="14" t="n">
        <v>0.98</v>
      </c>
      <c r="M12" s="14" t="n">
        <v>1.25</v>
      </c>
      <c r="N12" s="14">
        <f>(L12+M12)/(J12+K12)</f>
        <v/>
      </c>
      <c r="O12" s="15" t="n">
        <v>0.0689</v>
      </c>
      <c r="P12" s="15" t="n">
        <v>0.0598</v>
      </c>
      <c r="Q12" s="15" t="n">
        <v>0.0765</v>
      </c>
      <c r="R12" s="14" t="n">
        <v>4.66</v>
      </c>
      <c r="S12" s="12" t="inlineStr">
        <is>
          <t>Variable / Highly Abrasive (Quartz)</t>
        </is>
      </c>
      <c r="T12" s="16" t="inlineStr">
        <is>
          <t>High LOI &amp; Alkalis: Risk of pellet swelling/whisker &amp; filter cloth blinding.</t>
        </is>
      </c>
      <c r="U12" s="12">
        <f>IF(OR(O12&gt;0.035, Q12&gt;0.060, I12&lt;80), "REJECT", IF(OR(O12&gt;0.028, Q12&gt;0.050, I12&lt;85), "WARNING", "PASS"))</f>
        <v/>
      </c>
    </row>
    <row r="13">
      <c r="A13" s="17" t="inlineStr">
        <is>
          <t>SMP-CH01-1012</t>
        </is>
      </c>
      <c r="B13" s="40" t="n">
        <v>45295</v>
      </c>
      <c r="C13" s="17" t="inlineStr">
        <is>
          <t>Shift_C</t>
        </is>
      </c>
      <c r="D13" s="17" t="inlineStr">
        <is>
          <t>Primary Magnetite</t>
        </is>
      </c>
      <c r="E13" s="17" t="inlineStr">
        <is>
          <t>Magnetite</t>
        </is>
      </c>
      <c r="F13" s="19" t="n">
        <v>68.61</v>
      </c>
      <c r="G13" s="19" t="n">
        <v>26.02</v>
      </c>
      <c r="H13" s="19" t="n">
        <v>61.97</v>
      </c>
      <c r="I13" s="19">
        <f>H13/F13*100</f>
        <v/>
      </c>
      <c r="J13" s="19" t="n">
        <v>1.72</v>
      </c>
      <c r="K13" s="19" t="n">
        <v>0.61</v>
      </c>
      <c r="L13" s="19" t="n">
        <v>0.34</v>
      </c>
      <c r="M13" s="19" t="n">
        <v>0.72</v>
      </c>
      <c r="N13" s="19">
        <f>(L13+M13)/(J13+K13)</f>
        <v/>
      </c>
      <c r="O13" s="20" t="n">
        <v>0.0165</v>
      </c>
      <c r="P13" s="20" t="n">
        <v>0.0682</v>
      </c>
      <c r="Q13" s="20" t="n">
        <v>0.0317</v>
      </c>
      <c r="R13" s="19" t="n">
        <v>0.35</v>
      </c>
      <c r="S13" s="17" t="inlineStr">
        <is>
          <t>Medium (Wi 13.5-14.5)</t>
        </is>
      </c>
      <c r="T13" s="21" t="inlineStr">
        <is>
          <t>Standard DR-Grade; High exothermic heat during induration.</t>
        </is>
      </c>
      <c r="U13" s="17">
        <f>IF(OR(O13&gt;0.035, Q13&gt;0.060, I13&lt;80), "REJECT", IF(OR(O13&gt;0.028, Q13&gt;0.050, I13&lt;85), "WARNING", "PASS"))</f>
        <v/>
      </c>
    </row>
    <row r="14">
      <c r="A14" s="12" t="inlineStr">
        <is>
          <t>SMP-CH01-1013</t>
        </is>
      </c>
      <c r="B14" s="39" t="n">
        <v>45296</v>
      </c>
      <c r="C14" s="12" t="inlineStr">
        <is>
          <t>Shift_A</t>
        </is>
      </c>
      <c r="D14" s="12" t="inlineStr">
        <is>
          <t>Hematite-Goethite / Weathered Skarn</t>
        </is>
      </c>
      <c r="E14" s="12" t="inlineStr">
        <is>
          <t>Goethite / Quartz-rich Hematite</t>
        </is>
      </c>
      <c r="F14" s="14" t="n">
        <v>60.79</v>
      </c>
      <c r="G14" s="14" t="n">
        <v>6.18</v>
      </c>
      <c r="H14" s="14" t="n">
        <v>30.5</v>
      </c>
      <c r="I14" s="14">
        <f>H14/F14*100</f>
        <v/>
      </c>
      <c r="J14" s="14" t="n">
        <v>6.47</v>
      </c>
      <c r="K14" s="14" t="n">
        <v>2.35</v>
      </c>
      <c r="L14" s="14" t="n">
        <v>1.21</v>
      </c>
      <c r="M14" s="14" t="n">
        <v>0.82</v>
      </c>
      <c r="N14" s="14">
        <f>(L14+M14)/(J14+K14)</f>
        <v/>
      </c>
      <c r="O14" s="15" t="n">
        <v>0.0449</v>
      </c>
      <c r="P14" s="15" t="n">
        <v>0.0374</v>
      </c>
      <c r="Q14" s="15" t="n">
        <v>0.0988</v>
      </c>
      <c r="R14" s="14" t="n">
        <v>6.63</v>
      </c>
      <c r="S14" s="12" t="inlineStr">
        <is>
          <t>Variable / Highly Abrasive (Quartz)</t>
        </is>
      </c>
      <c r="T14" s="16" t="inlineStr">
        <is>
          <t>High LOI &amp; Alkalis: Risk of pellet swelling/whisker &amp; filter cloth blinding.</t>
        </is>
      </c>
      <c r="U14" s="12">
        <f>IF(OR(O14&gt;0.035, Q14&gt;0.060, I14&lt;80), "REJECT", IF(OR(O14&gt;0.028, Q14&gt;0.050, I14&lt;85), "WARNING", "PASS"))</f>
        <v/>
      </c>
    </row>
    <row r="15">
      <c r="A15" s="17" t="inlineStr">
        <is>
          <t>SMP-CH01-1014</t>
        </is>
      </c>
      <c r="B15" s="40" t="n">
        <v>45296</v>
      </c>
      <c r="C15" s="17" t="inlineStr">
        <is>
          <t>Shift_B</t>
        </is>
      </c>
      <c r="D15" s="17" t="inlineStr">
        <is>
          <t>Hematite-Goethite / Weathered Skarn</t>
        </is>
      </c>
      <c r="E15" s="17" t="inlineStr">
        <is>
          <t>Goethite / Quartz-rich Hematite</t>
        </is>
      </c>
      <c r="F15" s="19" t="n">
        <v>59.77</v>
      </c>
      <c r="G15" s="19" t="n">
        <v>6.01</v>
      </c>
      <c r="H15" s="19" t="n">
        <v>33.11</v>
      </c>
      <c r="I15" s="19">
        <f>H15/F15*100</f>
        <v/>
      </c>
      <c r="J15" s="19" t="n">
        <v>4.98</v>
      </c>
      <c r="K15" s="19" t="n">
        <v>1.89</v>
      </c>
      <c r="L15" s="19" t="n">
        <v>0.76</v>
      </c>
      <c r="M15" s="19" t="n">
        <v>0.72</v>
      </c>
      <c r="N15" s="19">
        <f>(L15+M15)/(J15+K15)</f>
        <v/>
      </c>
      <c r="O15" s="20" t="n">
        <v>0.076</v>
      </c>
      <c r="P15" s="20" t="n">
        <v>0.114</v>
      </c>
      <c r="Q15" s="20" t="n">
        <v>0.0512</v>
      </c>
      <c r="R15" s="19" t="n">
        <v>5.92</v>
      </c>
      <c r="S15" s="17" t="inlineStr">
        <is>
          <t>Variable / Highly Abrasive (Quartz)</t>
        </is>
      </c>
      <c r="T15" s="21" t="inlineStr">
        <is>
          <t>High LOI &amp; Alkalis: Risk of pellet swelling/whisker &amp; filter cloth blinding.</t>
        </is>
      </c>
      <c r="U15" s="17">
        <f>IF(OR(O15&gt;0.035, Q15&gt;0.060, I15&lt;80), "REJECT", IF(OR(O15&gt;0.028, Q15&gt;0.050, I15&lt;85), "WARNING", "PASS"))</f>
        <v/>
      </c>
    </row>
    <row r="16">
      <c r="A16" s="12" t="inlineStr">
        <is>
          <t>SMP-CH01-1015</t>
        </is>
      </c>
      <c r="B16" s="39" t="n">
        <v>45296</v>
      </c>
      <c r="C16" s="12" t="inlineStr">
        <is>
          <t>Shift_C</t>
        </is>
      </c>
      <c r="D16" s="12" t="inlineStr">
        <is>
          <t>Martitic Ore</t>
        </is>
      </c>
      <c r="E16" s="12" t="inlineStr">
        <is>
          <t>Martite / Semi-oxidized Magnetite</t>
        </is>
      </c>
      <c r="F16" s="14" t="n">
        <v>64.67</v>
      </c>
      <c r="G16" s="14" t="n">
        <v>20.98</v>
      </c>
      <c r="H16" s="14" t="n">
        <v>52.36</v>
      </c>
      <c r="I16" s="14">
        <f>H16/F16*100</f>
        <v/>
      </c>
      <c r="J16" s="14" t="n">
        <v>2.9</v>
      </c>
      <c r="K16" s="14" t="n">
        <v>1.06</v>
      </c>
      <c r="L16" s="14" t="n">
        <v>0.66</v>
      </c>
      <c r="M16" s="14" t="n">
        <v>0.58</v>
      </c>
      <c r="N16" s="14">
        <f>(L16+M16)/(J16+K16)</f>
        <v/>
      </c>
      <c r="O16" s="15" t="n">
        <v>0.0332</v>
      </c>
      <c r="P16" s="15" t="n">
        <v>0.0308</v>
      </c>
      <c r="Q16" s="15" t="n">
        <v>0.0427</v>
      </c>
      <c r="R16" s="14" t="n">
        <v>1.46</v>
      </c>
      <c r="S16" s="12" t="inlineStr">
        <is>
          <t>Hard (Wi 15.5-17.0)</t>
        </is>
      </c>
      <c r="T16" s="16" t="inlineStr">
        <is>
          <t>Martitization alert: Low LIMS recovery; requires WHIMS or higher drum RPM.</t>
        </is>
      </c>
      <c r="U16" s="12">
        <f>IF(OR(O16&gt;0.035, Q16&gt;0.060, I16&lt;80), "REJECT", IF(OR(O16&gt;0.028, Q16&gt;0.050, I16&lt;85), "WARNING", "PASS"))</f>
        <v/>
      </c>
    </row>
    <row r="17">
      <c r="A17" s="17" t="inlineStr">
        <is>
          <t>SMP-CH01-1016</t>
        </is>
      </c>
      <c r="B17" s="40" t="n">
        <v>45297</v>
      </c>
      <c r="C17" s="17" t="inlineStr">
        <is>
          <t>Shift_A</t>
        </is>
      </c>
      <c r="D17" s="17" t="inlineStr">
        <is>
          <t>Martitic Ore</t>
        </is>
      </c>
      <c r="E17" s="17" t="inlineStr">
        <is>
          <t>Martite / Semi-oxidized Magnetite</t>
        </is>
      </c>
      <c r="F17" s="19" t="n">
        <v>65.44</v>
      </c>
      <c r="G17" s="19" t="n">
        <v>20.94</v>
      </c>
      <c r="H17" s="19" t="n">
        <v>53.36</v>
      </c>
      <c r="I17" s="19">
        <f>H17/F17*100</f>
        <v/>
      </c>
      <c r="J17" s="19" t="n">
        <v>3.59</v>
      </c>
      <c r="K17" s="19" t="n">
        <v>1.63</v>
      </c>
      <c r="L17" s="19" t="n">
        <v>0.63</v>
      </c>
      <c r="M17" s="19" t="n">
        <v>0.58</v>
      </c>
      <c r="N17" s="19">
        <f>(L17+M17)/(J17+K17)</f>
        <v/>
      </c>
      <c r="O17" s="20" t="n">
        <v>0.0234</v>
      </c>
      <c r="P17" s="20" t="n">
        <v>0.0771</v>
      </c>
      <c r="Q17" s="20" t="n">
        <v>0.0493</v>
      </c>
      <c r="R17" s="19" t="n">
        <v>1.41</v>
      </c>
      <c r="S17" s="17" t="inlineStr">
        <is>
          <t>Hard (Wi 15.5-17.0)</t>
        </is>
      </c>
      <c r="T17" s="21" t="inlineStr">
        <is>
          <t>Martitization alert: Low LIMS recovery; requires WHIMS or higher drum RPM.</t>
        </is>
      </c>
      <c r="U17" s="17">
        <f>IF(OR(O17&gt;0.035, Q17&gt;0.060, I17&lt;80), "REJECT", IF(OR(O17&gt;0.028, Q17&gt;0.050, I17&lt;85), "WARNING", "PASS"))</f>
        <v/>
      </c>
    </row>
    <row r="18">
      <c r="A18" s="12" t="inlineStr">
        <is>
          <t>SMP-CH01-1017</t>
        </is>
      </c>
      <c r="B18" s="39" t="n">
        <v>45297</v>
      </c>
      <c r="C18" s="12" t="inlineStr">
        <is>
          <t>Shift_B</t>
        </is>
      </c>
      <c r="D18" s="12" t="inlineStr">
        <is>
          <t>Primary Magnetite</t>
        </is>
      </c>
      <c r="E18" s="12" t="inlineStr">
        <is>
          <t>Magnetite</t>
        </is>
      </c>
      <c r="F18" s="14" t="n">
        <v>67.34999999999999</v>
      </c>
      <c r="G18" s="14" t="n">
        <v>28.69</v>
      </c>
      <c r="H18" s="14" t="n">
        <v>65.81999999999999</v>
      </c>
      <c r="I18" s="14">
        <f>H18/F18*100</f>
        <v/>
      </c>
      <c r="J18" s="14" t="n">
        <v>2.87</v>
      </c>
      <c r="K18" s="14" t="n">
        <v>0.53</v>
      </c>
      <c r="L18" s="14" t="n">
        <v>0.53</v>
      </c>
      <c r="M18" s="14" t="n">
        <v>0.8100000000000001</v>
      </c>
      <c r="N18" s="14">
        <f>(L18+M18)/(J18+K18)</f>
        <v/>
      </c>
      <c r="O18" s="15" t="n">
        <v>0.0199</v>
      </c>
      <c r="P18" s="15" t="n">
        <v>0.0311</v>
      </c>
      <c r="Q18" s="15" t="n">
        <v>0.0339</v>
      </c>
      <c r="R18" s="14" t="n">
        <v>0.51</v>
      </c>
      <c r="S18" s="12" t="inlineStr">
        <is>
          <t>Medium (Wi 13.5-14.5)</t>
        </is>
      </c>
      <c r="T18" s="16" t="inlineStr">
        <is>
          <t>Standard DR-Grade; High exothermic heat during induration.</t>
        </is>
      </c>
      <c r="U18" s="12">
        <f>IF(OR(O18&gt;0.035, Q18&gt;0.060, I18&lt;80), "REJECT", IF(OR(O18&gt;0.028, Q18&gt;0.050, I18&lt;85), "WARNING", "PASS"))</f>
        <v/>
      </c>
    </row>
    <row r="19">
      <c r="A19" s="17" t="inlineStr">
        <is>
          <t>SMP-CH01-1018</t>
        </is>
      </c>
      <c r="B19" s="40" t="n">
        <v>45297</v>
      </c>
      <c r="C19" s="17" t="inlineStr">
        <is>
          <t>Shift_C</t>
        </is>
      </c>
      <c r="D19" s="17" t="inlineStr">
        <is>
          <t>Martitic Ore</t>
        </is>
      </c>
      <c r="E19" s="17" t="inlineStr">
        <is>
          <t>Martite / Semi-oxidized Magnetite</t>
        </is>
      </c>
      <c r="F19" s="19" t="n">
        <v>65.94</v>
      </c>
      <c r="G19" s="19" t="n">
        <v>19.23</v>
      </c>
      <c r="H19" s="19" t="n">
        <v>51.99</v>
      </c>
      <c r="I19" s="19">
        <f>H19/F19*100</f>
        <v/>
      </c>
      <c r="J19" s="19" t="n">
        <v>3.85</v>
      </c>
      <c r="K19" s="19" t="n">
        <v>0.66</v>
      </c>
      <c r="L19" s="19" t="n">
        <v>0.59</v>
      </c>
      <c r="M19" s="19" t="n">
        <v>0.86</v>
      </c>
      <c r="N19" s="19">
        <f>(L19+M19)/(J19+K19)</f>
        <v/>
      </c>
      <c r="O19" s="20" t="n">
        <v>0.0407</v>
      </c>
      <c r="P19" s="20" t="n">
        <v>0.09130000000000001</v>
      </c>
      <c r="Q19" s="20" t="n">
        <v>0.0355</v>
      </c>
      <c r="R19" s="19" t="n">
        <v>0.92</v>
      </c>
      <c r="S19" s="17" t="inlineStr">
        <is>
          <t>Hard (Wi 15.5-17.0)</t>
        </is>
      </c>
      <c r="T19" s="21" t="inlineStr">
        <is>
          <t>Martitization alert: Low LIMS recovery; requires WHIMS or higher drum RPM.</t>
        </is>
      </c>
      <c r="U19" s="17">
        <f>IF(OR(O19&gt;0.035, Q19&gt;0.060, I19&lt;80), "REJECT", IF(OR(O19&gt;0.028, Q19&gt;0.050, I19&lt;85), "WARNING", "PASS"))</f>
        <v/>
      </c>
    </row>
    <row r="20">
      <c r="A20" s="12" t="inlineStr">
        <is>
          <t>SMP-CH01-1019</t>
        </is>
      </c>
      <c r="B20" s="39" t="n">
        <v>45298</v>
      </c>
      <c r="C20" s="12" t="inlineStr">
        <is>
          <t>Shift_A</t>
        </is>
      </c>
      <c r="D20" s="12" t="inlineStr">
        <is>
          <t>Martitic Ore</t>
        </is>
      </c>
      <c r="E20" s="12" t="inlineStr">
        <is>
          <t>Martite / Semi-oxidized Magnetite</t>
        </is>
      </c>
      <c r="F20" s="14" t="n">
        <v>66.26000000000001</v>
      </c>
      <c r="G20" s="14" t="n">
        <v>21.6</v>
      </c>
      <c r="H20" s="14" t="n">
        <v>54.97</v>
      </c>
      <c r="I20" s="14">
        <f>H20/F20*100</f>
        <v/>
      </c>
      <c r="J20" s="14" t="n">
        <v>4.01</v>
      </c>
      <c r="K20" s="14" t="n">
        <v>1.31</v>
      </c>
      <c r="L20" s="14" t="n">
        <v>0.55</v>
      </c>
      <c r="M20" s="14" t="n">
        <v>1.02</v>
      </c>
      <c r="N20" s="14">
        <f>(L20+M20)/(J20+K20)</f>
        <v/>
      </c>
      <c r="O20" s="15" t="n">
        <v>0.0399</v>
      </c>
      <c r="P20" s="15" t="n">
        <v>0.0708</v>
      </c>
      <c r="Q20" s="15" t="n">
        <v>0.0541</v>
      </c>
      <c r="R20" s="14" t="n">
        <v>0.85</v>
      </c>
      <c r="S20" s="12" t="inlineStr">
        <is>
          <t>Hard (Wi 15.5-17.0)</t>
        </is>
      </c>
      <c r="T20" s="16" t="inlineStr">
        <is>
          <t>Martitization alert: Low LIMS recovery; requires WHIMS or higher drum RPM.</t>
        </is>
      </c>
      <c r="U20" s="12">
        <f>IF(OR(O20&gt;0.035, Q20&gt;0.060, I20&lt;80), "REJECT", IF(OR(O20&gt;0.028, Q20&gt;0.050, I20&lt;85), "WARNING", "PASS"))</f>
        <v/>
      </c>
    </row>
    <row r="21">
      <c r="A21" s="17" t="inlineStr">
        <is>
          <t>SMP-CH01-1020</t>
        </is>
      </c>
      <c r="B21" s="40" t="n">
        <v>45298</v>
      </c>
      <c r="C21" s="17" t="inlineStr">
        <is>
          <t>Shift_B</t>
        </is>
      </c>
      <c r="D21" s="17" t="inlineStr">
        <is>
          <t>Primary Magnetite</t>
        </is>
      </c>
      <c r="E21" s="17" t="inlineStr">
        <is>
          <t>Magnetite</t>
        </is>
      </c>
      <c r="F21" s="19" t="n">
        <v>65.7</v>
      </c>
      <c r="G21" s="19" t="n">
        <v>24.62</v>
      </c>
      <c r="H21" s="19" t="n">
        <v>62.17</v>
      </c>
      <c r="I21" s="19">
        <f>H21/F21*100</f>
        <v/>
      </c>
      <c r="J21" s="19" t="n">
        <v>3.66</v>
      </c>
      <c r="K21" s="19" t="n">
        <v>0.32</v>
      </c>
      <c r="L21" s="19" t="n">
        <v>0.52</v>
      </c>
      <c r="M21" s="19" t="n">
        <v>0.41</v>
      </c>
      <c r="N21" s="19">
        <f>(L21+M21)/(J21+K21)</f>
        <v/>
      </c>
      <c r="O21" s="20" t="n">
        <v>0.0192</v>
      </c>
      <c r="P21" s="20" t="n">
        <v>0.0613</v>
      </c>
      <c r="Q21" s="20" t="n">
        <v>0.0385</v>
      </c>
      <c r="R21" s="19" t="n">
        <v>0.24</v>
      </c>
      <c r="S21" s="17" t="inlineStr">
        <is>
          <t>Medium (Wi 13.5-14.5)</t>
        </is>
      </c>
      <c r="T21" s="21" t="inlineStr">
        <is>
          <t>Standard DR-Grade; High exothermic heat during induration.</t>
        </is>
      </c>
      <c r="U21" s="17">
        <f>IF(OR(O21&gt;0.035, Q21&gt;0.060, I21&lt;80), "REJECT", IF(OR(O21&gt;0.028, Q21&gt;0.050, I21&lt;85), "WARNING", "PASS"))</f>
        <v/>
      </c>
    </row>
    <row r="22">
      <c r="A22" s="12" t="inlineStr">
        <is>
          <t>SMP-CH01-1021</t>
        </is>
      </c>
      <c r="B22" s="39" t="n">
        <v>45298</v>
      </c>
      <c r="C22" s="12" t="inlineStr">
        <is>
          <t>Shift_C</t>
        </is>
      </c>
      <c r="D22" s="12" t="inlineStr">
        <is>
          <t>Martitic Ore</t>
        </is>
      </c>
      <c r="E22" s="12" t="inlineStr">
        <is>
          <t>Martite / Semi-oxidized Magnetite</t>
        </is>
      </c>
      <c r="F22" s="14" t="n">
        <v>66.62</v>
      </c>
      <c r="G22" s="14" t="n">
        <v>17.87</v>
      </c>
      <c r="H22" s="14" t="n">
        <v>48.65</v>
      </c>
      <c r="I22" s="14">
        <f>H22/F22*100</f>
        <v/>
      </c>
      <c r="J22" s="14" t="n">
        <v>2.78</v>
      </c>
      <c r="K22" s="14" t="n">
        <v>1.55</v>
      </c>
      <c r="L22" s="14" t="n">
        <v>0.77</v>
      </c>
      <c r="M22" s="14" t="n">
        <v>1.02</v>
      </c>
      <c r="N22" s="14">
        <f>(L22+M22)/(J22+K22)</f>
        <v/>
      </c>
      <c r="O22" s="15" t="n">
        <v>0.0386</v>
      </c>
      <c r="P22" s="15" t="n">
        <v>0.0654</v>
      </c>
      <c r="Q22" s="15" t="n">
        <v>0.0573</v>
      </c>
      <c r="R22" s="14" t="n">
        <v>1.51</v>
      </c>
      <c r="S22" s="12" t="inlineStr">
        <is>
          <t>Hard (Wi 15.5-17.0)</t>
        </is>
      </c>
      <c r="T22" s="16" t="inlineStr">
        <is>
          <t>Martitization alert: Low LIMS recovery; requires WHIMS or higher drum RPM.</t>
        </is>
      </c>
      <c r="U22" s="12">
        <f>IF(OR(O22&gt;0.035, Q22&gt;0.060, I22&lt;80), "REJECT", IF(OR(O22&gt;0.028, Q22&gt;0.050, I22&lt;85), "WARNING", "PASS"))</f>
        <v/>
      </c>
    </row>
    <row r="23">
      <c r="A23" s="17" t="inlineStr">
        <is>
          <t>SMP-CH01-1022</t>
        </is>
      </c>
      <c r="B23" s="40" t="n">
        <v>45299</v>
      </c>
      <c r="C23" s="17" t="inlineStr">
        <is>
          <t>Shift_A</t>
        </is>
      </c>
      <c r="D23" s="17" t="inlineStr">
        <is>
          <t>Primary Magnetite</t>
        </is>
      </c>
      <c r="E23" s="17" t="inlineStr">
        <is>
          <t>Magnetite</t>
        </is>
      </c>
      <c r="F23" s="19" t="n">
        <v>66.75</v>
      </c>
      <c r="G23" s="19" t="n">
        <v>24.83</v>
      </c>
      <c r="H23" s="19" t="n">
        <v>62.42</v>
      </c>
      <c r="I23" s="19">
        <f>H23/F23*100</f>
        <v/>
      </c>
      <c r="J23" s="19" t="n">
        <v>2.75</v>
      </c>
      <c r="K23" s="19" t="n">
        <v>0.73</v>
      </c>
      <c r="L23" s="19" t="n">
        <v>0.33</v>
      </c>
      <c r="M23" s="19" t="n">
        <v>0.6</v>
      </c>
      <c r="N23" s="19">
        <f>(L23+M23)/(J23+K23)</f>
        <v/>
      </c>
      <c r="O23" s="20" t="n">
        <v>0.0192</v>
      </c>
      <c r="P23" s="20" t="n">
        <v>0.0352</v>
      </c>
      <c r="Q23" s="20" t="n">
        <v>0.0521</v>
      </c>
      <c r="R23" s="19" t="n">
        <v>0.46</v>
      </c>
      <c r="S23" s="17" t="inlineStr">
        <is>
          <t>Medium (Wi 13.5-14.5)</t>
        </is>
      </c>
      <c r="T23" s="21" t="inlineStr">
        <is>
          <t>Standard DR-Grade; High exothermic heat during induration.</t>
        </is>
      </c>
      <c r="U23" s="17">
        <f>IF(OR(O23&gt;0.035, Q23&gt;0.060, I23&lt;80), "REJECT", IF(OR(O23&gt;0.028, Q23&gt;0.050, I23&lt;85), "WARNING", "PASS"))</f>
        <v/>
      </c>
    </row>
    <row r="24">
      <c r="A24" s="12" t="inlineStr">
        <is>
          <t>SMP-CH01-1023</t>
        </is>
      </c>
      <c r="B24" s="39" t="n">
        <v>45299</v>
      </c>
      <c r="C24" s="12" t="inlineStr">
        <is>
          <t>Shift_B</t>
        </is>
      </c>
      <c r="D24" s="12" t="inlineStr">
        <is>
          <t>Martitic Ore</t>
        </is>
      </c>
      <c r="E24" s="12" t="inlineStr">
        <is>
          <t>Martite / Semi-oxidized Magnetite</t>
        </is>
      </c>
      <c r="F24" s="14" t="n">
        <v>66.37</v>
      </c>
      <c r="G24" s="14" t="n">
        <v>20.42</v>
      </c>
      <c r="H24" s="14" t="n">
        <v>52.66</v>
      </c>
      <c r="I24" s="14">
        <f>H24/F24*100</f>
        <v/>
      </c>
      <c r="J24" s="14" t="n">
        <v>5.12</v>
      </c>
      <c r="K24" s="14" t="n">
        <v>0.77</v>
      </c>
      <c r="L24" s="14" t="n">
        <v>0.4</v>
      </c>
      <c r="M24" s="14" t="n">
        <v>0.7</v>
      </c>
      <c r="N24" s="14">
        <f>(L24+M24)/(J24+K24)</f>
        <v/>
      </c>
      <c r="O24" s="15" t="n">
        <v>0.047</v>
      </c>
      <c r="P24" s="15" t="n">
        <v>0.0645</v>
      </c>
      <c r="Q24" s="15" t="n">
        <v>0.0408</v>
      </c>
      <c r="R24" s="14" t="n">
        <v>0.8100000000000001</v>
      </c>
      <c r="S24" s="12" t="inlineStr">
        <is>
          <t>Hard (Wi 15.5-17.0)</t>
        </is>
      </c>
      <c r="T24" s="16" t="inlineStr">
        <is>
          <t>Martitization alert: Low LIMS recovery; requires WHIMS or higher drum RPM.</t>
        </is>
      </c>
      <c r="U24" s="12">
        <f>IF(OR(O24&gt;0.035, Q24&gt;0.060, I24&lt;80), "REJECT", IF(OR(O24&gt;0.028, Q24&gt;0.050, I24&lt;85), "WARNING", "PASS"))</f>
        <v/>
      </c>
    </row>
    <row r="25">
      <c r="A25" s="17" t="inlineStr">
        <is>
          <t>SMP-CH01-1024</t>
        </is>
      </c>
      <c r="B25" s="40" t="n">
        <v>45299</v>
      </c>
      <c r="C25" s="17" t="inlineStr">
        <is>
          <t>Shift_C</t>
        </is>
      </c>
      <c r="D25" s="17" t="inlineStr">
        <is>
          <t>Primary Magnetite</t>
        </is>
      </c>
      <c r="E25" s="17" t="inlineStr">
        <is>
          <t>Magnetite</t>
        </is>
      </c>
      <c r="F25" s="19" t="n">
        <v>67.37</v>
      </c>
      <c r="G25" s="19" t="n">
        <v>26.43</v>
      </c>
      <c r="H25" s="19" t="n">
        <v>62.78</v>
      </c>
      <c r="I25" s="19">
        <f>H25/F25*100</f>
        <v/>
      </c>
      <c r="J25" s="19" t="n">
        <v>2.28</v>
      </c>
      <c r="K25" s="19" t="n">
        <v>0.62</v>
      </c>
      <c r="L25" s="19" t="n">
        <v>0.59</v>
      </c>
      <c r="M25" s="19" t="n">
        <v>0.43</v>
      </c>
      <c r="N25" s="19">
        <f>(L25+M25)/(J25+K25)</f>
        <v/>
      </c>
      <c r="O25" s="20" t="n">
        <v>0.029</v>
      </c>
      <c r="P25" s="20" t="n">
        <v>0.0452</v>
      </c>
      <c r="Q25" s="20" t="n">
        <v>0.0301</v>
      </c>
      <c r="R25" s="19" t="n">
        <v>0.47</v>
      </c>
      <c r="S25" s="17" t="inlineStr">
        <is>
          <t>Medium (Wi 13.5-14.5)</t>
        </is>
      </c>
      <c r="T25" s="21" t="inlineStr">
        <is>
          <t>Standard DR-Grade; High exothermic heat during induration.</t>
        </is>
      </c>
      <c r="U25" s="17">
        <f>IF(OR(O25&gt;0.035, Q25&gt;0.060, I25&lt;80), "REJECT", IF(OR(O25&gt;0.028, Q25&gt;0.050, I25&lt;85), "WARNING", "PASS"))</f>
        <v/>
      </c>
    </row>
    <row r="26">
      <c r="A26" s="12" t="inlineStr">
        <is>
          <t>SMP-CH01-1025</t>
        </is>
      </c>
      <c r="B26" s="39" t="n">
        <v>45300</v>
      </c>
      <c r="C26" s="12" t="inlineStr">
        <is>
          <t>Shift_A</t>
        </is>
      </c>
      <c r="D26" s="12" t="inlineStr">
        <is>
          <t>Primary Magnetite</t>
        </is>
      </c>
      <c r="E26" s="12" t="inlineStr">
        <is>
          <t>Magnetite</t>
        </is>
      </c>
      <c r="F26" s="14" t="n">
        <v>67.26000000000001</v>
      </c>
      <c r="G26" s="14" t="n">
        <v>27.69</v>
      </c>
      <c r="H26" s="14" t="n">
        <v>63.68</v>
      </c>
      <c r="I26" s="14">
        <f>H26/F26*100</f>
        <v/>
      </c>
      <c r="J26" s="14" t="n">
        <v>2.53</v>
      </c>
      <c r="K26" s="14" t="n">
        <v>0.32</v>
      </c>
      <c r="L26" s="14" t="n">
        <v>0.58</v>
      </c>
      <c r="M26" s="14" t="n">
        <v>0.5600000000000001</v>
      </c>
      <c r="N26" s="14">
        <f>(L26+M26)/(J26+K26)</f>
        <v/>
      </c>
      <c r="O26" s="15" t="n">
        <v>0.0347</v>
      </c>
      <c r="P26" s="15" t="n">
        <v>0.0553</v>
      </c>
      <c r="Q26" s="15" t="n">
        <v>0.0386</v>
      </c>
      <c r="R26" s="14" t="n">
        <v>0.47</v>
      </c>
      <c r="S26" s="12" t="inlineStr">
        <is>
          <t>Medium (Wi 13.5-14.5)</t>
        </is>
      </c>
      <c r="T26" s="16" t="inlineStr">
        <is>
          <t>Standard DR-Grade; High exothermic heat during induration.</t>
        </is>
      </c>
      <c r="U26" s="12">
        <f>IF(OR(O26&gt;0.035, Q26&gt;0.060, I26&lt;80), "REJECT", IF(OR(O26&gt;0.028, Q26&gt;0.050, I26&lt;85), "WARNING", "PASS"))</f>
        <v/>
      </c>
    </row>
    <row r="27">
      <c r="A27" s="17" t="inlineStr">
        <is>
          <t>SMP-CH01-1026</t>
        </is>
      </c>
      <c r="B27" s="40" t="n">
        <v>45300</v>
      </c>
      <c r="C27" s="17" t="inlineStr">
        <is>
          <t>Shift_B</t>
        </is>
      </c>
      <c r="D27" s="17" t="inlineStr">
        <is>
          <t>Hematite-Goethite / Weathered Skarn</t>
        </is>
      </c>
      <c r="E27" s="17" t="inlineStr">
        <is>
          <t>Goethite / Quartz-rich Hematite</t>
        </is>
      </c>
      <c r="F27" s="19" t="n">
        <v>61.28</v>
      </c>
      <c r="G27" s="19" t="n">
        <v>2.81</v>
      </c>
      <c r="H27" s="19" t="n">
        <v>24.21</v>
      </c>
      <c r="I27" s="19">
        <f>H27/F27*100</f>
        <v/>
      </c>
      <c r="J27" s="19" t="n">
        <v>6.14</v>
      </c>
      <c r="K27" s="19" t="n">
        <v>1.55</v>
      </c>
      <c r="L27" s="19" t="n">
        <v>0.66</v>
      </c>
      <c r="M27" s="19" t="n">
        <v>0.78</v>
      </c>
      <c r="N27" s="19">
        <f>(L27+M27)/(J27+K27)</f>
        <v/>
      </c>
      <c r="O27" s="20" t="n">
        <v>0.0392</v>
      </c>
      <c r="P27" s="20" t="n">
        <v>0.129</v>
      </c>
      <c r="Q27" s="20" t="n">
        <v>0.08210000000000001</v>
      </c>
      <c r="R27" s="19" t="n">
        <v>4.44</v>
      </c>
      <c r="S27" s="17" t="inlineStr">
        <is>
          <t>Variable / Highly Abrasive (Quartz)</t>
        </is>
      </c>
      <c r="T27" s="21" t="inlineStr">
        <is>
          <t>High LOI &amp; Alkalis: Risk of pellet swelling/whisker &amp; filter cloth blinding.</t>
        </is>
      </c>
      <c r="U27" s="17">
        <f>IF(OR(O27&gt;0.035, Q27&gt;0.060, I27&lt;80), "REJECT", IF(OR(O27&gt;0.028, Q27&gt;0.050, I27&lt;85), "WARNING", "PASS"))</f>
        <v/>
      </c>
    </row>
    <row r="28">
      <c r="A28" s="12" t="inlineStr">
        <is>
          <t>SMP-CH01-1027</t>
        </is>
      </c>
      <c r="B28" s="39" t="n">
        <v>45300</v>
      </c>
      <c r="C28" s="12" t="inlineStr">
        <is>
          <t>Shift_C</t>
        </is>
      </c>
      <c r="D28" s="12" t="inlineStr">
        <is>
          <t>Martitic Ore</t>
        </is>
      </c>
      <c r="E28" s="12" t="inlineStr">
        <is>
          <t>Martite / Semi-oxidized Magnetite</t>
        </is>
      </c>
      <c r="F28" s="14" t="n">
        <v>66.34</v>
      </c>
      <c r="G28" s="14" t="n">
        <v>20.59</v>
      </c>
      <c r="H28" s="14" t="n">
        <v>54.16</v>
      </c>
      <c r="I28" s="14">
        <f>H28/F28*100</f>
        <v/>
      </c>
      <c r="J28" s="14" t="n">
        <v>4.27</v>
      </c>
      <c r="K28" s="14" t="n">
        <v>1.09</v>
      </c>
      <c r="L28" s="14" t="n">
        <v>0.46</v>
      </c>
      <c r="M28" s="14" t="n">
        <v>0.39</v>
      </c>
      <c r="N28" s="14">
        <f>(L28+M28)/(J28+K28)</f>
        <v/>
      </c>
      <c r="O28" s="15" t="n">
        <v>0.0222</v>
      </c>
      <c r="P28" s="15" t="n">
        <v>0.0483</v>
      </c>
      <c r="Q28" s="15" t="n">
        <v>0.0659</v>
      </c>
      <c r="R28" s="14" t="n">
        <v>1.67</v>
      </c>
      <c r="S28" s="12" t="inlineStr">
        <is>
          <t>Hard (Wi 15.5-17.0)</t>
        </is>
      </c>
      <c r="T28" s="16" t="inlineStr">
        <is>
          <t>Martitization alert: Low LIMS recovery; requires WHIMS or higher drum RPM.</t>
        </is>
      </c>
      <c r="U28" s="12">
        <f>IF(OR(O28&gt;0.035, Q28&gt;0.060, I28&lt;80), "REJECT", IF(OR(O28&gt;0.028, Q28&gt;0.050, I28&lt;85), "WARNING", "PASS"))</f>
        <v/>
      </c>
    </row>
    <row r="29">
      <c r="A29" s="17" t="inlineStr">
        <is>
          <t>SMP-CH01-1028</t>
        </is>
      </c>
      <c r="B29" s="40" t="n">
        <v>45301</v>
      </c>
      <c r="C29" s="17" t="inlineStr">
        <is>
          <t>Shift_A</t>
        </is>
      </c>
      <c r="D29" s="17" t="inlineStr">
        <is>
          <t>Martitic Ore</t>
        </is>
      </c>
      <c r="E29" s="17" t="inlineStr">
        <is>
          <t>Martite / Semi-oxidized Magnetite</t>
        </is>
      </c>
      <c r="F29" s="19" t="n">
        <v>65.14</v>
      </c>
      <c r="G29" s="19" t="n">
        <v>19.79</v>
      </c>
      <c r="H29" s="19" t="n">
        <v>47.71</v>
      </c>
      <c r="I29" s="19">
        <f>H29/F29*100</f>
        <v/>
      </c>
      <c r="J29" s="19" t="n">
        <v>4.84</v>
      </c>
      <c r="K29" s="19" t="n">
        <v>0.96</v>
      </c>
      <c r="L29" s="19" t="n">
        <v>0.63</v>
      </c>
      <c r="M29" s="19" t="n">
        <v>0.6899999999999999</v>
      </c>
      <c r="N29" s="19">
        <f>(L29+M29)/(J29+K29)</f>
        <v/>
      </c>
      <c r="O29" s="20" t="n">
        <v>0.0346</v>
      </c>
      <c r="P29" s="20" t="n">
        <v>0.0617</v>
      </c>
      <c r="Q29" s="20" t="n">
        <v>0.0532</v>
      </c>
      <c r="R29" s="19" t="n">
        <v>1.38</v>
      </c>
      <c r="S29" s="17" t="inlineStr">
        <is>
          <t>Hard (Wi 15.5-17.0)</t>
        </is>
      </c>
      <c r="T29" s="21" t="inlineStr">
        <is>
          <t>Martitization alert: Low LIMS recovery; requires WHIMS or higher drum RPM.</t>
        </is>
      </c>
      <c r="U29" s="17">
        <f>IF(OR(O29&gt;0.035, Q29&gt;0.060, I29&lt;80), "REJECT", IF(OR(O29&gt;0.028, Q29&gt;0.050, I29&lt;85), "WARNING", "PASS"))</f>
        <v/>
      </c>
    </row>
    <row r="30">
      <c r="A30" s="12" t="inlineStr">
        <is>
          <t>SMP-CH01-1029</t>
        </is>
      </c>
      <c r="B30" s="39" t="n">
        <v>45301</v>
      </c>
      <c r="C30" s="12" t="inlineStr">
        <is>
          <t>Shift_B</t>
        </is>
      </c>
      <c r="D30" s="12" t="inlineStr">
        <is>
          <t>Martitic Ore</t>
        </is>
      </c>
      <c r="E30" s="12" t="inlineStr">
        <is>
          <t>Martite / Semi-oxidized Magnetite</t>
        </is>
      </c>
      <c r="F30" s="14" t="n">
        <v>63.11</v>
      </c>
      <c r="G30" s="14" t="n">
        <v>19.27</v>
      </c>
      <c r="H30" s="14" t="n">
        <v>47.93</v>
      </c>
      <c r="I30" s="14">
        <f>H30/F30*100</f>
        <v/>
      </c>
      <c r="J30" s="14" t="n">
        <v>3.44</v>
      </c>
      <c r="K30" s="14" t="n">
        <v>1.14</v>
      </c>
      <c r="L30" s="14" t="n">
        <v>0.63</v>
      </c>
      <c r="M30" s="14" t="n">
        <v>0.61</v>
      </c>
      <c r="N30" s="14">
        <f>(L30+M30)/(J30+K30)</f>
        <v/>
      </c>
      <c r="O30" s="15" t="n">
        <v>0.0319</v>
      </c>
      <c r="P30" s="15" t="n">
        <v>0.0127</v>
      </c>
      <c r="Q30" s="15" t="n">
        <v>0.0732</v>
      </c>
      <c r="R30" s="14" t="n">
        <v>1.11</v>
      </c>
      <c r="S30" s="12" t="inlineStr">
        <is>
          <t>Hard (Wi 15.5-17.0)</t>
        </is>
      </c>
      <c r="T30" s="16" t="inlineStr">
        <is>
          <t>Martitization alert: Low LIMS recovery; requires WHIMS or higher drum RPM.</t>
        </is>
      </c>
      <c r="U30" s="12">
        <f>IF(OR(O30&gt;0.035, Q30&gt;0.060, I30&lt;80), "REJECT", IF(OR(O30&gt;0.028, Q30&gt;0.050, I30&lt;85), "WARNING", "PASS"))</f>
        <v/>
      </c>
    </row>
    <row r="31">
      <c r="A31" s="17" t="inlineStr">
        <is>
          <t>SMP-CH01-1030</t>
        </is>
      </c>
      <c r="B31" s="40" t="n">
        <v>45301</v>
      </c>
      <c r="C31" s="17" t="inlineStr">
        <is>
          <t>Shift_C</t>
        </is>
      </c>
      <c r="D31" s="17" t="inlineStr">
        <is>
          <t>Primary Magnetite</t>
        </is>
      </c>
      <c r="E31" s="17" t="inlineStr">
        <is>
          <t>Magnetite</t>
        </is>
      </c>
      <c r="F31" s="19" t="n">
        <v>68.45999999999999</v>
      </c>
      <c r="G31" s="19" t="n">
        <v>26.66</v>
      </c>
      <c r="H31" s="19" t="n">
        <v>62.4</v>
      </c>
      <c r="I31" s="19">
        <f>H31/F31*100</f>
        <v/>
      </c>
      <c r="J31" s="19" t="n">
        <v>2.09</v>
      </c>
      <c r="K31" s="19" t="n">
        <v>0.64</v>
      </c>
      <c r="L31" s="19" t="n">
        <v>0.47</v>
      </c>
      <c r="M31" s="19" t="n">
        <v>0.57</v>
      </c>
      <c r="N31" s="19">
        <f>(L31+M31)/(J31+K31)</f>
        <v/>
      </c>
      <c r="O31" s="20" t="n">
        <v>0.0192</v>
      </c>
      <c r="P31" s="20" t="n">
        <v>0.0485</v>
      </c>
      <c r="Q31" s="20" t="n">
        <v>0.0264</v>
      </c>
      <c r="R31" s="19" t="n">
        <v>0.19</v>
      </c>
      <c r="S31" s="17" t="inlineStr">
        <is>
          <t>Medium (Wi 13.5-14.5)</t>
        </is>
      </c>
      <c r="T31" s="21" t="inlineStr">
        <is>
          <t>Standard DR-Grade; High exothermic heat during induration.</t>
        </is>
      </c>
      <c r="U31" s="17">
        <f>IF(OR(O31&gt;0.035, Q31&gt;0.060, I31&lt;80), "REJECT", IF(OR(O31&gt;0.028, Q31&gt;0.050, I31&lt;85), "WARNING", "PASS"))</f>
        <v/>
      </c>
    </row>
    <row r="32">
      <c r="A32" s="12" t="inlineStr">
        <is>
          <t>SMP-CH01-1031</t>
        </is>
      </c>
      <c r="B32" s="39" t="n">
        <v>45302</v>
      </c>
      <c r="C32" s="12" t="inlineStr">
        <is>
          <t>Shift_A</t>
        </is>
      </c>
      <c r="D32" s="12" t="inlineStr">
        <is>
          <t>Martitic Ore</t>
        </is>
      </c>
      <c r="E32" s="12" t="inlineStr">
        <is>
          <t>Martite / Semi-oxidized Magnetite</t>
        </is>
      </c>
      <c r="F32" s="14" t="n">
        <v>64.8</v>
      </c>
      <c r="G32" s="14" t="n">
        <v>19.29</v>
      </c>
      <c r="H32" s="14" t="n">
        <v>47.31</v>
      </c>
      <c r="I32" s="14">
        <f>H32/F32*100</f>
        <v/>
      </c>
      <c r="J32" s="14" t="n">
        <v>4.89</v>
      </c>
      <c r="K32" s="14" t="n">
        <v>0.44</v>
      </c>
      <c r="L32" s="14" t="n">
        <v>0.74</v>
      </c>
      <c r="M32" s="14" t="n">
        <v>0.6899999999999999</v>
      </c>
      <c r="N32" s="14">
        <f>(L32+M32)/(J32+K32)</f>
        <v/>
      </c>
      <c r="O32" s="15" t="n">
        <v>0.032</v>
      </c>
      <c r="P32" s="15" t="n">
        <v>0.0479</v>
      </c>
      <c r="Q32" s="15" t="n">
        <v>0.0514</v>
      </c>
      <c r="R32" s="14" t="n">
        <v>1.58</v>
      </c>
      <c r="S32" s="12" t="inlineStr">
        <is>
          <t>Hard (Wi 15.5-17.0)</t>
        </is>
      </c>
      <c r="T32" s="16" t="inlineStr">
        <is>
          <t>Martitization alert: Low LIMS recovery; requires WHIMS or higher drum RPM.</t>
        </is>
      </c>
      <c r="U32" s="12">
        <f>IF(OR(O32&gt;0.035, Q32&gt;0.060, I32&lt;80), "REJECT", IF(OR(O32&gt;0.028, Q32&gt;0.050, I32&lt;85), "WARNING", "PASS"))</f>
        <v/>
      </c>
    </row>
    <row r="33">
      <c r="A33" s="17" t="inlineStr">
        <is>
          <t>SMP-CH01-1032</t>
        </is>
      </c>
      <c r="B33" s="40" t="n">
        <v>45302</v>
      </c>
      <c r="C33" s="17" t="inlineStr">
        <is>
          <t>Shift_B</t>
        </is>
      </c>
      <c r="D33" s="17" t="inlineStr">
        <is>
          <t>Primary Magnetite</t>
        </is>
      </c>
      <c r="E33" s="17" t="inlineStr">
        <is>
          <t>Magnetite</t>
        </is>
      </c>
      <c r="F33" s="19" t="n">
        <v>68.43000000000001</v>
      </c>
      <c r="G33" s="19" t="n">
        <v>27.45</v>
      </c>
      <c r="H33" s="19" t="n">
        <v>66.84999999999999</v>
      </c>
      <c r="I33" s="19">
        <f>H33/F33*100</f>
        <v/>
      </c>
      <c r="J33" s="19" t="n">
        <v>2.85</v>
      </c>
      <c r="K33" s="19" t="n">
        <v>0.54</v>
      </c>
      <c r="L33" s="19" t="n">
        <v>0.47</v>
      </c>
      <c r="M33" s="19" t="n">
        <v>0.65</v>
      </c>
      <c r="N33" s="19">
        <f>(L33+M33)/(J33+K33)</f>
        <v/>
      </c>
      <c r="O33" s="20" t="n">
        <v>0.0226</v>
      </c>
      <c r="P33" s="20" t="n">
        <v>0.0334</v>
      </c>
      <c r="Q33" s="20" t="n">
        <v>0.0382</v>
      </c>
      <c r="R33" s="19" t="n">
        <v>0.47</v>
      </c>
      <c r="S33" s="17" t="inlineStr">
        <is>
          <t>Medium (Wi 13.5-14.5)</t>
        </is>
      </c>
      <c r="T33" s="21" t="inlineStr">
        <is>
          <t>Standard DR-Grade; High exothermic heat during induration.</t>
        </is>
      </c>
      <c r="U33" s="17">
        <f>IF(OR(O33&gt;0.035, Q33&gt;0.060, I33&lt;80), "REJECT", IF(OR(O33&gt;0.028, Q33&gt;0.050, I33&lt;85), "WARNING", "PASS"))</f>
        <v/>
      </c>
    </row>
    <row r="34">
      <c r="A34" s="12" t="inlineStr">
        <is>
          <t>SMP-CH01-1033</t>
        </is>
      </c>
      <c r="B34" s="39" t="n">
        <v>45302</v>
      </c>
      <c r="C34" s="12" t="inlineStr">
        <is>
          <t>Shift_C</t>
        </is>
      </c>
      <c r="D34" s="12" t="inlineStr">
        <is>
          <t>Martitic Ore</t>
        </is>
      </c>
      <c r="E34" s="12" t="inlineStr">
        <is>
          <t>Martite / Semi-oxidized Magnetite</t>
        </is>
      </c>
      <c r="F34" s="14" t="n">
        <v>65.15000000000001</v>
      </c>
      <c r="G34" s="14" t="n">
        <v>20.57</v>
      </c>
      <c r="H34" s="14" t="n">
        <v>51.82</v>
      </c>
      <c r="I34" s="14">
        <f>H34/F34*100</f>
        <v/>
      </c>
      <c r="J34" s="14" t="n">
        <v>5.29</v>
      </c>
      <c r="K34" s="14" t="n">
        <v>0.92</v>
      </c>
      <c r="L34" s="14" t="n">
        <v>0.67</v>
      </c>
      <c r="M34" s="14" t="n">
        <v>0.46</v>
      </c>
      <c r="N34" s="14">
        <f>(L34+M34)/(J34+K34)</f>
        <v/>
      </c>
      <c r="O34" s="15" t="n">
        <v>0.0383</v>
      </c>
      <c r="P34" s="15" t="n">
        <v>0.0611</v>
      </c>
      <c r="Q34" s="15" t="n">
        <v>0.0357</v>
      </c>
      <c r="R34" s="14" t="n">
        <v>1.51</v>
      </c>
      <c r="S34" s="12" t="inlineStr">
        <is>
          <t>Hard (Wi 15.5-17.0)</t>
        </is>
      </c>
      <c r="T34" s="16" t="inlineStr">
        <is>
          <t>Martitization alert: Low LIMS recovery; requires WHIMS or higher drum RPM.</t>
        </is>
      </c>
      <c r="U34" s="12">
        <f>IF(OR(O34&gt;0.035, Q34&gt;0.060, I34&lt;80), "REJECT", IF(OR(O34&gt;0.028, Q34&gt;0.050, I34&lt;85), "WARNING", "PASS"))</f>
        <v/>
      </c>
    </row>
    <row r="35">
      <c r="A35" s="17" t="inlineStr">
        <is>
          <t>SMP-CH01-1034</t>
        </is>
      </c>
      <c r="B35" s="40" t="n">
        <v>45303</v>
      </c>
      <c r="C35" s="17" t="inlineStr">
        <is>
          <t>Shift_A</t>
        </is>
      </c>
      <c r="D35" s="17" t="inlineStr">
        <is>
          <t>Primary Magnetite</t>
        </is>
      </c>
      <c r="E35" s="17" t="inlineStr">
        <is>
          <t>Magnetite</t>
        </is>
      </c>
      <c r="F35" s="19" t="n">
        <v>65.33</v>
      </c>
      <c r="G35" s="19" t="n">
        <v>27.91</v>
      </c>
      <c r="H35" s="19" t="n">
        <v>63.89</v>
      </c>
      <c r="I35" s="19">
        <f>H35/F35*100</f>
        <v/>
      </c>
      <c r="J35" s="19" t="n">
        <v>2.67</v>
      </c>
      <c r="K35" s="19" t="n">
        <v>0.88</v>
      </c>
      <c r="L35" s="19" t="n">
        <v>0.55</v>
      </c>
      <c r="M35" s="19" t="n">
        <v>0.5600000000000001</v>
      </c>
      <c r="N35" s="19">
        <f>(L35+M35)/(J35+K35)</f>
        <v/>
      </c>
      <c r="O35" s="20" t="n">
        <v>0.0166</v>
      </c>
      <c r="P35" s="20" t="n">
        <v>0.0524</v>
      </c>
      <c r="Q35" s="20" t="n">
        <v>0.0274</v>
      </c>
      <c r="R35" s="19" t="n">
        <v>0.67</v>
      </c>
      <c r="S35" s="17" t="inlineStr">
        <is>
          <t>Medium (Wi 13.5-14.5)</t>
        </is>
      </c>
      <c r="T35" s="21" t="inlineStr">
        <is>
          <t>Standard DR-Grade; High exothermic heat during induration.</t>
        </is>
      </c>
      <c r="U35" s="17">
        <f>IF(OR(O35&gt;0.035, Q35&gt;0.060, I35&lt;80), "REJECT", IF(OR(O35&gt;0.028, Q35&gt;0.050, I35&lt;85), "WARNING", "PASS"))</f>
        <v/>
      </c>
    </row>
    <row r="36">
      <c r="A36" s="12" t="inlineStr">
        <is>
          <t>SMP-CH01-1035</t>
        </is>
      </c>
      <c r="B36" s="39" t="n">
        <v>45303</v>
      </c>
      <c r="C36" s="12" t="inlineStr">
        <is>
          <t>Shift_B</t>
        </is>
      </c>
      <c r="D36" s="12" t="inlineStr">
        <is>
          <t>Hematite-Goethite / Weathered Skarn</t>
        </is>
      </c>
      <c r="E36" s="12" t="inlineStr">
        <is>
          <t>Goethite / Quartz-rich Hematite</t>
        </is>
      </c>
      <c r="F36" s="14" t="n">
        <v>61.35</v>
      </c>
      <c r="G36" s="14" t="n">
        <v>6.94</v>
      </c>
      <c r="H36" s="14" t="n">
        <v>32.91</v>
      </c>
      <c r="I36" s="14">
        <f>H36/F36*100</f>
        <v/>
      </c>
      <c r="J36" s="14" t="n">
        <v>5.46</v>
      </c>
      <c r="K36" s="14" t="n">
        <v>1.92</v>
      </c>
      <c r="L36" s="14" t="n">
        <v>0.48</v>
      </c>
      <c r="M36" s="14" t="n">
        <v>0.99</v>
      </c>
      <c r="N36" s="14">
        <f>(L36+M36)/(J36+K36)</f>
        <v/>
      </c>
      <c r="O36" s="15" t="n">
        <v>0.0467</v>
      </c>
      <c r="P36" s="15" t="n">
        <v>0.106</v>
      </c>
      <c r="Q36" s="15" t="n">
        <v>0.0806</v>
      </c>
      <c r="R36" s="14" t="n">
        <v>2.5</v>
      </c>
      <c r="S36" s="12" t="inlineStr">
        <is>
          <t>Variable / Highly Abrasive (Quartz)</t>
        </is>
      </c>
      <c r="T36" s="16" t="inlineStr">
        <is>
          <t>High LOI &amp; Alkalis: Risk of pellet swelling/whisker &amp; filter cloth blinding.</t>
        </is>
      </c>
      <c r="U36" s="12">
        <f>IF(OR(O36&gt;0.035, Q36&gt;0.060, I36&lt;80), "REJECT", IF(OR(O36&gt;0.028, Q36&gt;0.050, I36&lt;85), "WARNING", "PASS"))</f>
        <v/>
      </c>
    </row>
    <row r="37">
      <c r="A37" s="17" t="inlineStr">
        <is>
          <t>SMP-CH01-1036</t>
        </is>
      </c>
      <c r="B37" s="40" t="n">
        <v>45303</v>
      </c>
      <c r="C37" s="17" t="inlineStr">
        <is>
          <t>Shift_C</t>
        </is>
      </c>
      <c r="D37" s="17" t="inlineStr">
        <is>
          <t>Primary Magnetite</t>
        </is>
      </c>
      <c r="E37" s="17" t="inlineStr">
        <is>
          <t>Magnetite</t>
        </is>
      </c>
      <c r="F37" s="19" t="n">
        <v>66.42</v>
      </c>
      <c r="G37" s="19" t="n">
        <v>25.93</v>
      </c>
      <c r="H37" s="19" t="n">
        <v>60.08</v>
      </c>
      <c r="I37" s="19">
        <f>H37/F37*100</f>
        <v/>
      </c>
      <c r="J37" s="19" t="n">
        <v>2.5</v>
      </c>
      <c r="K37" s="19" t="n">
        <v>0.61</v>
      </c>
      <c r="L37" s="19" t="n">
        <v>0.4</v>
      </c>
      <c r="M37" s="19" t="n">
        <v>0.74</v>
      </c>
      <c r="N37" s="19">
        <f>(L37+M37)/(J37+K37)</f>
        <v/>
      </c>
      <c r="O37" s="20" t="n">
        <v>0.0156</v>
      </c>
      <c r="P37" s="20" t="n">
        <v>0.0429</v>
      </c>
      <c r="Q37" s="20" t="n">
        <v>0.039</v>
      </c>
      <c r="R37" s="19" t="n">
        <v>0.48</v>
      </c>
      <c r="S37" s="17" t="inlineStr">
        <is>
          <t>Medium (Wi 13.5-14.5)</t>
        </is>
      </c>
      <c r="T37" s="21" t="inlineStr">
        <is>
          <t>Standard DR-Grade; High exothermic heat during induration.</t>
        </is>
      </c>
      <c r="U37" s="17">
        <f>IF(OR(O37&gt;0.035, Q37&gt;0.060, I37&lt;80), "REJECT", IF(OR(O37&gt;0.028, Q37&gt;0.050, I37&lt;85), "WARNING", "PASS"))</f>
        <v/>
      </c>
    </row>
    <row r="38">
      <c r="A38" s="12" t="inlineStr">
        <is>
          <t>SMP-CH01-1037</t>
        </is>
      </c>
      <c r="B38" s="39" t="n">
        <v>45304</v>
      </c>
      <c r="C38" s="12" t="inlineStr">
        <is>
          <t>Shift_A</t>
        </is>
      </c>
      <c r="D38" s="12" t="inlineStr">
        <is>
          <t>Primary Magnetite</t>
        </is>
      </c>
      <c r="E38" s="12" t="inlineStr">
        <is>
          <t>Magnetite</t>
        </is>
      </c>
      <c r="F38" s="14" t="n">
        <v>68.77</v>
      </c>
      <c r="G38" s="14" t="n">
        <v>25.51</v>
      </c>
      <c r="H38" s="14" t="n">
        <v>63.87</v>
      </c>
      <c r="I38" s="14">
        <f>H38/F38*100</f>
        <v/>
      </c>
      <c r="J38" s="14" t="n">
        <v>3.27</v>
      </c>
      <c r="K38" s="14" t="n">
        <v>0.64</v>
      </c>
      <c r="L38" s="14" t="n">
        <v>0.65</v>
      </c>
      <c r="M38" s="14" t="n">
        <v>0.67</v>
      </c>
      <c r="N38" s="14">
        <f>(L38+M38)/(J38+K38)</f>
        <v/>
      </c>
      <c r="O38" s="15" t="n">
        <v>0.0313</v>
      </c>
      <c r="P38" s="15" t="n">
        <v>0.0475</v>
      </c>
      <c r="Q38" s="15" t="n">
        <v>0.0472</v>
      </c>
      <c r="R38" s="14" t="n">
        <v>0.55</v>
      </c>
      <c r="S38" s="12" t="inlineStr">
        <is>
          <t>Medium (Wi 13.5-14.5)</t>
        </is>
      </c>
      <c r="T38" s="16" t="inlineStr">
        <is>
          <t>Standard DR-Grade; High exothermic heat during induration.</t>
        </is>
      </c>
      <c r="U38" s="12">
        <f>IF(OR(O38&gt;0.035, Q38&gt;0.060, I38&lt;80), "REJECT", IF(OR(O38&gt;0.028, Q38&gt;0.050, I38&lt;85), "WARNING", "PASS"))</f>
        <v/>
      </c>
    </row>
    <row r="39">
      <c r="A39" s="17" t="inlineStr">
        <is>
          <t>SMP-CH01-1038</t>
        </is>
      </c>
      <c r="B39" s="40" t="n">
        <v>45304</v>
      </c>
      <c r="C39" s="17" t="inlineStr">
        <is>
          <t>Shift_B</t>
        </is>
      </c>
      <c r="D39" s="17" t="inlineStr">
        <is>
          <t>Primary Magnetite</t>
        </is>
      </c>
      <c r="E39" s="17" t="inlineStr">
        <is>
          <t>Magnetite</t>
        </is>
      </c>
      <c r="F39" s="19" t="n">
        <v>67.7</v>
      </c>
      <c r="G39" s="19" t="n">
        <v>24.4</v>
      </c>
      <c r="H39" s="19" t="n">
        <v>61.66</v>
      </c>
      <c r="I39" s="19">
        <f>H39/F39*100</f>
        <v/>
      </c>
      <c r="J39" s="19" t="n">
        <v>2.82</v>
      </c>
      <c r="K39" s="19" t="n">
        <v>0.8100000000000001</v>
      </c>
      <c r="L39" s="19" t="n">
        <v>0.35</v>
      </c>
      <c r="M39" s="19" t="n">
        <v>0.75</v>
      </c>
      <c r="N39" s="19">
        <f>(L39+M39)/(J39+K39)</f>
        <v/>
      </c>
      <c r="O39" s="20" t="n">
        <v>0.0284</v>
      </c>
      <c r="P39" s="20" t="n">
        <v>0.0186</v>
      </c>
      <c r="Q39" s="20" t="n">
        <v>0.0285</v>
      </c>
      <c r="R39" s="19" t="n">
        <v>0.1</v>
      </c>
      <c r="S39" s="17" t="inlineStr">
        <is>
          <t>Medium (Wi 13.5-14.5)</t>
        </is>
      </c>
      <c r="T39" s="21" t="inlineStr">
        <is>
          <t>Standard DR-Grade; High exothermic heat during induration.</t>
        </is>
      </c>
      <c r="U39" s="17">
        <f>IF(OR(O39&gt;0.035, Q39&gt;0.060, I39&lt;80), "REJECT", IF(OR(O39&gt;0.028, Q39&gt;0.050, I39&lt;85), "WARNING", "PASS"))</f>
        <v/>
      </c>
    </row>
    <row r="40">
      <c r="A40" s="12" t="inlineStr">
        <is>
          <t>SMP-CH01-1039</t>
        </is>
      </c>
      <c r="B40" s="39" t="n">
        <v>45304</v>
      </c>
      <c r="C40" s="12" t="inlineStr">
        <is>
          <t>Shift_C</t>
        </is>
      </c>
      <c r="D40" s="12" t="inlineStr">
        <is>
          <t>Hematite-Goethite / Weathered Skarn</t>
        </is>
      </c>
      <c r="E40" s="12" t="inlineStr">
        <is>
          <t>Goethite / Quartz-rich Hematite</t>
        </is>
      </c>
      <c r="F40" s="14" t="n">
        <v>61.9</v>
      </c>
      <c r="G40" s="14" t="n">
        <v>4.28</v>
      </c>
      <c r="H40" s="14" t="n">
        <v>32.82</v>
      </c>
      <c r="I40" s="14">
        <f>H40/F40*100</f>
        <v/>
      </c>
      <c r="J40" s="14" t="n">
        <v>3.19</v>
      </c>
      <c r="K40" s="14" t="n">
        <v>2.19</v>
      </c>
      <c r="L40" s="14" t="n">
        <v>0.77</v>
      </c>
      <c r="M40" s="14" t="n">
        <v>0.9</v>
      </c>
      <c r="N40" s="14">
        <f>(L40+M40)/(J40+K40)</f>
        <v/>
      </c>
      <c r="O40" s="15" t="n">
        <v>0.0599</v>
      </c>
      <c r="P40" s="15" t="n">
        <v>0.0837</v>
      </c>
      <c r="Q40" s="15" t="n">
        <v>0.0417</v>
      </c>
      <c r="R40" s="14" t="n">
        <v>5.19</v>
      </c>
      <c r="S40" s="12" t="inlineStr">
        <is>
          <t>Variable / Highly Abrasive (Quartz)</t>
        </is>
      </c>
      <c r="T40" s="16" t="inlineStr">
        <is>
          <t>High LOI &amp; Alkalis: Risk of pellet swelling/whisker &amp; filter cloth blinding.</t>
        </is>
      </c>
      <c r="U40" s="12">
        <f>IF(OR(O40&gt;0.035, Q40&gt;0.060, I40&lt;80), "REJECT", IF(OR(O40&gt;0.028, Q40&gt;0.050, I40&lt;85), "WARNING", "PASS"))</f>
        <v/>
      </c>
    </row>
    <row r="41">
      <c r="A41" s="17" t="inlineStr">
        <is>
          <t>SMP-CH01-1040</t>
        </is>
      </c>
      <c r="B41" s="40" t="n">
        <v>45305</v>
      </c>
      <c r="C41" s="17" t="inlineStr">
        <is>
          <t>Shift_A</t>
        </is>
      </c>
      <c r="D41" s="17" t="inlineStr">
        <is>
          <t>Primary Magnetite</t>
        </is>
      </c>
      <c r="E41" s="17" t="inlineStr">
        <is>
          <t>Magnetite</t>
        </is>
      </c>
      <c r="F41" s="19" t="n">
        <v>67.98</v>
      </c>
      <c r="G41" s="19" t="n">
        <v>26.16</v>
      </c>
      <c r="H41" s="19" t="n">
        <v>64.63</v>
      </c>
      <c r="I41" s="19">
        <f>H41/F41*100</f>
        <v/>
      </c>
      <c r="J41" s="19" t="n">
        <v>2.68</v>
      </c>
      <c r="K41" s="19" t="n">
        <v>0.46</v>
      </c>
      <c r="L41" s="19" t="n">
        <v>0.4</v>
      </c>
      <c r="M41" s="19" t="n">
        <v>0.49</v>
      </c>
      <c r="N41" s="19">
        <f>(L41+M41)/(J41+K41)</f>
        <v/>
      </c>
      <c r="O41" s="20" t="n">
        <v>0.0216</v>
      </c>
      <c r="P41" s="20" t="n">
        <v>0.0593</v>
      </c>
      <c r="Q41" s="20" t="n">
        <v>0.0301</v>
      </c>
      <c r="R41" s="19" t="n">
        <v>0.48</v>
      </c>
      <c r="S41" s="17" t="inlineStr">
        <is>
          <t>Medium (Wi 13.5-14.5)</t>
        </is>
      </c>
      <c r="T41" s="21" t="inlineStr">
        <is>
          <t>Standard DR-Grade; High exothermic heat during induration.</t>
        </is>
      </c>
      <c r="U41" s="17">
        <f>IF(OR(O41&gt;0.035, Q41&gt;0.060, I41&lt;80), "REJECT", IF(OR(O41&gt;0.028, Q41&gt;0.050, I41&lt;85), "WARNING", "PASS"))</f>
        <v/>
      </c>
    </row>
    <row r="42">
      <c r="A42" s="12" t="inlineStr">
        <is>
          <t>SMP-CH01-1041</t>
        </is>
      </c>
      <c r="B42" s="39" t="n">
        <v>45305</v>
      </c>
      <c r="C42" s="12" t="inlineStr">
        <is>
          <t>Shift_B</t>
        </is>
      </c>
      <c r="D42" s="12" t="inlineStr">
        <is>
          <t>Primary Magnetite</t>
        </is>
      </c>
      <c r="E42" s="12" t="inlineStr">
        <is>
          <t>Magnetite</t>
        </is>
      </c>
      <c r="F42" s="14" t="n">
        <v>66.52</v>
      </c>
      <c r="G42" s="14" t="n">
        <v>24.12</v>
      </c>
      <c r="H42" s="14" t="n">
        <v>60.34</v>
      </c>
      <c r="I42" s="14">
        <f>H42/F42*100</f>
        <v/>
      </c>
      <c r="J42" s="14" t="n">
        <v>2.22</v>
      </c>
      <c r="K42" s="14" t="n">
        <v>0.38</v>
      </c>
      <c r="L42" s="14" t="n">
        <v>0.43</v>
      </c>
      <c r="M42" s="14" t="n">
        <v>0.66</v>
      </c>
      <c r="N42" s="14">
        <f>(L42+M42)/(J42+K42)</f>
        <v/>
      </c>
      <c r="O42" s="15" t="n">
        <v>0.0083</v>
      </c>
      <c r="P42" s="15" t="n">
        <v>0.0435</v>
      </c>
      <c r="Q42" s="15" t="n">
        <v>0.0383</v>
      </c>
      <c r="R42" s="14" t="n">
        <v>0.48</v>
      </c>
      <c r="S42" s="12" t="inlineStr">
        <is>
          <t>Medium (Wi 13.5-14.5)</t>
        </is>
      </c>
      <c r="T42" s="16" t="inlineStr">
        <is>
          <t>Standard DR-Grade; High exothermic heat during induration.</t>
        </is>
      </c>
      <c r="U42" s="12">
        <f>IF(OR(O42&gt;0.035, Q42&gt;0.060, I42&lt;80), "REJECT", IF(OR(O42&gt;0.028, Q42&gt;0.050, I42&lt;85), "WARNING", "PASS"))</f>
        <v/>
      </c>
    </row>
    <row r="43">
      <c r="A43" s="17" t="inlineStr">
        <is>
          <t>SMP-CH01-1042</t>
        </is>
      </c>
      <c r="B43" s="40" t="n">
        <v>45305</v>
      </c>
      <c r="C43" s="17" t="inlineStr">
        <is>
          <t>Shift_C</t>
        </is>
      </c>
      <c r="D43" s="17" t="inlineStr">
        <is>
          <t>Primary Magnetite</t>
        </is>
      </c>
      <c r="E43" s="17" t="inlineStr">
        <is>
          <t>Magnetite</t>
        </is>
      </c>
      <c r="F43" s="19" t="n">
        <v>68.95</v>
      </c>
      <c r="G43" s="19" t="n">
        <v>29.02</v>
      </c>
      <c r="H43" s="19" t="n">
        <v>66.87</v>
      </c>
      <c r="I43" s="19">
        <f>H43/F43*100</f>
        <v/>
      </c>
      <c r="J43" s="19" t="n">
        <v>2.44</v>
      </c>
      <c r="K43" s="19" t="n">
        <v>0.57</v>
      </c>
      <c r="L43" s="19" t="n">
        <v>0.51</v>
      </c>
      <c r="M43" s="19" t="n">
        <v>0.76</v>
      </c>
      <c r="N43" s="19">
        <f>(L43+M43)/(J43+K43)</f>
        <v/>
      </c>
      <c r="O43" s="20" t="n">
        <v>0.0188</v>
      </c>
      <c r="P43" s="20" t="n">
        <v>0.0364</v>
      </c>
      <c r="Q43" s="20" t="n">
        <v>0.0358</v>
      </c>
      <c r="R43" s="19" t="n">
        <v>0.1</v>
      </c>
      <c r="S43" s="17" t="inlineStr">
        <is>
          <t>Medium (Wi 13.5-14.5)</t>
        </is>
      </c>
      <c r="T43" s="21" t="inlineStr">
        <is>
          <t>Standard DR-Grade; High exothermic heat during induration.</t>
        </is>
      </c>
      <c r="U43" s="17">
        <f>IF(OR(O43&gt;0.035, Q43&gt;0.060, I43&lt;80), "REJECT", IF(OR(O43&gt;0.028, Q43&gt;0.050, I43&lt;85), "WARNING", "PASS"))</f>
        <v/>
      </c>
    </row>
    <row r="44">
      <c r="A44" s="12" t="inlineStr">
        <is>
          <t>SMP-CH01-1043</t>
        </is>
      </c>
      <c r="B44" s="39" t="n">
        <v>45306</v>
      </c>
      <c r="C44" s="12" t="inlineStr">
        <is>
          <t>Shift_A</t>
        </is>
      </c>
      <c r="D44" s="12" t="inlineStr">
        <is>
          <t>Martitic Ore</t>
        </is>
      </c>
      <c r="E44" s="12" t="inlineStr">
        <is>
          <t>Martite / Semi-oxidized Magnetite</t>
        </is>
      </c>
      <c r="F44" s="14" t="n">
        <v>64.86</v>
      </c>
      <c r="G44" s="14" t="n">
        <v>19.25</v>
      </c>
      <c r="H44" s="14" t="n">
        <v>52.52</v>
      </c>
      <c r="I44" s="14">
        <f>H44/F44*100</f>
        <v/>
      </c>
      <c r="J44" s="14" t="n">
        <v>2.05</v>
      </c>
      <c r="K44" s="14" t="n">
        <v>1.16</v>
      </c>
      <c r="L44" s="14" t="n">
        <v>0.43</v>
      </c>
      <c r="M44" s="14" t="n">
        <v>0.76</v>
      </c>
      <c r="N44" s="14">
        <f>(L44+M44)/(J44+K44)</f>
        <v/>
      </c>
      <c r="O44" s="15" t="n">
        <v>0.0397</v>
      </c>
      <c r="P44" s="15" t="n">
        <v>0.0407</v>
      </c>
      <c r="Q44" s="15" t="n">
        <v>0.053</v>
      </c>
      <c r="R44" s="14" t="n">
        <v>1.66</v>
      </c>
      <c r="S44" s="12" t="inlineStr">
        <is>
          <t>Hard (Wi 15.5-17.0)</t>
        </is>
      </c>
      <c r="T44" s="16" t="inlineStr">
        <is>
          <t>Martitization alert: Low LIMS recovery; requires WHIMS or higher drum RPM.</t>
        </is>
      </c>
      <c r="U44" s="12">
        <f>IF(OR(O44&gt;0.035, Q44&gt;0.060, I44&lt;80), "REJECT", IF(OR(O44&gt;0.028, Q44&gt;0.050, I44&lt;85), "WARNING", "PASS"))</f>
        <v/>
      </c>
    </row>
    <row r="45">
      <c r="A45" s="17" t="inlineStr">
        <is>
          <t>SMP-CH01-1044</t>
        </is>
      </c>
      <c r="B45" s="40" t="n">
        <v>45306</v>
      </c>
      <c r="C45" s="17" t="inlineStr">
        <is>
          <t>Shift_B</t>
        </is>
      </c>
      <c r="D45" s="17" t="inlineStr">
        <is>
          <t>Primary Magnetite</t>
        </is>
      </c>
      <c r="E45" s="17" t="inlineStr">
        <is>
          <t>Magnetite</t>
        </is>
      </c>
      <c r="F45" s="19" t="n">
        <v>64.55</v>
      </c>
      <c r="G45" s="19" t="n">
        <v>24.43</v>
      </c>
      <c r="H45" s="19" t="n">
        <v>59.49</v>
      </c>
      <c r="I45" s="19">
        <f>H45/F45*100</f>
        <v/>
      </c>
      <c r="J45" s="19" t="n">
        <v>2.18</v>
      </c>
      <c r="K45" s="19" t="n">
        <v>0.44</v>
      </c>
      <c r="L45" s="19" t="n">
        <v>0.62</v>
      </c>
      <c r="M45" s="19" t="n">
        <v>0.78</v>
      </c>
      <c r="N45" s="19">
        <f>(L45+M45)/(J45+K45)</f>
        <v/>
      </c>
      <c r="O45" s="20" t="n">
        <v>0.022</v>
      </c>
      <c r="P45" s="20" t="n">
        <v>0.0672</v>
      </c>
      <c r="Q45" s="20" t="n">
        <v>0.0386</v>
      </c>
      <c r="R45" s="19" t="n">
        <v>0.27</v>
      </c>
      <c r="S45" s="17" t="inlineStr">
        <is>
          <t>Medium (Wi 13.5-14.5)</t>
        </is>
      </c>
      <c r="T45" s="21" t="inlineStr">
        <is>
          <t>Standard DR-Grade; High exothermic heat during induration.</t>
        </is>
      </c>
      <c r="U45" s="17">
        <f>IF(OR(O45&gt;0.035, Q45&gt;0.060, I45&lt;80), "REJECT", IF(OR(O45&gt;0.028, Q45&gt;0.050, I45&lt;85), "WARNING", "PASS"))</f>
        <v/>
      </c>
    </row>
    <row r="46">
      <c r="A46" s="12" t="inlineStr">
        <is>
          <t>SMP-CH01-1045</t>
        </is>
      </c>
      <c r="B46" s="39" t="n">
        <v>45306</v>
      </c>
      <c r="C46" s="12" t="inlineStr">
        <is>
          <t>Shift_C</t>
        </is>
      </c>
      <c r="D46" s="12" t="inlineStr">
        <is>
          <t>Primary Magnetite</t>
        </is>
      </c>
      <c r="E46" s="12" t="inlineStr">
        <is>
          <t>Magnetite</t>
        </is>
      </c>
      <c r="F46" s="14" t="n">
        <v>66.97</v>
      </c>
      <c r="G46" s="14" t="n">
        <v>24.79</v>
      </c>
      <c r="H46" s="14" t="n">
        <v>60.96</v>
      </c>
      <c r="I46" s="14">
        <f>H46/F46*100</f>
        <v/>
      </c>
      <c r="J46" s="14" t="n">
        <v>3.29</v>
      </c>
      <c r="K46" s="14" t="n">
        <v>0.8100000000000001</v>
      </c>
      <c r="L46" s="14" t="n">
        <v>0.32</v>
      </c>
      <c r="M46" s="14" t="n">
        <v>0.36</v>
      </c>
      <c r="N46" s="14">
        <f>(L46+M46)/(J46+K46)</f>
        <v/>
      </c>
      <c r="O46" s="15" t="n">
        <v>0.0276</v>
      </c>
      <c r="P46" s="15" t="n">
        <v>0.0454</v>
      </c>
      <c r="Q46" s="15" t="n">
        <v>0.039</v>
      </c>
      <c r="R46" s="14" t="n">
        <v>0.35</v>
      </c>
      <c r="S46" s="12" t="inlineStr">
        <is>
          <t>Medium (Wi 13.5-14.5)</t>
        </is>
      </c>
      <c r="T46" s="16" t="inlineStr">
        <is>
          <t>Standard DR-Grade; High exothermic heat during induration.</t>
        </is>
      </c>
      <c r="U46" s="12">
        <f>IF(OR(O46&gt;0.035, Q46&gt;0.060, I46&lt;80), "REJECT", IF(OR(O46&gt;0.028, Q46&gt;0.050, I46&lt;85), "WARNING", "PASS"))</f>
        <v/>
      </c>
    </row>
    <row r="47">
      <c r="A47" s="17" t="inlineStr">
        <is>
          <t>SMP-CH01-1046</t>
        </is>
      </c>
      <c r="B47" s="40" t="n">
        <v>45307</v>
      </c>
      <c r="C47" s="17" t="inlineStr">
        <is>
          <t>Shift_A</t>
        </is>
      </c>
      <c r="D47" s="17" t="inlineStr">
        <is>
          <t>Primary Magnetite</t>
        </is>
      </c>
      <c r="E47" s="17" t="inlineStr">
        <is>
          <t>Magnetite</t>
        </is>
      </c>
      <c r="F47" s="19" t="n">
        <v>67.20999999999999</v>
      </c>
      <c r="G47" s="19" t="n">
        <v>24.81</v>
      </c>
      <c r="H47" s="19" t="n">
        <v>61.81</v>
      </c>
      <c r="I47" s="19">
        <f>H47/F47*100</f>
        <v/>
      </c>
      <c r="J47" s="19" t="n">
        <v>2.2</v>
      </c>
      <c r="K47" s="19" t="n">
        <v>0.47</v>
      </c>
      <c r="L47" s="19" t="n">
        <v>0.45</v>
      </c>
      <c r="M47" s="19" t="n">
        <v>0.53</v>
      </c>
      <c r="N47" s="19">
        <f>(L47+M47)/(J47+K47)</f>
        <v/>
      </c>
      <c r="O47" s="20" t="n">
        <v>0.062</v>
      </c>
      <c r="P47" s="20" t="n">
        <v>0.0442</v>
      </c>
      <c r="Q47" s="20" t="n">
        <v>0.0361</v>
      </c>
      <c r="R47" s="19" t="n">
        <v>0.26</v>
      </c>
      <c r="S47" s="17" t="inlineStr">
        <is>
          <t>Medium (Wi 13.5-14.5)</t>
        </is>
      </c>
      <c r="T47" s="21" t="inlineStr">
        <is>
          <t>OUTLIER: High P contamination (Fluorapatite vein) -&gt; Severe Cold Shortness risk.</t>
        </is>
      </c>
      <c r="U47" s="17">
        <f>IF(OR(O47&gt;0.035, Q47&gt;0.060, I47&lt;80), "REJECT", IF(OR(O47&gt;0.028, Q47&gt;0.050, I47&lt;85), "WARNING", "PASS"))</f>
        <v/>
      </c>
    </row>
    <row r="48">
      <c r="A48" s="12" t="inlineStr">
        <is>
          <t>SMP-CH01-1047</t>
        </is>
      </c>
      <c r="B48" s="39" t="n">
        <v>45307</v>
      </c>
      <c r="C48" s="12" t="inlineStr">
        <is>
          <t>Shift_B</t>
        </is>
      </c>
      <c r="D48" s="12" t="inlineStr">
        <is>
          <t>Hematite-Goethite / Weathered Skarn</t>
        </is>
      </c>
      <c r="E48" s="12" t="inlineStr">
        <is>
          <t>Goethite / Quartz-rich Hematite</t>
        </is>
      </c>
      <c r="F48" s="14" t="n">
        <v>61.97</v>
      </c>
      <c r="G48" s="14" t="n">
        <v>3.27</v>
      </c>
      <c r="H48" s="14" t="n">
        <v>25.37</v>
      </c>
      <c r="I48" s="14">
        <f>H48/F48*100</f>
        <v/>
      </c>
      <c r="J48" s="14" t="n">
        <v>6.13</v>
      </c>
      <c r="K48" s="14" t="n">
        <v>2.01</v>
      </c>
      <c r="L48" s="14" t="n">
        <v>0.74</v>
      </c>
      <c r="M48" s="14" t="n">
        <v>1.41</v>
      </c>
      <c r="N48" s="14">
        <f>(L48+M48)/(J48+K48)</f>
        <v/>
      </c>
      <c r="O48" s="15" t="n">
        <v>0.0723</v>
      </c>
      <c r="P48" s="15" t="n">
        <v>0.1323</v>
      </c>
      <c r="Q48" s="15" t="n">
        <v>0.0598</v>
      </c>
      <c r="R48" s="14" t="n">
        <v>4.58</v>
      </c>
      <c r="S48" s="12" t="inlineStr">
        <is>
          <t>Variable / Highly Abrasive (Quartz)</t>
        </is>
      </c>
      <c r="T48" s="16" t="inlineStr">
        <is>
          <t>High LOI &amp; Alkalis: Risk of pellet swelling/whisker &amp; filter cloth blinding.</t>
        </is>
      </c>
      <c r="U48" s="12">
        <f>IF(OR(O48&gt;0.035, Q48&gt;0.060, I48&lt;80), "REJECT", IF(OR(O48&gt;0.028, Q48&gt;0.050, I48&lt;85), "WARNING", "PASS"))</f>
        <v/>
      </c>
    </row>
    <row r="49">
      <c r="A49" s="17" t="inlineStr">
        <is>
          <t>SMP-CH01-1048</t>
        </is>
      </c>
      <c r="B49" s="40" t="n">
        <v>45307</v>
      </c>
      <c r="C49" s="17" t="inlineStr">
        <is>
          <t>Shift_C</t>
        </is>
      </c>
      <c r="D49" s="17" t="inlineStr">
        <is>
          <t>Primary Magnetite</t>
        </is>
      </c>
      <c r="E49" s="17" t="inlineStr">
        <is>
          <t>Magnetite</t>
        </is>
      </c>
      <c r="F49" s="19" t="n">
        <v>66.3</v>
      </c>
      <c r="G49" s="19" t="n">
        <v>25.25</v>
      </c>
      <c r="H49" s="19" t="n">
        <v>62.36</v>
      </c>
      <c r="I49" s="19">
        <f>H49/F49*100</f>
        <v/>
      </c>
      <c r="J49" s="19" t="n">
        <v>2.63</v>
      </c>
      <c r="K49" s="19" t="n">
        <v>0.46</v>
      </c>
      <c r="L49" s="19" t="n">
        <v>0.51</v>
      </c>
      <c r="M49" s="19" t="n">
        <v>0.4</v>
      </c>
      <c r="N49" s="19">
        <f>(L49+M49)/(J49+K49)</f>
        <v/>
      </c>
      <c r="O49" s="20" t="n">
        <v>0.0216</v>
      </c>
      <c r="P49" s="20" t="n">
        <v>0.0268</v>
      </c>
      <c r="Q49" s="20" t="n">
        <v>0.0328</v>
      </c>
      <c r="R49" s="19" t="n">
        <v>0.41</v>
      </c>
      <c r="S49" s="17" t="inlineStr">
        <is>
          <t>Medium (Wi 13.5-14.5)</t>
        </is>
      </c>
      <c r="T49" s="21" t="inlineStr">
        <is>
          <t>Standard DR-Grade; High exothermic heat during induration.</t>
        </is>
      </c>
      <c r="U49" s="17">
        <f>IF(OR(O49&gt;0.035, Q49&gt;0.060, I49&lt;80), "REJECT", IF(OR(O49&gt;0.028, Q49&gt;0.050, I49&lt;85), "WARNING", "PASS"))</f>
        <v/>
      </c>
    </row>
    <row r="50">
      <c r="A50" s="12" t="inlineStr">
        <is>
          <t>SMP-CH01-1049</t>
        </is>
      </c>
      <c r="B50" s="39" t="n">
        <v>45308</v>
      </c>
      <c r="C50" s="12" t="inlineStr">
        <is>
          <t>Shift_A</t>
        </is>
      </c>
      <c r="D50" s="12" t="inlineStr">
        <is>
          <t>Primary Magnetite</t>
        </is>
      </c>
      <c r="E50" s="12" t="inlineStr">
        <is>
          <t>Magnetite</t>
        </is>
      </c>
      <c r="F50" s="14" t="n">
        <v>66.78</v>
      </c>
      <c r="G50" s="14" t="n">
        <v>27.23</v>
      </c>
      <c r="H50" s="14" t="n">
        <v>63.74</v>
      </c>
      <c r="I50" s="14">
        <f>H50/F50*100</f>
        <v/>
      </c>
      <c r="J50" s="14" t="n">
        <v>2.88</v>
      </c>
      <c r="K50" s="14" t="n">
        <v>0.49</v>
      </c>
      <c r="L50" s="14" t="n">
        <v>0.6899999999999999</v>
      </c>
      <c r="M50" s="14" t="n">
        <v>0.38</v>
      </c>
      <c r="N50" s="14">
        <f>(L50+M50)/(J50+K50)</f>
        <v/>
      </c>
      <c r="O50" s="15" t="n">
        <v>0.0158</v>
      </c>
      <c r="P50" s="15" t="n">
        <v>0.0475</v>
      </c>
      <c r="Q50" s="15" t="n">
        <v>0.0387</v>
      </c>
      <c r="R50" s="14" t="n">
        <v>0.47</v>
      </c>
      <c r="S50" s="12" t="inlineStr">
        <is>
          <t>Medium (Wi 13.5-14.5)</t>
        </is>
      </c>
      <c r="T50" s="16" t="inlineStr">
        <is>
          <t>Standard DR-Grade; High exothermic heat during induration.</t>
        </is>
      </c>
      <c r="U50" s="12">
        <f>IF(OR(O50&gt;0.035, Q50&gt;0.060, I50&lt;80), "REJECT", IF(OR(O50&gt;0.028, Q50&gt;0.050, I50&lt;85), "WARNING", "PASS"))</f>
        <v/>
      </c>
    </row>
    <row r="51">
      <c r="A51" s="17" t="inlineStr">
        <is>
          <t>SMP-CH01-1050</t>
        </is>
      </c>
      <c r="B51" s="40" t="n">
        <v>45308</v>
      </c>
      <c r="C51" s="17" t="inlineStr">
        <is>
          <t>Shift_B</t>
        </is>
      </c>
      <c r="D51" s="17" t="inlineStr">
        <is>
          <t>Martitic Ore</t>
        </is>
      </c>
      <c r="E51" s="17" t="inlineStr">
        <is>
          <t>Martite / Semi-oxidized Magnetite</t>
        </is>
      </c>
      <c r="F51" s="19" t="n">
        <v>68.17</v>
      </c>
      <c r="G51" s="19" t="n">
        <v>20.53</v>
      </c>
      <c r="H51" s="19" t="n">
        <v>50.23</v>
      </c>
      <c r="I51" s="19">
        <f>H51/F51*100</f>
        <v/>
      </c>
      <c r="J51" s="19" t="n">
        <v>3.41</v>
      </c>
      <c r="K51" s="19" t="n">
        <v>0.84</v>
      </c>
      <c r="L51" s="19" t="n">
        <v>0.6</v>
      </c>
      <c r="M51" s="19" t="n">
        <v>0.67</v>
      </c>
      <c r="N51" s="19">
        <f>(L51+M51)/(J51+K51)</f>
        <v/>
      </c>
      <c r="O51" s="20" t="n">
        <v>0.0343</v>
      </c>
      <c r="P51" s="20" t="n">
        <v>0.1169</v>
      </c>
      <c r="Q51" s="20" t="n">
        <v>0.0625</v>
      </c>
      <c r="R51" s="19" t="n">
        <v>1.1</v>
      </c>
      <c r="S51" s="17" t="inlineStr">
        <is>
          <t>Hard (Wi 15.5-17.0)</t>
        </is>
      </c>
      <c r="T51" s="21" t="inlineStr">
        <is>
          <t>Martitization alert: Low LIMS recovery; requires WHIMS or higher drum RPM.</t>
        </is>
      </c>
      <c r="U51" s="17">
        <f>IF(OR(O51&gt;0.035, Q51&gt;0.060, I51&lt;80), "REJECT", IF(OR(O51&gt;0.028, Q51&gt;0.050, I51&lt;85), "WARNING", "PASS"))</f>
        <v/>
      </c>
    </row>
    <row r="52">
      <c r="A52" s="12" t="inlineStr">
        <is>
          <t>SMP-CH01-1051</t>
        </is>
      </c>
      <c r="B52" s="39" t="n">
        <v>45308</v>
      </c>
      <c r="C52" s="12" t="inlineStr">
        <is>
          <t>Shift_C</t>
        </is>
      </c>
      <c r="D52" s="12" t="inlineStr">
        <is>
          <t>Primary Magnetite</t>
        </is>
      </c>
      <c r="E52" s="12" t="inlineStr">
        <is>
          <t>Magnetite</t>
        </is>
      </c>
      <c r="F52" s="14" t="n">
        <v>67.2</v>
      </c>
      <c r="G52" s="14" t="n">
        <v>25.9</v>
      </c>
      <c r="H52" s="14" t="n">
        <v>62.51</v>
      </c>
      <c r="I52" s="14">
        <f>H52/F52*100</f>
        <v/>
      </c>
      <c r="J52" s="14" t="n">
        <v>3.15</v>
      </c>
      <c r="K52" s="14" t="n">
        <v>0.76</v>
      </c>
      <c r="L52" s="14" t="n">
        <v>0.37</v>
      </c>
      <c r="M52" s="14" t="n">
        <v>0.41</v>
      </c>
      <c r="N52" s="14">
        <f>(L52+M52)/(J52+K52)</f>
        <v/>
      </c>
      <c r="O52" s="15" t="n">
        <v>0.0221</v>
      </c>
      <c r="P52" s="15" t="n">
        <v>0.0414</v>
      </c>
      <c r="Q52" s="15" t="n">
        <v>0.0446</v>
      </c>
      <c r="R52" s="14" t="n">
        <v>0.53</v>
      </c>
      <c r="S52" s="12" t="inlineStr">
        <is>
          <t>Medium (Wi 13.5-14.5)</t>
        </is>
      </c>
      <c r="T52" s="16" t="inlineStr">
        <is>
          <t>Standard DR-Grade; High exothermic heat during induration.</t>
        </is>
      </c>
      <c r="U52" s="12">
        <f>IF(OR(O52&gt;0.035, Q52&gt;0.060, I52&lt;80), "REJECT", IF(OR(O52&gt;0.028, Q52&gt;0.050, I52&lt;85), "WARNING", "PASS"))</f>
        <v/>
      </c>
    </row>
    <row r="53">
      <c r="A53" s="17" t="inlineStr">
        <is>
          <t>SMP-CH01-1052</t>
        </is>
      </c>
      <c r="B53" s="40" t="n">
        <v>45309</v>
      </c>
      <c r="C53" s="17" t="inlineStr">
        <is>
          <t>Shift_A</t>
        </is>
      </c>
      <c r="D53" s="17" t="inlineStr">
        <is>
          <t>Martitic Ore</t>
        </is>
      </c>
      <c r="E53" s="17" t="inlineStr">
        <is>
          <t>Martite / Semi-oxidized Magnetite</t>
        </is>
      </c>
      <c r="F53" s="19" t="n">
        <v>65.94</v>
      </c>
      <c r="G53" s="19" t="n">
        <v>20.18</v>
      </c>
      <c r="H53" s="19" t="n">
        <v>48.4</v>
      </c>
      <c r="I53" s="19">
        <f>H53/F53*100</f>
        <v/>
      </c>
      <c r="J53" s="19" t="n">
        <v>2.62</v>
      </c>
      <c r="K53" s="19" t="n">
        <v>1.24</v>
      </c>
      <c r="L53" s="19" t="n">
        <v>0.59</v>
      </c>
      <c r="M53" s="19" t="n">
        <v>0.67</v>
      </c>
      <c r="N53" s="19">
        <f>(L53+M53)/(J53+K53)</f>
        <v/>
      </c>
      <c r="O53" s="20" t="n">
        <v>0.0371</v>
      </c>
      <c r="P53" s="20" t="n">
        <v>0.1218</v>
      </c>
      <c r="Q53" s="20" t="n">
        <v>0.0542</v>
      </c>
      <c r="R53" s="19" t="n">
        <v>1.27</v>
      </c>
      <c r="S53" s="17" t="inlineStr">
        <is>
          <t>Hard (Wi 15.5-17.0)</t>
        </is>
      </c>
      <c r="T53" s="21" t="inlineStr">
        <is>
          <t>Martitization alert: Low LIMS recovery; requires WHIMS or higher drum RPM.</t>
        </is>
      </c>
      <c r="U53" s="17">
        <f>IF(OR(O53&gt;0.035, Q53&gt;0.060, I53&lt;80), "REJECT", IF(OR(O53&gt;0.028, Q53&gt;0.050, I53&lt;85), "WARNING", "PASS"))</f>
        <v/>
      </c>
    </row>
    <row r="54">
      <c r="A54" s="12" t="inlineStr">
        <is>
          <t>SMP-CH01-1053</t>
        </is>
      </c>
      <c r="B54" s="39" t="n">
        <v>45309</v>
      </c>
      <c r="C54" s="12" t="inlineStr">
        <is>
          <t>Shift_B</t>
        </is>
      </c>
      <c r="D54" s="12" t="inlineStr">
        <is>
          <t>Primary Magnetite</t>
        </is>
      </c>
      <c r="E54" s="12" t="inlineStr">
        <is>
          <t>Magnetite</t>
        </is>
      </c>
      <c r="F54" s="14" t="n">
        <v>66.19</v>
      </c>
      <c r="G54" s="14" t="n">
        <v>25.15</v>
      </c>
      <c r="H54" s="14" t="n">
        <v>63.51</v>
      </c>
      <c r="I54" s="14">
        <f>H54/F54*100</f>
        <v/>
      </c>
      <c r="J54" s="14" t="n">
        <v>2.09</v>
      </c>
      <c r="K54" s="14" t="n">
        <v>0.83</v>
      </c>
      <c r="L54" s="14" t="n">
        <v>0.49</v>
      </c>
      <c r="M54" s="14" t="n">
        <v>0.6</v>
      </c>
      <c r="N54" s="14">
        <f>(L54+M54)/(J54+K54)</f>
        <v/>
      </c>
      <c r="O54" s="15" t="n">
        <v>0.027</v>
      </c>
      <c r="P54" s="15" t="n">
        <v>0.0643</v>
      </c>
      <c r="Q54" s="15" t="n">
        <v>0.0344</v>
      </c>
      <c r="R54" s="14" t="n">
        <v>0.34</v>
      </c>
      <c r="S54" s="12" t="inlineStr">
        <is>
          <t>Medium (Wi 13.5-14.5)</t>
        </is>
      </c>
      <c r="T54" s="16" t="inlineStr">
        <is>
          <t>Standard DR-Grade; High exothermic heat during induration.</t>
        </is>
      </c>
      <c r="U54" s="12">
        <f>IF(OR(O54&gt;0.035, Q54&gt;0.060, I54&lt;80), "REJECT", IF(OR(O54&gt;0.028, Q54&gt;0.050, I54&lt;85), "WARNING", "PASS"))</f>
        <v/>
      </c>
    </row>
    <row r="55">
      <c r="A55" s="17" t="inlineStr">
        <is>
          <t>SMP-CH01-1054</t>
        </is>
      </c>
      <c r="B55" s="40" t="n">
        <v>45309</v>
      </c>
      <c r="C55" s="17" t="inlineStr">
        <is>
          <t>Shift_C</t>
        </is>
      </c>
      <c r="D55" s="17" t="inlineStr">
        <is>
          <t>Martitic Ore</t>
        </is>
      </c>
      <c r="E55" s="17" t="inlineStr">
        <is>
          <t>Martite / Semi-oxidized Magnetite</t>
        </is>
      </c>
      <c r="F55" s="19" t="n">
        <v>64.97</v>
      </c>
      <c r="G55" s="19" t="n">
        <v>20.97</v>
      </c>
      <c r="H55" s="19" t="n">
        <v>52.39</v>
      </c>
      <c r="I55" s="19">
        <f>H55/F55*100</f>
        <v/>
      </c>
      <c r="J55" s="19" t="n">
        <v>4.13</v>
      </c>
      <c r="K55" s="19" t="n">
        <v>1.42</v>
      </c>
      <c r="L55" s="19" t="n">
        <v>0.46</v>
      </c>
      <c r="M55" s="19" t="n">
        <v>0.5</v>
      </c>
      <c r="N55" s="19">
        <f>(L55+M55)/(J55+K55)</f>
        <v/>
      </c>
      <c r="O55" s="20" t="n">
        <v>0.0178</v>
      </c>
      <c r="P55" s="20" t="n">
        <v>0.1024</v>
      </c>
      <c r="Q55" s="20" t="n">
        <v>0.0599</v>
      </c>
      <c r="R55" s="19" t="n">
        <v>1.18</v>
      </c>
      <c r="S55" s="17" t="inlineStr">
        <is>
          <t>Hard (Wi 15.5-17.0)</t>
        </is>
      </c>
      <c r="T55" s="21" t="inlineStr">
        <is>
          <t>Martitization alert: Low LIMS recovery; requires WHIMS or higher drum RPM.</t>
        </is>
      </c>
      <c r="U55" s="17">
        <f>IF(OR(O55&gt;0.035, Q55&gt;0.060, I55&lt;80), "REJECT", IF(OR(O55&gt;0.028, Q55&gt;0.050, I55&lt;85), "WARNING", "PASS"))</f>
        <v/>
      </c>
    </row>
    <row r="56">
      <c r="A56" s="12" t="inlineStr">
        <is>
          <t>SMP-CH01-1055</t>
        </is>
      </c>
      <c r="B56" s="39" t="n">
        <v>45310</v>
      </c>
      <c r="C56" s="12" t="inlineStr">
        <is>
          <t>Shift_A</t>
        </is>
      </c>
      <c r="D56" s="12" t="inlineStr">
        <is>
          <t>Primary Magnetite</t>
        </is>
      </c>
      <c r="E56" s="12" t="inlineStr">
        <is>
          <t>Magnetite</t>
        </is>
      </c>
      <c r="F56" s="14" t="n">
        <v>67.72</v>
      </c>
      <c r="G56" s="14" t="n">
        <v>25.4</v>
      </c>
      <c r="H56" s="14" t="n">
        <v>64.26000000000001</v>
      </c>
      <c r="I56" s="14">
        <f>H56/F56*100</f>
        <v/>
      </c>
      <c r="J56" s="14" t="n">
        <v>3.82</v>
      </c>
      <c r="K56" s="14" t="n">
        <v>0.87</v>
      </c>
      <c r="L56" s="14" t="n">
        <v>0.51</v>
      </c>
      <c r="M56" s="14" t="n">
        <v>0.68</v>
      </c>
      <c r="N56" s="14">
        <f>(L56+M56)/(J56+K56)</f>
        <v/>
      </c>
      <c r="O56" s="15" t="n">
        <v>0.0247</v>
      </c>
      <c r="P56" s="15" t="n">
        <v>0.0488</v>
      </c>
      <c r="Q56" s="15" t="n">
        <v>0.0289</v>
      </c>
      <c r="R56" s="14" t="n">
        <v>0.2</v>
      </c>
      <c r="S56" s="12" t="inlineStr">
        <is>
          <t>Medium (Wi 13.5-14.5)</t>
        </is>
      </c>
      <c r="T56" s="16" t="inlineStr">
        <is>
          <t>Standard DR-Grade; High exothermic heat during induration.</t>
        </is>
      </c>
      <c r="U56" s="12">
        <f>IF(OR(O56&gt;0.035, Q56&gt;0.060, I56&lt;80), "REJECT", IF(OR(O56&gt;0.028, Q56&gt;0.050, I56&lt;85), "WARNING", "PASS"))</f>
        <v/>
      </c>
    </row>
    <row r="57">
      <c r="A57" s="17" t="inlineStr">
        <is>
          <t>SMP-CH01-1056</t>
        </is>
      </c>
      <c r="B57" s="40" t="n">
        <v>45310</v>
      </c>
      <c r="C57" s="17" t="inlineStr">
        <is>
          <t>Shift_B</t>
        </is>
      </c>
      <c r="D57" s="17" t="inlineStr">
        <is>
          <t>Martitic Ore</t>
        </is>
      </c>
      <c r="E57" s="17" t="inlineStr">
        <is>
          <t>Martite / Semi-oxidized Magnetite</t>
        </is>
      </c>
      <c r="F57" s="19" t="n">
        <v>68.5</v>
      </c>
      <c r="G57" s="19" t="n">
        <v>23.72</v>
      </c>
      <c r="H57" s="19" t="n">
        <v>57</v>
      </c>
      <c r="I57" s="19">
        <f>H57/F57*100</f>
        <v/>
      </c>
      <c r="J57" s="19" t="n">
        <v>3.01</v>
      </c>
      <c r="K57" s="19" t="n">
        <v>0.92</v>
      </c>
      <c r="L57" s="19" t="n">
        <v>0.5600000000000001</v>
      </c>
      <c r="M57" s="19" t="n">
        <v>0.97</v>
      </c>
      <c r="N57" s="19">
        <f>(L57+M57)/(J57+K57)</f>
        <v/>
      </c>
      <c r="O57" s="20" t="n">
        <v>0.0185</v>
      </c>
      <c r="P57" s="20" t="n">
        <v>0.1032</v>
      </c>
      <c r="Q57" s="20" t="n">
        <v>0.0501</v>
      </c>
      <c r="R57" s="19" t="n">
        <v>1.07</v>
      </c>
      <c r="S57" s="17" t="inlineStr">
        <is>
          <t>Hard (Wi 15.5-17.0)</t>
        </is>
      </c>
      <c r="T57" s="21" t="inlineStr">
        <is>
          <t>Martitization alert: Low LIMS recovery; requires WHIMS or higher drum RPM.</t>
        </is>
      </c>
      <c r="U57" s="17">
        <f>IF(OR(O57&gt;0.035, Q57&gt;0.060, I57&lt;80), "REJECT", IF(OR(O57&gt;0.028, Q57&gt;0.050, I57&lt;85), "WARNING", "PASS"))</f>
        <v/>
      </c>
    </row>
    <row r="58">
      <c r="A58" s="12" t="inlineStr">
        <is>
          <t>SMP-CH01-1057</t>
        </is>
      </c>
      <c r="B58" s="39" t="n">
        <v>45310</v>
      </c>
      <c r="C58" s="12" t="inlineStr">
        <is>
          <t>Shift_C</t>
        </is>
      </c>
      <c r="D58" s="12" t="inlineStr">
        <is>
          <t>Martitic Ore</t>
        </is>
      </c>
      <c r="E58" s="12" t="inlineStr">
        <is>
          <t>Martite / Semi-oxidized Magnetite</t>
        </is>
      </c>
      <c r="F58" s="14" t="n">
        <v>67.08</v>
      </c>
      <c r="G58" s="14" t="n">
        <v>21.38</v>
      </c>
      <c r="H58" s="14" t="n">
        <v>55.7</v>
      </c>
      <c r="I58" s="14">
        <f>H58/F58*100</f>
        <v/>
      </c>
      <c r="J58" s="14" t="n">
        <v>1.94</v>
      </c>
      <c r="K58" s="14" t="n">
        <v>1.27</v>
      </c>
      <c r="L58" s="14" t="n">
        <v>0.45</v>
      </c>
      <c r="M58" s="14" t="n">
        <v>0.45</v>
      </c>
      <c r="N58" s="14">
        <f>(L58+M58)/(J58+K58)</f>
        <v/>
      </c>
      <c r="O58" s="15" t="n">
        <v>0.0299</v>
      </c>
      <c r="P58" s="15" t="n">
        <v>0.0369</v>
      </c>
      <c r="Q58" s="15" t="n">
        <v>0.0502</v>
      </c>
      <c r="R58" s="14" t="n">
        <v>1.2</v>
      </c>
      <c r="S58" s="12" t="inlineStr">
        <is>
          <t>Hard (Wi 15.5-17.0)</t>
        </is>
      </c>
      <c r="T58" s="16" t="inlineStr">
        <is>
          <t>Martitization alert: Low LIMS recovery; requires WHIMS or higher drum RPM.</t>
        </is>
      </c>
      <c r="U58" s="12">
        <f>IF(OR(O58&gt;0.035, Q58&gt;0.060, I58&lt;80), "REJECT", IF(OR(O58&gt;0.028, Q58&gt;0.050, I58&lt;85), "WARNING", "PASS"))</f>
        <v/>
      </c>
    </row>
    <row r="59">
      <c r="A59" s="17" t="inlineStr">
        <is>
          <t>SMP-CH01-1058</t>
        </is>
      </c>
      <c r="B59" s="40" t="n">
        <v>45311</v>
      </c>
      <c r="C59" s="17" t="inlineStr">
        <is>
          <t>Shift_A</t>
        </is>
      </c>
      <c r="D59" s="17" t="inlineStr">
        <is>
          <t>Primary Magnetite</t>
        </is>
      </c>
      <c r="E59" s="17" t="inlineStr">
        <is>
          <t>Magnetite</t>
        </is>
      </c>
      <c r="F59" s="19" t="n">
        <v>65.92</v>
      </c>
      <c r="G59" s="19" t="n">
        <v>26.31</v>
      </c>
      <c r="H59" s="19" t="n">
        <v>64.15000000000001</v>
      </c>
      <c r="I59" s="19">
        <f>H59/F59*100</f>
        <v/>
      </c>
      <c r="J59" s="19" t="n">
        <v>3.42</v>
      </c>
      <c r="K59" s="19" t="n">
        <v>0.77</v>
      </c>
      <c r="L59" s="19" t="n">
        <v>0.42</v>
      </c>
      <c r="M59" s="19" t="n">
        <v>0.48</v>
      </c>
      <c r="N59" s="19">
        <f>(L59+M59)/(J59+K59)</f>
        <v/>
      </c>
      <c r="O59" s="20" t="n">
        <v>0.0374</v>
      </c>
      <c r="P59" s="20" t="n">
        <v>0.0459</v>
      </c>
      <c r="Q59" s="20" t="n">
        <v>0.0381</v>
      </c>
      <c r="R59" s="19" t="n">
        <v>0.4</v>
      </c>
      <c r="S59" s="17" t="inlineStr">
        <is>
          <t>Medium (Wi 13.5-14.5)</t>
        </is>
      </c>
      <c r="T59" s="21" t="inlineStr">
        <is>
          <t>Standard DR-Grade; High exothermic heat during induration.</t>
        </is>
      </c>
      <c r="U59" s="17">
        <f>IF(OR(O59&gt;0.035, Q59&gt;0.060, I59&lt;80), "REJECT", IF(OR(O59&gt;0.028, Q59&gt;0.050, I59&lt;85), "WARNING", "PASS"))</f>
        <v/>
      </c>
    </row>
    <row r="60">
      <c r="A60" s="12" t="inlineStr">
        <is>
          <t>SMP-CH01-1059</t>
        </is>
      </c>
      <c r="B60" s="39" t="n">
        <v>45311</v>
      </c>
      <c r="C60" s="12" t="inlineStr">
        <is>
          <t>Shift_B</t>
        </is>
      </c>
      <c r="D60" s="12" t="inlineStr">
        <is>
          <t>Primary Magnetite</t>
        </is>
      </c>
      <c r="E60" s="12" t="inlineStr">
        <is>
          <t>Magnetite</t>
        </is>
      </c>
      <c r="F60" s="14" t="n">
        <v>67.36</v>
      </c>
      <c r="G60" s="14" t="n">
        <v>24.42</v>
      </c>
      <c r="H60" s="14" t="n">
        <v>61.65</v>
      </c>
      <c r="I60" s="14">
        <f>H60/F60*100</f>
        <v/>
      </c>
      <c r="J60" s="14" t="n">
        <v>2.58</v>
      </c>
      <c r="K60" s="14" t="n">
        <v>0.99</v>
      </c>
      <c r="L60" s="14" t="n">
        <v>0.34</v>
      </c>
      <c r="M60" s="14" t="n">
        <v>0.86</v>
      </c>
      <c r="N60" s="14">
        <f>(L60+M60)/(J60+K60)</f>
        <v/>
      </c>
      <c r="O60" s="15" t="n">
        <v>0.008</v>
      </c>
      <c r="P60" s="15" t="n">
        <v>0.0138</v>
      </c>
      <c r="Q60" s="15" t="n">
        <v>0.0281</v>
      </c>
      <c r="R60" s="14" t="n">
        <v>0.22</v>
      </c>
      <c r="S60" s="12" t="inlineStr">
        <is>
          <t>Medium (Wi 13.5-14.5)</t>
        </is>
      </c>
      <c r="T60" s="16" t="inlineStr">
        <is>
          <t>Standard DR-Grade; High exothermic heat during induration.</t>
        </is>
      </c>
      <c r="U60" s="12">
        <f>IF(OR(O60&gt;0.035, Q60&gt;0.060, I60&lt;80), "REJECT", IF(OR(O60&gt;0.028, Q60&gt;0.050, I60&lt;85), "WARNING", "PASS"))</f>
        <v/>
      </c>
    </row>
    <row r="61">
      <c r="A61" s="17" t="inlineStr">
        <is>
          <t>SMP-CH01-1060</t>
        </is>
      </c>
      <c r="B61" s="40" t="n">
        <v>45311</v>
      </c>
      <c r="C61" s="17" t="inlineStr">
        <is>
          <t>Shift_C</t>
        </is>
      </c>
      <c r="D61" s="17" t="inlineStr">
        <is>
          <t>Primary Magnetite</t>
        </is>
      </c>
      <c r="E61" s="17" t="inlineStr">
        <is>
          <t>Magnetite</t>
        </is>
      </c>
      <c r="F61" s="19" t="n">
        <v>67.73999999999999</v>
      </c>
      <c r="G61" s="19" t="n">
        <v>28.56</v>
      </c>
      <c r="H61" s="19" t="n">
        <v>65.64</v>
      </c>
      <c r="I61" s="19">
        <f>H61/F61*100</f>
        <v/>
      </c>
      <c r="J61" s="19" t="n">
        <v>1.8</v>
      </c>
      <c r="K61" s="19" t="n">
        <v>0.48</v>
      </c>
      <c r="L61" s="19" t="n">
        <v>0.34</v>
      </c>
      <c r="M61" s="19" t="n">
        <v>0.91</v>
      </c>
      <c r="N61" s="19">
        <f>(L61+M61)/(J61+K61)</f>
        <v/>
      </c>
      <c r="O61" s="20" t="n">
        <v>0.0276</v>
      </c>
      <c r="P61" s="20" t="n">
        <v>0.0641</v>
      </c>
      <c r="Q61" s="20" t="n">
        <v>0.0438</v>
      </c>
      <c r="R61" s="19" t="n">
        <v>0.23</v>
      </c>
      <c r="S61" s="17" t="inlineStr">
        <is>
          <t>Medium (Wi 13.5-14.5)</t>
        </is>
      </c>
      <c r="T61" s="21" t="inlineStr">
        <is>
          <t>Standard DR-Grade; High exothermic heat during induration.</t>
        </is>
      </c>
      <c r="U61" s="17">
        <f>IF(OR(O61&gt;0.035, Q61&gt;0.060, I61&lt;80), "REJECT", IF(OR(O61&gt;0.028, Q61&gt;0.050, I61&lt;85), "WARNING", "PASS"))</f>
        <v/>
      </c>
    </row>
    <row r="62">
      <c r="A62" s="12" t="inlineStr">
        <is>
          <t>SMP-CH01-1061</t>
        </is>
      </c>
      <c r="B62" s="39" t="n">
        <v>45312</v>
      </c>
      <c r="C62" s="12" t="inlineStr">
        <is>
          <t>Shift_A</t>
        </is>
      </c>
      <c r="D62" s="12" t="inlineStr">
        <is>
          <t>Primary Magnetite</t>
        </is>
      </c>
      <c r="E62" s="12" t="inlineStr">
        <is>
          <t>Magnetite</t>
        </is>
      </c>
      <c r="F62" s="14" t="n">
        <v>67.62</v>
      </c>
      <c r="G62" s="14" t="n">
        <v>26.12</v>
      </c>
      <c r="H62" s="14" t="n">
        <v>61.82</v>
      </c>
      <c r="I62" s="14">
        <f>H62/F62*100</f>
        <v/>
      </c>
      <c r="J62" s="14" t="n">
        <v>2.43</v>
      </c>
      <c r="K62" s="14" t="n">
        <v>0.55</v>
      </c>
      <c r="L62" s="14" t="n">
        <v>0.43</v>
      </c>
      <c r="M62" s="14" t="n">
        <v>0.77</v>
      </c>
      <c r="N62" s="14">
        <f>(L62+M62)/(J62+K62)</f>
        <v/>
      </c>
      <c r="O62" s="15" t="n">
        <v>0.0164</v>
      </c>
      <c r="P62" s="15" t="n">
        <v>0.0485</v>
      </c>
      <c r="Q62" s="15" t="n">
        <v>0.04</v>
      </c>
      <c r="R62" s="14" t="n">
        <v>0.65</v>
      </c>
      <c r="S62" s="12" t="inlineStr">
        <is>
          <t>Medium (Wi 13.5-14.5)</t>
        </is>
      </c>
      <c r="T62" s="16" t="inlineStr">
        <is>
          <t>Standard DR-Grade; High exothermic heat during induration.</t>
        </is>
      </c>
      <c r="U62" s="12">
        <f>IF(OR(O62&gt;0.035, Q62&gt;0.060, I62&lt;80), "REJECT", IF(OR(O62&gt;0.028, Q62&gt;0.050, I62&lt;85), "WARNING", "PASS"))</f>
        <v/>
      </c>
    </row>
    <row r="63">
      <c r="A63" s="17" t="inlineStr">
        <is>
          <t>SMP-CH01-1062</t>
        </is>
      </c>
      <c r="B63" s="40" t="n">
        <v>45312</v>
      </c>
      <c r="C63" s="17" t="inlineStr">
        <is>
          <t>Shift_B</t>
        </is>
      </c>
      <c r="D63" s="17" t="inlineStr">
        <is>
          <t>Primary Magnetite</t>
        </is>
      </c>
      <c r="E63" s="17" t="inlineStr">
        <is>
          <t>Magnetite</t>
        </is>
      </c>
      <c r="F63" s="19" t="n">
        <v>66.29000000000001</v>
      </c>
      <c r="G63" s="19" t="n">
        <v>26.5</v>
      </c>
      <c r="H63" s="19" t="n">
        <v>61.22</v>
      </c>
      <c r="I63" s="19">
        <f>H63/F63*100</f>
        <v/>
      </c>
      <c r="J63" s="19" t="n">
        <v>2.66</v>
      </c>
      <c r="K63" s="19" t="n">
        <v>0.41</v>
      </c>
      <c r="L63" s="19" t="n">
        <v>0.54</v>
      </c>
      <c r="M63" s="19" t="n">
        <v>0.62</v>
      </c>
      <c r="N63" s="19">
        <f>(L63+M63)/(J63+K63)</f>
        <v/>
      </c>
      <c r="O63" s="20" t="n">
        <v>0.0189</v>
      </c>
      <c r="P63" s="20" t="n">
        <v>0.0607</v>
      </c>
      <c r="Q63" s="20" t="n">
        <v>0.0324</v>
      </c>
      <c r="R63" s="19" t="n">
        <v>0.19</v>
      </c>
      <c r="S63" s="17" t="inlineStr">
        <is>
          <t>Medium (Wi 13.5-14.5)</t>
        </is>
      </c>
      <c r="T63" s="21" t="inlineStr">
        <is>
          <t>Standard DR-Grade; High exothermic heat during induration.</t>
        </is>
      </c>
      <c r="U63" s="17">
        <f>IF(OR(O63&gt;0.035, Q63&gt;0.060, I63&lt;80), "REJECT", IF(OR(O63&gt;0.028, Q63&gt;0.050, I63&lt;85), "WARNING", "PASS"))</f>
        <v/>
      </c>
    </row>
    <row r="64">
      <c r="A64" s="12" t="inlineStr">
        <is>
          <t>SMP-CH01-1063</t>
        </is>
      </c>
      <c r="B64" s="39" t="n">
        <v>45312</v>
      </c>
      <c r="C64" s="12" t="inlineStr">
        <is>
          <t>Shift_C</t>
        </is>
      </c>
      <c r="D64" s="12" t="inlineStr">
        <is>
          <t>Primary Magnetite</t>
        </is>
      </c>
      <c r="E64" s="12" t="inlineStr">
        <is>
          <t>Magnetite</t>
        </is>
      </c>
      <c r="F64" s="14" t="n">
        <v>68.41</v>
      </c>
      <c r="G64" s="14" t="n">
        <v>26.68</v>
      </c>
      <c r="H64" s="14" t="n">
        <v>63.81</v>
      </c>
      <c r="I64" s="14">
        <f>H64/F64*100</f>
        <v/>
      </c>
      <c r="J64" s="14" t="n">
        <v>1.79</v>
      </c>
      <c r="K64" s="14" t="n">
        <v>0.34</v>
      </c>
      <c r="L64" s="14" t="n">
        <v>0.4</v>
      </c>
      <c r="M64" s="14" t="n">
        <v>0.8</v>
      </c>
      <c r="N64" s="14">
        <f>(L64+M64)/(J64+K64)</f>
        <v/>
      </c>
      <c r="O64" s="15" t="n">
        <v>0.0218</v>
      </c>
      <c r="P64" s="15" t="n">
        <v>0.04</v>
      </c>
      <c r="Q64" s="15" t="n">
        <v>0.0488</v>
      </c>
      <c r="R64" s="14" t="n">
        <v>0.72</v>
      </c>
      <c r="S64" s="12" t="inlineStr">
        <is>
          <t>Medium (Wi 13.5-14.5)</t>
        </is>
      </c>
      <c r="T64" s="16" t="inlineStr">
        <is>
          <t>Standard DR-Grade; High exothermic heat during induration.</t>
        </is>
      </c>
      <c r="U64" s="12">
        <f>IF(OR(O64&gt;0.035, Q64&gt;0.060, I64&lt;80), "REJECT", IF(OR(O64&gt;0.028, Q64&gt;0.050, I64&lt;85), "WARNING", "PASS"))</f>
        <v/>
      </c>
    </row>
    <row r="65">
      <c r="A65" s="17" t="inlineStr">
        <is>
          <t>SMP-CH01-1064</t>
        </is>
      </c>
      <c r="B65" s="40" t="n">
        <v>45313</v>
      </c>
      <c r="C65" s="17" t="inlineStr">
        <is>
          <t>Shift_A</t>
        </is>
      </c>
      <c r="D65" s="17" t="inlineStr">
        <is>
          <t>Primary Magnetite</t>
        </is>
      </c>
      <c r="E65" s="17" t="inlineStr">
        <is>
          <t>Magnetite</t>
        </is>
      </c>
      <c r="F65" s="19" t="n">
        <v>68.31</v>
      </c>
      <c r="G65" s="19" t="n">
        <v>26.78</v>
      </c>
      <c r="H65" s="19" t="n">
        <v>62.24</v>
      </c>
      <c r="I65" s="19">
        <f>H65/F65*100</f>
        <v/>
      </c>
      <c r="J65" s="19" t="n">
        <v>2.51</v>
      </c>
      <c r="K65" s="19" t="n">
        <v>0.65</v>
      </c>
      <c r="L65" s="19" t="n">
        <v>0.4</v>
      </c>
      <c r="M65" s="19" t="n">
        <v>0.53</v>
      </c>
      <c r="N65" s="19">
        <f>(L65+M65)/(J65+K65)</f>
        <v/>
      </c>
      <c r="O65" s="20" t="n">
        <v>0.0232</v>
      </c>
      <c r="P65" s="20" t="n">
        <v>0.0303</v>
      </c>
      <c r="Q65" s="20" t="n">
        <v>0.0413</v>
      </c>
      <c r="R65" s="19" t="n">
        <v>0.14</v>
      </c>
      <c r="S65" s="17" t="inlineStr">
        <is>
          <t>Medium (Wi 13.5-14.5)</t>
        </is>
      </c>
      <c r="T65" s="21" t="inlineStr">
        <is>
          <t>Standard DR-Grade; High exothermic heat during induration.</t>
        </is>
      </c>
      <c r="U65" s="17">
        <f>IF(OR(O65&gt;0.035, Q65&gt;0.060, I65&lt;80), "REJECT", IF(OR(O65&gt;0.028, Q65&gt;0.050, I65&lt;85), "WARNING", "PASS"))</f>
        <v/>
      </c>
    </row>
    <row r="66">
      <c r="A66" s="12" t="inlineStr">
        <is>
          <t>SMP-CH01-1065</t>
        </is>
      </c>
      <c r="B66" s="39" t="n">
        <v>45313</v>
      </c>
      <c r="C66" s="12" t="inlineStr">
        <is>
          <t>Shift_B</t>
        </is>
      </c>
      <c r="D66" s="12" t="inlineStr">
        <is>
          <t>Martitic Ore</t>
        </is>
      </c>
      <c r="E66" s="12" t="inlineStr">
        <is>
          <t>Martite / Semi-oxidized Magnetite</t>
        </is>
      </c>
      <c r="F66" s="14" t="n">
        <v>65.09999999999999</v>
      </c>
      <c r="G66" s="14" t="n">
        <v>17.47</v>
      </c>
      <c r="H66" s="14" t="n">
        <v>46.96</v>
      </c>
      <c r="I66" s="14">
        <f>H66/F66*100</f>
        <v/>
      </c>
      <c r="J66" s="14" t="n">
        <v>4.22</v>
      </c>
      <c r="K66" s="14" t="n">
        <v>1.36</v>
      </c>
      <c r="L66" s="14" t="n">
        <v>0.74</v>
      </c>
      <c r="M66" s="14" t="n">
        <v>0.55</v>
      </c>
      <c r="N66" s="14">
        <f>(L66+M66)/(J66+K66)</f>
        <v/>
      </c>
      <c r="O66" s="15" t="n">
        <v>0.0361</v>
      </c>
      <c r="P66" s="15" t="n">
        <v>0.061</v>
      </c>
      <c r="Q66" s="15" t="n">
        <v>0.0617</v>
      </c>
      <c r="R66" s="14" t="n">
        <v>1.32</v>
      </c>
      <c r="S66" s="12" t="inlineStr">
        <is>
          <t>Hard (Wi 15.5-17.0)</t>
        </is>
      </c>
      <c r="T66" s="16" t="inlineStr">
        <is>
          <t>Martitization alert: Low LIMS recovery; requires WHIMS or higher drum RPM.</t>
        </is>
      </c>
      <c r="U66" s="12">
        <f>IF(OR(O66&gt;0.035, Q66&gt;0.060, I66&lt;80), "REJECT", IF(OR(O66&gt;0.028, Q66&gt;0.050, I66&lt;85), "WARNING", "PASS"))</f>
        <v/>
      </c>
    </row>
    <row r="67">
      <c r="A67" s="17" t="inlineStr">
        <is>
          <t>SMP-CH01-1066</t>
        </is>
      </c>
      <c r="B67" s="40" t="n">
        <v>45313</v>
      </c>
      <c r="C67" s="17" t="inlineStr">
        <is>
          <t>Shift_C</t>
        </is>
      </c>
      <c r="D67" s="17" t="inlineStr">
        <is>
          <t>Primary Magnetite</t>
        </is>
      </c>
      <c r="E67" s="17" t="inlineStr">
        <is>
          <t>Magnetite</t>
        </is>
      </c>
      <c r="F67" s="19" t="n">
        <v>64.66</v>
      </c>
      <c r="G67" s="19" t="n">
        <v>25.17</v>
      </c>
      <c r="H67" s="19" t="n">
        <v>59.05</v>
      </c>
      <c r="I67" s="19">
        <f>H67/F67*100</f>
        <v/>
      </c>
      <c r="J67" s="19" t="n">
        <v>2.59</v>
      </c>
      <c r="K67" s="19" t="n">
        <v>0.49</v>
      </c>
      <c r="L67" s="19" t="n">
        <v>0.39</v>
      </c>
      <c r="M67" s="19" t="n">
        <v>0.44</v>
      </c>
      <c r="N67" s="19">
        <f>(L67+M67)/(J67+K67)</f>
        <v/>
      </c>
      <c r="O67" s="20" t="n">
        <v>0.0165</v>
      </c>
      <c r="P67" s="20" t="n">
        <v>0.0247</v>
      </c>
      <c r="Q67" s="20" t="n">
        <v>0.0302</v>
      </c>
      <c r="R67" s="19" t="n">
        <v>0.5600000000000001</v>
      </c>
      <c r="S67" s="17" t="inlineStr">
        <is>
          <t>Medium (Wi 13.5-14.5)</t>
        </is>
      </c>
      <c r="T67" s="21" t="inlineStr">
        <is>
          <t>Standard DR-Grade; High exothermic heat during induration.</t>
        </is>
      </c>
      <c r="U67" s="17">
        <f>IF(OR(O67&gt;0.035, Q67&gt;0.060, I67&lt;80), "REJECT", IF(OR(O67&gt;0.028, Q67&gt;0.050, I67&lt;85), "WARNING", "PASS"))</f>
        <v/>
      </c>
    </row>
    <row r="68">
      <c r="A68" s="12" t="inlineStr">
        <is>
          <t>SMP-CH01-1067</t>
        </is>
      </c>
      <c r="B68" s="39" t="n">
        <v>45314</v>
      </c>
      <c r="C68" s="12" t="inlineStr">
        <is>
          <t>Shift_A</t>
        </is>
      </c>
      <c r="D68" s="12" t="inlineStr">
        <is>
          <t>Primary Magnetite</t>
        </is>
      </c>
      <c r="E68" s="12" t="inlineStr">
        <is>
          <t>Magnetite</t>
        </is>
      </c>
      <c r="F68" s="14" t="n">
        <v>70</v>
      </c>
      <c r="G68" s="14" t="n">
        <v>29.07</v>
      </c>
      <c r="H68" s="14" t="n">
        <v>68.23999999999999</v>
      </c>
      <c r="I68" s="14">
        <f>H68/F68*100</f>
        <v/>
      </c>
      <c r="J68" s="14" t="n">
        <v>2.35</v>
      </c>
      <c r="K68" s="14" t="n">
        <v>0.6899999999999999</v>
      </c>
      <c r="L68" s="14" t="n">
        <v>0.3</v>
      </c>
      <c r="M68" s="14" t="n">
        <v>0.65</v>
      </c>
      <c r="N68" s="14">
        <f>(L68+M68)/(J68+K68)</f>
        <v/>
      </c>
      <c r="O68" s="15" t="n">
        <v>0.018</v>
      </c>
      <c r="P68" s="15" t="n">
        <v>0.0197</v>
      </c>
      <c r="Q68" s="15" t="n">
        <v>0.0459</v>
      </c>
      <c r="R68" s="14" t="n">
        <v>0.35</v>
      </c>
      <c r="S68" s="12" t="inlineStr">
        <is>
          <t>Medium (Wi 13.5-14.5)</t>
        </is>
      </c>
      <c r="T68" s="16" t="inlineStr">
        <is>
          <t>Standard DR-Grade; High exothermic heat during induration.</t>
        </is>
      </c>
      <c r="U68" s="12">
        <f>IF(OR(O68&gt;0.035, Q68&gt;0.060, I68&lt;80), "REJECT", IF(OR(O68&gt;0.028, Q68&gt;0.050, I68&lt;85), "WARNING", "PASS"))</f>
        <v/>
      </c>
    </row>
    <row r="69">
      <c r="A69" s="17" t="inlineStr">
        <is>
          <t>SMP-CH01-1068</t>
        </is>
      </c>
      <c r="B69" s="40" t="n">
        <v>45314</v>
      </c>
      <c r="C69" s="17" t="inlineStr">
        <is>
          <t>Shift_B</t>
        </is>
      </c>
      <c r="D69" s="17" t="inlineStr">
        <is>
          <t>Primary Magnetite</t>
        </is>
      </c>
      <c r="E69" s="17" t="inlineStr">
        <is>
          <t>Magnetite</t>
        </is>
      </c>
      <c r="F69" s="19" t="n">
        <v>67.79000000000001</v>
      </c>
      <c r="G69" s="19" t="n">
        <v>27.01</v>
      </c>
      <c r="H69" s="19" t="n">
        <v>64.95999999999999</v>
      </c>
      <c r="I69" s="19">
        <f>H69/F69*100</f>
        <v/>
      </c>
      <c r="J69" s="19" t="n">
        <v>2.19</v>
      </c>
      <c r="K69" s="19" t="n">
        <v>0.87</v>
      </c>
      <c r="L69" s="19" t="n">
        <v>0.52</v>
      </c>
      <c r="M69" s="19" t="n">
        <v>0.57</v>
      </c>
      <c r="N69" s="19">
        <f>(L69+M69)/(J69+K69)</f>
        <v/>
      </c>
      <c r="O69" s="20" t="n">
        <v>0.0258</v>
      </c>
      <c r="P69" s="20" t="n">
        <v>0.0596</v>
      </c>
      <c r="Q69" s="20" t="n">
        <v>0.043</v>
      </c>
      <c r="R69" s="19" t="n">
        <v>0.16</v>
      </c>
      <c r="S69" s="17" t="inlineStr">
        <is>
          <t>Medium (Wi 13.5-14.5)</t>
        </is>
      </c>
      <c r="T69" s="21" t="inlineStr">
        <is>
          <t>Standard DR-Grade; High exothermic heat during induration.</t>
        </is>
      </c>
      <c r="U69" s="17">
        <f>IF(OR(O69&gt;0.035, Q69&gt;0.060, I69&lt;80), "REJECT", IF(OR(O69&gt;0.028, Q69&gt;0.050, I69&lt;85), "WARNING", "PASS"))</f>
        <v/>
      </c>
    </row>
    <row r="70">
      <c r="A70" s="12" t="inlineStr">
        <is>
          <t>SMP-CH01-1069</t>
        </is>
      </c>
      <c r="B70" s="39" t="n">
        <v>45314</v>
      </c>
      <c r="C70" s="12" t="inlineStr">
        <is>
          <t>Shift_C</t>
        </is>
      </c>
      <c r="D70" s="12" t="inlineStr">
        <is>
          <t>Primary Magnetite</t>
        </is>
      </c>
      <c r="E70" s="12" t="inlineStr">
        <is>
          <t>Magnetite</t>
        </is>
      </c>
      <c r="F70" s="14" t="n">
        <v>65.92</v>
      </c>
      <c r="G70" s="14" t="n">
        <v>26.86</v>
      </c>
      <c r="H70" s="14" t="n">
        <v>62.18</v>
      </c>
      <c r="I70" s="14">
        <f>H70/F70*100</f>
        <v/>
      </c>
      <c r="J70" s="14" t="n">
        <v>2.39</v>
      </c>
      <c r="K70" s="14" t="n">
        <v>0.72</v>
      </c>
      <c r="L70" s="14" t="n">
        <v>0.51</v>
      </c>
      <c r="M70" s="14" t="n">
        <v>0.84</v>
      </c>
      <c r="N70" s="14">
        <f>(L70+M70)/(J70+K70)</f>
        <v/>
      </c>
      <c r="O70" s="15" t="n">
        <v>0.0284</v>
      </c>
      <c r="P70" s="15" t="n">
        <v>0.0382</v>
      </c>
      <c r="Q70" s="15" t="n">
        <v>0.0431</v>
      </c>
      <c r="R70" s="14" t="n">
        <v>0.17</v>
      </c>
      <c r="S70" s="12" t="inlineStr">
        <is>
          <t>Medium (Wi 13.5-14.5)</t>
        </is>
      </c>
      <c r="T70" s="16" t="inlineStr">
        <is>
          <t>Standard DR-Grade; High exothermic heat during induration.</t>
        </is>
      </c>
      <c r="U70" s="12">
        <f>IF(OR(O70&gt;0.035, Q70&gt;0.060, I70&lt;80), "REJECT", IF(OR(O70&gt;0.028, Q70&gt;0.050, I70&lt;85), "WARNING", "PASS"))</f>
        <v/>
      </c>
    </row>
    <row r="71">
      <c r="A71" s="17" t="inlineStr">
        <is>
          <t>SMP-CH01-1070</t>
        </is>
      </c>
      <c r="B71" s="40" t="n">
        <v>45315</v>
      </c>
      <c r="C71" s="17" t="inlineStr">
        <is>
          <t>Shift_A</t>
        </is>
      </c>
      <c r="D71" s="17" t="inlineStr">
        <is>
          <t>Hematite-Goethite / Weathered Skarn</t>
        </is>
      </c>
      <c r="E71" s="17" t="inlineStr">
        <is>
          <t>Goethite / Quartz-rich Hematite</t>
        </is>
      </c>
      <c r="F71" s="19" t="n">
        <v>61.38</v>
      </c>
      <c r="G71" s="19" t="n">
        <v>2.68</v>
      </c>
      <c r="H71" s="19" t="n">
        <v>34.81</v>
      </c>
      <c r="I71" s="19">
        <f>H71/F71*100</f>
        <v/>
      </c>
      <c r="J71" s="19" t="n">
        <v>6.32</v>
      </c>
      <c r="K71" s="19" t="n">
        <v>1.88</v>
      </c>
      <c r="L71" s="19" t="n">
        <v>0.75</v>
      </c>
      <c r="M71" s="19" t="n">
        <v>0.58</v>
      </c>
      <c r="N71" s="19">
        <f>(L71+M71)/(J71+K71)</f>
        <v/>
      </c>
      <c r="O71" s="20" t="n">
        <v>0.0318</v>
      </c>
      <c r="P71" s="20" t="n">
        <v>0.1371</v>
      </c>
      <c r="Q71" s="20" t="n">
        <v>0.0742</v>
      </c>
      <c r="R71" s="19" t="n">
        <v>5.95</v>
      </c>
      <c r="S71" s="17" t="inlineStr">
        <is>
          <t>Variable / Highly Abrasive (Quartz)</t>
        </is>
      </c>
      <c r="T71" s="21" t="inlineStr">
        <is>
          <t>High LOI &amp; Alkalis: Risk of pellet swelling/whisker &amp; filter cloth blinding.</t>
        </is>
      </c>
      <c r="U71" s="17">
        <f>IF(OR(O71&gt;0.035, Q71&gt;0.060, I71&lt;80), "REJECT", IF(OR(O71&gt;0.028, Q71&gt;0.050, I71&lt;85), "WARNING", "PASS"))</f>
        <v/>
      </c>
    </row>
    <row r="72">
      <c r="A72" s="12" t="inlineStr">
        <is>
          <t>SMP-CH01-1071</t>
        </is>
      </c>
      <c r="B72" s="39" t="n">
        <v>45315</v>
      </c>
      <c r="C72" s="12" t="inlineStr">
        <is>
          <t>Shift_B</t>
        </is>
      </c>
      <c r="D72" s="12" t="inlineStr">
        <is>
          <t>Hematite-Goethite / Weathered Skarn</t>
        </is>
      </c>
      <c r="E72" s="12" t="inlineStr">
        <is>
          <t>Goethite / Quartz-rich Hematite</t>
        </is>
      </c>
      <c r="F72" s="14" t="n">
        <v>60.57</v>
      </c>
      <c r="G72" s="14" t="n">
        <v>2.67</v>
      </c>
      <c r="H72" s="14" t="n">
        <v>32.75</v>
      </c>
      <c r="I72" s="14">
        <f>H72/F72*100</f>
        <v/>
      </c>
      <c r="J72" s="14" t="n">
        <v>6.86</v>
      </c>
      <c r="K72" s="14" t="n">
        <v>1.24</v>
      </c>
      <c r="L72" s="14" t="n">
        <v>0.8</v>
      </c>
      <c r="M72" s="14" t="n">
        <v>0.64</v>
      </c>
      <c r="N72" s="14">
        <f>(L72+M72)/(J72+K72)</f>
        <v/>
      </c>
      <c r="O72" s="15" t="n">
        <v>0.0672</v>
      </c>
      <c r="P72" s="15" t="n">
        <v>0.08459999999999999</v>
      </c>
      <c r="Q72" s="15" t="n">
        <v>0.07770000000000001</v>
      </c>
      <c r="R72" s="14" t="n">
        <v>5.65</v>
      </c>
      <c r="S72" s="12" t="inlineStr">
        <is>
          <t>Variable / Highly Abrasive (Quartz)</t>
        </is>
      </c>
      <c r="T72" s="16" t="inlineStr">
        <is>
          <t>High LOI &amp; Alkalis: Risk of pellet swelling/whisker &amp; filter cloth blinding.</t>
        </is>
      </c>
      <c r="U72" s="12">
        <f>IF(OR(O72&gt;0.035, Q72&gt;0.060, I72&lt;80), "REJECT", IF(OR(O72&gt;0.028, Q72&gt;0.050, I72&lt;85), "WARNING", "PASS"))</f>
        <v/>
      </c>
    </row>
    <row r="73">
      <c r="A73" s="17" t="inlineStr">
        <is>
          <t>SMP-CH01-1072</t>
        </is>
      </c>
      <c r="B73" s="40" t="n">
        <v>45315</v>
      </c>
      <c r="C73" s="17" t="inlineStr">
        <is>
          <t>Shift_C</t>
        </is>
      </c>
      <c r="D73" s="17" t="inlineStr">
        <is>
          <t>Martitic Ore</t>
        </is>
      </c>
      <c r="E73" s="17" t="inlineStr">
        <is>
          <t>Martite / Semi-oxidized Magnetite</t>
        </is>
      </c>
      <c r="F73" s="19" t="n">
        <v>62.91</v>
      </c>
      <c r="G73" s="19" t="n">
        <v>19.05</v>
      </c>
      <c r="H73" s="19" t="n">
        <v>47.7</v>
      </c>
      <c r="I73" s="19">
        <f>H73/F73*100</f>
        <v/>
      </c>
      <c r="J73" s="19" t="n">
        <v>4.01</v>
      </c>
      <c r="K73" s="19" t="n">
        <v>1.17</v>
      </c>
      <c r="L73" s="19" t="n">
        <v>0.5600000000000001</v>
      </c>
      <c r="M73" s="19" t="n">
        <v>0.96</v>
      </c>
      <c r="N73" s="19">
        <f>(L73+M73)/(J73+K73)</f>
        <v/>
      </c>
      <c r="O73" s="20" t="n">
        <v>0.0279</v>
      </c>
      <c r="P73" s="20" t="n">
        <v>0.1002</v>
      </c>
      <c r="Q73" s="20" t="n">
        <v>0.0796</v>
      </c>
      <c r="R73" s="19" t="n">
        <v>1.09</v>
      </c>
      <c r="S73" s="17" t="inlineStr">
        <is>
          <t>Hard (Wi 15.5-17.0)</t>
        </is>
      </c>
      <c r="T73" s="21" t="inlineStr">
        <is>
          <t>Martitization alert: Low LIMS recovery; requires WHIMS or higher drum RPM.</t>
        </is>
      </c>
      <c r="U73" s="17">
        <f>IF(OR(O73&gt;0.035, Q73&gt;0.060, I73&lt;80), "REJECT", IF(OR(O73&gt;0.028, Q73&gt;0.050, I73&lt;85), "WARNING", "PASS"))</f>
        <v/>
      </c>
    </row>
    <row r="74">
      <c r="A74" s="12" t="inlineStr">
        <is>
          <t>SMP-CH01-1073</t>
        </is>
      </c>
      <c r="B74" s="39" t="n">
        <v>45316</v>
      </c>
      <c r="C74" s="12" t="inlineStr">
        <is>
          <t>Shift_A</t>
        </is>
      </c>
      <c r="D74" s="12" t="inlineStr">
        <is>
          <t>Hematite-Goethite / Weathered Skarn</t>
        </is>
      </c>
      <c r="E74" s="12" t="inlineStr">
        <is>
          <t>Goethite / Quartz-rich Hematite</t>
        </is>
      </c>
      <c r="F74" s="14" t="n">
        <v>58.14</v>
      </c>
      <c r="G74" s="14" t="n">
        <v>3.57</v>
      </c>
      <c r="H74" s="14" t="n">
        <v>30.21</v>
      </c>
      <c r="I74" s="14">
        <f>H74/F74*100</f>
        <v/>
      </c>
      <c r="J74" s="14" t="n">
        <v>3.69</v>
      </c>
      <c r="K74" s="14" t="n">
        <v>1.68</v>
      </c>
      <c r="L74" s="14" t="n">
        <v>0.54</v>
      </c>
      <c r="M74" s="14" t="n">
        <v>0.65</v>
      </c>
      <c r="N74" s="14">
        <f>(L74+M74)/(J74+K74)</f>
        <v/>
      </c>
      <c r="O74" s="15" t="n">
        <v>0.0322</v>
      </c>
      <c r="P74" s="15" t="n">
        <v>0.0177</v>
      </c>
      <c r="Q74" s="15" t="n">
        <v>0.0509</v>
      </c>
      <c r="R74" s="14" t="n">
        <v>4.02</v>
      </c>
      <c r="S74" s="12" t="inlineStr">
        <is>
          <t>Variable / Highly Abrasive (Quartz)</t>
        </is>
      </c>
      <c r="T74" s="16" t="inlineStr">
        <is>
          <t>High LOI &amp; Alkalis: Risk of pellet swelling/whisker &amp; filter cloth blinding.</t>
        </is>
      </c>
      <c r="U74" s="12">
        <f>IF(OR(O74&gt;0.035, Q74&gt;0.060, I74&lt;80), "REJECT", IF(OR(O74&gt;0.028, Q74&gt;0.050, I74&lt;85), "WARNING", "PASS"))</f>
        <v/>
      </c>
    </row>
    <row r="75">
      <c r="A75" s="17" t="inlineStr">
        <is>
          <t>SMP-CH01-1074</t>
        </is>
      </c>
      <c r="B75" s="40" t="n">
        <v>45316</v>
      </c>
      <c r="C75" s="17" t="inlineStr">
        <is>
          <t>Shift_B</t>
        </is>
      </c>
      <c r="D75" s="17" t="inlineStr">
        <is>
          <t>Hematite-Goethite / Weathered Skarn</t>
        </is>
      </c>
      <c r="E75" s="17" t="inlineStr">
        <is>
          <t>Goethite / Quartz-rich Hematite</t>
        </is>
      </c>
      <c r="F75" s="19" t="n">
        <v>62.87</v>
      </c>
      <c r="G75" s="19" t="n">
        <v>2.9</v>
      </c>
      <c r="H75" s="19" t="n">
        <v>33.37</v>
      </c>
      <c r="I75" s="19">
        <f>H75/F75*100</f>
        <v/>
      </c>
      <c r="J75" s="19" t="n">
        <v>6.98</v>
      </c>
      <c r="K75" s="19" t="n">
        <v>1.71</v>
      </c>
      <c r="L75" s="19" t="n">
        <v>0.6899999999999999</v>
      </c>
      <c r="M75" s="19" t="n">
        <v>1.07</v>
      </c>
      <c r="N75" s="19">
        <f>(L75+M75)/(J75+K75)</f>
        <v/>
      </c>
      <c r="O75" s="20" t="n">
        <v>0.0312</v>
      </c>
      <c r="P75" s="20" t="n">
        <v>0.1103</v>
      </c>
      <c r="Q75" s="20" t="n">
        <v>0.07829999999999999</v>
      </c>
      <c r="R75" s="19" t="n">
        <v>5.74</v>
      </c>
      <c r="S75" s="17" t="inlineStr">
        <is>
          <t>Variable / Highly Abrasive (Quartz)</t>
        </is>
      </c>
      <c r="T75" s="21" t="inlineStr">
        <is>
          <t>High LOI &amp; Alkalis: Risk of pellet swelling/whisker &amp; filter cloth blinding.</t>
        </is>
      </c>
      <c r="U75" s="17">
        <f>IF(OR(O75&gt;0.035, Q75&gt;0.060, I75&lt;80), "REJECT", IF(OR(O75&gt;0.028, Q75&gt;0.050, I75&lt;85), "WARNING", "PASS"))</f>
        <v/>
      </c>
    </row>
    <row r="76">
      <c r="A76" s="12" t="inlineStr">
        <is>
          <t>SMP-CH01-1075</t>
        </is>
      </c>
      <c r="B76" s="39" t="n">
        <v>45316</v>
      </c>
      <c r="C76" s="12" t="inlineStr">
        <is>
          <t>Shift_C</t>
        </is>
      </c>
      <c r="D76" s="12" t="inlineStr">
        <is>
          <t>Martitic Ore</t>
        </is>
      </c>
      <c r="E76" s="12" t="inlineStr">
        <is>
          <t>Martite / Semi-oxidized Magnetite</t>
        </is>
      </c>
      <c r="F76" s="14" t="n">
        <v>63.45</v>
      </c>
      <c r="G76" s="14" t="n">
        <v>17.72</v>
      </c>
      <c r="H76" s="14" t="n">
        <v>47.02</v>
      </c>
      <c r="I76" s="14">
        <f>H76/F76*100</f>
        <v/>
      </c>
      <c r="J76" s="14" t="n">
        <v>3.86</v>
      </c>
      <c r="K76" s="14" t="n">
        <v>1.09</v>
      </c>
      <c r="L76" s="14" t="n">
        <v>0.48</v>
      </c>
      <c r="M76" s="14" t="n">
        <v>0.65</v>
      </c>
      <c r="N76" s="14">
        <f>(L76+M76)/(J76+K76)</f>
        <v/>
      </c>
      <c r="O76" s="15" t="n">
        <v>0.0307</v>
      </c>
      <c r="P76" s="15" t="n">
        <v>0.0557</v>
      </c>
      <c r="Q76" s="15" t="n">
        <v>0.0379</v>
      </c>
      <c r="R76" s="14" t="n">
        <v>1.44</v>
      </c>
      <c r="S76" s="12" t="inlineStr">
        <is>
          <t>Hard (Wi 15.5-17.0)</t>
        </is>
      </c>
      <c r="T76" s="16" t="inlineStr">
        <is>
          <t>Martitization alert: Low LIMS recovery; requires WHIMS or higher drum RPM.</t>
        </is>
      </c>
      <c r="U76" s="12">
        <f>IF(OR(O76&gt;0.035, Q76&gt;0.060, I76&lt;80), "REJECT", IF(OR(O76&gt;0.028, Q76&gt;0.050, I76&lt;85), "WARNING", "PASS"))</f>
        <v/>
      </c>
    </row>
    <row r="77">
      <c r="A77" s="17" t="inlineStr">
        <is>
          <t>SMP-CH01-1076</t>
        </is>
      </c>
      <c r="B77" s="40" t="n">
        <v>45317</v>
      </c>
      <c r="C77" s="17" t="inlineStr">
        <is>
          <t>Shift_A</t>
        </is>
      </c>
      <c r="D77" s="17" t="inlineStr">
        <is>
          <t>Primary Magnetite</t>
        </is>
      </c>
      <c r="E77" s="17" t="inlineStr">
        <is>
          <t>Magnetite</t>
        </is>
      </c>
      <c r="F77" s="19" t="n">
        <v>68.76000000000001</v>
      </c>
      <c r="G77" s="19" t="n">
        <v>26.82</v>
      </c>
      <c r="H77" s="19" t="n">
        <v>66.37</v>
      </c>
      <c r="I77" s="19">
        <f>H77/F77*100</f>
        <v/>
      </c>
      <c r="J77" s="19" t="n">
        <v>2.6</v>
      </c>
      <c r="K77" s="19" t="n">
        <v>0.37</v>
      </c>
      <c r="L77" s="19" t="n">
        <v>0.6</v>
      </c>
      <c r="M77" s="19" t="n">
        <v>0.92</v>
      </c>
      <c r="N77" s="19">
        <f>(L77+M77)/(J77+K77)</f>
        <v/>
      </c>
      <c r="O77" s="20" t="n">
        <v>0.0183</v>
      </c>
      <c r="P77" s="20" t="n">
        <v>0.0392</v>
      </c>
      <c r="Q77" s="20" t="n">
        <v>0.0403</v>
      </c>
      <c r="R77" s="19" t="n">
        <v>0.45</v>
      </c>
      <c r="S77" s="17" t="inlineStr">
        <is>
          <t>Medium (Wi 13.5-14.5)</t>
        </is>
      </c>
      <c r="T77" s="21" t="inlineStr">
        <is>
          <t>Standard DR-Grade; High exothermic heat during induration.</t>
        </is>
      </c>
      <c r="U77" s="17">
        <f>IF(OR(O77&gt;0.035, Q77&gt;0.060, I77&lt;80), "REJECT", IF(OR(O77&gt;0.028, Q77&gt;0.050, I77&lt;85), "WARNING", "PASS"))</f>
        <v/>
      </c>
    </row>
    <row r="78">
      <c r="A78" s="12" t="inlineStr">
        <is>
          <t>SMP-CH01-1077</t>
        </is>
      </c>
      <c r="B78" s="39" t="n">
        <v>45317</v>
      </c>
      <c r="C78" s="12" t="inlineStr">
        <is>
          <t>Shift_B</t>
        </is>
      </c>
      <c r="D78" s="12" t="inlineStr">
        <is>
          <t>Martitic Ore</t>
        </is>
      </c>
      <c r="E78" s="12" t="inlineStr">
        <is>
          <t>Martite / Semi-oxidized Magnetite</t>
        </is>
      </c>
      <c r="F78" s="14" t="n">
        <v>64.52</v>
      </c>
      <c r="G78" s="14" t="n">
        <v>19.12</v>
      </c>
      <c r="H78" s="14" t="n">
        <v>49.62</v>
      </c>
      <c r="I78" s="14">
        <f>H78/F78*100</f>
        <v/>
      </c>
      <c r="J78" s="14" t="n">
        <v>3.88</v>
      </c>
      <c r="K78" s="14" t="n">
        <v>1.17</v>
      </c>
      <c r="L78" s="14" t="n">
        <v>0.44</v>
      </c>
      <c r="M78" s="14" t="n">
        <v>0.58</v>
      </c>
      <c r="N78" s="14">
        <f>(L78+M78)/(J78+K78)</f>
        <v/>
      </c>
      <c r="O78" s="15" t="n">
        <v>0.0319</v>
      </c>
      <c r="P78" s="15" t="n">
        <v>0.0824</v>
      </c>
      <c r="Q78" s="15" t="n">
        <v>0.0393</v>
      </c>
      <c r="R78" s="14" t="n">
        <v>0.16</v>
      </c>
      <c r="S78" s="12" t="inlineStr">
        <is>
          <t>Hard (Wi 15.5-17.0)</t>
        </is>
      </c>
      <c r="T78" s="16" t="inlineStr">
        <is>
          <t>Martitization alert: Low LIMS recovery; requires WHIMS or higher drum RPM.</t>
        </is>
      </c>
      <c r="U78" s="12">
        <f>IF(OR(O78&gt;0.035, Q78&gt;0.060, I78&lt;80), "REJECT", IF(OR(O78&gt;0.028, Q78&gt;0.050, I78&lt;85), "WARNING", "PASS"))</f>
        <v/>
      </c>
    </row>
    <row r="79">
      <c r="A79" s="17" t="inlineStr">
        <is>
          <t>SMP-CH01-1078</t>
        </is>
      </c>
      <c r="B79" s="40" t="n">
        <v>45317</v>
      </c>
      <c r="C79" s="17" t="inlineStr">
        <is>
          <t>Shift_C</t>
        </is>
      </c>
      <c r="D79" s="17" t="inlineStr">
        <is>
          <t>Primary Magnetite</t>
        </is>
      </c>
      <c r="E79" s="17" t="inlineStr">
        <is>
          <t>Magnetite</t>
        </is>
      </c>
      <c r="F79" s="19" t="n">
        <v>66.45999999999999</v>
      </c>
      <c r="G79" s="19" t="n">
        <v>26.28</v>
      </c>
      <c r="H79" s="19" t="n">
        <v>64.19</v>
      </c>
      <c r="I79" s="19">
        <f>H79/F79*100</f>
        <v/>
      </c>
      <c r="J79" s="19" t="n">
        <v>2.84</v>
      </c>
      <c r="K79" s="19" t="n">
        <v>0.88</v>
      </c>
      <c r="L79" s="19" t="n">
        <v>0.51</v>
      </c>
      <c r="M79" s="19" t="n">
        <v>0.6</v>
      </c>
      <c r="N79" s="19">
        <f>(L79+M79)/(J79+K79)</f>
        <v/>
      </c>
      <c r="O79" s="20" t="n">
        <v>0.0255</v>
      </c>
      <c r="P79" s="20" t="n">
        <v>0.0616</v>
      </c>
      <c r="Q79" s="20" t="n">
        <v>0.0446</v>
      </c>
      <c r="R79" s="19" t="n">
        <v>0.48</v>
      </c>
      <c r="S79" s="17" t="inlineStr">
        <is>
          <t>Medium (Wi 13.5-14.5)</t>
        </is>
      </c>
      <c r="T79" s="21" t="inlineStr">
        <is>
          <t>Standard DR-Grade; High exothermic heat during induration.</t>
        </is>
      </c>
      <c r="U79" s="17">
        <f>IF(OR(O79&gt;0.035, Q79&gt;0.060, I79&lt;80), "REJECT", IF(OR(O79&gt;0.028, Q79&gt;0.050, I79&lt;85), "WARNING", "PASS"))</f>
        <v/>
      </c>
    </row>
    <row r="80">
      <c r="A80" s="12" t="inlineStr">
        <is>
          <t>SMP-CH01-1079</t>
        </is>
      </c>
      <c r="B80" s="39" t="n">
        <v>45318</v>
      </c>
      <c r="C80" s="12" t="inlineStr">
        <is>
          <t>Shift_A</t>
        </is>
      </c>
      <c r="D80" s="12" t="inlineStr">
        <is>
          <t>Martitic Ore</t>
        </is>
      </c>
      <c r="E80" s="12" t="inlineStr">
        <is>
          <t>Martite / Semi-oxidized Magnetite</t>
        </is>
      </c>
      <c r="F80" s="14" t="n">
        <v>67.31</v>
      </c>
      <c r="G80" s="14" t="n">
        <v>20.36</v>
      </c>
      <c r="H80" s="14" t="n">
        <v>54.55</v>
      </c>
      <c r="I80" s="14">
        <f>H80/F80*100</f>
        <v/>
      </c>
      <c r="J80" s="14" t="n">
        <v>5.03</v>
      </c>
      <c r="K80" s="14" t="n">
        <v>0.86</v>
      </c>
      <c r="L80" s="14" t="n">
        <v>0.45</v>
      </c>
      <c r="M80" s="14" t="n">
        <v>0.61</v>
      </c>
      <c r="N80" s="14">
        <f>(L80+M80)/(J80+K80)</f>
        <v/>
      </c>
      <c r="O80" s="15" t="n">
        <v>0.036</v>
      </c>
      <c r="P80" s="15" t="n">
        <v>0.0755</v>
      </c>
      <c r="Q80" s="15" t="n">
        <v>0.0568</v>
      </c>
      <c r="R80" s="14" t="n">
        <v>1.13</v>
      </c>
      <c r="S80" s="12" t="inlineStr">
        <is>
          <t>Hard (Wi 15.5-17.0)</t>
        </is>
      </c>
      <c r="T80" s="16" t="inlineStr">
        <is>
          <t>Martitization alert: Low LIMS recovery; requires WHIMS or higher drum RPM.</t>
        </is>
      </c>
      <c r="U80" s="12">
        <f>IF(OR(O80&gt;0.035, Q80&gt;0.060, I80&lt;80), "REJECT", IF(OR(O80&gt;0.028, Q80&gt;0.050, I80&lt;85), "WARNING", "PASS"))</f>
        <v/>
      </c>
    </row>
    <row r="81">
      <c r="A81" s="17" t="inlineStr">
        <is>
          <t>SMP-CH01-1080</t>
        </is>
      </c>
      <c r="B81" s="40" t="n">
        <v>45318</v>
      </c>
      <c r="C81" s="17" t="inlineStr">
        <is>
          <t>Shift_B</t>
        </is>
      </c>
      <c r="D81" s="17" t="inlineStr">
        <is>
          <t>Primary Magnetite</t>
        </is>
      </c>
      <c r="E81" s="17" t="inlineStr">
        <is>
          <t>Magnetite</t>
        </is>
      </c>
      <c r="F81" s="19" t="n">
        <v>67.5</v>
      </c>
      <c r="G81" s="19" t="n">
        <v>27.98</v>
      </c>
      <c r="H81" s="19" t="n">
        <v>64.09</v>
      </c>
      <c r="I81" s="19">
        <f>H81/F81*100</f>
        <v/>
      </c>
      <c r="J81" s="19" t="n">
        <v>1.82</v>
      </c>
      <c r="K81" s="19" t="n">
        <v>0.71</v>
      </c>
      <c r="L81" s="19" t="n">
        <v>0.51</v>
      </c>
      <c r="M81" s="19" t="n">
        <v>0.97</v>
      </c>
      <c r="N81" s="19">
        <f>(L81+M81)/(J81+K81)</f>
        <v/>
      </c>
      <c r="O81" s="20" t="n">
        <v>0.0202</v>
      </c>
      <c r="P81" s="20" t="n">
        <v>0.0483</v>
      </c>
      <c r="Q81" s="20" t="n">
        <v>0.04</v>
      </c>
      <c r="R81" s="19" t="n">
        <v>0.64</v>
      </c>
      <c r="S81" s="17" t="inlineStr">
        <is>
          <t>Medium (Wi 13.5-14.5)</t>
        </is>
      </c>
      <c r="T81" s="21" t="inlineStr">
        <is>
          <t>Standard DR-Grade; High exothermic heat during induration.</t>
        </is>
      </c>
      <c r="U81" s="17">
        <f>IF(OR(O81&gt;0.035, Q81&gt;0.060, I81&lt;80), "REJECT", IF(OR(O81&gt;0.028, Q81&gt;0.050, I81&lt;85), "WARNING", "PASS"))</f>
        <v/>
      </c>
    </row>
    <row r="82">
      <c r="A82" s="12" t="inlineStr">
        <is>
          <t>SMP-CH01-1081</t>
        </is>
      </c>
      <c r="B82" s="39" t="n">
        <v>45318</v>
      </c>
      <c r="C82" s="12" t="inlineStr">
        <is>
          <t>Shift_C</t>
        </is>
      </c>
      <c r="D82" s="12" t="inlineStr">
        <is>
          <t>Hematite-Goethite / Weathered Skarn</t>
        </is>
      </c>
      <c r="E82" s="12" t="inlineStr">
        <is>
          <t>Goethite / Quartz-rich Hematite</t>
        </is>
      </c>
      <c r="F82" s="14" t="n">
        <v>63.92</v>
      </c>
      <c r="G82" s="14" t="n">
        <v>2.96</v>
      </c>
      <c r="H82" s="14" t="n">
        <v>36.07</v>
      </c>
      <c r="I82" s="14">
        <f>H82/F82*100</f>
        <v/>
      </c>
      <c r="J82" s="14" t="n">
        <v>4.07</v>
      </c>
      <c r="K82" s="14" t="n">
        <v>1.87</v>
      </c>
      <c r="L82" s="14" t="n">
        <v>0.78</v>
      </c>
      <c r="M82" s="14" t="n">
        <v>0.85</v>
      </c>
      <c r="N82" s="14">
        <f>(L82+M82)/(J82+K82)</f>
        <v/>
      </c>
      <c r="O82" s="15" t="n">
        <v>0.0419</v>
      </c>
      <c r="P82" s="15" t="n">
        <v>0.0805</v>
      </c>
      <c r="Q82" s="15" t="n">
        <v>0.0785</v>
      </c>
      <c r="R82" s="14" t="n">
        <v>3.21</v>
      </c>
      <c r="S82" s="12" t="inlineStr">
        <is>
          <t>Variable / Highly Abrasive (Quartz)</t>
        </is>
      </c>
      <c r="T82" s="16" t="inlineStr">
        <is>
          <t>High LOI &amp; Alkalis: Risk of pellet swelling/whisker &amp; filter cloth blinding.</t>
        </is>
      </c>
      <c r="U82" s="12">
        <f>IF(OR(O82&gt;0.035, Q82&gt;0.060, I82&lt;80), "REJECT", IF(OR(O82&gt;0.028, Q82&gt;0.050, I82&lt;85), "WARNING", "PASS"))</f>
        <v/>
      </c>
    </row>
    <row r="83">
      <c r="A83" s="17" t="inlineStr">
        <is>
          <t>SMP-CH01-1082</t>
        </is>
      </c>
      <c r="B83" s="40" t="n">
        <v>45319</v>
      </c>
      <c r="C83" s="17" t="inlineStr">
        <is>
          <t>Shift_A</t>
        </is>
      </c>
      <c r="D83" s="17" t="inlineStr">
        <is>
          <t>Martitic Ore</t>
        </is>
      </c>
      <c r="E83" s="17" t="inlineStr">
        <is>
          <t>Martite / Semi-oxidized Magnetite</t>
        </is>
      </c>
      <c r="F83" s="19" t="n">
        <v>67.25</v>
      </c>
      <c r="G83" s="19" t="n">
        <v>20.15</v>
      </c>
      <c r="H83" s="19" t="n">
        <v>48.79</v>
      </c>
      <c r="I83" s="19">
        <f>H83/F83*100</f>
        <v/>
      </c>
      <c r="J83" s="19" t="n">
        <v>3.35</v>
      </c>
      <c r="K83" s="19" t="n">
        <v>1.04</v>
      </c>
      <c r="L83" s="19" t="n">
        <v>0.74</v>
      </c>
      <c r="M83" s="19" t="n">
        <v>0.74</v>
      </c>
      <c r="N83" s="19">
        <f>(L83+M83)/(J83+K83)</f>
        <v/>
      </c>
      <c r="O83" s="20" t="n">
        <v>0.0276</v>
      </c>
      <c r="P83" s="20" t="n">
        <v>0.112</v>
      </c>
      <c r="Q83" s="20" t="n">
        <v>0.0346</v>
      </c>
      <c r="R83" s="19" t="n">
        <v>0.54</v>
      </c>
      <c r="S83" s="17" t="inlineStr">
        <is>
          <t>Hard (Wi 15.5-17.0)</t>
        </is>
      </c>
      <c r="T83" s="21" t="inlineStr">
        <is>
          <t>Martitization alert: Low LIMS recovery; requires WHIMS or higher drum RPM.</t>
        </is>
      </c>
      <c r="U83" s="17">
        <f>IF(OR(O83&gt;0.035, Q83&gt;0.060, I83&lt;80), "REJECT", IF(OR(O83&gt;0.028, Q83&gt;0.050, I83&lt;85), "WARNING", "PASS"))</f>
        <v/>
      </c>
    </row>
    <row r="84">
      <c r="A84" s="12" t="inlineStr">
        <is>
          <t>SMP-CH01-1083</t>
        </is>
      </c>
      <c r="B84" s="39" t="n">
        <v>45319</v>
      </c>
      <c r="C84" s="12" t="inlineStr">
        <is>
          <t>Shift_B</t>
        </is>
      </c>
      <c r="D84" s="12" t="inlineStr">
        <is>
          <t>Primary Magnetite</t>
        </is>
      </c>
      <c r="E84" s="12" t="inlineStr">
        <is>
          <t>Magnetite</t>
        </is>
      </c>
      <c r="F84" s="14" t="n">
        <v>68.28</v>
      </c>
      <c r="G84" s="14" t="n">
        <v>24.94</v>
      </c>
      <c r="H84" s="14" t="n">
        <v>62.66</v>
      </c>
      <c r="I84" s="14">
        <f>H84/F84*100</f>
        <v/>
      </c>
      <c r="J84" s="14" t="n">
        <v>2.99</v>
      </c>
      <c r="K84" s="14" t="n">
        <v>0.77</v>
      </c>
      <c r="L84" s="14" t="n">
        <v>0.58</v>
      </c>
      <c r="M84" s="14" t="n">
        <v>0.62</v>
      </c>
      <c r="N84" s="14">
        <f>(L84+M84)/(J84+K84)</f>
        <v/>
      </c>
      <c r="O84" s="15" t="n">
        <v>0.0151</v>
      </c>
      <c r="P84" s="15" t="n">
        <v>0.0433</v>
      </c>
      <c r="Q84" s="15" t="n">
        <v>0.0431</v>
      </c>
      <c r="R84" s="14" t="n">
        <v>0.22</v>
      </c>
      <c r="S84" s="12" t="inlineStr">
        <is>
          <t>Medium (Wi 13.5-14.5)</t>
        </is>
      </c>
      <c r="T84" s="16" t="inlineStr">
        <is>
          <t>Standard DR-Grade; High exothermic heat during induration.</t>
        </is>
      </c>
      <c r="U84" s="12">
        <f>IF(OR(O84&gt;0.035, Q84&gt;0.060, I84&lt;80), "REJECT", IF(OR(O84&gt;0.028, Q84&gt;0.050, I84&lt;85), "WARNING", "PASS"))</f>
        <v/>
      </c>
    </row>
    <row r="85">
      <c r="A85" s="17" t="inlineStr">
        <is>
          <t>SMP-CH01-1084</t>
        </is>
      </c>
      <c r="B85" s="40" t="n">
        <v>45319</v>
      </c>
      <c r="C85" s="17" t="inlineStr">
        <is>
          <t>Shift_C</t>
        </is>
      </c>
      <c r="D85" s="17" t="inlineStr">
        <is>
          <t>Primary Magnetite</t>
        </is>
      </c>
      <c r="E85" s="17" t="inlineStr">
        <is>
          <t>Magnetite</t>
        </is>
      </c>
      <c r="F85" s="19" t="n">
        <v>69.48999999999999</v>
      </c>
      <c r="G85" s="19" t="n">
        <v>28.03</v>
      </c>
      <c r="H85" s="19" t="n">
        <v>68.01000000000001</v>
      </c>
      <c r="I85" s="19">
        <f>H85/F85*100</f>
        <v/>
      </c>
      <c r="J85" s="19" t="n">
        <v>2.38</v>
      </c>
      <c r="K85" s="19" t="n">
        <v>0.65</v>
      </c>
      <c r="L85" s="19" t="n">
        <v>0.32</v>
      </c>
      <c r="M85" s="19" t="n">
        <v>0.87</v>
      </c>
      <c r="N85" s="19">
        <f>(L85+M85)/(J85+K85)</f>
        <v/>
      </c>
      <c r="O85" s="20" t="n">
        <v>0.0215</v>
      </c>
      <c r="P85" s="20" t="n">
        <v>0.0618</v>
      </c>
      <c r="Q85" s="20" t="n">
        <v>0.0407</v>
      </c>
      <c r="R85" s="19" t="n">
        <v>0.47</v>
      </c>
      <c r="S85" s="17" t="inlineStr">
        <is>
          <t>Medium (Wi 13.5-14.5)</t>
        </is>
      </c>
      <c r="T85" s="21" t="inlineStr">
        <is>
          <t>Standard DR-Grade; High exothermic heat during induration.</t>
        </is>
      </c>
      <c r="U85" s="17">
        <f>IF(OR(O85&gt;0.035, Q85&gt;0.060, I85&lt;80), "REJECT", IF(OR(O85&gt;0.028, Q85&gt;0.050, I85&lt;85), "WARNING", "PASS"))</f>
        <v/>
      </c>
    </row>
    <row r="86">
      <c r="A86" s="12" t="inlineStr">
        <is>
          <t>SMP-CH01-1085</t>
        </is>
      </c>
      <c r="B86" s="39" t="n">
        <v>45320</v>
      </c>
      <c r="C86" s="12" t="inlineStr">
        <is>
          <t>Shift_A</t>
        </is>
      </c>
      <c r="D86" s="12" t="inlineStr">
        <is>
          <t>Martitic Ore</t>
        </is>
      </c>
      <c r="E86" s="12" t="inlineStr">
        <is>
          <t>Martite / Semi-oxidized Magnetite</t>
        </is>
      </c>
      <c r="F86" s="14" t="n">
        <v>66.48999999999999</v>
      </c>
      <c r="G86" s="14" t="n">
        <v>19.66</v>
      </c>
      <c r="H86" s="14" t="n">
        <v>52.87</v>
      </c>
      <c r="I86" s="14">
        <f>H86/F86*100</f>
        <v/>
      </c>
      <c r="J86" s="14" t="n">
        <v>4.29</v>
      </c>
      <c r="K86" s="14" t="n">
        <v>1.26</v>
      </c>
      <c r="L86" s="14" t="n">
        <v>0.61</v>
      </c>
      <c r="M86" s="14" t="n">
        <v>0.54</v>
      </c>
      <c r="N86" s="14">
        <f>(L86+M86)/(J86+K86)</f>
        <v/>
      </c>
      <c r="O86" s="15" t="n">
        <v>0.0316</v>
      </c>
      <c r="P86" s="15" t="n">
        <v>0.07439999999999999</v>
      </c>
      <c r="Q86" s="15" t="n">
        <v>0.0429</v>
      </c>
      <c r="R86" s="14" t="n">
        <v>0.79</v>
      </c>
      <c r="S86" s="12" t="inlineStr">
        <is>
          <t>Hard (Wi 15.5-17.0)</t>
        </is>
      </c>
      <c r="T86" s="16" t="inlineStr">
        <is>
          <t>Martitization alert: Low LIMS recovery; requires WHIMS or higher drum RPM.</t>
        </is>
      </c>
      <c r="U86" s="12">
        <f>IF(OR(O86&gt;0.035, Q86&gt;0.060, I86&lt;80), "REJECT", IF(OR(O86&gt;0.028, Q86&gt;0.050, I86&lt;85), "WARNING", "PASS"))</f>
        <v/>
      </c>
    </row>
    <row r="87">
      <c r="A87" s="17" t="inlineStr">
        <is>
          <t>SMP-CH01-1086</t>
        </is>
      </c>
      <c r="B87" s="40" t="n">
        <v>45320</v>
      </c>
      <c r="C87" s="17" t="inlineStr">
        <is>
          <t>Shift_B</t>
        </is>
      </c>
      <c r="D87" s="17" t="inlineStr">
        <is>
          <t>Primary Magnetite</t>
        </is>
      </c>
      <c r="E87" s="17" t="inlineStr">
        <is>
          <t>Magnetite</t>
        </is>
      </c>
      <c r="F87" s="19" t="n">
        <v>67.12</v>
      </c>
      <c r="G87" s="19" t="n">
        <v>25.48</v>
      </c>
      <c r="H87" s="19" t="n">
        <v>60.75</v>
      </c>
      <c r="I87" s="19">
        <f>H87/F87*100</f>
        <v/>
      </c>
      <c r="J87" s="19" t="n">
        <v>2.92</v>
      </c>
      <c r="K87" s="19" t="n">
        <v>0.5</v>
      </c>
      <c r="L87" s="19" t="n">
        <v>0.41</v>
      </c>
      <c r="M87" s="19" t="n">
        <v>0.37</v>
      </c>
      <c r="N87" s="19">
        <f>(L87+M87)/(J87+K87)</f>
        <v/>
      </c>
      <c r="O87" s="20" t="n">
        <v>0.0193</v>
      </c>
      <c r="P87" s="20" t="n">
        <v>0.01</v>
      </c>
      <c r="Q87" s="20" t="n">
        <v>0.0253</v>
      </c>
      <c r="R87" s="19" t="n">
        <v>0.51</v>
      </c>
      <c r="S87" s="17" t="inlineStr">
        <is>
          <t>Medium (Wi 13.5-14.5)</t>
        </is>
      </c>
      <c r="T87" s="21" t="inlineStr">
        <is>
          <t>Standard DR-Grade; High exothermic heat during induration.</t>
        </is>
      </c>
      <c r="U87" s="17">
        <f>IF(OR(O87&gt;0.035, Q87&gt;0.060, I87&lt;80), "REJECT", IF(OR(O87&gt;0.028, Q87&gt;0.050, I87&lt;85), "WARNING", "PASS"))</f>
        <v/>
      </c>
    </row>
    <row r="88">
      <c r="A88" s="12" t="inlineStr">
        <is>
          <t>SMP-CH01-1087</t>
        </is>
      </c>
      <c r="B88" s="39" t="n">
        <v>45320</v>
      </c>
      <c r="C88" s="12" t="inlineStr">
        <is>
          <t>Shift_C</t>
        </is>
      </c>
      <c r="D88" s="12" t="inlineStr">
        <is>
          <t>Martitic Ore</t>
        </is>
      </c>
      <c r="E88" s="12" t="inlineStr">
        <is>
          <t>Martite / Semi-oxidized Magnetite</t>
        </is>
      </c>
      <c r="F88" s="14" t="n">
        <v>66.36</v>
      </c>
      <c r="G88" s="14" t="n">
        <v>18.82</v>
      </c>
      <c r="H88" s="14" t="n">
        <v>48.09</v>
      </c>
      <c r="I88" s="14">
        <f>H88/F88*100</f>
        <v/>
      </c>
      <c r="J88" s="14" t="n">
        <v>4.18</v>
      </c>
      <c r="K88" s="14" t="n">
        <v>0.88</v>
      </c>
      <c r="L88" s="14" t="n">
        <v>0.5</v>
      </c>
      <c r="M88" s="14" t="n">
        <v>1.23</v>
      </c>
      <c r="N88" s="14">
        <f>(L88+M88)/(J88+K88)</f>
        <v/>
      </c>
      <c r="O88" s="15" t="n">
        <v>0.0318</v>
      </c>
      <c r="P88" s="15" t="n">
        <v>0.0781</v>
      </c>
      <c r="Q88" s="15" t="n">
        <v>0.07340000000000001</v>
      </c>
      <c r="R88" s="14" t="n">
        <v>0.9399999999999999</v>
      </c>
      <c r="S88" s="12" t="inlineStr">
        <is>
          <t>Hard (Wi 15.5-17.0)</t>
        </is>
      </c>
      <c r="T88" s="16" t="inlineStr">
        <is>
          <t>Martitization alert: Low LIMS recovery; requires WHIMS or higher drum RPM.</t>
        </is>
      </c>
      <c r="U88" s="12">
        <f>IF(OR(O88&gt;0.035, Q88&gt;0.060, I88&lt;80), "REJECT", IF(OR(O88&gt;0.028, Q88&gt;0.050, I88&lt;85), "WARNING", "PASS"))</f>
        <v/>
      </c>
    </row>
    <row r="89">
      <c r="A89" s="17" t="inlineStr">
        <is>
          <t>SMP-CH01-1088</t>
        </is>
      </c>
      <c r="B89" s="40" t="n">
        <v>45321</v>
      </c>
      <c r="C89" s="17" t="inlineStr">
        <is>
          <t>Shift_A</t>
        </is>
      </c>
      <c r="D89" s="17" t="inlineStr">
        <is>
          <t>Primary Magnetite</t>
        </is>
      </c>
      <c r="E89" s="17" t="inlineStr">
        <is>
          <t>Magnetite</t>
        </is>
      </c>
      <c r="F89" s="19" t="n">
        <v>67.55</v>
      </c>
      <c r="G89" s="19" t="n">
        <v>24.26</v>
      </c>
      <c r="H89" s="19" t="n">
        <v>60.97</v>
      </c>
      <c r="I89" s="19">
        <f>H89/F89*100</f>
        <v/>
      </c>
      <c r="J89" s="19" t="n">
        <v>2</v>
      </c>
      <c r="K89" s="19" t="n">
        <v>0.5600000000000001</v>
      </c>
      <c r="L89" s="19" t="n">
        <v>0.63</v>
      </c>
      <c r="M89" s="19" t="n">
        <v>0.75</v>
      </c>
      <c r="N89" s="19">
        <f>(L89+M89)/(J89+K89)</f>
        <v/>
      </c>
      <c r="O89" s="20" t="n">
        <v>0.0186</v>
      </c>
      <c r="P89" s="20" t="n">
        <v>0.0536</v>
      </c>
      <c r="Q89" s="20" t="n">
        <v>0.0492</v>
      </c>
      <c r="R89" s="19" t="n">
        <v>0.54</v>
      </c>
      <c r="S89" s="17" t="inlineStr">
        <is>
          <t>Medium (Wi 13.5-14.5)</t>
        </is>
      </c>
      <c r="T89" s="21" t="inlineStr">
        <is>
          <t>Standard DR-Grade; High exothermic heat during induration.</t>
        </is>
      </c>
      <c r="U89" s="17">
        <f>IF(OR(O89&gt;0.035, Q89&gt;0.060, I89&lt;80), "REJECT", IF(OR(O89&gt;0.028, Q89&gt;0.050, I89&lt;85), "WARNING", "PASS"))</f>
        <v/>
      </c>
    </row>
    <row r="90">
      <c r="A90" s="12" t="inlineStr">
        <is>
          <t>SMP-CH01-1089</t>
        </is>
      </c>
      <c r="B90" s="39" t="n">
        <v>45321</v>
      </c>
      <c r="C90" s="12" t="inlineStr">
        <is>
          <t>Shift_B</t>
        </is>
      </c>
      <c r="D90" s="12" t="inlineStr">
        <is>
          <t>Primary Magnetite</t>
        </is>
      </c>
      <c r="E90" s="12" t="inlineStr">
        <is>
          <t>Magnetite</t>
        </is>
      </c>
      <c r="F90" s="14" t="n">
        <v>69.67</v>
      </c>
      <c r="G90" s="14" t="n">
        <v>28.72</v>
      </c>
      <c r="H90" s="14" t="n">
        <v>67.56</v>
      </c>
      <c r="I90" s="14">
        <f>H90/F90*100</f>
        <v/>
      </c>
      <c r="J90" s="14" t="n">
        <v>2.68</v>
      </c>
      <c r="K90" s="14" t="n">
        <v>0.51</v>
      </c>
      <c r="L90" s="14" t="n">
        <v>0.5600000000000001</v>
      </c>
      <c r="M90" s="14" t="n">
        <v>0.67</v>
      </c>
      <c r="N90" s="14">
        <f>(L90+M90)/(J90+K90)</f>
        <v/>
      </c>
      <c r="O90" s="15" t="n">
        <v>0.0277</v>
      </c>
      <c r="P90" s="15" t="n">
        <v>0.042</v>
      </c>
      <c r="Q90" s="15" t="n">
        <v>0.0485</v>
      </c>
      <c r="R90" s="14" t="n">
        <v>0.46</v>
      </c>
      <c r="S90" s="12" t="inlineStr">
        <is>
          <t>Medium (Wi 13.5-14.5)</t>
        </is>
      </c>
      <c r="T90" s="16" t="inlineStr">
        <is>
          <t>Standard DR-Grade; High exothermic heat during induration.</t>
        </is>
      </c>
      <c r="U90" s="12">
        <f>IF(OR(O90&gt;0.035, Q90&gt;0.060, I90&lt;80), "REJECT", IF(OR(O90&gt;0.028, Q90&gt;0.050, I90&lt;85), "WARNING", "PASS"))</f>
        <v/>
      </c>
    </row>
    <row r="91">
      <c r="A91" s="17" t="inlineStr">
        <is>
          <t>SMP-CH01-1090</t>
        </is>
      </c>
      <c r="B91" s="40" t="n">
        <v>45321</v>
      </c>
      <c r="C91" s="17" t="inlineStr">
        <is>
          <t>Shift_C</t>
        </is>
      </c>
      <c r="D91" s="17" t="inlineStr">
        <is>
          <t>Martitic Ore</t>
        </is>
      </c>
      <c r="E91" s="17" t="inlineStr">
        <is>
          <t>Martite / Semi-oxidized Magnetite</t>
        </is>
      </c>
      <c r="F91" s="19" t="n">
        <v>68.5</v>
      </c>
      <c r="G91" s="19" t="n">
        <v>18.39</v>
      </c>
      <c r="H91" s="19" t="n">
        <v>49.99</v>
      </c>
      <c r="I91" s="19">
        <f>H91/F91*100</f>
        <v/>
      </c>
      <c r="J91" s="19" t="n">
        <v>3.28</v>
      </c>
      <c r="K91" s="19" t="n">
        <v>0.83</v>
      </c>
      <c r="L91" s="19" t="n">
        <v>0.51</v>
      </c>
      <c r="M91" s="19" t="n">
        <v>0.83</v>
      </c>
      <c r="N91" s="19">
        <f>(L91+M91)/(J91+K91)</f>
        <v/>
      </c>
      <c r="O91" s="20" t="n">
        <v>0.0362</v>
      </c>
      <c r="P91" s="20" t="n">
        <v>0.0507</v>
      </c>
      <c r="Q91" s="20" t="n">
        <v>0.0517</v>
      </c>
      <c r="R91" s="19" t="n">
        <v>1.84</v>
      </c>
      <c r="S91" s="17" t="inlineStr">
        <is>
          <t>Hard (Wi 15.5-17.0)</t>
        </is>
      </c>
      <c r="T91" s="21" t="inlineStr">
        <is>
          <t>Martitization alert: Low LIMS recovery; requires WHIMS or higher drum RPM.</t>
        </is>
      </c>
      <c r="U91" s="17">
        <f>IF(OR(O91&gt;0.035, Q91&gt;0.060, I91&lt;80), "REJECT", IF(OR(O91&gt;0.028, Q91&gt;0.050, I91&lt;85), "WARNING", "PASS"))</f>
        <v/>
      </c>
    </row>
    <row r="92">
      <c r="A92" s="12" t="inlineStr">
        <is>
          <t>SMP-CH01-1091</t>
        </is>
      </c>
      <c r="B92" s="39" t="n">
        <v>45322</v>
      </c>
      <c r="C92" s="12" t="inlineStr">
        <is>
          <t>Shift_A</t>
        </is>
      </c>
      <c r="D92" s="12" t="inlineStr">
        <is>
          <t>Primary Magnetite</t>
        </is>
      </c>
      <c r="E92" s="12" t="inlineStr">
        <is>
          <t>Magnetite</t>
        </is>
      </c>
      <c r="F92" s="14" t="n">
        <v>66.38</v>
      </c>
      <c r="G92" s="14" t="n">
        <v>28.38</v>
      </c>
      <c r="H92" s="14" t="n">
        <v>65.03</v>
      </c>
      <c r="I92" s="14">
        <f>H92/F92*100</f>
        <v/>
      </c>
      <c r="J92" s="14" t="n">
        <v>2.88</v>
      </c>
      <c r="K92" s="14" t="n">
        <v>0.43</v>
      </c>
      <c r="L92" s="14" t="n">
        <v>0.51</v>
      </c>
      <c r="M92" s="14" t="n">
        <v>0.57</v>
      </c>
      <c r="N92" s="14">
        <f>(L92+M92)/(J92+K92)</f>
        <v/>
      </c>
      <c r="O92" s="15" t="n">
        <v>0.0233</v>
      </c>
      <c r="P92" s="15" t="n">
        <v>0.0614</v>
      </c>
      <c r="Q92" s="15" t="n">
        <v>0.0371</v>
      </c>
      <c r="R92" s="14" t="n">
        <v>0.54</v>
      </c>
      <c r="S92" s="12" t="inlineStr">
        <is>
          <t>Medium (Wi 13.5-14.5)</t>
        </is>
      </c>
      <c r="T92" s="16" t="inlineStr">
        <is>
          <t>Standard DR-Grade; High exothermic heat during induration.</t>
        </is>
      </c>
      <c r="U92" s="12">
        <f>IF(OR(O92&gt;0.035, Q92&gt;0.060, I92&lt;80), "REJECT", IF(OR(O92&gt;0.028, Q92&gt;0.050, I92&lt;85), "WARNING", "PASS"))</f>
        <v/>
      </c>
    </row>
    <row r="93">
      <c r="A93" s="17" t="inlineStr">
        <is>
          <t>SMP-CH01-1092</t>
        </is>
      </c>
      <c r="B93" s="40" t="n">
        <v>45322</v>
      </c>
      <c r="C93" s="17" t="inlineStr">
        <is>
          <t>Shift_B</t>
        </is>
      </c>
      <c r="D93" s="17" t="inlineStr">
        <is>
          <t>Primary Magnetite</t>
        </is>
      </c>
      <c r="E93" s="17" t="inlineStr">
        <is>
          <t>Magnetite</t>
        </is>
      </c>
      <c r="F93" s="19" t="n">
        <v>68.55</v>
      </c>
      <c r="G93" s="19" t="n">
        <v>26.1</v>
      </c>
      <c r="H93" s="19" t="n">
        <v>63.59</v>
      </c>
      <c r="I93" s="19">
        <f>H93/F93*100</f>
        <v/>
      </c>
      <c r="J93" s="19" t="n">
        <v>2.61</v>
      </c>
      <c r="K93" s="19" t="n">
        <v>0.76</v>
      </c>
      <c r="L93" s="19" t="n">
        <v>0.62</v>
      </c>
      <c r="M93" s="19" t="n">
        <v>0.58</v>
      </c>
      <c r="N93" s="19">
        <f>(L93+M93)/(J93+K93)</f>
        <v/>
      </c>
      <c r="O93" s="20" t="n">
        <v>0.0285</v>
      </c>
      <c r="P93" s="20" t="n">
        <v>0.0444</v>
      </c>
      <c r="Q93" s="20" t="n">
        <v>0.0366</v>
      </c>
      <c r="R93" s="19" t="n">
        <v>0.53</v>
      </c>
      <c r="S93" s="17" t="inlineStr">
        <is>
          <t>Medium (Wi 13.5-14.5)</t>
        </is>
      </c>
      <c r="T93" s="21" t="inlineStr">
        <is>
          <t>Standard DR-Grade; High exothermic heat during induration.</t>
        </is>
      </c>
      <c r="U93" s="17">
        <f>IF(OR(O93&gt;0.035, Q93&gt;0.060, I93&lt;80), "REJECT", IF(OR(O93&gt;0.028, Q93&gt;0.050, I93&lt;85), "WARNING", "PASS"))</f>
        <v/>
      </c>
    </row>
    <row r="94">
      <c r="A94" s="12" t="inlineStr">
        <is>
          <t>SMP-CH01-1093</t>
        </is>
      </c>
      <c r="B94" s="39" t="n">
        <v>45322</v>
      </c>
      <c r="C94" s="12" t="inlineStr">
        <is>
          <t>Shift_C</t>
        </is>
      </c>
      <c r="D94" s="12" t="inlineStr">
        <is>
          <t>Primary Magnetite</t>
        </is>
      </c>
      <c r="E94" s="12" t="inlineStr">
        <is>
          <t>Magnetite</t>
        </is>
      </c>
      <c r="F94" s="14" t="n">
        <v>68.45999999999999</v>
      </c>
      <c r="G94" s="14" t="n">
        <v>26.44</v>
      </c>
      <c r="H94" s="14" t="n">
        <v>62.77</v>
      </c>
      <c r="I94" s="14">
        <f>H94/F94*100</f>
        <v/>
      </c>
      <c r="J94" s="14" t="n">
        <v>2.59</v>
      </c>
      <c r="K94" s="14" t="n">
        <v>0.8100000000000001</v>
      </c>
      <c r="L94" s="14" t="n">
        <v>0.53</v>
      </c>
      <c r="M94" s="14" t="n">
        <v>0.71</v>
      </c>
      <c r="N94" s="14">
        <f>(L94+M94)/(J94+K94)</f>
        <v/>
      </c>
      <c r="O94" s="15" t="n">
        <v>0.0179</v>
      </c>
      <c r="P94" s="15" t="n">
        <v>0.0499</v>
      </c>
      <c r="Q94" s="15" t="n">
        <v>0.098</v>
      </c>
      <c r="R94" s="14" t="n">
        <v>0.15</v>
      </c>
      <c r="S94" s="12" t="inlineStr">
        <is>
          <t>Medium (Wi 13.5-14.5)</t>
        </is>
      </c>
      <c r="T94" s="16" t="inlineStr">
        <is>
          <t>OUTLIER: High Feldspar intrusion -&gt; Catastrophic Swelling &amp; Sticking in MIDREX.</t>
        </is>
      </c>
      <c r="U94" s="12">
        <f>IF(OR(O94&gt;0.035, Q94&gt;0.060, I94&lt;80), "REJECT", IF(OR(O94&gt;0.028, Q94&gt;0.050, I94&lt;85), "WARNING", "PASS"))</f>
        <v/>
      </c>
    </row>
    <row r="95">
      <c r="A95" s="17" t="inlineStr">
        <is>
          <t>SMP-CH01-1094</t>
        </is>
      </c>
      <c r="B95" s="40" t="n">
        <v>45323</v>
      </c>
      <c r="C95" s="17" t="inlineStr">
        <is>
          <t>Shift_A</t>
        </is>
      </c>
      <c r="D95" s="17" t="inlineStr">
        <is>
          <t>Hematite-Goethite / Weathered Skarn</t>
        </is>
      </c>
      <c r="E95" s="17" t="inlineStr">
        <is>
          <t>Goethite / Quartz-rich Hematite</t>
        </is>
      </c>
      <c r="F95" s="19" t="n">
        <v>61.4</v>
      </c>
      <c r="G95" s="19" t="n">
        <v>4.82</v>
      </c>
      <c r="H95" s="19" t="n">
        <v>27.78</v>
      </c>
      <c r="I95" s="19">
        <f>H95/F95*100</f>
        <v/>
      </c>
      <c r="J95" s="19" t="n">
        <v>7.18</v>
      </c>
      <c r="K95" s="19" t="n">
        <v>1.1</v>
      </c>
      <c r="L95" s="19" t="n">
        <v>0.63</v>
      </c>
      <c r="M95" s="19" t="n">
        <v>0.62</v>
      </c>
      <c r="N95" s="19">
        <f>(L95+M95)/(J95+K95)</f>
        <v/>
      </c>
      <c r="O95" s="20" t="n">
        <v>0.0286</v>
      </c>
      <c r="P95" s="20" t="n">
        <v>0.1414</v>
      </c>
      <c r="Q95" s="20" t="n">
        <v>0.06560000000000001</v>
      </c>
      <c r="R95" s="19" t="n">
        <v>5.58</v>
      </c>
      <c r="S95" s="17" t="inlineStr">
        <is>
          <t>Variable / Highly Abrasive (Quartz)</t>
        </is>
      </c>
      <c r="T95" s="21" t="inlineStr">
        <is>
          <t>High LOI &amp; Alkalis: Risk of pellet swelling/whisker &amp; filter cloth blinding.</t>
        </is>
      </c>
      <c r="U95" s="17">
        <f>IF(OR(O95&gt;0.035, Q95&gt;0.060, I95&lt;80), "REJECT", IF(OR(O95&gt;0.028, Q95&gt;0.050, I95&lt;85), "WARNING", "PASS"))</f>
        <v/>
      </c>
    </row>
    <row r="96">
      <c r="A96" s="12" t="inlineStr">
        <is>
          <t>SMP-CH01-1095</t>
        </is>
      </c>
      <c r="B96" s="39" t="n">
        <v>45323</v>
      </c>
      <c r="C96" s="12" t="inlineStr">
        <is>
          <t>Shift_B</t>
        </is>
      </c>
      <c r="D96" s="12" t="inlineStr">
        <is>
          <t>Hematite-Goethite / Weathered Skarn</t>
        </is>
      </c>
      <c r="E96" s="12" t="inlineStr">
        <is>
          <t>Goethite / Quartz-rich Hematite</t>
        </is>
      </c>
      <c r="F96" s="14" t="n">
        <v>58.39</v>
      </c>
      <c r="G96" s="14" t="n">
        <v>3.26</v>
      </c>
      <c r="H96" s="14" t="n">
        <v>21.42</v>
      </c>
      <c r="I96" s="14">
        <f>H96/F96*100</f>
        <v/>
      </c>
      <c r="J96" s="14" t="n">
        <v>5.47</v>
      </c>
      <c r="K96" s="14" t="n">
        <v>0.96</v>
      </c>
      <c r="L96" s="14" t="n">
        <v>0.75</v>
      </c>
      <c r="M96" s="14" t="n">
        <v>0.84</v>
      </c>
      <c r="N96" s="14">
        <f>(L96+M96)/(J96+K96)</f>
        <v/>
      </c>
      <c r="O96" s="15" t="n">
        <v>0.0665</v>
      </c>
      <c r="P96" s="15" t="n">
        <v>0.121</v>
      </c>
      <c r="Q96" s="15" t="n">
        <v>0.0472</v>
      </c>
      <c r="R96" s="14" t="n">
        <v>4.28</v>
      </c>
      <c r="S96" s="12" t="inlineStr">
        <is>
          <t>Variable / Highly Abrasive (Quartz)</t>
        </is>
      </c>
      <c r="T96" s="16" t="inlineStr">
        <is>
          <t>High LOI &amp; Alkalis: Risk of pellet swelling/whisker &amp; filter cloth blinding.</t>
        </is>
      </c>
      <c r="U96" s="12">
        <f>IF(OR(O96&gt;0.035, Q96&gt;0.060, I96&lt;80), "REJECT", IF(OR(O96&gt;0.028, Q96&gt;0.050, I96&lt;85), "WARNING", "PASS"))</f>
        <v/>
      </c>
    </row>
    <row r="97">
      <c r="A97" s="17" t="inlineStr">
        <is>
          <t>SMP-CH01-1096</t>
        </is>
      </c>
      <c r="B97" s="40" t="n">
        <v>45323</v>
      </c>
      <c r="C97" s="17" t="inlineStr">
        <is>
          <t>Shift_C</t>
        </is>
      </c>
      <c r="D97" s="17" t="inlineStr">
        <is>
          <t>Primary Magnetite</t>
        </is>
      </c>
      <c r="E97" s="17" t="inlineStr">
        <is>
          <t>Magnetite</t>
        </is>
      </c>
      <c r="F97" s="19" t="n">
        <v>68.12</v>
      </c>
      <c r="G97" s="19" t="n">
        <v>26.21</v>
      </c>
      <c r="H97" s="19" t="n">
        <v>61.51</v>
      </c>
      <c r="I97" s="19">
        <f>H97/F97*100</f>
        <v/>
      </c>
      <c r="J97" s="19" t="n">
        <v>2.34</v>
      </c>
      <c r="K97" s="19" t="n">
        <v>0.91</v>
      </c>
      <c r="L97" s="19" t="n">
        <v>0.49</v>
      </c>
      <c r="M97" s="19" t="n">
        <v>0.71</v>
      </c>
      <c r="N97" s="19">
        <f>(L97+M97)/(J97+K97)</f>
        <v/>
      </c>
      <c r="O97" s="20" t="n">
        <v>0.0282</v>
      </c>
      <c r="P97" s="20" t="n">
        <v>0.0486</v>
      </c>
      <c r="Q97" s="20" t="n">
        <v>0.0359</v>
      </c>
      <c r="R97" s="19" t="n">
        <v>0.37</v>
      </c>
      <c r="S97" s="17" t="inlineStr">
        <is>
          <t>Medium (Wi 13.5-14.5)</t>
        </is>
      </c>
      <c r="T97" s="21" t="inlineStr">
        <is>
          <t>Standard DR-Grade; High exothermic heat during induration.</t>
        </is>
      </c>
      <c r="U97" s="17">
        <f>IF(OR(O97&gt;0.035, Q97&gt;0.060, I97&lt;80), "REJECT", IF(OR(O97&gt;0.028, Q97&gt;0.050, I97&lt;85), "WARNING", "PASS"))</f>
        <v/>
      </c>
    </row>
    <row r="98">
      <c r="A98" s="12" t="inlineStr">
        <is>
          <t>SMP-CH01-1097</t>
        </is>
      </c>
      <c r="B98" s="39" t="n">
        <v>45324</v>
      </c>
      <c r="C98" s="12" t="inlineStr">
        <is>
          <t>Shift_A</t>
        </is>
      </c>
      <c r="D98" s="12" t="inlineStr">
        <is>
          <t>Primary Magnetite</t>
        </is>
      </c>
      <c r="E98" s="12" t="inlineStr">
        <is>
          <t>Magnetite</t>
        </is>
      </c>
      <c r="F98" s="14" t="n">
        <v>67.56</v>
      </c>
      <c r="G98" s="14" t="n">
        <v>26.1</v>
      </c>
      <c r="H98" s="14" t="n">
        <v>65.86</v>
      </c>
      <c r="I98" s="14">
        <f>H98/F98*100</f>
        <v/>
      </c>
      <c r="J98" s="14" t="n">
        <v>2.16</v>
      </c>
      <c r="K98" s="14" t="n">
        <v>0.58</v>
      </c>
      <c r="L98" s="14" t="n">
        <v>0.35</v>
      </c>
      <c r="M98" s="14" t="n">
        <v>0.62</v>
      </c>
      <c r="N98" s="14">
        <f>(L98+M98)/(J98+K98)</f>
        <v/>
      </c>
      <c r="O98" s="15" t="n">
        <v>0.0247</v>
      </c>
      <c r="P98" s="15" t="n">
        <v>0.0362</v>
      </c>
      <c r="Q98" s="15" t="n">
        <v>0.0381</v>
      </c>
      <c r="R98" s="14" t="n">
        <v>0.42</v>
      </c>
      <c r="S98" s="12" t="inlineStr">
        <is>
          <t>Medium (Wi 13.5-14.5)</t>
        </is>
      </c>
      <c r="T98" s="16" t="inlineStr">
        <is>
          <t>Standard DR-Grade; High exothermic heat during induration.</t>
        </is>
      </c>
      <c r="U98" s="12">
        <f>IF(OR(O98&gt;0.035, Q98&gt;0.060, I98&lt;80), "REJECT", IF(OR(O98&gt;0.028, Q98&gt;0.050, I98&lt;85), "WARNING", "PASS"))</f>
        <v/>
      </c>
    </row>
    <row r="99">
      <c r="A99" s="17" t="inlineStr">
        <is>
          <t>SMP-CH01-1098</t>
        </is>
      </c>
      <c r="B99" s="40" t="n">
        <v>45324</v>
      </c>
      <c r="C99" s="17" t="inlineStr">
        <is>
          <t>Shift_B</t>
        </is>
      </c>
      <c r="D99" s="17" t="inlineStr">
        <is>
          <t>Hematite-Goethite / Weathered Skarn</t>
        </is>
      </c>
      <c r="E99" s="17" t="inlineStr">
        <is>
          <t>Goethite / Quartz-rich Hematite</t>
        </is>
      </c>
      <c r="F99" s="19" t="n">
        <v>62.41</v>
      </c>
      <c r="G99" s="19" t="n">
        <v>4.82</v>
      </c>
      <c r="H99" s="19" t="n">
        <v>28.37</v>
      </c>
      <c r="I99" s="19">
        <f>H99/F99*100</f>
        <v/>
      </c>
      <c r="J99" s="19" t="n">
        <v>8.31</v>
      </c>
      <c r="K99" s="19" t="n">
        <v>1.74</v>
      </c>
      <c r="L99" s="19" t="n">
        <v>0.92</v>
      </c>
      <c r="M99" s="19" t="n">
        <v>0.64</v>
      </c>
      <c r="N99" s="19">
        <f>(L99+M99)/(J99+K99)</f>
        <v/>
      </c>
      <c r="O99" s="20" t="n">
        <v>0.0572</v>
      </c>
      <c r="P99" s="20" t="n">
        <v>0.0529</v>
      </c>
      <c r="Q99" s="20" t="n">
        <v>0.0625</v>
      </c>
      <c r="R99" s="19" t="n">
        <v>7.31</v>
      </c>
      <c r="S99" s="17" t="inlineStr">
        <is>
          <t>Variable / Highly Abrasive (Quartz)</t>
        </is>
      </c>
      <c r="T99" s="21" t="inlineStr">
        <is>
          <t>High LOI &amp; Alkalis: Risk of pellet swelling/whisker &amp; filter cloth blinding.</t>
        </is>
      </c>
      <c r="U99" s="17">
        <f>IF(OR(O99&gt;0.035, Q99&gt;0.060, I99&lt;80), "REJECT", IF(OR(O99&gt;0.028, Q99&gt;0.050, I99&lt;85), "WARNING", "PASS"))</f>
        <v/>
      </c>
    </row>
    <row r="100">
      <c r="A100" s="12" t="inlineStr">
        <is>
          <t>SMP-CH01-1099</t>
        </is>
      </c>
      <c r="B100" s="39" t="n">
        <v>45324</v>
      </c>
      <c r="C100" s="12" t="inlineStr">
        <is>
          <t>Shift_C</t>
        </is>
      </c>
      <c r="D100" s="12" t="inlineStr">
        <is>
          <t>Hematite-Goethite / Weathered Skarn</t>
        </is>
      </c>
      <c r="E100" s="12" t="inlineStr">
        <is>
          <t>Goethite / Quartz-rich Hematite</t>
        </is>
      </c>
      <c r="F100" s="14" t="n">
        <v>62.59</v>
      </c>
      <c r="G100" s="14" t="n">
        <v>6.75</v>
      </c>
      <c r="H100" s="14" t="n">
        <v>33.97</v>
      </c>
      <c r="I100" s="14">
        <f>H100/F100*100</f>
        <v/>
      </c>
      <c r="J100" s="14" t="n">
        <v>4.7</v>
      </c>
      <c r="K100" s="14" t="n">
        <v>1.79</v>
      </c>
      <c r="L100" s="14" t="n">
        <v>1.1</v>
      </c>
      <c r="M100" s="14" t="n">
        <v>1.14</v>
      </c>
      <c r="N100" s="14">
        <f>(L100+M100)/(J100+K100)</f>
        <v/>
      </c>
      <c r="O100" s="15" t="n">
        <v>0.0526</v>
      </c>
      <c r="P100" s="15" t="n">
        <v>0.077</v>
      </c>
      <c r="Q100" s="15" t="n">
        <v>0.07630000000000001</v>
      </c>
      <c r="R100" s="14" t="n">
        <v>5.42</v>
      </c>
      <c r="S100" s="12" t="inlineStr">
        <is>
          <t>Variable / Highly Abrasive (Quartz)</t>
        </is>
      </c>
      <c r="T100" s="16" t="inlineStr">
        <is>
          <t>High LOI &amp; Alkalis: Risk of pellet swelling/whisker &amp; filter cloth blinding.</t>
        </is>
      </c>
      <c r="U100" s="12">
        <f>IF(OR(O100&gt;0.035, Q100&gt;0.060, I100&lt;80), "REJECT", IF(OR(O100&gt;0.028, Q100&gt;0.050, I100&lt;85), "WARNING", "PASS"))</f>
        <v/>
      </c>
    </row>
    <row r="101">
      <c r="A101" s="17" t="inlineStr">
        <is>
          <t>SMP-CH01-1100</t>
        </is>
      </c>
      <c r="B101" s="40" t="n">
        <v>45325</v>
      </c>
      <c r="C101" s="17" t="inlineStr">
        <is>
          <t>Shift_A</t>
        </is>
      </c>
      <c r="D101" s="17" t="inlineStr">
        <is>
          <t>Martitic Ore</t>
        </is>
      </c>
      <c r="E101" s="17" t="inlineStr">
        <is>
          <t>Martite / Semi-oxidized Magnetite</t>
        </is>
      </c>
      <c r="F101" s="19" t="n">
        <v>66.47</v>
      </c>
      <c r="G101" s="19" t="n">
        <v>19.89</v>
      </c>
      <c r="H101" s="19" t="n">
        <v>49.58</v>
      </c>
      <c r="I101" s="19">
        <f>H101/F101*100</f>
        <v/>
      </c>
      <c r="J101" s="19" t="n">
        <v>5.11</v>
      </c>
      <c r="K101" s="19" t="n">
        <v>0.66</v>
      </c>
      <c r="L101" s="19" t="n">
        <v>0.59</v>
      </c>
      <c r="M101" s="19" t="n">
        <v>0.6</v>
      </c>
      <c r="N101" s="19">
        <f>(L101+M101)/(J101+K101)</f>
        <v/>
      </c>
      <c r="O101" s="20" t="n">
        <v>0.0315</v>
      </c>
      <c r="P101" s="20" t="n">
        <v>0.0732</v>
      </c>
      <c r="Q101" s="20" t="n">
        <v>0.0559</v>
      </c>
      <c r="R101" s="19" t="n">
        <v>1.33</v>
      </c>
      <c r="S101" s="17" t="inlineStr">
        <is>
          <t>Hard (Wi 15.5-17.0)</t>
        </is>
      </c>
      <c r="T101" s="21" t="inlineStr">
        <is>
          <t>Martitization alert: Low LIMS recovery; requires WHIMS or higher drum RPM.</t>
        </is>
      </c>
      <c r="U101" s="17">
        <f>IF(OR(O101&gt;0.035, Q101&gt;0.060, I101&lt;80), "REJECT", IF(OR(O101&gt;0.028, Q101&gt;0.050, I101&lt;85), "WARNING", "PASS"))</f>
        <v/>
      </c>
    </row>
    <row r="102">
      <c r="A102" s="12" t="inlineStr">
        <is>
          <t>SMP-CH01-1101</t>
        </is>
      </c>
      <c r="B102" s="39" t="n">
        <v>45325</v>
      </c>
      <c r="C102" s="12" t="inlineStr">
        <is>
          <t>Shift_B</t>
        </is>
      </c>
      <c r="D102" s="12" t="inlineStr">
        <is>
          <t>Primary Magnetite</t>
        </is>
      </c>
      <c r="E102" s="12" t="inlineStr">
        <is>
          <t>Magnetite</t>
        </is>
      </c>
      <c r="F102" s="14" t="n">
        <v>68.18000000000001</v>
      </c>
      <c r="G102" s="14" t="n">
        <v>25.97</v>
      </c>
      <c r="H102" s="14" t="n">
        <v>63.56</v>
      </c>
      <c r="I102" s="14">
        <f>H102/F102*100</f>
        <v/>
      </c>
      <c r="J102" s="14" t="n">
        <v>2.68</v>
      </c>
      <c r="K102" s="14" t="n">
        <v>0.76</v>
      </c>
      <c r="L102" s="14" t="n">
        <v>0.51</v>
      </c>
      <c r="M102" s="14" t="n">
        <v>0.76</v>
      </c>
      <c r="N102" s="14">
        <f>(L102+M102)/(J102+K102)</f>
        <v/>
      </c>
      <c r="O102" s="15" t="n">
        <v>0.0258</v>
      </c>
      <c r="P102" s="15" t="n">
        <v>0.0643</v>
      </c>
      <c r="Q102" s="15" t="n">
        <v>0.0359</v>
      </c>
      <c r="R102" s="14" t="n">
        <v>0.42</v>
      </c>
      <c r="S102" s="12" t="inlineStr">
        <is>
          <t>Medium (Wi 13.5-14.5)</t>
        </is>
      </c>
      <c r="T102" s="16" t="inlineStr">
        <is>
          <t>Standard DR-Grade; High exothermic heat during induration.</t>
        </is>
      </c>
      <c r="U102" s="12">
        <f>IF(OR(O102&gt;0.035, Q102&gt;0.060, I102&lt;80), "REJECT", IF(OR(O102&gt;0.028, Q102&gt;0.050, I102&lt;85), "WARNING", "PASS"))</f>
        <v/>
      </c>
    </row>
    <row r="103">
      <c r="A103" s="17" t="inlineStr">
        <is>
          <t>SMP-CH01-1102</t>
        </is>
      </c>
      <c r="B103" s="40" t="n">
        <v>45325</v>
      </c>
      <c r="C103" s="17" t="inlineStr">
        <is>
          <t>Shift_C</t>
        </is>
      </c>
      <c r="D103" s="17" t="inlineStr">
        <is>
          <t>Primary Magnetite</t>
        </is>
      </c>
      <c r="E103" s="17" t="inlineStr">
        <is>
          <t>Magnetite</t>
        </is>
      </c>
      <c r="F103" s="19" t="n">
        <v>66.27</v>
      </c>
      <c r="G103" s="19" t="n">
        <v>25.17</v>
      </c>
      <c r="H103" s="19" t="n">
        <v>61.36</v>
      </c>
      <c r="I103" s="19">
        <f>H103/F103*100</f>
        <v/>
      </c>
      <c r="J103" s="19" t="n">
        <v>3.3</v>
      </c>
      <c r="K103" s="19" t="n">
        <v>0.47</v>
      </c>
      <c r="L103" s="19" t="n">
        <v>0.35</v>
      </c>
      <c r="M103" s="19" t="n">
        <v>0.33</v>
      </c>
      <c r="N103" s="19">
        <f>(L103+M103)/(J103+K103)</f>
        <v/>
      </c>
      <c r="O103" s="20" t="n">
        <v>0.0182</v>
      </c>
      <c r="P103" s="20" t="n">
        <v>0.0252</v>
      </c>
      <c r="Q103" s="20" t="n">
        <v>0.0511</v>
      </c>
      <c r="R103" s="19" t="n">
        <v>0.55</v>
      </c>
      <c r="S103" s="17" t="inlineStr">
        <is>
          <t>Medium (Wi 13.5-14.5)</t>
        </is>
      </c>
      <c r="T103" s="21" t="inlineStr">
        <is>
          <t>Standard DR-Grade; High exothermic heat during induration.</t>
        </is>
      </c>
      <c r="U103" s="17">
        <f>IF(OR(O103&gt;0.035, Q103&gt;0.060, I103&lt;80), "REJECT", IF(OR(O103&gt;0.028, Q103&gt;0.050, I103&lt;85), "WARNING", "PASS"))</f>
        <v/>
      </c>
    </row>
    <row r="104">
      <c r="A104" s="12" t="inlineStr">
        <is>
          <t>SMP-CH01-1103</t>
        </is>
      </c>
      <c r="B104" s="39" t="n">
        <v>45326</v>
      </c>
      <c r="C104" s="12" t="inlineStr">
        <is>
          <t>Shift_A</t>
        </is>
      </c>
      <c r="D104" s="12" t="inlineStr">
        <is>
          <t>Martitic Ore</t>
        </is>
      </c>
      <c r="E104" s="12" t="inlineStr">
        <is>
          <t>Martite / Semi-oxidized Magnetite</t>
        </is>
      </c>
      <c r="F104" s="14" t="n">
        <v>62.43</v>
      </c>
      <c r="G104" s="14" t="n">
        <v>20.23</v>
      </c>
      <c r="H104" s="14" t="n">
        <v>51.41</v>
      </c>
      <c r="I104" s="14">
        <f>H104/F104*100</f>
        <v/>
      </c>
      <c r="J104" s="14" t="n">
        <v>3.25</v>
      </c>
      <c r="K104" s="14" t="n">
        <v>0.84</v>
      </c>
      <c r="L104" s="14" t="n">
        <v>0.55</v>
      </c>
      <c r="M104" s="14" t="n">
        <v>0.52</v>
      </c>
      <c r="N104" s="14">
        <f>(L104+M104)/(J104+K104)</f>
        <v/>
      </c>
      <c r="O104" s="15" t="n">
        <v>0.0197</v>
      </c>
      <c r="P104" s="15" t="n">
        <v>0.1011</v>
      </c>
      <c r="Q104" s="15" t="n">
        <v>0.0301</v>
      </c>
      <c r="R104" s="14" t="n">
        <v>1.9</v>
      </c>
      <c r="S104" s="12" t="inlineStr">
        <is>
          <t>Hard (Wi 15.5-17.0)</t>
        </is>
      </c>
      <c r="T104" s="16" t="inlineStr">
        <is>
          <t>Martitization alert: Low LIMS recovery; requires WHIMS or higher drum RPM.</t>
        </is>
      </c>
      <c r="U104" s="12">
        <f>IF(OR(O104&gt;0.035, Q104&gt;0.060, I104&lt;80), "REJECT", IF(OR(O104&gt;0.028, Q104&gt;0.050, I104&lt;85), "WARNING", "PASS"))</f>
        <v/>
      </c>
    </row>
    <row r="105">
      <c r="A105" s="17" t="inlineStr">
        <is>
          <t>SMP-CH01-1104</t>
        </is>
      </c>
      <c r="B105" s="40" t="n">
        <v>45326</v>
      </c>
      <c r="C105" s="17" t="inlineStr">
        <is>
          <t>Shift_B</t>
        </is>
      </c>
      <c r="D105" s="17" t="inlineStr">
        <is>
          <t>Martitic Ore</t>
        </is>
      </c>
      <c r="E105" s="17" t="inlineStr">
        <is>
          <t>Martite / Semi-oxidized Magnetite</t>
        </is>
      </c>
      <c r="F105" s="19" t="n">
        <v>66.89</v>
      </c>
      <c r="G105" s="19" t="n">
        <v>22.12</v>
      </c>
      <c r="H105" s="19" t="n">
        <v>54.68</v>
      </c>
      <c r="I105" s="19">
        <f>H105/F105*100</f>
        <v/>
      </c>
      <c r="J105" s="19" t="n">
        <v>4.41</v>
      </c>
      <c r="K105" s="19" t="n">
        <v>1.02</v>
      </c>
      <c r="L105" s="19" t="n">
        <v>0.5600000000000001</v>
      </c>
      <c r="M105" s="19" t="n">
        <v>0.74</v>
      </c>
      <c r="N105" s="19">
        <f>(L105+M105)/(J105+K105)</f>
        <v/>
      </c>
      <c r="O105" s="20" t="n">
        <v>0.026</v>
      </c>
      <c r="P105" s="20" t="n">
        <v>0.058</v>
      </c>
      <c r="Q105" s="20" t="n">
        <v>0.0317</v>
      </c>
      <c r="R105" s="19" t="n">
        <v>1.17</v>
      </c>
      <c r="S105" s="17" t="inlineStr">
        <is>
          <t>Hard (Wi 15.5-17.0)</t>
        </is>
      </c>
      <c r="T105" s="21" t="inlineStr">
        <is>
          <t>Martitization alert: Low LIMS recovery; requires WHIMS or higher drum RPM.</t>
        </is>
      </c>
      <c r="U105" s="17">
        <f>IF(OR(O105&gt;0.035, Q105&gt;0.060, I105&lt;80), "REJECT", IF(OR(O105&gt;0.028, Q105&gt;0.050, I105&lt;85), "WARNING", "PASS"))</f>
        <v/>
      </c>
    </row>
    <row r="106">
      <c r="A106" s="12" t="inlineStr">
        <is>
          <t>SMP-CH01-1105</t>
        </is>
      </c>
      <c r="B106" s="39" t="n">
        <v>45326</v>
      </c>
      <c r="C106" s="12" t="inlineStr">
        <is>
          <t>Shift_C</t>
        </is>
      </c>
      <c r="D106" s="12" t="inlineStr">
        <is>
          <t>Primary Magnetite</t>
        </is>
      </c>
      <c r="E106" s="12" t="inlineStr">
        <is>
          <t>Magnetite</t>
        </is>
      </c>
      <c r="F106" s="14" t="n">
        <v>68.67</v>
      </c>
      <c r="G106" s="14" t="n">
        <v>26.41</v>
      </c>
      <c r="H106" s="14" t="n">
        <v>64.76000000000001</v>
      </c>
      <c r="I106" s="14">
        <f>H106/F106*100</f>
        <v/>
      </c>
      <c r="J106" s="14" t="n">
        <v>2.19</v>
      </c>
      <c r="K106" s="14" t="n">
        <v>0.83</v>
      </c>
      <c r="L106" s="14" t="n">
        <v>0.53</v>
      </c>
      <c r="M106" s="14" t="n">
        <v>0.5600000000000001</v>
      </c>
      <c r="N106" s="14">
        <f>(L106+M106)/(J106+K106)</f>
        <v/>
      </c>
      <c r="O106" s="15" t="n">
        <v>0.0125</v>
      </c>
      <c r="P106" s="15" t="n">
        <v>0.043</v>
      </c>
      <c r="Q106" s="15" t="n">
        <v>0.0367</v>
      </c>
      <c r="R106" s="14" t="n">
        <v>0.25</v>
      </c>
      <c r="S106" s="12" t="inlineStr">
        <is>
          <t>Medium (Wi 13.5-14.5)</t>
        </is>
      </c>
      <c r="T106" s="16" t="inlineStr">
        <is>
          <t>Standard DR-Grade; High exothermic heat during induration.</t>
        </is>
      </c>
      <c r="U106" s="12">
        <f>IF(OR(O106&gt;0.035, Q106&gt;0.060, I106&lt;80), "REJECT", IF(OR(O106&gt;0.028, Q106&gt;0.050, I106&lt;85), "WARNING", "PASS"))</f>
        <v/>
      </c>
    </row>
    <row r="107">
      <c r="A107" s="17" t="inlineStr">
        <is>
          <t>SMP-CH01-1106</t>
        </is>
      </c>
      <c r="B107" s="40" t="n">
        <v>45327</v>
      </c>
      <c r="C107" s="17" t="inlineStr">
        <is>
          <t>Shift_A</t>
        </is>
      </c>
      <c r="D107" s="17" t="inlineStr">
        <is>
          <t>Primary Magnetite</t>
        </is>
      </c>
      <c r="E107" s="17" t="inlineStr">
        <is>
          <t>Magnetite</t>
        </is>
      </c>
      <c r="F107" s="19" t="n">
        <v>68.16</v>
      </c>
      <c r="G107" s="19" t="n">
        <v>26.03</v>
      </c>
      <c r="H107" s="19" t="n">
        <v>65.20999999999999</v>
      </c>
      <c r="I107" s="19">
        <f>H107/F107*100</f>
        <v/>
      </c>
      <c r="J107" s="19" t="n">
        <v>1.7</v>
      </c>
      <c r="K107" s="19" t="n">
        <v>0.67</v>
      </c>
      <c r="L107" s="19" t="n">
        <v>0.45</v>
      </c>
      <c r="M107" s="19" t="n">
        <v>0.73</v>
      </c>
      <c r="N107" s="19">
        <f>(L107+M107)/(J107+K107)</f>
        <v/>
      </c>
      <c r="O107" s="20" t="n">
        <v>0.0233</v>
      </c>
      <c r="P107" s="20" t="n">
        <v>0.0655</v>
      </c>
      <c r="Q107" s="20" t="n">
        <v>0.039</v>
      </c>
      <c r="R107" s="19" t="n">
        <v>0.34</v>
      </c>
      <c r="S107" s="17" t="inlineStr">
        <is>
          <t>Medium (Wi 13.5-14.5)</t>
        </is>
      </c>
      <c r="T107" s="21" t="inlineStr">
        <is>
          <t>Standard DR-Grade; High exothermic heat during induration.</t>
        </is>
      </c>
      <c r="U107" s="17">
        <f>IF(OR(O107&gt;0.035, Q107&gt;0.060, I107&lt;80), "REJECT", IF(OR(O107&gt;0.028, Q107&gt;0.050, I107&lt;85), "WARNING", "PASS"))</f>
        <v/>
      </c>
    </row>
    <row r="108">
      <c r="A108" s="12" t="inlineStr">
        <is>
          <t>SMP-CH01-1107</t>
        </is>
      </c>
      <c r="B108" s="39" t="n">
        <v>45327</v>
      </c>
      <c r="C108" s="12" t="inlineStr">
        <is>
          <t>Shift_B</t>
        </is>
      </c>
      <c r="D108" s="12" t="inlineStr">
        <is>
          <t>Hematite-Goethite / Weathered Skarn</t>
        </is>
      </c>
      <c r="E108" s="12" t="inlineStr">
        <is>
          <t>Goethite / Quartz-rich Hematite</t>
        </is>
      </c>
      <c r="F108" s="14" t="n">
        <v>63.91</v>
      </c>
      <c r="G108" s="14" t="n">
        <v>3.53</v>
      </c>
      <c r="H108" s="14" t="n">
        <v>35.37</v>
      </c>
      <c r="I108" s="14">
        <f>H108/F108*100</f>
        <v/>
      </c>
      <c r="J108" s="14" t="n">
        <v>6.26</v>
      </c>
      <c r="K108" s="14" t="n">
        <v>2</v>
      </c>
      <c r="L108" s="14" t="n">
        <v>0.44</v>
      </c>
      <c r="M108" s="14" t="n">
        <v>1.19</v>
      </c>
      <c r="N108" s="14">
        <f>(L108+M108)/(J108+K108)</f>
        <v/>
      </c>
      <c r="O108" s="15" t="n">
        <v>0.0435</v>
      </c>
      <c r="P108" s="15" t="n">
        <v>0.08400000000000001</v>
      </c>
      <c r="Q108" s="15" t="n">
        <v>0.09</v>
      </c>
      <c r="R108" s="14" t="n">
        <v>6.02</v>
      </c>
      <c r="S108" s="12" t="inlineStr">
        <is>
          <t>Variable / Highly Abrasive (Quartz)</t>
        </is>
      </c>
      <c r="T108" s="16" t="inlineStr">
        <is>
          <t>High LOI &amp; Alkalis: Risk of pellet swelling/whisker &amp; filter cloth blinding.</t>
        </is>
      </c>
      <c r="U108" s="12">
        <f>IF(OR(O108&gt;0.035, Q108&gt;0.060, I108&lt;80), "REJECT", IF(OR(O108&gt;0.028, Q108&gt;0.050, I108&lt;85), "WARNING", "PASS"))</f>
        <v/>
      </c>
    </row>
    <row r="109">
      <c r="A109" s="17" t="inlineStr">
        <is>
          <t>SMP-CH01-1108</t>
        </is>
      </c>
      <c r="B109" s="40" t="n">
        <v>45327</v>
      </c>
      <c r="C109" s="17" t="inlineStr">
        <is>
          <t>Shift_C</t>
        </is>
      </c>
      <c r="D109" s="17" t="inlineStr">
        <is>
          <t>Primary Magnetite</t>
        </is>
      </c>
      <c r="E109" s="17" t="inlineStr">
        <is>
          <t>Magnetite</t>
        </is>
      </c>
      <c r="F109" s="19" t="n">
        <v>66.66</v>
      </c>
      <c r="G109" s="19" t="n">
        <v>26.57</v>
      </c>
      <c r="H109" s="19" t="n">
        <v>64.38</v>
      </c>
      <c r="I109" s="19">
        <f>H109/F109*100</f>
        <v/>
      </c>
      <c r="J109" s="19" t="n">
        <v>2.16</v>
      </c>
      <c r="K109" s="19" t="n">
        <v>0.64</v>
      </c>
      <c r="L109" s="19" t="n">
        <v>0.37</v>
      </c>
      <c r="M109" s="19" t="n">
        <v>0.97</v>
      </c>
      <c r="N109" s="19">
        <f>(L109+M109)/(J109+K109)</f>
        <v/>
      </c>
      <c r="O109" s="20" t="n">
        <v>0.0149</v>
      </c>
      <c r="P109" s="20" t="n">
        <v>0.0496</v>
      </c>
      <c r="Q109" s="20" t="n">
        <v>0.0431</v>
      </c>
      <c r="R109" s="19" t="n">
        <v>0.46</v>
      </c>
      <c r="S109" s="17" t="inlineStr">
        <is>
          <t>Medium (Wi 13.5-14.5)</t>
        </is>
      </c>
      <c r="T109" s="21" t="inlineStr">
        <is>
          <t>Standard DR-Grade; High exothermic heat during induration.</t>
        </is>
      </c>
      <c r="U109" s="17">
        <f>IF(OR(O109&gt;0.035, Q109&gt;0.060, I109&lt;80), "REJECT", IF(OR(O109&gt;0.028, Q109&gt;0.050, I109&lt;85), "WARNING", "PASS"))</f>
        <v/>
      </c>
    </row>
    <row r="110">
      <c r="A110" s="12" t="inlineStr">
        <is>
          <t>SMP-CH01-1109</t>
        </is>
      </c>
      <c r="B110" s="39" t="n">
        <v>45328</v>
      </c>
      <c r="C110" s="12" t="inlineStr">
        <is>
          <t>Shift_A</t>
        </is>
      </c>
      <c r="D110" s="12" t="inlineStr">
        <is>
          <t>Primary Magnetite</t>
        </is>
      </c>
      <c r="E110" s="12" t="inlineStr">
        <is>
          <t>Magnetite</t>
        </is>
      </c>
      <c r="F110" s="14" t="n">
        <v>68.97</v>
      </c>
      <c r="G110" s="14" t="n">
        <v>26.33</v>
      </c>
      <c r="H110" s="14" t="n">
        <v>65.09</v>
      </c>
      <c r="I110" s="14">
        <f>H110/F110*100</f>
        <v/>
      </c>
      <c r="J110" s="14" t="n">
        <v>3.31</v>
      </c>
      <c r="K110" s="14" t="n">
        <v>0.82</v>
      </c>
      <c r="L110" s="14" t="n">
        <v>0.28</v>
      </c>
      <c r="M110" s="14" t="n">
        <v>0.7</v>
      </c>
      <c r="N110" s="14">
        <f>(L110+M110)/(J110+K110)</f>
        <v/>
      </c>
      <c r="O110" s="15" t="n">
        <v>0.022</v>
      </c>
      <c r="P110" s="15" t="n">
        <v>0.0512</v>
      </c>
      <c r="Q110" s="15" t="n">
        <v>0.0318</v>
      </c>
      <c r="R110" s="14" t="n">
        <v>0.18</v>
      </c>
      <c r="S110" s="12" t="inlineStr">
        <is>
          <t>Medium (Wi 13.5-14.5)</t>
        </is>
      </c>
      <c r="T110" s="16" t="inlineStr">
        <is>
          <t>Standard DR-Grade; High exothermic heat during induration.</t>
        </is>
      </c>
      <c r="U110" s="12">
        <f>IF(OR(O110&gt;0.035, Q110&gt;0.060, I110&lt;80), "REJECT", IF(OR(O110&gt;0.028, Q110&gt;0.050, I110&lt;85), "WARNING", "PASS"))</f>
        <v/>
      </c>
    </row>
    <row r="111">
      <c r="A111" s="17" t="inlineStr">
        <is>
          <t>SMP-CH01-1110</t>
        </is>
      </c>
      <c r="B111" s="40" t="n">
        <v>45328</v>
      </c>
      <c r="C111" s="17" t="inlineStr">
        <is>
          <t>Shift_B</t>
        </is>
      </c>
      <c r="D111" s="17" t="inlineStr">
        <is>
          <t>Martitic Ore</t>
        </is>
      </c>
      <c r="E111" s="17" t="inlineStr">
        <is>
          <t>Martite / Semi-oxidized Magnetite</t>
        </is>
      </c>
      <c r="F111" s="19" t="n">
        <v>62.93</v>
      </c>
      <c r="G111" s="19" t="n">
        <v>21.21</v>
      </c>
      <c r="H111" s="19" t="n">
        <v>50.54</v>
      </c>
      <c r="I111" s="19">
        <f>H111/F111*100</f>
        <v/>
      </c>
      <c r="J111" s="19" t="n">
        <v>4.26</v>
      </c>
      <c r="K111" s="19" t="n">
        <v>1.36</v>
      </c>
      <c r="L111" s="19" t="n">
        <v>0.5</v>
      </c>
      <c r="M111" s="19" t="n">
        <v>0.71</v>
      </c>
      <c r="N111" s="19">
        <f>(L111+M111)/(J111+K111)</f>
        <v/>
      </c>
      <c r="O111" s="20" t="n">
        <v>0.0273</v>
      </c>
      <c r="P111" s="20" t="n">
        <v>0.0396</v>
      </c>
      <c r="Q111" s="20" t="n">
        <v>0.0442</v>
      </c>
      <c r="R111" s="19" t="n">
        <v>0.83</v>
      </c>
      <c r="S111" s="17" t="inlineStr">
        <is>
          <t>Hard (Wi 15.5-17.0)</t>
        </is>
      </c>
      <c r="T111" s="21" t="inlineStr">
        <is>
          <t>Martitization alert: Low LIMS recovery; requires WHIMS or higher drum RPM.</t>
        </is>
      </c>
      <c r="U111" s="17">
        <f>IF(OR(O111&gt;0.035, Q111&gt;0.060, I111&lt;80), "REJECT", IF(OR(O111&gt;0.028, Q111&gt;0.050, I111&lt;85), "WARNING", "PASS"))</f>
        <v/>
      </c>
    </row>
    <row r="112">
      <c r="A112" s="12" t="inlineStr">
        <is>
          <t>SMP-CH01-1111</t>
        </is>
      </c>
      <c r="B112" s="39" t="n">
        <v>45328</v>
      </c>
      <c r="C112" s="12" t="inlineStr">
        <is>
          <t>Shift_C</t>
        </is>
      </c>
      <c r="D112" s="12" t="inlineStr">
        <is>
          <t>Primary Magnetite</t>
        </is>
      </c>
      <c r="E112" s="12" t="inlineStr">
        <is>
          <t>Magnetite</t>
        </is>
      </c>
      <c r="F112" s="14" t="n">
        <v>66.59</v>
      </c>
      <c r="G112" s="14" t="n">
        <v>25.97</v>
      </c>
      <c r="H112" s="14" t="n">
        <v>64.19</v>
      </c>
      <c r="I112" s="14">
        <f>H112/F112*100</f>
        <v/>
      </c>
      <c r="J112" s="14" t="n">
        <v>2.52</v>
      </c>
      <c r="K112" s="14" t="n">
        <v>0.75</v>
      </c>
      <c r="L112" s="14" t="n">
        <v>0.46</v>
      </c>
      <c r="M112" s="14" t="n">
        <v>0.72</v>
      </c>
      <c r="N112" s="14">
        <f>(L112+M112)/(J112+K112)</f>
        <v/>
      </c>
      <c r="O112" s="15" t="n">
        <v>0.0347</v>
      </c>
      <c r="P112" s="15" t="n">
        <v>0.0274</v>
      </c>
      <c r="Q112" s="15" t="n">
        <v>0.0281</v>
      </c>
      <c r="R112" s="14" t="n">
        <v>0.5</v>
      </c>
      <c r="S112" s="12" t="inlineStr">
        <is>
          <t>Medium (Wi 13.5-14.5)</t>
        </is>
      </c>
      <c r="T112" s="16" t="inlineStr">
        <is>
          <t>Standard DR-Grade; High exothermic heat during induration.</t>
        </is>
      </c>
      <c r="U112" s="12">
        <f>IF(OR(O112&gt;0.035, Q112&gt;0.060, I112&lt;80), "REJECT", IF(OR(O112&gt;0.028, Q112&gt;0.050, I112&lt;85), "WARNING", "PASS"))</f>
        <v/>
      </c>
    </row>
    <row r="113">
      <c r="A113" s="17" t="inlineStr">
        <is>
          <t>SMP-CH01-1112</t>
        </is>
      </c>
      <c r="B113" s="40" t="n">
        <v>45329</v>
      </c>
      <c r="C113" s="17" t="inlineStr">
        <is>
          <t>Shift_A</t>
        </is>
      </c>
      <c r="D113" s="17" t="inlineStr">
        <is>
          <t>Martitic Ore</t>
        </is>
      </c>
      <c r="E113" s="17" t="inlineStr">
        <is>
          <t>Martite / Semi-oxidized Magnetite</t>
        </is>
      </c>
      <c r="F113" s="19" t="n">
        <v>68.5</v>
      </c>
      <c r="G113" s="19" t="n">
        <v>19.55</v>
      </c>
      <c r="H113" s="19" t="n">
        <v>53.14</v>
      </c>
      <c r="I113" s="19">
        <f>H113/F113*100</f>
        <v/>
      </c>
      <c r="J113" s="19" t="n">
        <v>4.25</v>
      </c>
      <c r="K113" s="19" t="n">
        <v>0.97</v>
      </c>
      <c r="L113" s="19" t="n">
        <v>0.61</v>
      </c>
      <c r="M113" s="19" t="n">
        <v>0.57</v>
      </c>
      <c r="N113" s="19">
        <f>(L113+M113)/(J113+K113)</f>
        <v/>
      </c>
      <c r="O113" s="20" t="n">
        <v>0.0334</v>
      </c>
      <c r="P113" s="20" t="n">
        <v>0.0297</v>
      </c>
      <c r="Q113" s="20" t="n">
        <v>0.0507</v>
      </c>
      <c r="R113" s="19" t="n">
        <v>0.93</v>
      </c>
      <c r="S113" s="17" t="inlineStr">
        <is>
          <t>Hard (Wi 15.5-17.0)</t>
        </is>
      </c>
      <c r="T113" s="21" t="inlineStr">
        <is>
          <t>Martitization alert: Low LIMS recovery; requires WHIMS or higher drum RPM.</t>
        </is>
      </c>
      <c r="U113" s="17">
        <f>IF(OR(O113&gt;0.035, Q113&gt;0.060, I113&lt;80), "REJECT", IF(OR(O113&gt;0.028, Q113&gt;0.050, I113&lt;85), "WARNING", "PASS"))</f>
        <v/>
      </c>
    </row>
    <row r="114">
      <c r="A114" s="12" t="inlineStr">
        <is>
          <t>SMP-CH01-1113</t>
        </is>
      </c>
      <c r="B114" s="39" t="n">
        <v>45329</v>
      </c>
      <c r="C114" s="12" t="inlineStr">
        <is>
          <t>Shift_B</t>
        </is>
      </c>
      <c r="D114" s="12" t="inlineStr">
        <is>
          <t>Martitic Ore</t>
        </is>
      </c>
      <c r="E114" s="12" t="inlineStr">
        <is>
          <t>Martite / Semi-oxidized Magnetite</t>
        </is>
      </c>
      <c r="F114" s="14" t="n">
        <v>67.77</v>
      </c>
      <c r="G114" s="14" t="n">
        <v>23</v>
      </c>
      <c r="H114" s="14" t="n">
        <v>55.26</v>
      </c>
      <c r="I114" s="14">
        <f>H114/F114*100</f>
        <v/>
      </c>
      <c r="J114" s="14" t="n">
        <v>2.83</v>
      </c>
      <c r="K114" s="14" t="n">
        <v>0.82</v>
      </c>
      <c r="L114" s="14" t="n">
        <v>0.38</v>
      </c>
      <c r="M114" s="14" t="n">
        <v>0.76</v>
      </c>
      <c r="N114" s="14">
        <f>(L114+M114)/(J114+K114)</f>
        <v/>
      </c>
      <c r="O114" s="15" t="n">
        <v>0.0382</v>
      </c>
      <c r="P114" s="15" t="n">
        <v>0.0669</v>
      </c>
      <c r="Q114" s="15" t="n">
        <v>0.0667</v>
      </c>
      <c r="R114" s="14" t="n">
        <v>0.98</v>
      </c>
      <c r="S114" s="12" t="inlineStr">
        <is>
          <t>Hard (Wi 15.5-17.0)</t>
        </is>
      </c>
      <c r="T114" s="16" t="inlineStr">
        <is>
          <t>Martitization alert: Low LIMS recovery; requires WHIMS or higher drum RPM.</t>
        </is>
      </c>
      <c r="U114" s="12">
        <f>IF(OR(O114&gt;0.035, Q114&gt;0.060, I114&lt;80), "REJECT", IF(OR(O114&gt;0.028, Q114&gt;0.050, I114&lt;85), "WARNING", "PASS"))</f>
        <v/>
      </c>
    </row>
    <row r="115">
      <c r="A115" s="17" t="inlineStr">
        <is>
          <t>SMP-CH01-1114</t>
        </is>
      </c>
      <c r="B115" s="40" t="n">
        <v>45329</v>
      </c>
      <c r="C115" s="17" t="inlineStr">
        <is>
          <t>Shift_C</t>
        </is>
      </c>
      <c r="D115" s="17" t="inlineStr">
        <is>
          <t>Martitic Ore</t>
        </is>
      </c>
      <c r="E115" s="17" t="inlineStr">
        <is>
          <t>Martite / Semi-oxidized Magnetite</t>
        </is>
      </c>
      <c r="F115" s="19" t="n">
        <v>66.14</v>
      </c>
      <c r="G115" s="19" t="n">
        <v>19.97</v>
      </c>
      <c r="H115" s="19" t="n">
        <v>48.63</v>
      </c>
      <c r="I115" s="19">
        <f>H115/F115*100</f>
        <v/>
      </c>
      <c r="J115" s="19" t="n">
        <v>4.37</v>
      </c>
      <c r="K115" s="19" t="n">
        <v>1.19</v>
      </c>
      <c r="L115" s="19" t="n">
        <v>0.46</v>
      </c>
      <c r="M115" s="19" t="n">
        <v>0.48</v>
      </c>
      <c r="N115" s="19">
        <f>(L115+M115)/(J115+K115)</f>
        <v/>
      </c>
      <c r="O115" s="20" t="n">
        <v>0.0173</v>
      </c>
      <c r="P115" s="20" t="n">
        <v>0.07770000000000001</v>
      </c>
      <c r="Q115" s="20" t="n">
        <v>0.0388</v>
      </c>
      <c r="R115" s="19" t="n">
        <v>0.55</v>
      </c>
      <c r="S115" s="17" t="inlineStr">
        <is>
          <t>Hard (Wi 15.5-17.0)</t>
        </is>
      </c>
      <c r="T115" s="21" t="inlineStr">
        <is>
          <t>Martitization alert: Low LIMS recovery; requires WHIMS or higher drum RPM.</t>
        </is>
      </c>
      <c r="U115" s="17">
        <f>IF(OR(O115&gt;0.035, Q115&gt;0.060, I115&lt;80), "REJECT", IF(OR(O115&gt;0.028, Q115&gt;0.050, I115&lt;85), "WARNING", "PASS"))</f>
        <v/>
      </c>
    </row>
    <row r="116">
      <c r="A116" s="12" t="inlineStr">
        <is>
          <t>SMP-CH01-1115</t>
        </is>
      </c>
      <c r="B116" s="39" t="n">
        <v>45330</v>
      </c>
      <c r="C116" s="12" t="inlineStr">
        <is>
          <t>Shift_A</t>
        </is>
      </c>
      <c r="D116" s="12" t="inlineStr">
        <is>
          <t>Martitic Ore</t>
        </is>
      </c>
      <c r="E116" s="12" t="inlineStr">
        <is>
          <t>Martite / Semi-oxidized Magnetite</t>
        </is>
      </c>
      <c r="F116" s="14" t="n">
        <v>67.05</v>
      </c>
      <c r="G116" s="14" t="n">
        <v>21.95</v>
      </c>
      <c r="H116" s="14" t="n">
        <v>52.28</v>
      </c>
      <c r="I116" s="14">
        <f>H116/F116*100</f>
        <v/>
      </c>
      <c r="J116" s="14" t="n">
        <v>3.83</v>
      </c>
      <c r="K116" s="14" t="n">
        <v>0.85</v>
      </c>
      <c r="L116" s="14" t="n">
        <v>0.61</v>
      </c>
      <c r="M116" s="14" t="n">
        <v>0.66</v>
      </c>
      <c r="N116" s="14">
        <f>(L116+M116)/(J116+K116)</f>
        <v/>
      </c>
      <c r="O116" s="15" t="n">
        <v>0.0413</v>
      </c>
      <c r="P116" s="15" t="n">
        <v>0.07920000000000001</v>
      </c>
      <c r="Q116" s="15" t="n">
        <v>0.0592</v>
      </c>
      <c r="R116" s="14" t="n">
        <v>1.05</v>
      </c>
      <c r="S116" s="12" t="inlineStr">
        <is>
          <t>Hard (Wi 15.5-17.0)</t>
        </is>
      </c>
      <c r="T116" s="16" t="inlineStr">
        <is>
          <t>Martitization alert: Low LIMS recovery; requires WHIMS or higher drum RPM.</t>
        </is>
      </c>
      <c r="U116" s="12">
        <f>IF(OR(O116&gt;0.035, Q116&gt;0.060, I116&lt;80), "REJECT", IF(OR(O116&gt;0.028, Q116&gt;0.050, I116&lt;85), "WARNING", "PASS"))</f>
        <v/>
      </c>
    </row>
    <row r="117">
      <c r="A117" s="17" t="inlineStr">
        <is>
          <t>SMP-CH01-1116</t>
        </is>
      </c>
      <c r="B117" s="40" t="n">
        <v>45330</v>
      </c>
      <c r="C117" s="17" t="inlineStr">
        <is>
          <t>Shift_B</t>
        </is>
      </c>
      <c r="D117" s="17" t="inlineStr">
        <is>
          <t>Primary Magnetite</t>
        </is>
      </c>
      <c r="E117" s="17" t="inlineStr">
        <is>
          <t>Magnetite</t>
        </is>
      </c>
      <c r="F117" s="19" t="n">
        <v>67.22</v>
      </c>
      <c r="G117" s="19" t="n">
        <v>26.07</v>
      </c>
      <c r="H117" s="19" t="n">
        <v>61.43</v>
      </c>
      <c r="I117" s="19">
        <f>H117/F117*100</f>
        <v/>
      </c>
      <c r="J117" s="19" t="n">
        <v>2.51</v>
      </c>
      <c r="K117" s="19" t="n">
        <v>0.6</v>
      </c>
      <c r="L117" s="19" t="n">
        <v>0.5600000000000001</v>
      </c>
      <c r="M117" s="19" t="n">
        <v>0.72</v>
      </c>
      <c r="N117" s="19">
        <f>(L117+M117)/(J117+K117)</f>
        <v/>
      </c>
      <c r="O117" s="20" t="n">
        <v>0.0218</v>
      </c>
      <c r="P117" s="20" t="n">
        <v>0.0573</v>
      </c>
      <c r="Q117" s="20" t="n">
        <v>0.0491</v>
      </c>
      <c r="R117" s="19" t="n">
        <v>0.48</v>
      </c>
      <c r="S117" s="17" t="inlineStr">
        <is>
          <t>Medium (Wi 13.5-14.5)</t>
        </is>
      </c>
      <c r="T117" s="21" t="inlineStr">
        <is>
          <t>Standard DR-Grade; High exothermic heat during induration.</t>
        </is>
      </c>
      <c r="U117" s="17">
        <f>IF(OR(O117&gt;0.035, Q117&gt;0.060, I117&lt;80), "REJECT", IF(OR(O117&gt;0.028, Q117&gt;0.050, I117&lt;85), "WARNING", "PASS"))</f>
        <v/>
      </c>
    </row>
    <row r="118">
      <c r="A118" s="12" t="inlineStr">
        <is>
          <t>SMP-CH01-1117</t>
        </is>
      </c>
      <c r="B118" s="39" t="n">
        <v>45330</v>
      </c>
      <c r="C118" s="12" t="inlineStr">
        <is>
          <t>Shift_C</t>
        </is>
      </c>
      <c r="D118" s="12" t="inlineStr">
        <is>
          <t>Primary Magnetite</t>
        </is>
      </c>
      <c r="E118" s="12" t="inlineStr">
        <is>
          <t>Magnetite</t>
        </is>
      </c>
      <c r="F118" s="14" t="n">
        <v>64.47</v>
      </c>
      <c r="G118" s="14" t="n">
        <v>24.12</v>
      </c>
      <c r="H118" s="14" t="n">
        <v>58.78</v>
      </c>
      <c r="I118" s="14">
        <f>H118/F118*100</f>
        <v/>
      </c>
      <c r="J118" s="14" t="n">
        <v>2.53</v>
      </c>
      <c r="K118" s="14" t="n">
        <v>0.68</v>
      </c>
      <c r="L118" s="14" t="n">
        <v>0.46</v>
      </c>
      <c r="M118" s="14" t="n">
        <v>0.38</v>
      </c>
      <c r="N118" s="14">
        <f>(L118+M118)/(J118+K118)</f>
        <v/>
      </c>
      <c r="O118" s="15" t="n">
        <v>0.0181</v>
      </c>
      <c r="P118" s="15" t="n">
        <v>0.01</v>
      </c>
      <c r="Q118" s="15" t="n">
        <v>0.0403</v>
      </c>
      <c r="R118" s="14" t="n">
        <v>0.44</v>
      </c>
      <c r="S118" s="12" t="inlineStr">
        <is>
          <t>Medium (Wi 13.5-14.5)</t>
        </is>
      </c>
      <c r="T118" s="16" t="inlineStr">
        <is>
          <t>Standard DR-Grade; High exothermic heat during induration.</t>
        </is>
      </c>
      <c r="U118" s="12">
        <f>IF(OR(O118&gt;0.035, Q118&gt;0.060, I118&lt;80), "REJECT", IF(OR(O118&gt;0.028, Q118&gt;0.050, I118&lt;85), "WARNING", "PASS"))</f>
        <v/>
      </c>
    </row>
    <row r="119">
      <c r="A119" s="17" t="inlineStr">
        <is>
          <t>SMP-CH01-1118</t>
        </is>
      </c>
      <c r="B119" s="40" t="n">
        <v>45331</v>
      </c>
      <c r="C119" s="17" t="inlineStr">
        <is>
          <t>Shift_A</t>
        </is>
      </c>
      <c r="D119" s="17" t="inlineStr">
        <is>
          <t>Primary Magnetite</t>
        </is>
      </c>
      <c r="E119" s="17" t="inlineStr">
        <is>
          <t>Magnetite</t>
        </is>
      </c>
      <c r="F119" s="19" t="n">
        <v>66.55</v>
      </c>
      <c r="G119" s="19" t="n">
        <v>26.69</v>
      </c>
      <c r="H119" s="19" t="n">
        <v>63.19</v>
      </c>
      <c r="I119" s="19">
        <f>H119/F119*100</f>
        <v/>
      </c>
      <c r="J119" s="19" t="n">
        <v>2.39</v>
      </c>
      <c r="K119" s="19" t="n">
        <v>0.82</v>
      </c>
      <c r="L119" s="19" t="n">
        <v>0.46</v>
      </c>
      <c r="M119" s="19" t="n">
        <v>0.6</v>
      </c>
      <c r="N119" s="19">
        <f>(L119+M119)/(J119+K119)</f>
        <v/>
      </c>
      <c r="O119" s="20" t="n">
        <v>0.0183</v>
      </c>
      <c r="P119" s="20" t="n">
        <v>0.0405</v>
      </c>
      <c r="Q119" s="20" t="n">
        <v>0.0349</v>
      </c>
      <c r="R119" s="19" t="n">
        <v>0.43</v>
      </c>
      <c r="S119" s="17" t="inlineStr">
        <is>
          <t>Medium (Wi 13.5-14.5)</t>
        </is>
      </c>
      <c r="T119" s="21" t="inlineStr">
        <is>
          <t>Standard DR-Grade; High exothermic heat during induration.</t>
        </is>
      </c>
      <c r="U119" s="17">
        <f>IF(OR(O119&gt;0.035, Q119&gt;0.060, I119&lt;80), "REJECT", IF(OR(O119&gt;0.028, Q119&gt;0.050, I119&lt;85), "WARNING", "PASS"))</f>
        <v/>
      </c>
    </row>
    <row r="120">
      <c r="A120" s="12" t="inlineStr">
        <is>
          <t>SMP-CH01-1119</t>
        </is>
      </c>
      <c r="B120" s="39" t="n">
        <v>45331</v>
      </c>
      <c r="C120" s="12" t="inlineStr">
        <is>
          <t>Shift_B</t>
        </is>
      </c>
      <c r="D120" s="12" t="inlineStr">
        <is>
          <t>Primary Magnetite</t>
        </is>
      </c>
      <c r="E120" s="12" t="inlineStr">
        <is>
          <t>Magnetite</t>
        </is>
      </c>
      <c r="F120" s="14" t="n">
        <v>65.66</v>
      </c>
      <c r="G120" s="14" t="n">
        <v>26.02</v>
      </c>
      <c r="H120" s="14" t="n">
        <v>62.37</v>
      </c>
      <c r="I120" s="14">
        <f>H120/F120*100</f>
        <v/>
      </c>
      <c r="J120" s="14" t="n">
        <v>2.96</v>
      </c>
      <c r="K120" s="14" t="n">
        <v>0.44</v>
      </c>
      <c r="L120" s="14" t="n">
        <v>0.43</v>
      </c>
      <c r="M120" s="14" t="n">
        <v>0.63</v>
      </c>
      <c r="N120" s="14">
        <f>(L120+M120)/(J120+K120)</f>
        <v/>
      </c>
      <c r="O120" s="15" t="n">
        <v>0.0279</v>
      </c>
      <c r="P120" s="15" t="n">
        <v>0.0374</v>
      </c>
      <c r="Q120" s="15" t="n">
        <v>0.0286</v>
      </c>
      <c r="R120" s="14" t="n">
        <v>0.58</v>
      </c>
      <c r="S120" s="12" t="inlineStr">
        <is>
          <t>Medium (Wi 13.5-14.5)</t>
        </is>
      </c>
      <c r="T120" s="16" t="inlineStr">
        <is>
          <t>Standard DR-Grade; High exothermic heat during induration.</t>
        </is>
      </c>
      <c r="U120" s="12">
        <f>IF(OR(O120&gt;0.035, Q120&gt;0.060, I120&lt;80), "REJECT", IF(OR(O120&gt;0.028, Q120&gt;0.050, I120&lt;85), "WARNING", "PASS"))</f>
        <v/>
      </c>
    </row>
    <row r="121">
      <c r="A121" s="17" t="inlineStr">
        <is>
          <t>SMP-CH01-1120</t>
        </is>
      </c>
      <c r="B121" s="40" t="n">
        <v>45331</v>
      </c>
      <c r="C121" s="17" t="inlineStr">
        <is>
          <t>Shift_C</t>
        </is>
      </c>
      <c r="D121" s="17" t="inlineStr">
        <is>
          <t>Martitic Ore</t>
        </is>
      </c>
      <c r="E121" s="17" t="inlineStr">
        <is>
          <t>Martite / Semi-oxidized Magnetite</t>
        </is>
      </c>
      <c r="F121" s="19" t="n">
        <v>65.33</v>
      </c>
      <c r="G121" s="19" t="n">
        <v>19.37</v>
      </c>
      <c r="H121" s="19" t="n">
        <v>53.06</v>
      </c>
      <c r="I121" s="19">
        <f>H121/F121*100</f>
        <v/>
      </c>
      <c r="J121" s="19" t="n">
        <v>3.34</v>
      </c>
      <c r="K121" s="19" t="n">
        <v>0.3</v>
      </c>
      <c r="L121" s="19" t="n">
        <v>0.48</v>
      </c>
      <c r="M121" s="19" t="n">
        <v>0.83</v>
      </c>
      <c r="N121" s="19">
        <f>(L121+M121)/(J121+K121)</f>
        <v/>
      </c>
      <c r="O121" s="20" t="n">
        <v>0.0202</v>
      </c>
      <c r="P121" s="20" t="n">
        <v>0.0696</v>
      </c>
      <c r="Q121" s="20" t="n">
        <v>0.0518</v>
      </c>
      <c r="R121" s="19" t="n">
        <v>1.37</v>
      </c>
      <c r="S121" s="17" t="inlineStr">
        <is>
          <t>Hard (Wi 15.5-17.0)</t>
        </is>
      </c>
      <c r="T121" s="21" t="inlineStr">
        <is>
          <t>Martitization alert: Low LIMS recovery; requires WHIMS or higher drum RPM.</t>
        </is>
      </c>
      <c r="U121" s="17">
        <f>IF(OR(O121&gt;0.035, Q121&gt;0.060, I121&lt;80), "REJECT", IF(OR(O121&gt;0.028, Q121&gt;0.050, I121&lt;85), "WARNING", "PASS"))</f>
        <v/>
      </c>
    </row>
    <row r="122">
      <c r="A122" s="12" t="inlineStr">
        <is>
          <t>SMP-CH01-1121</t>
        </is>
      </c>
      <c r="B122" s="39" t="n">
        <v>45332</v>
      </c>
      <c r="C122" s="12" t="inlineStr">
        <is>
          <t>Shift_A</t>
        </is>
      </c>
      <c r="D122" s="12" t="inlineStr">
        <is>
          <t>Primary Magnetite</t>
        </is>
      </c>
      <c r="E122" s="12" t="inlineStr">
        <is>
          <t>Magnetite</t>
        </is>
      </c>
      <c r="F122" s="14" t="n">
        <v>65.15000000000001</v>
      </c>
      <c r="G122" s="14" t="n">
        <v>25.13</v>
      </c>
      <c r="H122" s="14" t="n">
        <v>63.03</v>
      </c>
      <c r="I122" s="14">
        <f>H122/F122*100</f>
        <v/>
      </c>
      <c r="J122" s="14" t="n">
        <v>3.53</v>
      </c>
      <c r="K122" s="14" t="n">
        <v>0.42</v>
      </c>
      <c r="L122" s="14" t="n">
        <v>0.45</v>
      </c>
      <c r="M122" s="14" t="n">
        <v>0.83</v>
      </c>
      <c r="N122" s="14">
        <f>(L122+M122)/(J122+K122)</f>
        <v/>
      </c>
      <c r="O122" s="15" t="n">
        <v>0.0168</v>
      </c>
      <c r="P122" s="15" t="n">
        <v>0.0105</v>
      </c>
      <c r="Q122" s="15" t="n">
        <v>0.0344</v>
      </c>
      <c r="R122" s="14" t="n">
        <v>0.27</v>
      </c>
      <c r="S122" s="12" t="inlineStr">
        <is>
          <t>Medium (Wi 13.5-14.5)</t>
        </is>
      </c>
      <c r="T122" s="16" t="inlineStr">
        <is>
          <t>Standard DR-Grade; High exothermic heat during induration.</t>
        </is>
      </c>
      <c r="U122" s="12">
        <f>IF(OR(O122&gt;0.035, Q122&gt;0.060, I122&lt;80), "REJECT", IF(OR(O122&gt;0.028, Q122&gt;0.050, I122&lt;85), "WARNING", "PASS"))</f>
        <v/>
      </c>
    </row>
    <row r="123">
      <c r="A123" s="17" t="inlineStr">
        <is>
          <t>SMP-CH01-1122</t>
        </is>
      </c>
      <c r="B123" s="40" t="n">
        <v>45332</v>
      </c>
      <c r="C123" s="17" t="inlineStr">
        <is>
          <t>Shift_B</t>
        </is>
      </c>
      <c r="D123" s="17" t="inlineStr">
        <is>
          <t>Martitic Ore</t>
        </is>
      </c>
      <c r="E123" s="17" t="inlineStr">
        <is>
          <t>Martite / Semi-oxidized Magnetite</t>
        </is>
      </c>
      <c r="F123" s="19" t="n">
        <v>62.39</v>
      </c>
      <c r="G123" s="19" t="n">
        <v>21.55</v>
      </c>
      <c r="H123" s="19" t="n">
        <v>51.6</v>
      </c>
      <c r="I123" s="19">
        <f>H123/F123*100</f>
        <v/>
      </c>
      <c r="J123" s="19" t="n">
        <v>3.26</v>
      </c>
      <c r="K123" s="19" t="n">
        <v>1.21</v>
      </c>
      <c r="L123" s="19" t="n">
        <v>0.48</v>
      </c>
      <c r="M123" s="19" t="n">
        <v>1.12</v>
      </c>
      <c r="N123" s="19">
        <f>(L123+M123)/(J123+K123)</f>
        <v/>
      </c>
      <c r="O123" s="20" t="n">
        <v>0.0374</v>
      </c>
      <c r="P123" s="20" t="n">
        <v>0.0528</v>
      </c>
      <c r="Q123" s="20" t="n">
        <v>0.0779</v>
      </c>
      <c r="R123" s="19" t="n">
        <v>1.02</v>
      </c>
      <c r="S123" s="17" t="inlineStr">
        <is>
          <t>Hard (Wi 15.5-17.0)</t>
        </is>
      </c>
      <c r="T123" s="21" t="inlineStr">
        <is>
          <t>Martitization alert: Low LIMS recovery; requires WHIMS or higher drum RPM.</t>
        </is>
      </c>
      <c r="U123" s="17">
        <f>IF(OR(O123&gt;0.035, Q123&gt;0.060, I123&lt;80), "REJECT", IF(OR(O123&gt;0.028, Q123&gt;0.050, I123&lt;85), "WARNING", "PASS"))</f>
        <v/>
      </c>
    </row>
    <row r="124">
      <c r="A124" s="12" t="inlineStr">
        <is>
          <t>SMP-CH01-1123</t>
        </is>
      </c>
      <c r="B124" s="39" t="n">
        <v>45332</v>
      </c>
      <c r="C124" s="12" t="inlineStr">
        <is>
          <t>Shift_C</t>
        </is>
      </c>
      <c r="D124" s="12" t="inlineStr">
        <is>
          <t>Martitic Ore</t>
        </is>
      </c>
      <c r="E124" s="12" t="inlineStr">
        <is>
          <t>Martite / Semi-oxidized Magnetite</t>
        </is>
      </c>
      <c r="F124" s="14" t="n">
        <v>66.20999999999999</v>
      </c>
      <c r="G124" s="14" t="n">
        <v>19.35</v>
      </c>
      <c r="H124" s="14" t="n">
        <v>52.55</v>
      </c>
      <c r="I124" s="14">
        <f>H124/F124*100</f>
        <v/>
      </c>
      <c r="J124" s="14" t="n">
        <v>4.44</v>
      </c>
      <c r="K124" s="14" t="n">
        <v>0.65</v>
      </c>
      <c r="L124" s="14" t="n">
        <v>0.5600000000000001</v>
      </c>
      <c r="M124" s="14" t="n">
        <v>0.77</v>
      </c>
      <c r="N124" s="14">
        <f>(L124+M124)/(J124+K124)</f>
        <v/>
      </c>
      <c r="O124" s="15" t="n">
        <v>0.0458</v>
      </c>
      <c r="P124" s="15" t="n">
        <v>0.0593</v>
      </c>
      <c r="Q124" s="15" t="n">
        <v>0.0531</v>
      </c>
      <c r="R124" s="14" t="n">
        <v>1.27</v>
      </c>
      <c r="S124" s="12" t="inlineStr">
        <is>
          <t>Hard (Wi 15.5-17.0)</t>
        </is>
      </c>
      <c r="T124" s="16" t="inlineStr">
        <is>
          <t>Martitization alert: Low LIMS recovery; requires WHIMS or higher drum RPM.</t>
        </is>
      </c>
      <c r="U124" s="12">
        <f>IF(OR(O124&gt;0.035, Q124&gt;0.060, I124&lt;80), "REJECT", IF(OR(O124&gt;0.028, Q124&gt;0.050, I124&lt;85), "WARNING", "PASS"))</f>
        <v/>
      </c>
    </row>
    <row r="125">
      <c r="A125" s="17" t="inlineStr">
        <is>
          <t>SMP-CH01-1124</t>
        </is>
      </c>
      <c r="B125" s="40" t="n">
        <v>45333</v>
      </c>
      <c r="C125" s="17" t="inlineStr">
        <is>
          <t>Shift_A</t>
        </is>
      </c>
      <c r="D125" s="17" t="inlineStr">
        <is>
          <t>Primary Magnetite</t>
        </is>
      </c>
      <c r="E125" s="17" t="inlineStr">
        <is>
          <t>Magnetite</t>
        </is>
      </c>
      <c r="F125" s="19" t="n">
        <v>66.95</v>
      </c>
      <c r="G125" s="19" t="n">
        <v>23.96</v>
      </c>
      <c r="H125" s="19" t="n">
        <v>60.64</v>
      </c>
      <c r="I125" s="19">
        <f>H125/F125*100</f>
        <v/>
      </c>
      <c r="J125" s="19" t="n">
        <v>1.83</v>
      </c>
      <c r="K125" s="19" t="n">
        <v>0.45</v>
      </c>
      <c r="L125" s="19" t="n">
        <v>0.57</v>
      </c>
      <c r="M125" s="19" t="n">
        <v>0.55</v>
      </c>
      <c r="N125" s="19">
        <f>(L125+M125)/(J125+K125)</f>
        <v/>
      </c>
      <c r="O125" s="20" t="n">
        <v>0.0157</v>
      </c>
      <c r="P125" s="20" t="n">
        <v>0.053</v>
      </c>
      <c r="Q125" s="20" t="n">
        <v>0.0475</v>
      </c>
      <c r="R125" s="19" t="n">
        <v>0.51</v>
      </c>
      <c r="S125" s="17" t="inlineStr">
        <is>
          <t>Medium (Wi 13.5-14.5)</t>
        </is>
      </c>
      <c r="T125" s="21" t="inlineStr">
        <is>
          <t>Standard DR-Grade; High exothermic heat during induration.</t>
        </is>
      </c>
      <c r="U125" s="17">
        <f>IF(OR(O125&gt;0.035, Q125&gt;0.060, I125&lt;80), "REJECT", IF(OR(O125&gt;0.028, Q125&gt;0.050, I125&lt;85), "WARNING", "PASS"))</f>
        <v/>
      </c>
    </row>
    <row r="126">
      <c r="A126" s="12" t="inlineStr">
        <is>
          <t>SMP-CH01-1125</t>
        </is>
      </c>
      <c r="B126" s="39" t="n">
        <v>45333</v>
      </c>
      <c r="C126" s="12" t="inlineStr">
        <is>
          <t>Shift_B</t>
        </is>
      </c>
      <c r="D126" s="12" t="inlineStr">
        <is>
          <t>Primary Magnetite</t>
        </is>
      </c>
      <c r="E126" s="12" t="inlineStr">
        <is>
          <t>Magnetite</t>
        </is>
      </c>
      <c r="F126" s="14" t="n">
        <v>68.23</v>
      </c>
      <c r="G126" s="14" t="n">
        <v>25.61</v>
      </c>
      <c r="H126" s="14" t="n">
        <v>63.49</v>
      </c>
      <c r="I126" s="14">
        <f>H126/F126*100</f>
        <v/>
      </c>
      <c r="J126" s="14" t="n">
        <v>3.16</v>
      </c>
      <c r="K126" s="14" t="n">
        <v>0.64</v>
      </c>
      <c r="L126" s="14" t="n">
        <v>0.36</v>
      </c>
      <c r="M126" s="14" t="n">
        <v>0.75</v>
      </c>
      <c r="N126" s="14">
        <f>(L126+M126)/(J126+K126)</f>
        <v/>
      </c>
      <c r="O126" s="15" t="n">
        <v>0.0293</v>
      </c>
      <c r="P126" s="15" t="n">
        <v>0.0362</v>
      </c>
      <c r="Q126" s="15" t="n">
        <v>0.0383</v>
      </c>
      <c r="R126" s="14" t="n">
        <v>0.62</v>
      </c>
      <c r="S126" s="12" t="inlineStr">
        <is>
          <t>Medium (Wi 13.5-14.5)</t>
        </is>
      </c>
      <c r="T126" s="16" t="inlineStr">
        <is>
          <t>Standard DR-Grade; High exothermic heat during induration.</t>
        </is>
      </c>
      <c r="U126" s="12">
        <f>IF(OR(O126&gt;0.035, Q126&gt;0.060, I126&lt;80), "REJECT", IF(OR(O126&gt;0.028, Q126&gt;0.050, I126&lt;85), "WARNING", "PASS"))</f>
        <v/>
      </c>
    </row>
    <row r="127">
      <c r="A127" s="17" t="inlineStr">
        <is>
          <t>SMP-CH01-1126</t>
        </is>
      </c>
      <c r="B127" s="40" t="n">
        <v>45333</v>
      </c>
      <c r="C127" s="17" t="inlineStr">
        <is>
          <t>Shift_C</t>
        </is>
      </c>
      <c r="D127" s="17" t="inlineStr">
        <is>
          <t>Martitic Ore</t>
        </is>
      </c>
      <c r="E127" s="17" t="inlineStr">
        <is>
          <t>Martite / Semi-oxidized Magnetite</t>
        </is>
      </c>
      <c r="F127" s="19" t="n">
        <v>68.5</v>
      </c>
      <c r="G127" s="19" t="n">
        <v>22.46</v>
      </c>
      <c r="H127" s="19" t="n">
        <v>55.99</v>
      </c>
      <c r="I127" s="19">
        <f>H127/F127*100</f>
        <v/>
      </c>
      <c r="J127" s="19" t="n">
        <v>3.51</v>
      </c>
      <c r="K127" s="19" t="n">
        <v>0.74</v>
      </c>
      <c r="L127" s="19" t="n">
        <v>0.42</v>
      </c>
      <c r="M127" s="19" t="n">
        <v>0.36</v>
      </c>
      <c r="N127" s="19">
        <f>(L127+M127)/(J127+K127)</f>
        <v/>
      </c>
      <c r="O127" s="20" t="n">
        <v>0.0484</v>
      </c>
      <c r="P127" s="20" t="n">
        <v>0.0374</v>
      </c>
      <c r="Q127" s="20" t="n">
        <v>0.0493</v>
      </c>
      <c r="R127" s="19" t="n">
        <v>1.12</v>
      </c>
      <c r="S127" s="17" t="inlineStr">
        <is>
          <t>Hard (Wi 15.5-17.0)</t>
        </is>
      </c>
      <c r="T127" s="21" t="inlineStr">
        <is>
          <t>Martitization alert: Low LIMS recovery; requires WHIMS or higher drum RPM.</t>
        </is>
      </c>
      <c r="U127" s="17">
        <f>IF(OR(O127&gt;0.035, Q127&gt;0.060, I127&lt;80), "REJECT", IF(OR(O127&gt;0.028, Q127&gt;0.050, I127&lt;85), "WARNING", "PASS"))</f>
        <v/>
      </c>
    </row>
    <row r="128">
      <c r="A128" s="12" t="inlineStr">
        <is>
          <t>SMP-CH01-1127</t>
        </is>
      </c>
      <c r="B128" s="39" t="n">
        <v>45334</v>
      </c>
      <c r="C128" s="12" t="inlineStr">
        <is>
          <t>Shift_A</t>
        </is>
      </c>
      <c r="D128" s="12" t="inlineStr">
        <is>
          <t>Hematite-Goethite / Weathered Skarn</t>
        </is>
      </c>
      <c r="E128" s="12" t="inlineStr">
        <is>
          <t>Goethite / Quartz-rich Hematite</t>
        </is>
      </c>
      <c r="F128" s="14" t="n">
        <v>58.82</v>
      </c>
      <c r="G128" s="14" t="n">
        <v>6.38</v>
      </c>
      <c r="H128" s="14" t="n">
        <v>31.63</v>
      </c>
      <c r="I128" s="14">
        <f>H128/F128*100</f>
        <v/>
      </c>
      <c r="J128" s="14" t="n">
        <v>6.9</v>
      </c>
      <c r="K128" s="14" t="n">
        <v>2.14</v>
      </c>
      <c r="L128" s="14" t="n">
        <v>0.54</v>
      </c>
      <c r="M128" s="14" t="n">
        <v>1.2</v>
      </c>
      <c r="N128" s="14">
        <f>(L128+M128)/(J128+K128)</f>
        <v/>
      </c>
      <c r="O128" s="15" t="n">
        <v>0.0459</v>
      </c>
      <c r="P128" s="15" t="n">
        <v>0.1305</v>
      </c>
      <c r="Q128" s="15" t="n">
        <v>0.0897</v>
      </c>
      <c r="R128" s="14" t="n">
        <v>4.06</v>
      </c>
      <c r="S128" s="12" t="inlineStr">
        <is>
          <t>Variable / Highly Abrasive (Quartz)</t>
        </is>
      </c>
      <c r="T128" s="16" t="inlineStr">
        <is>
          <t>High LOI &amp; Alkalis: Risk of pellet swelling/whisker &amp; filter cloth blinding.</t>
        </is>
      </c>
      <c r="U128" s="12">
        <f>IF(OR(O128&gt;0.035, Q128&gt;0.060, I128&lt;80), "REJECT", IF(OR(O128&gt;0.028, Q128&gt;0.050, I128&lt;85), "WARNING", "PASS"))</f>
        <v/>
      </c>
    </row>
    <row r="129">
      <c r="A129" s="17" t="inlineStr">
        <is>
          <t>SMP-CH01-1128</t>
        </is>
      </c>
      <c r="B129" s="40" t="n">
        <v>45334</v>
      </c>
      <c r="C129" s="17" t="inlineStr">
        <is>
          <t>Shift_B</t>
        </is>
      </c>
      <c r="D129" s="17" t="inlineStr">
        <is>
          <t>Primary Magnetite</t>
        </is>
      </c>
      <c r="E129" s="17" t="inlineStr">
        <is>
          <t>Magnetite</t>
        </is>
      </c>
      <c r="F129" s="19" t="n">
        <v>68.09999999999999</v>
      </c>
      <c r="G129" s="19" t="n">
        <v>28.98</v>
      </c>
      <c r="H129" s="19" t="n">
        <v>66.66</v>
      </c>
      <c r="I129" s="19">
        <f>H129/F129*100</f>
        <v/>
      </c>
      <c r="J129" s="19" t="n">
        <v>2.7</v>
      </c>
      <c r="K129" s="19" t="n">
        <v>0.5</v>
      </c>
      <c r="L129" s="19" t="n">
        <v>0.4</v>
      </c>
      <c r="M129" s="19" t="n">
        <v>0.74</v>
      </c>
      <c r="N129" s="19">
        <f>(L129+M129)/(J129+K129)</f>
        <v/>
      </c>
      <c r="O129" s="20" t="n">
        <v>0.0294</v>
      </c>
      <c r="P129" s="20" t="n">
        <v>0.0453</v>
      </c>
      <c r="Q129" s="20" t="n">
        <v>0.0405</v>
      </c>
      <c r="R129" s="19" t="n">
        <v>0.66</v>
      </c>
      <c r="S129" s="17" t="inlineStr">
        <is>
          <t>Medium (Wi 13.5-14.5)</t>
        </is>
      </c>
      <c r="T129" s="21" t="inlineStr">
        <is>
          <t>Standard DR-Grade; High exothermic heat during induration.</t>
        </is>
      </c>
      <c r="U129" s="17">
        <f>IF(OR(O129&gt;0.035, Q129&gt;0.060, I129&lt;80), "REJECT", IF(OR(O129&gt;0.028, Q129&gt;0.050, I129&lt;85), "WARNING", "PASS"))</f>
        <v/>
      </c>
    </row>
    <row r="130">
      <c r="A130" s="12" t="inlineStr">
        <is>
          <t>SMP-CH01-1129</t>
        </is>
      </c>
      <c r="B130" s="39" t="n">
        <v>45334</v>
      </c>
      <c r="C130" s="12" t="inlineStr">
        <is>
          <t>Shift_C</t>
        </is>
      </c>
      <c r="D130" s="12" t="inlineStr">
        <is>
          <t>Primary Magnetite</t>
        </is>
      </c>
      <c r="E130" s="12" t="inlineStr">
        <is>
          <t>Magnetite</t>
        </is>
      </c>
      <c r="F130" s="14" t="n">
        <v>65.22</v>
      </c>
      <c r="G130" s="14" t="n">
        <v>26.14</v>
      </c>
      <c r="H130" s="14" t="n">
        <v>61.65</v>
      </c>
      <c r="I130" s="14">
        <f>H130/F130*100</f>
        <v/>
      </c>
      <c r="J130" s="14" t="n">
        <v>2.54</v>
      </c>
      <c r="K130" s="14" t="n">
        <v>0.65</v>
      </c>
      <c r="L130" s="14" t="n">
        <v>0.54</v>
      </c>
      <c r="M130" s="14" t="n">
        <v>0.5600000000000001</v>
      </c>
      <c r="N130" s="14">
        <f>(L130+M130)/(J130+K130)</f>
        <v/>
      </c>
      <c r="O130" s="15" t="n">
        <v>0.0249</v>
      </c>
      <c r="P130" s="15" t="n">
        <v>0.0412</v>
      </c>
      <c r="Q130" s="15" t="n">
        <v>0.0378</v>
      </c>
      <c r="R130" s="14" t="n">
        <v>0.52</v>
      </c>
      <c r="S130" s="12" t="inlineStr">
        <is>
          <t>Medium (Wi 13.5-14.5)</t>
        </is>
      </c>
      <c r="T130" s="16" t="inlineStr">
        <is>
          <t>Standard DR-Grade; High exothermic heat during induration.</t>
        </is>
      </c>
      <c r="U130" s="12">
        <f>IF(OR(O130&gt;0.035, Q130&gt;0.060, I130&lt;80), "REJECT", IF(OR(O130&gt;0.028, Q130&gt;0.050, I130&lt;85), "WARNING", "PASS"))</f>
        <v/>
      </c>
    </row>
    <row r="131">
      <c r="A131" s="17" t="inlineStr">
        <is>
          <t>SMP-CH01-1130</t>
        </is>
      </c>
      <c r="B131" s="40" t="n">
        <v>45335</v>
      </c>
      <c r="C131" s="17" t="inlineStr">
        <is>
          <t>Shift_A</t>
        </is>
      </c>
      <c r="D131" s="17" t="inlineStr">
        <is>
          <t>Hematite-Goethite / Weathered Skarn</t>
        </is>
      </c>
      <c r="E131" s="17" t="inlineStr">
        <is>
          <t>Goethite / Quartz-rich Hematite</t>
        </is>
      </c>
      <c r="F131" s="19" t="n">
        <v>59.65</v>
      </c>
      <c r="G131" s="19" t="n">
        <v>4.31</v>
      </c>
      <c r="H131" s="19" t="n">
        <v>22.24</v>
      </c>
      <c r="I131" s="19">
        <f>H131/F131*100</f>
        <v/>
      </c>
      <c r="J131" s="19" t="n">
        <v>5.1</v>
      </c>
      <c r="K131" s="19" t="n">
        <v>2.04</v>
      </c>
      <c r="L131" s="19" t="n">
        <v>1.03</v>
      </c>
      <c r="M131" s="19" t="n">
        <v>1</v>
      </c>
      <c r="N131" s="19">
        <f>(L131+M131)/(J131+K131)</f>
        <v/>
      </c>
      <c r="O131" s="20" t="n">
        <v>0.0301</v>
      </c>
      <c r="P131" s="20" t="n">
        <v>0.1128</v>
      </c>
      <c r="Q131" s="20" t="n">
        <v>0.0989</v>
      </c>
      <c r="R131" s="19" t="n">
        <v>4.53</v>
      </c>
      <c r="S131" s="17" t="inlineStr">
        <is>
          <t>Variable / Highly Abrasive (Quartz)</t>
        </is>
      </c>
      <c r="T131" s="21" t="inlineStr">
        <is>
          <t>High LOI &amp; Alkalis: Risk of pellet swelling/whisker &amp; filter cloth blinding.</t>
        </is>
      </c>
      <c r="U131" s="17">
        <f>IF(OR(O131&gt;0.035, Q131&gt;0.060, I131&lt;80), "REJECT", IF(OR(O131&gt;0.028, Q131&gt;0.050, I131&lt;85), "WARNING", "PASS"))</f>
        <v/>
      </c>
    </row>
    <row r="132">
      <c r="A132" s="12" t="inlineStr">
        <is>
          <t>SMP-CH01-1131</t>
        </is>
      </c>
      <c r="B132" s="39" t="n">
        <v>45335</v>
      </c>
      <c r="C132" s="12" t="inlineStr">
        <is>
          <t>Shift_B</t>
        </is>
      </c>
      <c r="D132" s="12" t="inlineStr">
        <is>
          <t>Primary Magnetite</t>
        </is>
      </c>
      <c r="E132" s="12" t="inlineStr">
        <is>
          <t>Magnetite</t>
        </is>
      </c>
      <c r="F132" s="14" t="n">
        <v>65.76000000000001</v>
      </c>
      <c r="G132" s="14" t="n">
        <v>24.44</v>
      </c>
      <c r="H132" s="14" t="n">
        <v>59.97</v>
      </c>
      <c r="I132" s="14">
        <f>H132/F132*100</f>
        <v/>
      </c>
      <c r="J132" s="14" t="n">
        <v>1.95</v>
      </c>
      <c r="K132" s="14" t="n">
        <v>0.48</v>
      </c>
      <c r="L132" s="14" t="n">
        <v>0.24</v>
      </c>
      <c r="M132" s="14" t="n">
        <v>0.74</v>
      </c>
      <c r="N132" s="14">
        <f>(L132+M132)/(J132+K132)</f>
        <v/>
      </c>
      <c r="O132" s="15" t="n">
        <v>0.024</v>
      </c>
      <c r="P132" s="15" t="n">
        <v>0.0195</v>
      </c>
      <c r="Q132" s="15" t="n">
        <v>0.0497</v>
      </c>
      <c r="R132" s="14" t="n">
        <v>0.65</v>
      </c>
      <c r="S132" s="12" t="inlineStr">
        <is>
          <t>Medium (Wi 13.5-14.5)</t>
        </is>
      </c>
      <c r="T132" s="16" t="inlineStr">
        <is>
          <t>Standard DR-Grade; High exothermic heat during induration.</t>
        </is>
      </c>
      <c r="U132" s="12">
        <f>IF(OR(O132&gt;0.035, Q132&gt;0.060, I132&lt;80), "REJECT", IF(OR(O132&gt;0.028, Q132&gt;0.050, I132&lt;85), "WARNING", "PASS"))</f>
        <v/>
      </c>
    </row>
    <row r="133">
      <c r="A133" s="17" t="inlineStr">
        <is>
          <t>SMP-CH01-1132</t>
        </is>
      </c>
      <c r="B133" s="40" t="n">
        <v>45335</v>
      </c>
      <c r="C133" s="17" t="inlineStr">
        <is>
          <t>Shift_C</t>
        </is>
      </c>
      <c r="D133" s="17" t="inlineStr">
        <is>
          <t>Primary Magnetite</t>
        </is>
      </c>
      <c r="E133" s="17" t="inlineStr">
        <is>
          <t>Magnetite</t>
        </is>
      </c>
      <c r="F133" s="19" t="n">
        <v>66.59999999999999</v>
      </c>
      <c r="G133" s="19" t="n">
        <v>25.91</v>
      </c>
      <c r="H133" s="19" t="n">
        <v>63.24</v>
      </c>
      <c r="I133" s="19">
        <f>H133/F133*100</f>
        <v/>
      </c>
      <c r="J133" s="19" t="n">
        <v>2.22</v>
      </c>
      <c r="K133" s="19" t="n">
        <v>0.98</v>
      </c>
      <c r="L133" s="19" t="n">
        <v>0.39</v>
      </c>
      <c r="M133" s="19" t="n">
        <v>0.68</v>
      </c>
      <c r="N133" s="19">
        <f>(L133+M133)/(J133+K133)</f>
        <v/>
      </c>
      <c r="O133" s="20" t="n">
        <v>0.0313</v>
      </c>
      <c r="P133" s="20" t="n">
        <v>0.0751</v>
      </c>
      <c r="Q133" s="20" t="n">
        <v>0.0545</v>
      </c>
      <c r="R133" s="19" t="n">
        <v>0.58</v>
      </c>
      <c r="S133" s="17" t="inlineStr">
        <is>
          <t>Medium (Wi 13.5-14.5)</t>
        </is>
      </c>
      <c r="T133" s="21" t="inlineStr">
        <is>
          <t>Standard DR-Grade; High exothermic heat during induration.</t>
        </is>
      </c>
      <c r="U133" s="17">
        <f>IF(OR(O133&gt;0.035, Q133&gt;0.060, I133&lt;80), "REJECT", IF(OR(O133&gt;0.028, Q133&gt;0.050, I133&lt;85), "WARNING", "PASS"))</f>
        <v/>
      </c>
    </row>
    <row r="134">
      <c r="A134" s="12" t="inlineStr">
        <is>
          <t>SMP-CH01-1133</t>
        </is>
      </c>
      <c r="B134" s="39" t="n">
        <v>45336</v>
      </c>
      <c r="C134" s="12" t="inlineStr">
        <is>
          <t>Shift_A</t>
        </is>
      </c>
      <c r="D134" s="12" t="inlineStr">
        <is>
          <t>Martitic Ore</t>
        </is>
      </c>
      <c r="E134" s="12" t="inlineStr">
        <is>
          <t>Martite / Semi-oxidized Magnetite</t>
        </is>
      </c>
      <c r="F134" s="14" t="n">
        <v>64.86</v>
      </c>
      <c r="G134" s="14" t="n">
        <v>20.84</v>
      </c>
      <c r="H134" s="14" t="n">
        <v>53.12</v>
      </c>
      <c r="I134" s="14">
        <f>H134/F134*100</f>
        <v/>
      </c>
      <c r="J134" s="14" t="n">
        <v>4.46</v>
      </c>
      <c r="K134" s="14" t="n">
        <v>1.23</v>
      </c>
      <c r="L134" s="14" t="n">
        <v>0.47</v>
      </c>
      <c r="M134" s="14" t="n">
        <v>0.9399999999999999</v>
      </c>
      <c r="N134" s="14">
        <f>(L134+M134)/(J134+K134)</f>
        <v/>
      </c>
      <c r="O134" s="15" t="n">
        <v>0.0375</v>
      </c>
      <c r="P134" s="15" t="n">
        <v>0.01</v>
      </c>
      <c r="Q134" s="15" t="n">
        <v>0.0616</v>
      </c>
      <c r="R134" s="14" t="n">
        <v>1.07</v>
      </c>
      <c r="S134" s="12" t="inlineStr">
        <is>
          <t>Hard (Wi 15.5-17.0)</t>
        </is>
      </c>
      <c r="T134" s="16" t="inlineStr">
        <is>
          <t>Martitization alert: Low LIMS recovery; requires WHIMS or higher drum RPM.</t>
        </is>
      </c>
      <c r="U134" s="12">
        <f>IF(OR(O134&gt;0.035, Q134&gt;0.060, I134&lt;80), "REJECT", IF(OR(O134&gt;0.028, Q134&gt;0.050, I134&lt;85), "WARNING", "PASS"))</f>
        <v/>
      </c>
    </row>
    <row r="135">
      <c r="A135" s="17" t="inlineStr">
        <is>
          <t>SMP-CH01-1134</t>
        </is>
      </c>
      <c r="B135" s="40" t="n">
        <v>45336</v>
      </c>
      <c r="C135" s="17" t="inlineStr">
        <is>
          <t>Shift_B</t>
        </is>
      </c>
      <c r="D135" s="17" t="inlineStr">
        <is>
          <t>Primary Magnetite</t>
        </is>
      </c>
      <c r="E135" s="17" t="inlineStr">
        <is>
          <t>Magnetite</t>
        </is>
      </c>
      <c r="F135" s="19" t="n">
        <v>66.44</v>
      </c>
      <c r="G135" s="19" t="n">
        <v>24.35</v>
      </c>
      <c r="H135" s="19" t="n">
        <v>60.26</v>
      </c>
      <c r="I135" s="19">
        <f>H135/F135*100</f>
        <v/>
      </c>
      <c r="J135" s="19" t="n">
        <v>3.26</v>
      </c>
      <c r="K135" s="19" t="n">
        <v>0.6899999999999999</v>
      </c>
      <c r="L135" s="19" t="n">
        <v>0.35</v>
      </c>
      <c r="M135" s="19" t="n">
        <v>0.93</v>
      </c>
      <c r="N135" s="19">
        <f>(L135+M135)/(J135+K135)</f>
        <v/>
      </c>
      <c r="O135" s="20" t="n">
        <v>0.0293</v>
      </c>
      <c r="P135" s="20" t="n">
        <v>0.0537</v>
      </c>
      <c r="Q135" s="20" t="n">
        <v>0.0362</v>
      </c>
      <c r="R135" s="19" t="n">
        <v>0.26</v>
      </c>
      <c r="S135" s="17" t="inlineStr">
        <is>
          <t>Medium (Wi 13.5-14.5)</t>
        </is>
      </c>
      <c r="T135" s="21" t="inlineStr">
        <is>
          <t>Standard DR-Grade; High exothermic heat during induration.</t>
        </is>
      </c>
      <c r="U135" s="17">
        <f>IF(OR(O135&gt;0.035, Q135&gt;0.060, I135&lt;80), "REJECT", IF(OR(O135&gt;0.028, Q135&gt;0.050, I135&lt;85), "WARNING", "PASS"))</f>
        <v/>
      </c>
    </row>
    <row r="136">
      <c r="A136" s="12" t="inlineStr">
        <is>
          <t>SMP-CH01-1135</t>
        </is>
      </c>
      <c r="B136" s="39" t="n">
        <v>45336</v>
      </c>
      <c r="C136" s="12" t="inlineStr">
        <is>
          <t>Shift_C</t>
        </is>
      </c>
      <c r="D136" s="12" t="inlineStr">
        <is>
          <t>Martitic Ore</t>
        </is>
      </c>
      <c r="E136" s="12" t="inlineStr">
        <is>
          <t>Martite / Semi-oxidized Magnetite</t>
        </is>
      </c>
      <c r="F136" s="14" t="n">
        <v>67.59999999999999</v>
      </c>
      <c r="G136" s="14" t="n">
        <v>20.03</v>
      </c>
      <c r="H136" s="14" t="n">
        <v>53.44</v>
      </c>
      <c r="I136" s="14">
        <f>H136/F136*100</f>
        <v/>
      </c>
      <c r="J136" s="14" t="n">
        <v>2.25</v>
      </c>
      <c r="K136" s="14" t="n">
        <v>0.6</v>
      </c>
      <c r="L136" s="14" t="n">
        <v>0.41</v>
      </c>
      <c r="M136" s="14" t="n">
        <v>0.64</v>
      </c>
      <c r="N136" s="14">
        <f>(L136+M136)/(J136+K136)</f>
        <v/>
      </c>
      <c r="O136" s="15" t="n">
        <v>0.0382</v>
      </c>
      <c r="P136" s="15" t="n">
        <v>0.0176</v>
      </c>
      <c r="Q136" s="15" t="n">
        <v>0.054</v>
      </c>
      <c r="R136" s="14" t="n">
        <v>1.51</v>
      </c>
      <c r="S136" s="12" t="inlineStr">
        <is>
          <t>Hard (Wi 15.5-17.0)</t>
        </is>
      </c>
      <c r="T136" s="16" t="inlineStr">
        <is>
          <t>Martitization alert: Low LIMS recovery; requires WHIMS or higher drum RPM.</t>
        </is>
      </c>
      <c r="U136" s="12">
        <f>IF(OR(O136&gt;0.035, Q136&gt;0.060, I136&lt;80), "REJECT", IF(OR(O136&gt;0.028, Q136&gt;0.050, I136&lt;85), "WARNING", "PASS"))</f>
        <v/>
      </c>
    </row>
    <row r="137">
      <c r="A137" s="17" t="inlineStr">
        <is>
          <t>SMP-CH01-1136</t>
        </is>
      </c>
      <c r="B137" s="40" t="n">
        <v>45337</v>
      </c>
      <c r="C137" s="17" t="inlineStr">
        <is>
          <t>Shift_A</t>
        </is>
      </c>
      <c r="D137" s="17" t="inlineStr">
        <is>
          <t>Martitic Ore</t>
        </is>
      </c>
      <c r="E137" s="17" t="inlineStr">
        <is>
          <t>Martite / Semi-oxidized Magnetite</t>
        </is>
      </c>
      <c r="F137" s="19" t="n">
        <v>65.51000000000001</v>
      </c>
      <c r="G137" s="19" t="n">
        <v>19.9</v>
      </c>
      <c r="H137" s="19" t="n">
        <v>48.63</v>
      </c>
      <c r="I137" s="19">
        <f>H137/F137*100</f>
        <v/>
      </c>
      <c r="J137" s="19" t="n">
        <v>2.86</v>
      </c>
      <c r="K137" s="19" t="n">
        <v>0.23</v>
      </c>
      <c r="L137" s="19" t="n">
        <v>0.55</v>
      </c>
      <c r="M137" s="19" t="n">
        <v>1.1</v>
      </c>
      <c r="N137" s="19">
        <f>(L137+M137)/(J137+K137)</f>
        <v/>
      </c>
      <c r="O137" s="20" t="n">
        <v>0.0453</v>
      </c>
      <c r="P137" s="20" t="n">
        <v>0.0536</v>
      </c>
      <c r="Q137" s="20" t="n">
        <v>0.0448</v>
      </c>
      <c r="R137" s="19" t="n">
        <v>1.34</v>
      </c>
      <c r="S137" s="17" t="inlineStr">
        <is>
          <t>Hard (Wi 15.5-17.0)</t>
        </is>
      </c>
      <c r="T137" s="21" t="inlineStr">
        <is>
          <t>Martitization alert: Low LIMS recovery; requires WHIMS or higher drum RPM.</t>
        </is>
      </c>
      <c r="U137" s="17">
        <f>IF(OR(O137&gt;0.035, Q137&gt;0.060, I137&lt;80), "REJECT", IF(OR(O137&gt;0.028, Q137&gt;0.050, I137&lt;85), "WARNING", "PASS"))</f>
        <v/>
      </c>
    </row>
    <row r="138">
      <c r="A138" s="12" t="inlineStr">
        <is>
          <t>SMP-CH01-1137</t>
        </is>
      </c>
      <c r="B138" s="39" t="n">
        <v>45337</v>
      </c>
      <c r="C138" s="12" t="inlineStr">
        <is>
          <t>Shift_B</t>
        </is>
      </c>
      <c r="D138" s="12" t="inlineStr">
        <is>
          <t>Martitic Ore</t>
        </is>
      </c>
      <c r="E138" s="12" t="inlineStr">
        <is>
          <t>Martite / Semi-oxidized Magnetite</t>
        </is>
      </c>
      <c r="F138" s="14" t="n">
        <v>66.39</v>
      </c>
      <c r="G138" s="14" t="n">
        <v>22.16</v>
      </c>
      <c r="H138" s="14" t="n">
        <v>53.04</v>
      </c>
      <c r="I138" s="14">
        <f>H138/F138*100</f>
        <v/>
      </c>
      <c r="J138" s="14" t="n">
        <v>3.34</v>
      </c>
      <c r="K138" s="14" t="n">
        <v>0.71</v>
      </c>
      <c r="L138" s="14" t="n">
        <v>0.44</v>
      </c>
      <c r="M138" s="14" t="n">
        <v>0.82</v>
      </c>
      <c r="N138" s="14">
        <f>(L138+M138)/(J138+K138)</f>
        <v/>
      </c>
      <c r="O138" s="15" t="n">
        <v>0.0302</v>
      </c>
      <c r="P138" s="15" t="n">
        <v>0.044</v>
      </c>
      <c r="Q138" s="15" t="n">
        <v>0.0409</v>
      </c>
      <c r="R138" s="14" t="n">
        <v>1.11</v>
      </c>
      <c r="S138" s="12" t="inlineStr">
        <is>
          <t>Hard (Wi 15.5-17.0)</t>
        </is>
      </c>
      <c r="T138" s="16" t="inlineStr">
        <is>
          <t>Martitization alert: Low LIMS recovery; requires WHIMS or higher drum RPM.</t>
        </is>
      </c>
      <c r="U138" s="12">
        <f>IF(OR(O138&gt;0.035, Q138&gt;0.060, I138&lt;80), "REJECT", IF(OR(O138&gt;0.028, Q138&gt;0.050, I138&lt;85), "WARNING", "PASS"))</f>
        <v/>
      </c>
    </row>
    <row r="139">
      <c r="A139" s="17" t="inlineStr">
        <is>
          <t>SMP-CH01-1138</t>
        </is>
      </c>
      <c r="B139" s="40" t="n">
        <v>45337</v>
      </c>
      <c r="C139" s="17" t="inlineStr">
        <is>
          <t>Shift_C</t>
        </is>
      </c>
      <c r="D139" s="17" t="inlineStr">
        <is>
          <t>Martitic Ore</t>
        </is>
      </c>
      <c r="E139" s="17" t="inlineStr">
        <is>
          <t>Martite / Semi-oxidized Magnetite</t>
        </is>
      </c>
      <c r="F139" s="19" t="n">
        <v>68.15000000000001</v>
      </c>
      <c r="G139" s="19" t="n">
        <v>19.43</v>
      </c>
      <c r="H139" s="19" t="n">
        <v>49.6</v>
      </c>
      <c r="I139" s="19">
        <f>H139/F139*100</f>
        <v/>
      </c>
      <c r="J139" s="19" t="n">
        <v>1.86</v>
      </c>
      <c r="K139" s="19" t="n">
        <v>1.17</v>
      </c>
      <c r="L139" s="19" t="n">
        <v>0.64</v>
      </c>
      <c r="M139" s="19" t="n">
        <v>0.6899999999999999</v>
      </c>
      <c r="N139" s="19">
        <f>(L139+M139)/(J139+K139)</f>
        <v/>
      </c>
      <c r="O139" s="20" t="n">
        <v>0.0325</v>
      </c>
      <c r="P139" s="20" t="n">
        <v>0.0779</v>
      </c>
      <c r="Q139" s="20" t="n">
        <v>0.0332</v>
      </c>
      <c r="R139" s="19" t="n">
        <v>1.04</v>
      </c>
      <c r="S139" s="17" t="inlineStr">
        <is>
          <t>Hard (Wi 15.5-17.0)</t>
        </is>
      </c>
      <c r="T139" s="21" t="inlineStr">
        <is>
          <t>Martitization alert: Low LIMS recovery; requires WHIMS or higher drum RPM.</t>
        </is>
      </c>
      <c r="U139" s="17">
        <f>IF(OR(O139&gt;0.035, Q139&gt;0.060, I139&lt;80), "REJECT", IF(OR(O139&gt;0.028, Q139&gt;0.050, I139&lt;85), "WARNING", "PASS"))</f>
        <v/>
      </c>
    </row>
    <row r="140">
      <c r="A140" s="12" t="inlineStr">
        <is>
          <t>SMP-CH01-1139</t>
        </is>
      </c>
      <c r="B140" s="39" t="n">
        <v>45338</v>
      </c>
      <c r="C140" s="12" t="inlineStr">
        <is>
          <t>Shift_A</t>
        </is>
      </c>
      <c r="D140" s="12" t="inlineStr">
        <is>
          <t>Martitic Ore</t>
        </is>
      </c>
      <c r="E140" s="12" t="inlineStr">
        <is>
          <t>Martite / Semi-oxidized Magnetite</t>
        </is>
      </c>
      <c r="F140" s="14" t="n">
        <v>64.13</v>
      </c>
      <c r="G140" s="14" t="n">
        <v>19.72</v>
      </c>
      <c r="H140" s="14" t="n">
        <v>50.53</v>
      </c>
      <c r="I140" s="14">
        <f>H140/F140*100</f>
        <v/>
      </c>
      <c r="J140" s="14" t="n">
        <v>4.25</v>
      </c>
      <c r="K140" s="14" t="n">
        <v>0.97</v>
      </c>
      <c r="L140" s="14" t="n">
        <v>0.59</v>
      </c>
      <c r="M140" s="14" t="n">
        <v>0.59</v>
      </c>
      <c r="N140" s="14">
        <f>(L140+M140)/(J140+K140)</f>
        <v/>
      </c>
      <c r="O140" s="15" t="n">
        <v>0.0295</v>
      </c>
      <c r="P140" s="15" t="n">
        <v>0.0543</v>
      </c>
      <c r="Q140" s="15" t="n">
        <v>0.0455</v>
      </c>
      <c r="R140" s="14" t="n">
        <v>1.39</v>
      </c>
      <c r="S140" s="12" t="inlineStr">
        <is>
          <t>Hard (Wi 15.5-17.0)</t>
        </is>
      </c>
      <c r="T140" s="16" t="inlineStr">
        <is>
          <t>Martitization alert: Low LIMS recovery; requires WHIMS or higher drum RPM.</t>
        </is>
      </c>
      <c r="U140" s="12">
        <f>IF(OR(O140&gt;0.035, Q140&gt;0.060, I140&lt;80), "REJECT", IF(OR(O140&gt;0.028, Q140&gt;0.050, I140&lt;85), "WARNING", "PASS"))</f>
        <v/>
      </c>
    </row>
    <row r="141">
      <c r="A141" s="17" t="inlineStr">
        <is>
          <t>SMP-CH01-1140</t>
        </is>
      </c>
      <c r="B141" s="40" t="n">
        <v>45338</v>
      </c>
      <c r="C141" s="17" t="inlineStr">
        <is>
          <t>Shift_B</t>
        </is>
      </c>
      <c r="D141" s="17" t="inlineStr">
        <is>
          <t>Primary Magnetite</t>
        </is>
      </c>
      <c r="E141" s="17" t="inlineStr">
        <is>
          <t>Magnetite</t>
        </is>
      </c>
      <c r="F141" s="19" t="n">
        <v>66.95999999999999</v>
      </c>
      <c r="G141" s="19" t="n">
        <v>25.19</v>
      </c>
      <c r="H141" s="19" t="n">
        <v>63.07</v>
      </c>
      <c r="I141" s="19">
        <f>H141/F141*100</f>
        <v/>
      </c>
      <c r="J141" s="19" t="n">
        <v>2.71</v>
      </c>
      <c r="K141" s="19" t="n">
        <v>0.7</v>
      </c>
      <c r="L141" s="19" t="n">
        <v>0.47</v>
      </c>
      <c r="M141" s="19" t="n">
        <v>0.59</v>
      </c>
      <c r="N141" s="19">
        <f>(L141+M141)/(J141+K141)</f>
        <v/>
      </c>
      <c r="O141" s="20" t="n">
        <v>0.017</v>
      </c>
      <c r="P141" s="20" t="n">
        <v>0.0463</v>
      </c>
      <c r="Q141" s="20" t="n">
        <v>0.0294</v>
      </c>
      <c r="R141" s="19" t="n">
        <v>0.1</v>
      </c>
      <c r="S141" s="17" t="inlineStr">
        <is>
          <t>Medium (Wi 13.5-14.5)</t>
        </is>
      </c>
      <c r="T141" s="21" t="inlineStr">
        <is>
          <t>Standard DR-Grade; High exothermic heat during induration.</t>
        </is>
      </c>
      <c r="U141" s="17">
        <f>IF(OR(O141&gt;0.035, Q141&gt;0.060, I141&lt;80), "REJECT", IF(OR(O141&gt;0.028, Q141&gt;0.050, I141&lt;85), "WARNING", "PASS"))</f>
        <v/>
      </c>
    </row>
    <row r="142">
      <c r="A142" s="12" t="inlineStr">
        <is>
          <t>SMP-CH01-1141</t>
        </is>
      </c>
      <c r="B142" s="39" t="n">
        <v>45338</v>
      </c>
      <c r="C142" s="12" t="inlineStr">
        <is>
          <t>Shift_C</t>
        </is>
      </c>
      <c r="D142" s="12" t="inlineStr">
        <is>
          <t>Primary Magnetite</t>
        </is>
      </c>
      <c r="E142" s="12" t="inlineStr">
        <is>
          <t>Magnetite</t>
        </is>
      </c>
      <c r="F142" s="14" t="n">
        <v>66.95999999999999</v>
      </c>
      <c r="G142" s="14" t="n">
        <v>26.39</v>
      </c>
      <c r="H142" s="14" t="n">
        <v>62.47</v>
      </c>
      <c r="I142" s="14">
        <f>H142/F142*100</f>
        <v/>
      </c>
      <c r="J142" s="14" t="n">
        <v>3.51</v>
      </c>
      <c r="K142" s="14" t="n">
        <v>0.49</v>
      </c>
      <c r="L142" s="14" t="n">
        <v>0.46</v>
      </c>
      <c r="M142" s="14" t="n">
        <v>0.86</v>
      </c>
      <c r="N142" s="14">
        <f>(L142+M142)/(J142+K142)</f>
        <v/>
      </c>
      <c r="O142" s="15" t="n">
        <v>0.0223</v>
      </c>
      <c r="P142" s="15" t="n">
        <v>0.18</v>
      </c>
      <c r="Q142" s="15" t="n">
        <v>0.0375</v>
      </c>
      <c r="R142" s="14" t="n">
        <v>0.31</v>
      </c>
      <c r="S142" s="12" t="inlineStr">
        <is>
          <t>Medium (Wi 13.5-14.5)</t>
        </is>
      </c>
      <c r="T142" s="16" t="inlineStr">
        <is>
          <t>OUTLIER: Pyrite pocket -&gt; Hot Shortness &amp; Acid dewpoint corrosion risk.</t>
        </is>
      </c>
      <c r="U142" s="12">
        <f>IF(OR(O142&gt;0.035, Q142&gt;0.060, I142&lt;80), "REJECT", IF(OR(O142&gt;0.028, Q142&gt;0.050, I142&lt;85), "WARNING", "PASS"))</f>
        <v/>
      </c>
    </row>
    <row r="143">
      <c r="A143" s="17" t="inlineStr">
        <is>
          <t>SMP-CH01-1142</t>
        </is>
      </c>
      <c r="B143" s="40" t="n">
        <v>45339</v>
      </c>
      <c r="C143" s="17" t="inlineStr">
        <is>
          <t>Shift_A</t>
        </is>
      </c>
      <c r="D143" s="17" t="inlineStr">
        <is>
          <t>Primary Magnetite</t>
        </is>
      </c>
      <c r="E143" s="17" t="inlineStr">
        <is>
          <t>Magnetite</t>
        </is>
      </c>
      <c r="F143" s="19" t="n">
        <v>68.22</v>
      </c>
      <c r="G143" s="19" t="n">
        <v>25.46</v>
      </c>
      <c r="H143" s="19" t="n">
        <v>62.3</v>
      </c>
      <c r="I143" s="19">
        <f>H143/F143*100</f>
        <v/>
      </c>
      <c r="J143" s="19" t="n">
        <v>2.56</v>
      </c>
      <c r="K143" s="19" t="n">
        <v>0.84</v>
      </c>
      <c r="L143" s="19" t="n">
        <v>0.48</v>
      </c>
      <c r="M143" s="19" t="n">
        <v>0.61</v>
      </c>
      <c r="N143" s="19">
        <f>(L143+M143)/(J143+K143)</f>
        <v/>
      </c>
      <c r="O143" s="20" t="n">
        <v>0.0202</v>
      </c>
      <c r="P143" s="20" t="n">
        <v>0.0216</v>
      </c>
      <c r="Q143" s="20" t="n">
        <v>0.0451</v>
      </c>
      <c r="R143" s="19" t="n">
        <v>0.39</v>
      </c>
      <c r="S143" s="17" t="inlineStr">
        <is>
          <t>Medium (Wi 13.5-14.5)</t>
        </is>
      </c>
      <c r="T143" s="21" t="inlineStr">
        <is>
          <t>Standard DR-Grade; High exothermic heat during induration.</t>
        </is>
      </c>
      <c r="U143" s="17">
        <f>IF(OR(O143&gt;0.035, Q143&gt;0.060, I143&lt;80), "REJECT", IF(OR(O143&gt;0.028, Q143&gt;0.050, I143&lt;85), "WARNING", "PASS"))</f>
        <v/>
      </c>
    </row>
    <row r="144">
      <c r="A144" s="12" t="inlineStr">
        <is>
          <t>SMP-CH01-1143</t>
        </is>
      </c>
      <c r="B144" s="39" t="n">
        <v>45339</v>
      </c>
      <c r="C144" s="12" t="inlineStr">
        <is>
          <t>Shift_B</t>
        </is>
      </c>
      <c r="D144" s="12" t="inlineStr">
        <is>
          <t>Primary Magnetite</t>
        </is>
      </c>
      <c r="E144" s="12" t="inlineStr">
        <is>
          <t>Magnetite</t>
        </is>
      </c>
      <c r="F144" s="14" t="n">
        <v>66.33</v>
      </c>
      <c r="G144" s="14" t="n">
        <v>27.15</v>
      </c>
      <c r="H144" s="14" t="n">
        <v>63.18</v>
      </c>
      <c r="I144" s="14">
        <f>H144/F144*100</f>
        <v/>
      </c>
      <c r="J144" s="14" t="n">
        <v>2.5</v>
      </c>
      <c r="K144" s="14" t="n">
        <v>0.8</v>
      </c>
      <c r="L144" s="14" t="n">
        <v>0.39</v>
      </c>
      <c r="M144" s="14" t="n">
        <v>0.38</v>
      </c>
      <c r="N144" s="14">
        <f>(L144+M144)/(J144+K144)</f>
        <v/>
      </c>
      <c r="O144" s="15" t="n">
        <v>0.0232</v>
      </c>
      <c r="P144" s="15" t="n">
        <v>0.0504</v>
      </c>
      <c r="Q144" s="15" t="n">
        <v>0.0489</v>
      </c>
      <c r="R144" s="14" t="n">
        <v>0.58</v>
      </c>
      <c r="S144" s="12" t="inlineStr">
        <is>
          <t>Medium (Wi 13.5-14.5)</t>
        </is>
      </c>
      <c r="T144" s="16" t="inlineStr">
        <is>
          <t>Standard DR-Grade; High exothermic heat during induration.</t>
        </is>
      </c>
      <c r="U144" s="12">
        <f>IF(OR(O144&gt;0.035, Q144&gt;0.060, I144&lt;80), "REJECT", IF(OR(O144&gt;0.028, Q144&gt;0.050, I144&lt;85), "WARNING", "PASS"))</f>
        <v/>
      </c>
    </row>
    <row r="145">
      <c r="A145" s="17" t="inlineStr">
        <is>
          <t>SMP-CH01-1144</t>
        </is>
      </c>
      <c r="B145" s="40" t="n">
        <v>45339</v>
      </c>
      <c r="C145" s="17" t="inlineStr">
        <is>
          <t>Shift_C</t>
        </is>
      </c>
      <c r="D145" s="17" t="inlineStr">
        <is>
          <t>Primary Magnetite</t>
        </is>
      </c>
      <c r="E145" s="17" t="inlineStr">
        <is>
          <t>Magnetite</t>
        </is>
      </c>
      <c r="F145" s="19" t="n">
        <v>68.14</v>
      </c>
      <c r="G145" s="19" t="n">
        <v>27.68</v>
      </c>
      <c r="H145" s="19" t="n">
        <v>66.31999999999999</v>
      </c>
      <c r="I145" s="19">
        <f>H145/F145*100</f>
        <v/>
      </c>
      <c r="J145" s="19" t="n">
        <v>2.74</v>
      </c>
      <c r="K145" s="19" t="n">
        <v>0.47</v>
      </c>
      <c r="L145" s="19" t="n">
        <v>0.39</v>
      </c>
      <c r="M145" s="19" t="n">
        <v>0.8</v>
      </c>
      <c r="N145" s="19">
        <f>(L145+M145)/(J145+K145)</f>
        <v/>
      </c>
      <c r="O145" s="20" t="n">
        <v>0.02</v>
      </c>
      <c r="P145" s="20" t="n">
        <v>0.0389</v>
      </c>
      <c r="Q145" s="20" t="n">
        <v>0.0304</v>
      </c>
      <c r="R145" s="19" t="n">
        <v>0.46</v>
      </c>
      <c r="S145" s="17" t="inlineStr">
        <is>
          <t>Medium (Wi 13.5-14.5)</t>
        </is>
      </c>
      <c r="T145" s="21" t="inlineStr">
        <is>
          <t>Standard DR-Grade; High exothermic heat during induration.</t>
        </is>
      </c>
      <c r="U145" s="17">
        <f>IF(OR(O145&gt;0.035, Q145&gt;0.060, I145&lt;80), "REJECT", IF(OR(O145&gt;0.028, Q145&gt;0.050, I145&lt;85), "WARNING", "PASS"))</f>
        <v/>
      </c>
    </row>
    <row r="146">
      <c r="A146" s="12" t="inlineStr">
        <is>
          <t>SMP-CH01-1145</t>
        </is>
      </c>
      <c r="B146" s="39" t="n">
        <v>45340</v>
      </c>
      <c r="C146" s="12" t="inlineStr">
        <is>
          <t>Shift_A</t>
        </is>
      </c>
      <c r="D146" s="12" t="inlineStr">
        <is>
          <t>Primary Magnetite</t>
        </is>
      </c>
      <c r="E146" s="12" t="inlineStr">
        <is>
          <t>Magnetite</t>
        </is>
      </c>
      <c r="F146" s="14" t="n">
        <v>66.62</v>
      </c>
      <c r="G146" s="14" t="n">
        <v>27.74</v>
      </c>
      <c r="H146" s="14" t="n">
        <v>64.66</v>
      </c>
      <c r="I146" s="14">
        <f>H146/F146*100</f>
        <v/>
      </c>
      <c r="J146" s="14" t="n">
        <v>2.6</v>
      </c>
      <c r="K146" s="14" t="n">
        <v>0.68</v>
      </c>
      <c r="L146" s="14" t="n">
        <v>0.45</v>
      </c>
      <c r="M146" s="14" t="n">
        <v>0.6899999999999999</v>
      </c>
      <c r="N146" s="14">
        <f>(L146+M146)/(J146+K146)</f>
        <v/>
      </c>
      <c r="O146" s="15" t="n">
        <v>0.0217</v>
      </c>
      <c r="P146" s="15" t="n">
        <v>0.0622</v>
      </c>
      <c r="Q146" s="15" t="n">
        <v>0.0495</v>
      </c>
      <c r="R146" s="14" t="n">
        <v>0.22</v>
      </c>
      <c r="S146" s="12" t="inlineStr">
        <is>
          <t>Medium (Wi 13.5-14.5)</t>
        </is>
      </c>
      <c r="T146" s="16" t="inlineStr">
        <is>
          <t>Standard DR-Grade; High exothermic heat during induration.</t>
        </is>
      </c>
      <c r="U146" s="12">
        <f>IF(OR(O146&gt;0.035, Q146&gt;0.060, I146&lt;80), "REJECT", IF(OR(O146&gt;0.028, Q146&gt;0.050, I146&lt;85), "WARNING", "PASS"))</f>
        <v/>
      </c>
    </row>
    <row r="147">
      <c r="A147" s="17" t="inlineStr">
        <is>
          <t>SMP-CH01-1146</t>
        </is>
      </c>
      <c r="B147" s="40" t="n">
        <v>45340</v>
      </c>
      <c r="C147" s="17" t="inlineStr">
        <is>
          <t>Shift_B</t>
        </is>
      </c>
      <c r="D147" s="17" t="inlineStr">
        <is>
          <t>Primary Magnetite</t>
        </is>
      </c>
      <c r="E147" s="17" t="inlineStr">
        <is>
          <t>Magnetite</t>
        </is>
      </c>
      <c r="F147" s="19" t="n">
        <v>67.19</v>
      </c>
      <c r="G147" s="19" t="n">
        <v>26.48</v>
      </c>
      <c r="H147" s="19" t="n">
        <v>63.48</v>
      </c>
      <c r="I147" s="19">
        <f>H147/F147*100</f>
        <v/>
      </c>
      <c r="J147" s="19" t="n">
        <v>2.79</v>
      </c>
      <c r="K147" s="19" t="n">
        <v>0.65</v>
      </c>
      <c r="L147" s="19" t="n">
        <v>0.47</v>
      </c>
      <c r="M147" s="19" t="n">
        <v>0.6</v>
      </c>
      <c r="N147" s="19">
        <f>(L147+M147)/(J147+K147)</f>
        <v/>
      </c>
      <c r="O147" s="20" t="n">
        <v>0.024</v>
      </c>
      <c r="P147" s="20" t="n">
        <v>0.0406</v>
      </c>
      <c r="Q147" s="20" t="n">
        <v>0.0393</v>
      </c>
      <c r="R147" s="19" t="n">
        <v>0.6</v>
      </c>
      <c r="S147" s="17" t="inlineStr">
        <is>
          <t>Medium (Wi 13.5-14.5)</t>
        </is>
      </c>
      <c r="T147" s="21" t="inlineStr">
        <is>
          <t>Standard DR-Grade; High exothermic heat during induration.</t>
        </is>
      </c>
      <c r="U147" s="17">
        <f>IF(OR(O147&gt;0.035, Q147&gt;0.060, I147&lt;80), "REJECT", IF(OR(O147&gt;0.028, Q147&gt;0.050, I147&lt;85), "WARNING", "PASS"))</f>
        <v/>
      </c>
    </row>
    <row r="148">
      <c r="A148" s="12" t="inlineStr">
        <is>
          <t>SMP-CH01-1147</t>
        </is>
      </c>
      <c r="B148" s="39" t="n">
        <v>45340</v>
      </c>
      <c r="C148" s="12" t="inlineStr">
        <is>
          <t>Shift_C</t>
        </is>
      </c>
      <c r="D148" s="12" t="inlineStr">
        <is>
          <t>Martitic Ore</t>
        </is>
      </c>
      <c r="E148" s="12" t="inlineStr">
        <is>
          <t>Martite / Semi-oxidized Magnetite</t>
        </is>
      </c>
      <c r="F148" s="14" t="n">
        <v>65.34</v>
      </c>
      <c r="G148" s="14" t="n">
        <v>20.87</v>
      </c>
      <c r="H148" s="14" t="n">
        <v>53.49</v>
      </c>
      <c r="I148" s="14">
        <f>H148/F148*100</f>
        <v/>
      </c>
      <c r="J148" s="14" t="n">
        <v>2.24</v>
      </c>
      <c r="K148" s="14" t="n">
        <v>0.93</v>
      </c>
      <c r="L148" s="14" t="n">
        <v>0.28</v>
      </c>
      <c r="M148" s="14" t="n">
        <v>0.65</v>
      </c>
      <c r="N148" s="14">
        <f>(L148+M148)/(J148+K148)</f>
        <v/>
      </c>
      <c r="O148" s="15" t="n">
        <v>0.0399</v>
      </c>
      <c r="P148" s="15" t="n">
        <v>0.0786</v>
      </c>
      <c r="Q148" s="15" t="n">
        <v>0.0419</v>
      </c>
      <c r="R148" s="14" t="n">
        <v>1.03</v>
      </c>
      <c r="S148" s="12" t="inlineStr">
        <is>
          <t>Hard (Wi 15.5-17.0)</t>
        </is>
      </c>
      <c r="T148" s="16" t="inlineStr">
        <is>
          <t>Martitization alert: Low LIMS recovery; requires WHIMS or higher drum RPM.</t>
        </is>
      </c>
      <c r="U148" s="12">
        <f>IF(OR(O148&gt;0.035, Q148&gt;0.060, I148&lt;80), "REJECT", IF(OR(O148&gt;0.028, Q148&gt;0.050, I148&lt;85), "WARNING", "PASS"))</f>
        <v/>
      </c>
    </row>
    <row r="149">
      <c r="A149" s="17" t="inlineStr">
        <is>
          <t>SMP-CH01-1148</t>
        </is>
      </c>
      <c r="B149" s="40" t="n">
        <v>45341</v>
      </c>
      <c r="C149" s="17" t="inlineStr">
        <is>
          <t>Shift_A</t>
        </is>
      </c>
      <c r="D149" s="17" t="inlineStr">
        <is>
          <t>Primary Magnetite</t>
        </is>
      </c>
      <c r="E149" s="17" t="inlineStr">
        <is>
          <t>Magnetite</t>
        </is>
      </c>
      <c r="F149" s="19" t="n">
        <v>67.01000000000001</v>
      </c>
      <c r="G149" s="19" t="n">
        <v>26.76</v>
      </c>
      <c r="H149" s="19" t="n">
        <v>62.72</v>
      </c>
      <c r="I149" s="19">
        <f>H149/F149*100</f>
        <v/>
      </c>
      <c r="J149" s="19" t="n">
        <v>3.11</v>
      </c>
      <c r="K149" s="19" t="n">
        <v>0.83</v>
      </c>
      <c r="L149" s="19" t="n">
        <v>0.55</v>
      </c>
      <c r="M149" s="19" t="n">
        <v>0.59</v>
      </c>
      <c r="N149" s="19">
        <f>(L149+M149)/(J149+K149)</f>
        <v/>
      </c>
      <c r="O149" s="20" t="n">
        <v>0.0244</v>
      </c>
      <c r="P149" s="20" t="n">
        <v>0.0446</v>
      </c>
      <c r="Q149" s="20" t="n">
        <v>0.0308</v>
      </c>
      <c r="R149" s="19" t="n">
        <v>0.45</v>
      </c>
      <c r="S149" s="17" t="inlineStr">
        <is>
          <t>Medium (Wi 13.5-14.5)</t>
        </is>
      </c>
      <c r="T149" s="21" t="inlineStr">
        <is>
          <t>Standard DR-Grade; High exothermic heat during induration.</t>
        </is>
      </c>
      <c r="U149" s="17">
        <f>IF(OR(O149&gt;0.035, Q149&gt;0.060, I149&lt;80), "REJECT", IF(OR(O149&gt;0.028, Q149&gt;0.050, I149&lt;85), "WARNING", "PASS"))</f>
        <v/>
      </c>
    </row>
    <row r="150">
      <c r="A150" s="12" t="inlineStr">
        <is>
          <t>SMP-CH01-1149</t>
        </is>
      </c>
      <c r="B150" s="39" t="n">
        <v>45341</v>
      </c>
      <c r="C150" s="12" t="inlineStr">
        <is>
          <t>Shift_B</t>
        </is>
      </c>
      <c r="D150" s="12" t="inlineStr">
        <is>
          <t>Martitic Ore</t>
        </is>
      </c>
      <c r="E150" s="12" t="inlineStr">
        <is>
          <t>Martite / Semi-oxidized Magnetite</t>
        </is>
      </c>
      <c r="F150" s="14" t="n">
        <v>67.59</v>
      </c>
      <c r="G150" s="14" t="n">
        <v>18.42</v>
      </c>
      <c r="H150" s="14" t="n">
        <v>49.23</v>
      </c>
      <c r="I150" s="14">
        <f>H150/F150*100</f>
        <v/>
      </c>
      <c r="J150" s="14" t="n">
        <v>2.9</v>
      </c>
      <c r="K150" s="14" t="n">
        <v>0.85</v>
      </c>
      <c r="L150" s="14" t="n">
        <v>0.61</v>
      </c>
      <c r="M150" s="14" t="n">
        <v>0.65</v>
      </c>
      <c r="N150" s="14">
        <f>(L150+M150)/(J150+K150)</f>
        <v/>
      </c>
      <c r="O150" s="15" t="n">
        <v>0.0382</v>
      </c>
      <c r="P150" s="15" t="n">
        <v>0.0994</v>
      </c>
      <c r="Q150" s="15" t="n">
        <v>0.06419999999999999</v>
      </c>
      <c r="R150" s="14" t="n">
        <v>0.62</v>
      </c>
      <c r="S150" s="12" t="inlineStr">
        <is>
          <t>Hard (Wi 15.5-17.0)</t>
        </is>
      </c>
      <c r="T150" s="16" t="inlineStr">
        <is>
          <t>Martitization alert: Low LIMS recovery; requires WHIMS or higher drum RPM.</t>
        </is>
      </c>
      <c r="U150" s="12">
        <f>IF(OR(O150&gt;0.035, Q150&gt;0.060, I150&lt;80), "REJECT", IF(OR(O150&gt;0.028, Q150&gt;0.050, I150&lt;85), "WARNING", "PASS"))</f>
        <v/>
      </c>
    </row>
    <row r="151">
      <c r="A151" s="17" t="inlineStr">
        <is>
          <t>SMP-CH01-1150</t>
        </is>
      </c>
      <c r="B151" s="40" t="n">
        <v>45341</v>
      </c>
      <c r="C151" s="17" t="inlineStr">
        <is>
          <t>Shift_C</t>
        </is>
      </c>
      <c r="D151" s="17" t="inlineStr">
        <is>
          <t>Primary Magnetite</t>
        </is>
      </c>
      <c r="E151" s="17" t="inlineStr">
        <is>
          <t>Magnetite</t>
        </is>
      </c>
      <c r="F151" s="19" t="n">
        <v>67.65000000000001</v>
      </c>
      <c r="G151" s="19" t="n">
        <v>24.89</v>
      </c>
      <c r="H151" s="19" t="n">
        <v>61.07</v>
      </c>
      <c r="I151" s="19">
        <f>H151/F151*100</f>
        <v/>
      </c>
      <c r="J151" s="19" t="n">
        <v>2.76</v>
      </c>
      <c r="K151" s="19" t="n">
        <v>0.63</v>
      </c>
      <c r="L151" s="19" t="n">
        <v>0.49</v>
      </c>
      <c r="M151" s="19" t="n">
        <v>0.72</v>
      </c>
      <c r="N151" s="19">
        <f>(L151+M151)/(J151+K151)</f>
        <v/>
      </c>
      <c r="O151" s="20" t="n">
        <v>0.0258</v>
      </c>
      <c r="P151" s="20" t="n">
        <v>0.0616</v>
      </c>
      <c r="Q151" s="20" t="n">
        <v>0.0413</v>
      </c>
      <c r="R151" s="19" t="n">
        <v>0.36</v>
      </c>
      <c r="S151" s="17" t="inlineStr">
        <is>
          <t>Medium (Wi 13.5-14.5)</t>
        </is>
      </c>
      <c r="T151" s="21" t="inlineStr">
        <is>
          <t>Standard DR-Grade; High exothermic heat during induration.</t>
        </is>
      </c>
      <c r="U151" s="17">
        <f>IF(OR(O151&gt;0.035, Q151&gt;0.060, I151&lt;80), "REJECT", IF(OR(O151&gt;0.028, Q151&gt;0.050, I151&lt;85), "WARNING", "PASS"))</f>
        <v/>
      </c>
    </row>
    <row r="152">
      <c r="A152" s="12" t="inlineStr">
        <is>
          <t>SMP-CH01-1151</t>
        </is>
      </c>
      <c r="B152" s="39" t="n">
        <v>45342</v>
      </c>
      <c r="C152" s="12" t="inlineStr">
        <is>
          <t>Shift_A</t>
        </is>
      </c>
      <c r="D152" s="12" t="inlineStr">
        <is>
          <t>Martitic Ore</t>
        </is>
      </c>
      <c r="E152" s="12" t="inlineStr">
        <is>
          <t>Martite / Semi-oxidized Magnetite</t>
        </is>
      </c>
      <c r="F152" s="14" t="n">
        <v>64.34999999999999</v>
      </c>
      <c r="G152" s="14" t="n">
        <v>19.42</v>
      </c>
      <c r="H152" s="14" t="n">
        <v>49.78</v>
      </c>
      <c r="I152" s="14">
        <f>H152/F152*100</f>
        <v/>
      </c>
      <c r="J152" s="14" t="n">
        <v>3.92</v>
      </c>
      <c r="K152" s="14" t="n">
        <v>0.99</v>
      </c>
      <c r="L152" s="14" t="n">
        <v>0.68</v>
      </c>
      <c r="M152" s="14" t="n">
        <v>0.8</v>
      </c>
      <c r="N152" s="14">
        <f>(L152+M152)/(J152+K152)</f>
        <v/>
      </c>
      <c r="O152" s="15" t="n">
        <v>0.0315</v>
      </c>
      <c r="P152" s="15" t="n">
        <v>0.0603</v>
      </c>
      <c r="Q152" s="15" t="n">
        <v>0.0407</v>
      </c>
      <c r="R152" s="14" t="n">
        <v>1.13</v>
      </c>
      <c r="S152" s="12" t="inlineStr">
        <is>
          <t>Hard (Wi 15.5-17.0)</t>
        </is>
      </c>
      <c r="T152" s="16" t="inlineStr">
        <is>
          <t>Martitization alert: Low LIMS recovery; requires WHIMS or higher drum RPM.</t>
        </is>
      </c>
      <c r="U152" s="12">
        <f>IF(OR(O152&gt;0.035, Q152&gt;0.060, I152&lt;80), "REJECT", IF(OR(O152&gt;0.028, Q152&gt;0.050, I152&lt;85), "WARNING", "PASS"))</f>
        <v/>
      </c>
    </row>
    <row r="153">
      <c r="A153" s="17" t="inlineStr">
        <is>
          <t>SMP-CH01-1152</t>
        </is>
      </c>
      <c r="B153" s="40" t="n">
        <v>45342</v>
      </c>
      <c r="C153" s="17" t="inlineStr">
        <is>
          <t>Shift_B</t>
        </is>
      </c>
      <c r="D153" s="17" t="inlineStr">
        <is>
          <t>Hematite-Goethite / Weathered Skarn</t>
        </is>
      </c>
      <c r="E153" s="17" t="inlineStr">
        <is>
          <t>Goethite / Quartz-rich Hematite</t>
        </is>
      </c>
      <c r="F153" s="19" t="n">
        <v>62.34</v>
      </c>
      <c r="G153" s="19" t="n">
        <v>6.6</v>
      </c>
      <c r="H153" s="19" t="n">
        <v>26.01</v>
      </c>
      <c r="I153" s="19">
        <f>H153/F153*100</f>
        <v/>
      </c>
      <c r="J153" s="19" t="n">
        <v>6.69</v>
      </c>
      <c r="K153" s="19" t="n">
        <v>2.05</v>
      </c>
      <c r="L153" s="19" t="n">
        <v>0.51</v>
      </c>
      <c r="M153" s="19" t="n">
        <v>1.17</v>
      </c>
      <c r="N153" s="19">
        <f>(L153+M153)/(J153+K153)</f>
        <v/>
      </c>
      <c r="O153" s="20" t="n">
        <v>0.04</v>
      </c>
      <c r="P153" s="20" t="n">
        <v>0.1273</v>
      </c>
      <c r="Q153" s="20" t="n">
        <v>0.0823</v>
      </c>
      <c r="R153" s="19" t="n">
        <v>7.22</v>
      </c>
      <c r="S153" s="17" t="inlineStr">
        <is>
          <t>Variable / Highly Abrasive (Quartz)</t>
        </is>
      </c>
      <c r="T153" s="21" t="inlineStr">
        <is>
          <t>High LOI &amp; Alkalis: Risk of pellet swelling/whisker &amp; filter cloth blinding.</t>
        </is>
      </c>
      <c r="U153" s="17">
        <f>IF(OR(O153&gt;0.035, Q153&gt;0.060, I153&lt;80), "REJECT", IF(OR(O153&gt;0.028, Q153&gt;0.050, I153&lt;85), "WARNING", "PASS"))</f>
        <v/>
      </c>
    </row>
    <row r="154">
      <c r="A154" s="12" t="inlineStr">
        <is>
          <t>SMP-CH01-1153</t>
        </is>
      </c>
      <c r="B154" s="39" t="n">
        <v>45342</v>
      </c>
      <c r="C154" s="12" t="inlineStr">
        <is>
          <t>Shift_C</t>
        </is>
      </c>
      <c r="D154" s="12" t="inlineStr">
        <is>
          <t>Primary Magnetite</t>
        </is>
      </c>
      <c r="E154" s="12" t="inlineStr">
        <is>
          <t>Magnetite</t>
        </is>
      </c>
      <c r="F154" s="14" t="n">
        <v>65.23999999999999</v>
      </c>
      <c r="G154" s="14" t="n">
        <v>25.18</v>
      </c>
      <c r="H154" s="14" t="n">
        <v>61.84</v>
      </c>
      <c r="I154" s="14">
        <f>H154/F154*100</f>
        <v/>
      </c>
      <c r="J154" s="14" t="n">
        <v>2.35</v>
      </c>
      <c r="K154" s="14" t="n">
        <v>0.76</v>
      </c>
      <c r="L154" s="14" t="n">
        <v>0.36</v>
      </c>
      <c r="M154" s="14" t="n">
        <v>0.71</v>
      </c>
      <c r="N154" s="14">
        <f>(L154+M154)/(J154+K154)</f>
        <v/>
      </c>
      <c r="O154" s="15" t="n">
        <v>0.0274</v>
      </c>
      <c r="P154" s="15" t="n">
        <v>0.0585</v>
      </c>
      <c r="Q154" s="15" t="n">
        <v>0.0397</v>
      </c>
      <c r="R154" s="14" t="n">
        <v>0.51</v>
      </c>
      <c r="S154" s="12" t="inlineStr">
        <is>
          <t>Medium (Wi 13.5-14.5)</t>
        </is>
      </c>
      <c r="T154" s="16" t="inlineStr">
        <is>
          <t>Standard DR-Grade; High exothermic heat during induration.</t>
        </is>
      </c>
      <c r="U154" s="12">
        <f>IF(OR(O154&gt;0.035, Q154&gt;0.060, I154&lt;80), "REJECT", IF(OR(O154&gt;0.028, Q154&gt;0.050, I154&lt;85), "WARNING", "PASS"))</f>
        <v/>
      </c>
    </row>
    <row r="155">
      <c r="A155" s="17" t="inlineStr">
        <is>
          <t>SMP-CH01-1154</t>
        </is>
      </c>
      <c r="B155" s="40" t="n">
        <v>45343</v>
      </c>
      <c r="C155" s="17" t="inlineStr">
        <is>
          <t>Shift_A</t>
        </is>
      </c>
      <c r="D155" s="17" t="inlineStr">
        <is>
          <t>Primary Magnetite</t>
        </is>
      </c>
      <c r="E155" s="17" t="inlineStr">
        <is>
          <t>Magnetite</t>
        </is>
      </c>
      <c r="F155" s="19" t="n">
        <v>66.72</v>
      </c>
      <c r="G155" s="19" t="n">
        <v>27.61</v>
      </c>
      <c r="H155" s="19" t="n">
        <v>63.16</v>
      </c>
      <c r="I155" s="19">
        <f>H155/F155*100</f>
        <v/>
      </c>
      <c r="J155" s="19" t="n">
        <v>2.54</v>
      </c>
      <c r="K155" s="19" t="n">
        <v>0.77</v>
      </c>
      <c r="L155" s="19" t="n">
        <v>0.36</v>
      </c>
      <c r="M155" s="19" t="n">
        <v>0.6899999999999999</v>
      </c>
      <c r="N155" s="19">
        <f>(L155+M155)/(J155+K155)</f>
        <v/>
      </c>
      <c r="O155" s="20" t="n">
        <v>0.0279</v>
      </c>
      <c r="P155" s="20" t="n">
        <v>0.0525</v>
      </c>
      <c r="Q155" s="20" t="n">
        <v>0.0395</v>
      </c>
      <c r="R155" s="19" t="n">
        <v>0.55</v>
      </c>
      <c r="S155" s="17" t="inlineStr">
        <is>
          <t>Medium (Wi 13.5-14.5)</t>
        </is>
      </c>
      <c r="T155" s="21" t="inlineStr">
        <is>
          <t>Standard DR-Grade; High exothermic heat during induration.</t>
        </is>
      </c>
      <c r="U155" s="17">
        <f>IF(OR(O155&gt;0.035, Q155&gt;0.060, I155&lt;80), "REJECT", IF(OR(O155&gt;0.028, Q155&gt;0.050, I155&lt;85), "WARNING", "PASS"))</f>
        <v/>
      </c>
    </row>
    <row r="156">
      <c r="A156" s="12" t="inlineStr">
        <is>
          <t>SMP-CH01-1155</t>
        </is>
      </c>
      <c r="B156" s="39" t="n">
        <v>45343</v>
      </c>
      <c r="C156" s="12" t="inlineStr">
        <is>
          <t>Shift_B</t>
        </is>
      </c>
      <c r="D156" s="12" t="inlineStr">
        <is>
          <t>Primary Magnetite</t>
        </is>
      </c>
      <c r="E156" s="12" t="inlineStr">
        <is>
          <t>Magnetite</t>
        </is>
      </c>
      <c r="F156" s="14" t="n">
        <v>65.33</v>
      </c>
      <c r="G156" s="14" t="n">
        <v>26.12</v>
      </c>
      <c r="H156" s="14" t="n">
        <v>61.07</v>
      </c>
      <c r="I156" s="14">
        <f>H156/F156*100</f>
        <v/>
      </c>
      <c r="J156" s="14" t="n">
        <v>2.16</v>
      </c>
      <c r="K156" s="14" t="n">
        <v>0.73</v>
      </c>
      <c r="L156" s="14" t="n">
        <v>0.47</v>
      </c>
      <c r="M156" s="14" t="n">
        <v>0.97</v>
      </c>
      <c r="N156" s="14">
        <f>(L156+M156)/(J156+K156)</f>
        <v/>
      </c>
      <c r="O156" s="15" t="n">
        <v>0.0153</v>
      </c>
      <c r="P156" s="15" t="n">
        <v>0.0633</v>
      </c>
      <c r="Q156" s="15" t="n">
        <v>0.052</v>
      </c>
      <c r="R156" s="14" t="n">
        <v>0.25</v>
      </c>
      <c r="S156" s="12" t="inlineStr">
        <is>
          <t>Medium (Wi 13.5-14.5)</t>
        </is>
      </c>
      <c r="T156" s="16" t="inlineStr">
        <is>
          <t>Standard DR-Grade; High exothermic heat during induration.</t>
        </is>
      </c>
      <c r="U156" s="12">
        <f>IF(OR(O156&gt;0.035, Q156&gt;0.060, I156&lt;80), "REJECT", IF(OR(O156&gt;0.028, Q156&gt;0.050, I156&lt;85), "WARNING", "PASS"))</f>
        <v/>
      </c>
    </row>
    <row r="157">
      <c r="A157" s="17" t="inlineStr">
        <is>
          <t>SMP-CH01-1156</t>
        </is>
      </c>
      <c r="B157" s="40" t="n">
        <v>45343</v>
      </c>
      <c r="C157" s="17" t="inlineStr">
        <is>
          <t>Shift_C</t>
        </is>
      </c>
      <c r="D157" s="17" t="inlineStr">
        <is>
          <t>Primary Magnetite</t>
        </is>
      </c>
      <c r="E157" s="17" t="inlineStr">
        <is>
          <t>Magnetite</t>
        </is>
      </c>
      <c r="F157" s="19" t="n">
        <v>68.44</v>
      </c>
      <c r="G157" s="19" t="n">
        <v>25.55</v>
      </c>
      <c r="H157" s="19" t="n">
        <v>62.17</v>
      </c>
      <c r="I157" s="19">
        <f>H157/F157*100</f>
        <v/>
      </c>
      <c r="J157" s="19" t="n">
        <v>3.59</v>
      </c>
      <c r="K157" s="19" t="n">
        <v>0.57</v>
      </c>
      <c r="L157" s="19" t="n">
        <v>0.46</v>
      </c>
      <c r="M157" s="19" t="n">
        <v>0.73</v>
      </c>
      <c r="N157" s="19">
        <f>(L157+M157)/(J157+K157)</f>
        <v/>
      </c>
      <c r="O157" s="20" t="n">
        <v>0.0223</v>
      </c>
      <c r="P157" s="20" t="n">
        <v>0.0704</v>
      </c>
      <c r="Q157" s="20" t="n">
        <v>0.033</v>
      </c>
      <c r="R157" s="19" t="n">
        <v>0.43</v>
      </c>
      <c r="S157" s="17" t="inlineStr">
        <is>
          <t>Medium (Wi 13.5-14.5)</t>
        </is>
      </c>
      <c r="T157" s="21" t="inlineStr">
        <is>
          <t>Standard DR-Grade; High exothermic heat during induration.</t>
        </is>
      </c>
      <c r="U157" s="17">
        <f>IF(OR(O157&gt;0.035, Q157&gt;0.060, I157&lt;80), "REJECT", IF(OR(O157&gt;0.028, Q157&gt;0.050, I157&lt;85), "WARNING", "PASS"))</f>
        <v/>
      </c>
    </row>
    <row r="158">
      <c r="A158" s="12" t="inlineStr">
        <is>
          <t>SMP-CH01-1157</t>
        </is>
      </c>
      <c r="B158" s="39" t="n">
        <v>45344</v>
      </c>
      <c r="C158" s="12" t="inlineStr">
        <is>
          <t>Shift_A</t>
        </is>
      </c>
      <c r="D158" s="12" t="inlineStr">
        <is>
          <t>Primary Magnetite</t>
        </is>
      </c>
      <c r="E158" s="12" t="inlineStr">
        <is>
          <t>Magnetite</t>
        </is>
      </c>
      <c r="F158" s="14" t="n">
        <v>66.97</v>
      </c>
      <c r="G158" s="14" t="n">
        <v>24.24</v>
      </c>
      <c r="H158" s="14" t="n">
        <v>60.52</v>
      </c>
      <c r="I158" s="14">
        <f>H158/F158*100</f>
        <v/>
      </c>
      <c r="J158" s="14" t="n">
        <v>1.4</v>
      </c>
      <c r="K158" s="14" t="n">
        <v>0.57</v>
      </c>
      <c r="L158" s="14" t="n">
        <v>0.24</v>
      </c>
      <c r="M158" s="14" t="n">
        <v>0.72</v>
      </c>
      <c r="N158" s="14">
        <f>(L158+M158)/(J158+K158)</f>
        <v/>
      </c>
      <c r="O158" s="15" t="n">
        <v>0.0146</v>
      </c>
      <c r="P158" s="15" t="n">
        <v>0.0316</v>
      </c>
      <c r="Q158" s="15" t="n">
        <v>0.0326</v>
      </c>
      <c r="R158" s="14" t="n">
        <v>0.37</v>
      </c>
      <c r="S158" s="12" t="inlineStr">
        <is>
          <t>Medium (Wi 13.5-14.5)</t>
        </is>
      </c>
      <c r="T158" s="16" t="inlineStr">
        <is>
          <t>Standard DR-Grade; High exothermic heat during induration.</t>
        </is>
      </c>
      <c r="U158" s="12">
        <f>IF(OR(O158&gt;0.035, Q158&gt;0.060, I158&lt;80), "REJECT", IF(OR(O158&gt;0.028, Q158&gt;0.050, I158&lt;85), "WARNING", "PASS"))</f>
        <v/>
      </c>
    </row>
    <row r="159">
      <c r="A159" s="17" t="inlineStr">
        <is>
          <t>SMP-CH01-1158</t>
        </is>
      </c>
      <c r="B159" s="40" t="n">
        <v>45344</v>
      </c>
      <c r="C159" s="17" t="inlineStr">
        <is>
          <t>Shift_B</t>
        </is>
      </c>
      <c r="D159" s="17" t="inlineStr">
        <is>
          <t>Primary Magnetite</t>
        </is>
      </c>
      <c r="E159" s="17" t="inlineStr">
        <is>
          <t>Magnetite</t>
        </is>
      </c>
      <c r="F159" s="19" t="n">
        <v>67.51000000000001</v>
      </c>
      <c r="G159" s="19" t="n">
        <v>24.53</v>
      </c>
      <c r="H159" s="19" t="n">
        <v>61.94</v>
      </c>
      <c r="I159" s="19">
        <f>H159/F159*100</f>
        <v/>
      </c>
      <c r="J159" s="19" t="n">
        <v>2.35</v>
      </c>
      <c r="K159" s="19" t="n">
        <v>0.49</v>
      </c>
      <c r="L159" s="19" t="n">
        <v>0.48</v>
      </c>
      <c r="M159" s="19" t="n">
        <v>0.85</v>
      </c>
      <c r="N159" s="19">
        <f>(L159+M159)/(J159+K159)</f>
        <v/>
      </c>
      <c r="O159" s="20" t="n">
        <v>0.0107</v>
      </c>
      <c r="P159" s="20" t="n">
        <v>0.0467</v>
      </c>
      <c r="Q159" s="20" t="n">
        <v>0.0367</v>
      </c>
      <c r="R159" s="19" t="n">
        <v>0.5</v>
      </c>
      <c r="S159" s="17" t="inlineStr">
        <is>
          <t>Medium (Wi 13.5-14.5)</t>
        </is>
      </c>
      <c r="T159" s="21" t="inlineStr">
        <is>
          <t>Standard DR-Grade; High exothermic heat during induration.</t>
        </is>
      </c>
      <c r="U159" s="17">
        <f>IF(OR(O159&gt;0.035, Q159&gt;0.060, I159&lt;80), "REJECT", IF(OR(O159&gt;0.028, Q159&gt;0.050, I159&lt;85), "WARNING", "PASS"))</f>
        <v/>
      </c>
    </row>
    <row r="160">
      <c r="A160" s="12" t="inlineStr">
        <is>
          <t>SMP-CH01-1159</t>
        </is>
      </c>
      <c r="B160" s="39" t="n">
        <v>45344</v>
      </c>
      <c r="C160" s="12" t="inlineStr">
        <is>
          <t>Shift_C</t>
        </is>
      </c>
      <c r="D160" s="12" t="inlineStr">
        <is>
          <t>Primary Magnetite</t>
        </is>
      </c>
      <c r="E160" s="12" t="inlineStr">
        <is>
          <t>Magnetite</t>
        </is>
      </c>
      <c r="F160" s="14" t="n">
        <v>66.44</v>
      </c>
      <c r="G160" s="14" t="n">
        <v>25.65</v>
      </c>
      <c r="H160" s="14" t="n">
        <v>61.63</v>
      </c>
      <c r="I160" s="14">
        <f>H160/F160*100</f>
        <v/>
      </c>
      <c r="J160" s="14" t="n">
        <v>2.63</v>
      </c>
      <c r="K160" s="14" t="n">
        <v>0.6</v>
      </c>
      <c r="L160" s="14" t="n">
        <v>0.5600000000000001</v>
      </c>
      <c r="M160" s="14" t="n">
        <v>0.59</v>
      </c>
      <c r="N160" s="14">
        <f>(L160+M160)/(J160+K160)</f>
        <v/>
      </c>
      <c r="O160" s="15" t="n">
        <v>0.0181</v>
      </c>
      <c r="P160" s="15" t="n">
        <v>0.0243</v>
      </c>
      <c r="Q160" s="15" t="n">
        <v>0.0231</v>
      </c>
      <c r="R160" s="14" t="n">
        <v>0.52</v>
      </c>
      <c r="S160" s="12" t="inlineStr">
        <is>
          <t>Medium (Wi 13.5-14.5)</t>
        </is>
      </c>
      <c r="T160" s="16" t="inlineStr">
        <is>
          <t>Standard DR-Grade; High exothermic heat during induration.</t>
        </is>
      </c>
      <c r="U160" s="12">
        <f>IF(OR(O160&gt;0.035, Q160&gt;0.060, I160&lt;80), "REJECT", IF(OR(O160&gt;0.028, Q160&gt;0.050, I160&lt;85), "WARNING", "PASS"))</f>
        <v/>
      </c>
    </row>
    <row r="161">
      <c r="A161" s="17" t="inlineStr">
        <is>
          <t>SMP-CH01-1160</t>
        </is>
      </c>
      <c r="B161" s="40" t="n">
        <v>45345</v>
      </c>
      <c r="C161" s="17" t="inlineStr">
        <is>
          <t>Shift_A</t>
        </is>
      </c>
      <c r="D161" s="17" t="inlineStr">
        <is>
          <t>Martitic Ore</t>
        </is>
      </c>
      <c r="E161" s="17" t="inlineStr">
        <is>
          <t>Martite / Semi-oxidized Magnetite</t>
        </is>
      </c>
      <c r="F161" s="19" t="n">
        <v>65.53</v>
      </c>
      <c r="G161" s="19" t="n">
        <v>19.84</v>
      </c>
      <c r="H161" s="19" t="n">
        <v>51.96</v>
      </c>
      <c r="I161" s="19">
        <f>H161/F161*100</f>
        <v/>
      </c>
      <c r="J161" s="19" t="n">
        <v>3.41</v>
      </c>
      <c r="K161" s="19" t="n">
        <v>0.99</v>
      </c>
      <c r="L161" s="19" t="n">
        <v>0.74</v>
      </c>
      <c r="M161" s="19" t="n">
        <v>0.93</v>
      </c>
      <c r="N161" s="19">
        <f>(L161+M161)/(J161+K161)</f>
        <v/>
      </c>
      <c r="O161" s="20" t="n">
        <v>0.0299</v>
      </c>
      <c r="P161" s="20" t="n">
        <v>0.0427</v>
      </c>
      <c r="Q161" s="20" t="n">
        <v>0.0262</v>
      </c>
      <c r="R161" s="19" t="n">
        <v>0.98</v>
      </c>
      <c r="S161" s="17" t="inlineStr">
        <is>
          <t>Hard (Wi 15.5-17.0)</t>
        </is>
      </c>
      <c r="T161" s="21" t="inlineStr">
        <is>
          <t>Martitization alert: Low LIMS recovery; requires WHIMS or higher drum RPM.</t>
        </is>
      </c>
      <c r="U161" s="17">
        <f>IF(OR(O161&gt;0.035, Q161&gt;0.060, I161&lt;80), "REJECT", IF(OR(O161&gt;0.028, Q161&gt;0.050, I161&lt;85), "WARNING", "PASS"))</f>
        <v/>
      </c>
    </row>
    <row r="162">
      <c r="A162" s="12" t="inlineStr">
        <is>
          <t>SMP-CH01-1161</t>
        </is>
      </c>
      <c r="B162" s="39" t="n">
        <v>45345</v>
      </c>
      <c r="C162" s="12" t="inlineStr">
        <is>
          <t>Shift_B</t>
        </is>
      </c>
      <c r="D162" s="12" t="inlineStr">
        <is>
          <t>Primary Magnetite</t>
        </is>
      </c>
      <c r="E162" s="12" t="inlineStr">
        <is>
          <t>Magnetite</t>
        </is>
      </c>
      <c r="F162" s="14" t="n">
        <v>69.33</v>
      </c>
      <c r="G162" s="14" t="n">
        <v>24.99</v>
      </c>
      <c r="H162" s="14" t="n">
        <v>62.79</v>
      </c>
      <c r="I162" s="14">
        <f>H162/F162*100</f>
        <v/>
      </c>
      <c r="J162" s="14" t="n">
        <v>2.25</v>
      </c>
      <c r="K162" s="14" t="n">
        <v>0.68</v>
      </c>
      <c r="L162" s="14" t="n">
        <v>0.43</v>
      </c>
      <c r="M162" s="14" t="n">
        <v>0.83</v>
      </c>
      <c r="N162" s="14">
        <f>(L162+M162)/(J162+K162)</f>
        <v/>
      </c>
      <c r="O162" s="15" t="n">
        <v>0.0289</v>
      </c>
      <c r="P162" s="15" t="n">
        <v>0.0626</v>
      </c>
      <c r="Q162" s="15" t="n">
        <v>0.0241</v>
      </c>
      <c r="R162" s="14" t="n">
        <v>0.43</v>
      </c>
      <c r="S162" s="12" t="inlineStr">
        <is>
          <t>Medium (Wi 13.5-14.5)</t>
        </is>
      </c>
      <c r="T162" s="16" t="inlineStr">
        <is>
          <t>Standard DR-Grade; High exothermic heat during induration.</t>
        </is>
      </c>
      <c r="U162" s="12">
        <f>IF(OR(O162&gt;0.035, Q162&gt;0.060, I162&lt;80), "REJECT", IF(OR(O162&gt;0.028, Q162&gt;0.050, I162&lt;85), "WARNING", "PASS"))</f>
        <v/>
      </c>
    </row>
    <row r="163">
      <c r="A163" s="17" t="inlineStr">
        <is>
          <t>SMP-CH01-1162</t>
        </is>
      </c>
      <c r="B163" s="40" t="n">
        <v>45345</v>
      </c>
      <c r="C163" s="17" t="inlineStr">
        <is>
          <t>Shift_C</t>
        </is>
      </c>
      <c r="D163" s="17" t="inlineStr">
        <is>
          <t>Hematite-Goethite / Weathered Skarn</t>
        </is>
      </c>
      <c r="E163" s="17" t="inlineStr">
        <is>
          <t>Goethite / Quartz-rich Hematite</t>
        </is>
      </c>
      <c r="F163" s="19" t="n">
        <v>63.02</v>
      </c>
      <c r="G163" s="19" t="n">
        <v>3.04</v>
      </c>
      <c r="H163" s="19" t="n">
        <v>32.55</v>
      </c>
      <c r="I163" s="19">
        <f>H163/F163*100</f>
        <v/>
      </c>
      <c r="J163" s="19" t="n">
        <v>4.43</v>
      </c>
      <c r="K163" s="19" t="n">
        <v>1.84</v>
      </c>
      <c r="L163" s="19" t="n">
        <v>0.6899999999999999</v>
      </c>
      <c r="M163" s="19" t="n">
        <v>0.85</v>
      </c>
      <c r="N163" s="19">
        <f>(L163+M163)/(J163+K163)</f>
        <v/>
      </c>
      <c r="O163" s="20" t="n">
        <v>0.0461</v>
      </c>
      <c r="P163" s="20" t="n">
        <v>0.0197</v>
      </c>
      <c r="Q163" s="20" t="n">
        <v>0.064</v>
      </c>
      <c r="R163" s="19" t="n">
        <v>5.3</v>
      </c>
      <c r="S163" s="17" t="inlineStr">
        <is>
          <t>Variable / Highly Abrasive (Quartz)</t>
        </is>
      </c>
      <c r="T163" s="21" t="inlineStr">
        <is>
          <t>High LOI &amp; Alkalis: Risk of pellet swelling/whisker &amp; filter cloth blinding.</t>
        </is>
      </c>
      <c r="U163" s="17">
        <f>IF(OR(O163&gt;0.035, Q163&gt;0.060, I163&lt;80), "REJECT", IF(OR(O163&gt;0.028, Q163&gt;0.050, I163&lt;85), "WARNING", "PASS"))</f>
        <v/>
      </c>
    </row>
    <row r="164">
      <c r="A164" s="12" t="inlineStr">
        <is>
          <t>SMP-CH01-1163</t>
        </is>
      </c>
      <c r="B164" s="39" t="n">
        <v>45346</v>
      </c>
      <c r="C164" s="12" t="inlineStr">
        <is>
          <t>Shift_A</t>
        </is>
      </c>
      <c r="D164" s="12" t="inlineStr">
        <is>
          <t>Primary Magnetite</t>
        </is>
      </c>
      <c r="E164" s="12" t="inlineStr">
        <is>
          <t>Magnetite</t>
        </is>
      </c>
      <c r="F164" s="14" t="n">
        <v>65.15000000000001</v>
      </c>
      <c r="G164" s="14" t="n">
        <v>26.38</v>
      </c>
      <c r="H164" s="14" t="n">
        <v>62.43</v>
      </c>
      <c r="I164" s="14">
        <f>H164/F164*100</f>
        <v/>
      </c>
      <c r="J164" s="14" t="n">
        <v>2.87</v>
      </c>
      <c r="K164" s="14" t="n">
        <v>0.67</v>
      </c>
      <c r="L164" s="14" t="n">
        <v>0.53</v>
      </c>
      <c r="M164" s="14" t="n">
        <v>0.93</v>
      </c>
      <c r="N164" s="14">
        <f>(L164+M164)/(J164+K164)</f>
        <v/>
      </c>
      <c r="O164" s="15" t="n">
        <v>0.0175</v>
      </c>
      <c r="P164" s="15" t="n">
        <v>0.0308</v>
      </c>
      <c r="Q164" s="15" t="n">
        <v>0.0292</v>
      </c>
      <c r="R164" s="14" t="n">
        <v>0.36</v>
      </c>
      <c r="S164" s="12" t="inlineStr">
        <is>
          <t>Medium (Wi 13.5-14.5)</t>
        </is>
      </c>
      <c r="T164" s="16" t="inlineStr">
        <is>
          <t>Standard DR-Grade; High exothermic heat during induration.</t>
        </is>
      </c>
      <c r="U164" s="12">
        <f>IF(OR(O164&gt;0.035, Q164&gt;0.060, I164&lt;80), "REJECT", IF(OR(O164&gt;0.028, Q164&gt;0.050, I164&lt;85), "WARNING", "PASS"))</f>
        <v/>
      </c>
    </row>
    <row r="165">
      <c r="A165" s="17" t="inlineStr">
        <is>
          <t>SMP-CH01-1164</t>
        </is>
      </c>
      <c r="B165" s="40" t="n">
        <v>45346</v>
      </c>
      <c r="C165" s="17" t="inlineStr">
        <is>
          <t>Shift_B</t>
        </is>
      </c>
      <c r="D165" s="17" t="inlineStr">
        <is>
          <t>Martitic Ore</t>
        </is>
      </c>
      <c r="E165" s="17" t="inlineStr">
        <is>
          <t>Martite / Semi-oxidized Magnetite</t>
        </is>
      </c>
      <c r="F165" s="19" t="n">
        <v>67.95</v>
      </c>
      <c r="G165" s="19" t="n">
        <v>22.94</v>
      </c>
      <c r="H165" s="19" t="n">
        <v>55.63</v>
      </c>
      <c r="I165" s="19">
        <f>H165/F165*100</f>
        <v/>
      </c>
      <c r="J165" s="19" t="n">
        <v>3.69</v>
      </c>
      <c r="K165" s="19" t="n">
        <v>1.15</v>
      </c>
      <c r="L165" s="19" t="n">
        <v>0.65</v>
      </c>
      <c r="M165" s="19" t="n">
        <v>0.4</v>
      </c>
      <c r="N165" s="19">
        <f>(L165+M165)/(J165+K165)</f>
        <v/>
      </c>
      <c r="O165" s="20" t="n">
        <v>0.0424</v>
      </c>
      <c r="P165" s="20" t="n">
        <v>0.0234</v>
      </c>
      <c r="Q165" s="20" t="n">
        <v>0.0644</v>
      </c>
      <c r="R165" s="19" t="n">
        <v>1.54</v>
      </c>
      <c r="S165" s="17" t="inlineStr">
        <is>
          <t>Hard (Wi 15.5-17.0)</t>
        </is>
      </c>
      <c r="T165" s="21" t="inlineStr">
        <is>
          <t>Martitization alert: Low LIMS recovery; requires WHIMS or higher drum RPM.</t>
        </is>
      </c>
      <c r="U165" s="17">
        <f>IF(OR(O165&gt;0.035, Q165&gt;0.060, I165&lt;80), "REJECT", IF(OR(O165&gt;0.028, Q165&gt;0.050, I165&lt;85), "WARNING", "PASS"))</f>
        <v/>
      </c>
    </row>
    <row r="166">
      <c r="A166" s="12" t="inlineStr">
        <is>
          <t>SMP-CH01-1165</t>
        </is>
      </c>
      <c r="B166" s="39" t="n">
        <v>45346</v>
      </c>
      <c r="C166" s="12" t="inlineStr">
        <is>
          <t>Shift_C</t>
        </is>
      </c>
      <c r="D166" s="12" t="inlineStr">
        <is>
          <t>Primary Magnetite</t>
        </is>
      </c>
      <c r="E166" s="12" t="inlineStr">
        <is>
          <t>Magnetite</t>
        </is>
      </c>
      <c r="F166" s="14" t="n">
        <v>67.2</v>
      </c>
      <c r="G166" s="14" t="n">
        <v>26.5</v>
      </c>
      <c r="H166" s="14" t="n">
        <v>61.24</v>
      </c>
      <c r="I166" s="14">
        <f>H166/F166*100</f>
        <v/>
      </c>
      <c r="J166" s="14" t="n">
        <v>1.89</v>
      </c>
      <c r="K166" s="14" t="n">
        <v>0.46</v>
      </c>
      <c r="L166" s="14" t="n">
        <v>0.41</v>
      </c>
      <c r="M166" s="14" t="n">
        <v>0.66</v>
      </c>
      <c r="N166" s="14">
        <f>(L166+M166)/(J166+K166)</f>
        <v/>
      </c>
      <c r="O166" s="15" t="n">
        <v>0.021</v>
      </c>
      <c r="P166" s="15" t="n">
        <v>0.0238</v>
      </c>
      <c r="Q166" s="15" t="n">
        <v>0.0477</v>
      </c>
      <c r="R166" s="14" t="n">
        <v>0.38</v>
      </c>
      <c r="S166" s="12" t="inlineStr">
        <is>
          <t>Medium (Wi 13.5-14.5)</t>
        </is>
      </c>
      <c r="T166" s="16" t="inlineStr">
        <is>
          <t>Standard DR-Grade; High exothermic heat during induration.</t>
        </is>
      </c>
      <c r="U166" s="12">
        <f>IF(OR(O166&gt;0.035, Q166&gt;0.060, I166&lt;80), "REJECT", IF(OR(O166&gt;0.028, Q166&gt;0.050, I166&lt;85), "WARNING", "PASS"))</f>
        <v/>
      </c>
    </row>
    <row r="167">
      <c r="A167" s="17" t="inlineStr">
        <is>
          <t>SMP-CH01-1166</t>
        </is>
      </c>
      <c r="B167" s="40" t="n">
        <v>45347</v>
      </c>
      <c r="C167" s="17" t="inlineStr">
        <is>
          <t>Shift_A</t>
        </is>
      </c>
      <c r="D167" s="17" t="inlineStr">
        <is>
          <t>Primary Magnetite</t>
        </is>
      </c>
      <c r="E167" s="17" t="inlineStr">
        <is>
          <t>Magnetite</t>
        </is>
      </c>
      <c r="F167" s="19" t="n">
        <v>66.64</v>
      </c>
      <c r="G167" s="19" t="n">
        <v>26.74</v>
      </c>
      <c r="H167" s="19" t="n">
        <v>63.59</v>
      </c>
      <c r="I167" s="19">
        <f>H167/F167*100</f>
        <v/>
      </c>
      <c r="J167" s="19" t="n">
        <v>1.88</v>
      </c>
      <c r="K167" s="19" t="n">
        <v>0.51</v>
      </c>
      <c r="L167" s="19" t="n">
        <v>0.45</v>
      </c>
      <c r="M167" s="19" t="n">
        <v>0.6899999999999999</v>
      </c>
      <c r="N167" s="19">
        <f>(L167+M167)/(J167+K167)</f>
        <v/>
      </c>
      <c r="O167" s="20" t="n">
        <v>0.0171</v>
      </c>
      <c r="P167" s="20" t="n">
        <v>0.0514</v>
      </c>
      <c r="Q167" s="20" t="n">
        <v>0.0342</v>
      </c>
      <c r="R167" s="19" t="n">
        <v>0.4</v>
      </c>
      <c r="S167" s="17" t="inlineStr">
        <is>
          <t>Medium (Wi 13.5-14.5)</t>
        </is>
      </c>
      <c r="T167" s="21" t="inlineStr">
        <is>
          <t>Standard DR-Grade; High exothermic heat during induration.</t>
        </is>
      </c>
      <c r="U167" s="17">
        <f>IF(OR(O167&gt;0.035, Q167&gt;0.060, I167&lt;80), "REJECT", IF(OR(O167&gt;0.028, Q167&gt;0.050, I167&lt;85), "WARNING", "PASS"))</f>
        <v/>
      </c>
    </row>
    <row r="168">
      <c r="A168" s="12" t="inlineStr">
        <is>
          <t>SMP-CH01-1167</t>
        </is>
      </c>
      <c r="B168" s="39" t="n">
        <v>45347</v>
      </c>
      <c r="C168" s="12" t="inlineStr">
        <is>
          <t>Shift_B</t>
        </is>
      </c>
      <c r="D168" s="12" t="inlineStr">
        <is>
          <t>Primary Magnetite</t>
        </is>
      </c>
      <c r="E168" s="12" t="inlineStr">
        <is>
          <t>Magnetite</t>
        </is>
      </c>
      <c r="F168" s="14" t="n">
        <v>67.38</v>
      </c>
      <c r="G168" s="14" t="n">
        <v>24.09</v>
      </c>
      <c r="H168" s="14" t="n">
        <v>60.85</v>
      </c>
      <c r="I168" s="14">
        <f>H168/F168*100</f>
        <v/>
      </c>
      <c r="J168" s="14" t="n">
        <v>2.7</v>
      </c>
      <c r="K168" s="14" t="n">
        <v>0.44</v>
      </c>
      <c r="L168" s="14" t="n">
        <v>0.41</v>
      </c>
      <c r="M168" s="14" t="n">
        <v>0.38</v>
      </c>
      <c r="N168" s="14">
        <f>(L168+M168)/(J168+K168)</f>
        <v/>
      </c>
      <c r="O168" s="15" t="n">
        <v>0.0199</v>
      </c>
      <c r="P168" s="15" t="n">
        <v>0.0436</v>
      </c>
      <c r="Q168" s="15" t="n">
        <v>0.0398</v>
      </c>
      <c r="R168" s="14" t="n">
        <v>0.44</v>
      </c>
      <c r="S168" s="12" t="inlineStr">
        <is>
          <t>Medium (Wi 13.5-14.5)</t>
        </is>
      </c>
      <c r="T168" s="16" t="inlineStr">
        <is>
          <t>Standard DR-Grade; High exothermic heat during induration.</t>
        </is>
      </c>
      <c r="U168" s="12">
        <f>IF(OR(O168&gt;0.035, Q168&gt;0.060, I168&lt;80), "REJECT", IF(OR(O168&gt;0.028, Q168&gt;0.050, I168&lt;85), "WARNING", "PASS"))</f>
        <v/>
      </c>
    </row>
    <row r="169">
      <c r="A169" s="17" t="inlineStr">
        <is>
          <t>SMP-CH01-1168</t>
        </is>
      </c>
      <c r="B169" s="40" t="n">
        <v>45347</v>
      </c>
      <c r="C169" s="17" t="inlineStr">
        <is>
          <t>Shift_C</t>
        </is>
      </c>
      <c r="D169" s="17" t="inlineStr">
        <is>
          <t>Martitic Ore</t>
        </is>
      </c>
      <c r="E169" s="17" t="inlineStr">
        <is>
          <t>Martite / Semi-oxidized Magnetite</t>
        </is>
      </c>
      <c r="F169" s="19" t="n">
        <v>67.16</v>
      </c>
      <c r="G169" s="19" t="n">
        <v>21.42</v>
      </c>
      <c r="H169" s="19" t="n">
        <v>56.28</v>
      </c>
      <c r="I169" s="19">
        <f>H169/F169*100</f>
        <v/>
      </c>
      <c r="J169" s="19" t="n">
        <v>3.71</v>
      </c>
      <c r="K169" s="19" t="n">
        <v>1.06</v>
      </c>
      <c r="L169" s="19" t="n">
        <v>0.36</v>
      </c>
      <c r="M169" s="19" t="n">
        <v>0.52</v>
      </c>
      <c r="N169" s="19">
        <f>(L169+M169)/(J169+K169)</f>
        <v/>
      </c>
      <c r="O169" s="20" t="n">
        <v>0.0224</v>
      </c>
      <c r="P169" s="20" t="n">
        <v>0.06859999999999999</v>
      </c>
      <c r="Q169" s="20" t="n">
        <v>0.0728</v>
      </c>
      <c r="R169" s="19" t="n">
        <v>1.87</v>
      </c>
      <c r="S169" s="17" t="inlineStr">
        <is>
          <t>Hard (Wi 15.5-17.0)</t>
        </is>
      </c>
      <c r="T169" s="21" t="inlineStr">
        <is>
          <t>Martitization alert: Low LIMS recovery; requires WHIMS or higher drum RPM.</t>
        </is>
      </c>
      <c r="U169" s="17">
        <f>IF(OR(O169&gt;0.035, Q169&gt;0.060, I169&lt;80), "REJECT", IF(OR(O169&gt;0.028, Q169&gt;0.050, I169&lt;85), "WARNING", "PASS"))</f>
        <v/>
      </c>
    </row>
    <row r="170">
      <c r="A170" s="12" t="inlineStr">
        <is>
          <t>SMP-CH01-1169</t>
        </is>
      </c>
      <c r="B170" s="39" t="n">
        <v>45348</v>
      </c>
      <c r="C170" s="12" t="inlineStr">
        <is>
          <t>Shift_A</t>
        </is>
      </c>
      <c r="D170" s="12" t="inlineStr">
        <is>
          <t>Martitic Ore</t>
        </is>
      </c>
      <c r="E170" s="12" t="inlineStr">
        <is>
          <t>Martite / Semi-oxidized Magnetite</t>
        </is>
      </c>
      <c r="F170" s="14" t="n">
        <v>65.47</v>
      </c>
      <c r="G170" s="14" t="n">
        <v>18.76</v>
      </c>
      <c r="H170" s="14" t="n">
        <v>49.51</v>
      </c>
      <c r="I170" s="14">
        <f>H170/F170*100</f>
        <v/>
      </c>
      <c r="J170" s="14" t="n">
        <v>4.78</v>
      </c>
      <c r="K170" s="14" t="n">
        <v>0.63</v>
      </c>
      <c r="L170" s="14" t="n">
        <v>0.45</v>
      </c>
      <c r="M170" s="14" t="n">
        <v>0.76</v>
      </c>
      <c r="N170" s="14">
        <f>(L170+M170)/(J170+K170)</f>
        <v/>
      </c>
      <c r="O170" s="15" t="n">
        <v>0.036</v>
      </c>
      <c r="P170" s="15" t="n">
        <v>0.089</v>
      </c>
      <c r="Q170" s="15" t="n">
        <v>0.0301</v>
      </c>
      <c r="R170" s="14" t="n">
        <v>1.15</v>
      </c>
      <c r="S170" s="12" t="inlineStr">
        <is>
          <t>Hard (Wi 15.5-17.0)</t>
        </is>
      </c>
      <c r="T170" s="16" t="inlineStr">
        <is>
          <t>Martitization alert: Low LIMS recovery; requires WHIMS or higher drum RPM.</t>
        </is>
      </c>
      <c r="U170" s="12">
        <f>IF(OR(O170&gt;0.035, Q170&gt;0.060, I170&lt;80), "REJECT", IF(OR(O170&gt;0.028, Q170&gt;0.050, I170&lt;85), "WARNING", "PASS"))</f>
        <v/>
      </c>
    </row>
    <row r="171">
      <c r="A171" s="17" t="inlineStr">
        <is>
          <t>SMP-CH01-1170</t>
        </is>
      </c>
      <c r="B171" s="40" t="n">
        <v>45348</v>
      </c>
      <c r="C171" s="17" t="inlineStr">
        <is>
          <t>Shift_B</t>
        </is>
      </c>
      <c r="D171" s="17" t="inlineStr">
        <is>
          <t>Martitic Ore</t>
        </is>
      </c>
      <c r="E171" s="17" t="inlineStr">
        <is>
          <t>Martite / Semi-oxidized Magnetite</t>
        </is>
      </c>
      <c r="F171" s="19" t="n">
        <v>64.14</v>
      </c>
      <c r="G171" s="19" t="n">
        <v>19.32</v>
      </c>
      <c r="H171" s="19" t="n">
        <v>49.94</v>
      </c>
      <c r="I171" s="19">
        <f>H171/F171*100</f>
        <v/>
      </c>
      <c r="J171" s="19" t="n">
        <v>4.68</v>
      </c>
      <c r="K171" s="19" t="n">
        <v>1.44</v>
      </c>
      <c r="L171" s="19" t="n">
        <v>0.4</v>
      </c>
      <c r="M171" s="19" t="n">
        <v>0.85</v>
      </c>
      <c r="N171" s="19">
        <f>(L171+M171)/(J171+K171)</f>
        <v/>
      </c>
      <c r="O171" s="20" t="n">
        <v>0.0283</v>
      </c>
      <c r="P171" s="20" t="n">
        <v>0.0624</v>
      </c>
      <c r="Q171" s="20" t="n">
        <v>0.0837</v>
      </c>
      <c r="R171" s="19" t="n">
        <v>0.75</v>
      </c>
      <c r="S171" s="17" t="inlineStr">
        <is>
          <t>Hard (Wi 15.5-17.0)</t>
        </is>
      </c>
      <c r="T171" s="21" t="inlineStr">
        <is>
          <t>Martitization alert: Low LIMS recovery; requires WHIMS or higher drum RPM.</t>
        </is>
      </c>
      <c r="U171" s="17">
        <f>IF(OR(O171&gt;0.035, Q171&gt;0.060, I171&lt;80), "REJECT", IF(OR(O171&gt;0.028, Q171&gt;0.050, I171&lt;85), "WARNING", "PASS"))</f>
        <v/>
      </c>
    </row>
    <row r="172">
      <c r="A172" s="12" t="inlineStr">
        <is>
          <t>SMP-CH01-1171</t>
        </is>
      </c>
      <c r="B172" s="39" t="n">
        <v>45348</v>
      </c>
      <c r="C172" s="12" t="inlineStr">
        <is>
          <t>Shift_C</t>
        </is>
      </c>
      <c r="D172" s="12" t="inlineStr">
        <is>
          <t>Primary Magnetite</t>
        </is>
      </c>
      <c r="E172" s="12" t="inlineStr">
        <is>
          <t>Magnetite</t>
        </is>
      </c>
      <c r="F172" s="14" t="n">
        <v>67.81999999999999</v>
      </c>
      <c r="G172" s="14" t="n">
        <v>26.31</v>
      </c>
      <c r="H172" s="14" t="n">
        <v>65.76000000000001</v>
      </c>
      <c r="I172" s="14">
        <f>H172/F172*100</f>
        <v/>
      </c>
      <c r="J172" s="14" t="n">
        <v>3.38</v>
      </c>
      <c r="K172" s="14" t="n">
        <v>0.55</v>
      </c>
      <c r="L172" s="14" t="n">
        <v>0.48</v>
      </c>
      <c r="M172" s="14" t="n">
        <v>0.55</v>
      </c>
      <c r="N172" s="14">
        <f>(L172+M172)/(J172+K172)</f>
        <v/>
      </c>
      <c r="O172" s="15" t="n">
        <v>0.0272</v>
      </c>
      <c r="P172" s="15" t="n">
        <v>0.0431</v>
      </c>
      <c r="Q172" s="15" t="n">
        <v>0.0286</v>
      </c>
      <c r="R172" s="14" t="n">
        <v>0.4</v>
      </c>
      <c r="S172" s="12" t="inlineStr">
        <is>
          <t>Medium (Wi 13.5-14.5)</t>
        </is>
      </c>
      <c r="T172" s="16" t="inlineStr">
        <is>
          <t>Standard DR-Grade; High exothermic heat during induration.</t>
        </is>
      </c>
      <c r="U172" s="12">
        <f>IF(OR(O172&gt;0.035, Q172&gt;0.060, I172&lt;80), "REJECT", IF(OR(O172&gt;0.028, Q172&gt;0.050, I172&lt;85), "WARNING", "PASS"))</f>
        <v/>
      </c>
    </row>
    <row r="173">
      <c r="A173" s="17" t="inlineStr">
        <is>
          <t>SMP-CH01-1172</t>
        </is>
      </c>
      <c r="B173" s="40" t="n">
        <v>45349</v>
      </c>
      <c r="C173" s="17" t="inlineStr">
        <is>
          <t>Shift_A</t>
        </is>
      </c>
      <c r="D173" s="17" t="inlineStr">
        <is>
          <t>Hematite-Goethite / Weathered Skarn</t>
        </is>
      </c>
      <c r="E173" s="17" t="inlineStr">
        <is>
          <t>Goethite / Quartz-rich Hematite</t>
        </is>
      </c>
      <c r="F173" s="19" t="n">
        <v>62.28</v>
      </c>
      <c r="G173" s="19" t="n">
        <v>4.19</v>
      </c>
      <c r="H173" s="19" t="n">
        <v>30.23</v>
      </c>
      <c r="I173" s="19">
        <f>H173/F173*100</f>
        <v/>
      </c>
      <c r="J173" s="19" t="n">
        <v>4.71</v>
      </c>
      <c r="K173" s="19" t="n">
        <v>1.54</v>
      </c>
      <c r="L173" s="19" t="n">
        <v>0.58</v>
      </c>
      <c r="M173" s="19" t="n">
        <v>1.24</v>
      </c>
      <c r="N173" s="19">
        <f>(L173+M173)/(J173+K173)</f>
        <v/>
      </c>
      <c r="O173" s="20" t="n">
        <v>0.016</v>
      </c>
      <c r="P173" s="20" t="n">
        <v>0.2205</v>
      </c>
      <c r="Q173" s="20" t="n">
        <v>0.0961</v>
      </c>
      <c r="R173" s="19" t="n">
        <v>5.45</v>
      </c>
      <c r="S173" s="17" t="inlineStr">
        <is>
          <t>Variable / Highly Abrasive (Quartz)</t>
        </is>
      </c>
      <c r="T173" s="21" t="inlineStr">
        <is>
          <t>High LOI &amp; Alkalis: Risk of pellet swelling/whisker &amp; filter cloth blinding.</t>
        </is>
      </c>
      <c r="U173" s="17">
        <f>IF(OR(O173&gt;0.035, Q173&gt;0.060, I173&lt;80), "REJECT", IF(OR(O173&gt;0.028, Q173&gt;0.050, I173&lt;85), "WARNING", "PASS"))</f>
        <v/>
      </c>
    </row>
    <row r="174">
      <c r="A174" s="12" t="inlineStr">
        <is>
          <t>SMP-CH01-1173</t>
        </is>
      </c>
      <c r="B174" s="39" t="n">
        <v>45349</v>
      </c>
      <c r="C174" s="12" t="inlineStr">
        <is>
          <t>Shift_B</t>
        </is>
      </c>
      <c r="D174" s="12" t="inlineStr">
        <is>
          <t>Hematite-Goethite / Weathered Skarn</t>
        </is>
      </c>
      <c r="E174" s="12" t="inlineStr">
        <is>
          <t>Goethite / Quartz-rich Hematite</t>
        </is>
      </c>
      <c r="F174" s="14" t="n">
        <v>63.89</v>
      </c>
      <c r="G174" s="14" t="n">
        <v>5.08</v>
      </c>
      <c r="H174" s="14" t="n">
        <v>33.59</v>
      </c>
      <c r="I174" s="14">
        <f>H174/F174*100</f>
        <v/>
      </c>
      <c r="J174" s="14" t="n">
        <v>5.4</v>
      </c>
      <c r="K174" s="14" t="n">
        <v>2.27</v>
      </c>
      <c r="L174" s="14" t="n">
        <v>0.66</v>
      </c>
      <c r="M174" s="14" t="n">
        <v>0.87</v>
      </c>
      <c r="N174" s="14">
        <f>(L174+M174)/(J174+K174)</f>
        <v/>
      </c>
      <c r="O174" s="15" t="n">
        <v>0.0631</v>
      </c>
      <c r="P174" s="15" t="n">
        <v>0.1883</v>
      </c>
      <c r="Q174" s="15" t="n">
        <v>0.0788</v>
      </c>
      <c r="R174" s="14" t="n">
        <v>7.35</v>
      </c>
      <c r="S174" s="12" t="inlineStr">
        <is>
          <t>Variable / Highly Abrasive (Quartz)</t>
        </is>
      </c>
      <c r="T174" s="16" t="inlineStr">
        <is>
          <t>High LOI &amp; Alkalis: Risk of pellet swelling/whisker &amp; filter cloth blinding.</t>
        </is>
      </c>
      <c r="U174" s="12">
        <f>IF(OR(O174&gt;0.035, Q174&gt;0.060, I174&lt;80), "REJECT", IF(OR(O174&gt;0.028, Q174&gt;0.050, I174&lt;85), "WARNING", "PASS"))</f>
        <v/>
      </c>
    </row>
    <row r="175">
      <c r="A175" s="17" t="inlineStr">
        <is>
          <t>SMP-CH01-1174</t>
        </is>
      </c>
      <c r="B175" s="40" t="n">
        <v>45349</v>
      </c>
      <c r="C175" s="17" t="inlineStr">
        <is>
          <t>Shift_C</t>
        </is>
      </c>
      <c r="D175" s="17" t="inlineStr">
        <is>
          <t>Martitic Ore</t>
        </is>
      </c>
      <c r="E175" s="17" t="inlineStr">
        <is>
          <t>Martite / Semi-oxidized Magnetite</t>
        </is>
      </c>
      <c r="F175" s="19" t="n">
        <v>65.44</v>
      </c>
      <c r="G175" s="19" t="n">
        <v>19.55</v>
      </c>
      <c r="H175" s="19" t="n">
        <v>52.55</v>
      </c>
      <c r="I175" s="19">
        <f>H175/F175*100</f>
        <v/>
      </c>
      <c r="J175" s="19" t="n">
        <v>3.02</v>
      </c>
      <c r="K175" s="19" t="n">
        <v>0.61</v>
      </c>
      <c r="L175" s="19" t="n">
        <v>0.47</v>
      </c>
      <c r="M175" s="19" t="n">
        <v>0.92</v>
      </c>
      <c r="N175" s="19">
        <f>(L175+M175)/(J175+K175)</f>
        <v/>
      </c>
      <c r="O175" s="20" t="n">
        <v>0.0396</v>
      </c>
      <c r="P175" s="20" t="n">
        <v>0.07779999999999999</v>
      </c>
      <c r="Q175" s="20" t="n">
        <v>0.0607</v>
      </c>
      <c r="R175" s="19" t="n">
        <v>1.35</v>
      </c>
      <c r="S175" s="17" t="inlineStr">
        <is>
          <t>Hard (Wi 15.5-17.0)</t>
        </is>
      </c>
      <c r="T175" s="21" t="inlineStr">
        <is>
          <t>Martitization alert: Low LIMS recovery; requires WHIMS or higher drum RPM.</t>
        </is>
      </c>
      <c r="U175" s="17">
        <f>IF(OR(O175&gt;0.035, Q175&gt;0.060, I175&lt;80), "REJECT", IF(OR(O175&gt;0.028, Q175&gt;0.050, I175&lt;85), "WARNING", "PASS"))</f>
        <v/>
      </c>
    </row>
    <row r="176">
      <c r="A176" s="12" t="inlineStr">
        <is>
          <t>SMP-CH01-1175</t>
        </is>
      </c>
      <c r="B176" s="39" t="n">
        <v>45350</v>
      </c>
      <c r="C176" s="12" t="inlineStr">
        <is>
          <t>Shift_A</t>
        </is>
      </c>
      <c r="D176" s="12" t="inlineStr">
        <is>
          <t>Martitic Ore</t>
        </is>
      </c>
      <c r="E176" s="12" t="inlineStr">
        <is>
          <t>Martite / Semi-oxidized Magnetite</t>
        </is>
      </c>
      <c r="F176" s="14" t="n">
        <v>66.43000000000001</v>
      </c>
      <c r="G176" s="14" t="n">
        <v>21.65</v>
      </c>
      <c r="H176" s="14" t="n">
        <v>53.96</v>
      </c>
      <c r="I176" s="14">
        <f>H176/F176*100</f>
        <v/>
      </c>
      <c r="J176" s="14" t="n">
        <v>3.32</v>
      </c>
      <c r="K176" s="14" t="n">
        <v>1.1</v>
      </c>
      <c r="L176" s="14" t="n">
        <v>0.6</v>
      </c>
      <c r="M176" s="14" t="n">
        <v>0.6</v>
      </c>
      <c r="N176" s="14">
        <f>(L176+M176)/(J176+K176)</f>
        <v/>
      </c>
      <c r="O176" s="15" t="n">
        <v>0.0337</v>
      </c>
      <c r="P176" s="15" t="n">
        <v>0.0445</v>
      </c>
      <c r="Q176" s="15" t="n">
        <v>0.0517</v>
      </c>
      <c r="R176" s="14" t="n">
        <v>0.71</v>
      </c>
      <c r="S176" s="12" t="inlineStr">
        <is>
          <t>Hard (Wi 15.5-17.0)</t>
        </is>
      </c>
      <c r="T176" s="16" t="inlineStr">
        <is>
          <t>Martitization alert: Low LIMS recovery; requires WHIMS or higher drum RPM.</t>
        </is>
      </c>
      <c r="U176" s="12">
        <f>IF(OR(O176&gt;0.035, Q176&gt;0.060, I176&lt;80), "REJECT", IF(OR(O176&gt;0.028, Q176&gt;0.050, I176&lt;85), "WARNING", "PASS"))</f>
        <v/>
      </c>
    </row>
    <row r="177">
      <c r="A177" s="17" t="inlineStr">
        <is>
          <t>SMP-CH01-1176</t>
        </is>
      </c>
      <c r="B177" s="40" t="n">
        <v>45350</v>
      </c>
      <c r="C177" s="17" t="inlineStr">
        <is>
          <t>Shift_B</t>
        </is>
      </c>
      <c r="D177" s="17" t="inlineStr">
        <is>
          <t>Primary Magnetite</t>
        </is>
      </c>
      <c r="E177" s="17" t="inlineStr">
        <is>
          <t>Magnetite</t>
        </is>
      </c>
      <c r="F177" s="19" t="n">
        <v>65.54000000000001</v>
      </c>
      <c r="G177" s="19" t="n">
        <v>24.28</v>
      </c>
      <c r="H177" s="19" t="n">
        <v>60.82</v>
      </c>
      <c r="I177" s="19">
        <f>H177/F177*100</f>
        <v/>
      </c>
      <c r="J177" s="19" t="n">
        <v>1.55</v>
      </c>
      <c r="K177" s="19" t="n">
        <v>0.63</v>
      </c>
      <c r="L177" s="19" t="n">
        <v>0.45</v>
      </c>
      <c r="M177" s="19" t="n">
        <v>0.53</v>
      </c>
      <c r="N177" s="19">
        <f>(L177+M177)/(J177+K177)</f>
        <v/>
      </c>
      <c r="O177" s="20" t="n">
        <v>0.026</v>
      </c>
      <c r="P177" s="20" t="n">
        <v>0.0591</v>
      </c>
      <c r="Q177" s="20" t="n">
        <v>0.0251</v>
      </c>
      <c r="R177" s="19" t="n">
        <v>0.29</v>
      </c>
      <c r="S177" s="17" t="inlineStr">
        <is>
          <t>Medium (Wi 13.5-14.5)</t>
        </is>
      </c>
      <c r="T177" s="21" t="inlineStr">
        <is>
          <t>Standard DR-Grade; High exothermic heat during induration.</t>
        </is>
      </c>
      <c r="U177" s="17">
        <f>IF(OR(O177&gt;0.035, Q177&gt;0.060, I177&lt;80), "REJECT", IF(OR(O177&gt;0.028, Q177&gt;0.050, I177&lt;85), "WARNING", "PASS"))</f>
        <v/>
      </c>
    </row>
    <row r="178">
      <c r="A178" s="12" t="inlineStr">
        <is>
          <t>SMP-CH01-1177</t>
        </is>
      </c>
      <c r="B178" s="39" t="n">
        <v>45350</v>
      </c>
      <c r="C178" s="12" t="inlineStr">
        <is>
          <t>Shift_C</t>
        </is>
      </c>
      <c r="D178" s="12" t="inlineStr">
        <is>
          <t>Primary Magnetite</t>
        </is>
      </c>
      <c r="E178" s="12" t="inlineStr">
        <is>
          <t>Magnetite</t>
        </is>
      </c>
      <c r="F178" s="14" t="n">
        <v>68.55</v>
      </c>
      <c r="G178" s="14" t="n">
        <v>27.51</v>
      </c>
      <c r="H178" s="14" t="n">
        <v>66.79000000000001</v>
      </c>
      <c r="I178" s="14">
        <f>H178/F178*100</f>
        <v/>
      </c>
      <c r="J178" s="14" t="n">
        <v>2.19</v>
      </c>
      <c r="K178" s="14" t="n">
        <v>0.5600000000000001</v>
      </c>
      <c r="L178" s="14" t="n">
        <v>0.51</v>
      </c>
      <c r="M178" s="14" t="n">
        <v>0.42</v>
      </c>
      <c r="N178" s="14">
        <f>(L178+M178)/(J178+K178)</f>
        <v/>
      </c>
      <c r="O178" s="15" t="n">
        <v>0.0212</v>
      </c>
      <c r="P178" s="15" t="n">
        <v>0.0462</v>
      </c>
      <c r="Q178" s="15" t="n">
        <v>0.0382</v>
      </c>
      <c r="R178" s="14" t="n">
        <v>0.15</v>
      </c>
      <c r="S178" s="12" t="inlineStr">
        <is>
          <t>Medium (Wi 13.5-14.5)</t>
        </is>
      </c>
      <c r="T178" s="16" t="inlineStr">
        <is>
          <t>Standard DR-Grade; High exothermic heat during induration.</t>
        </is>
      </c>
      <c r="U178" s="12">
        <f>IF(OR(O178&gt;0.035, Q178&gt;0.060, I178&lt;80), "REJECT", IF(OR(O178&gt;0.028, Q178&gt;0.050, I178&lt;85), "WARNING", "PASS"))</f>
        <v/>
      </c>
    </row>
    <row r="179">
      <c r="A179" s="17" t="inlineStr">
        <is>
          <t>SMP-CH01-1178</t>
        </is>
      </c>
      <c r="B179" s="40" t="n">
        <v>45351</v>
      </c>
      <c r="C179" s="17" t="inlineStr">
        <is>
          <t>Shift_A</t>
        </is>
      </c>
      <c r="D179" s="17" t="inlineStr">
        <is>
          <t>Martitic Ore</t>
        </is>
      </c>
      <c r="E179" s="17" t="inlineStr">
        <is>
          <t>Martite / Semi-oxidized Magnetite</t>
        </is>
      </c>
      <c r="F179" s="19" t="n">
        <v>67.59999999999999</v>
      </c>
      <c r="G179" s="19" t="n">
        <v>20.57</v>
      </c>
      <c r="H179" s="19" t="n">
        <v>49.67</v>
      </c>
      <c r="I179" s="19">
        <f>H179/F179*100</f>
        <v/>
      </c>
      <c r="J179" s="19" t="n">
        <v>1.38</v>
      </c>
      <c r="K179" s="19" t="n">
        <v>1</v>
      </c>
      <c r="L179" s="19" t="n">
        <v>0.77</v>
      </c>
      <c r="M179" s="19" t="n">
        <v>1</v>
      </c>
      <c r="N179" s="19">
        <f>(L179+M179)/(J179+K179)</f>
        <v/>
      </c>
      <c r="O179" s="20" t="n">
        <v>0.0337</v>
      </c>
      <c r="P179" s="20" t="n">
        <v>0.0527</v>
      </c>
      <c r="Q179" s="20" t="n">
        <v>0.0617</v>
      </c>
      <c r="R179" s="19" t="n">
        <v>0.91</v>
      </c>
      <c r="S179" s="17" t="inlineStr">
        <is>
          <t>Hard (Wi 15.5-17.0)</t>
        </is>
      </c>
      <c r="T179" s="21" t="inlineStr">
        <is>
          <t>Martitization alert: Low LIMS recovery; requires WHIMS or higher drum RPM.</t>
        </is>
      </c>
      <c r="U179" s="17">
        <f>IF(OR(O179&gt;0.035, Q179&gt;0.060, I179&lt;80), "REJECT", IF(OR(O179&gt;0.028, Q179&gt;0.050, I179&lt;85), "WARNING", "PASS"))</f>
        <v/>
      </c>
    </row>
    <row r="180">
      <c r="A180" s="12" t="inlineStr">
        <is>
          <t>SMP-CH01-1179</t>
        </is>
      </c>
      <c r="B180" s="39" t="n">
        <v>45351</v>
      </c>
      <c r="C180" s="12" t="inlineStr">
        <is>
          <t>Shift_B</t>
        </is>
      </c>
      <c r="D180" s="12" t="inlineStr">
        <is>
          <t>Martitic Ore</t>
        </is>
      </c>
      <c r="E180" s="12" t="inlineStr">
        <is>
          <t>Martite / Semi-oxidized Magnetite</t>
        </is>
      </c>
      <c r="F180" s="14" t="n">
        <v>66.15000000000001</v>
      </c>
      <c r="G180" s="14" t="n">
        <v>19.28</v>
      </c>
      <c r="H180" s="14" t="n">
        <v>51.76</v>
      </c>
      <c r="I180" s="14">
        <f>H180/F180*100</f>
        <v/>
      </c>
      <c r="J180" s="14" t="n">
        <v>4.9</v>
      </c>
      <c r="K180" s="14" t="n">
        <v>0.77</v>
      </c>
      <c r="L180" s="14" t="n">
        <v>0.66</v>
      </c>
      <c r="M180" s="14" t="n">
        <v>0.38</v>
      </c>
      <c r="N180" s="14">
        <f>(L180+M180)/(J180+K180)</f>
        <v/>
      </c>
      <c r="O180" s="15" t="n">
        <v>0.0318</v>
      </c>
      <c r="P180" s="15" t="n">
        <v>0.07340000000000001</v>
      </c>
      <c r="Q180" s="15" t="n">
        <v>0.0406</v>
      </c>
      <c r="R180" s="14" t="n">
        <v>1.01</v>
      </c>
      <c r="S180" s="12" t="inlineStr">
        <is>
          <t>Hard (Wi 15.5-17.0)</t>
        </is>
      </c>
      <c r="T180" s="16" t="inlineStr">
        <is>
          <t>Martitization alert: Low LIMS recovery; requires WHIMS or higher drum RPM.</t>
        </is>
      </c>
      <c r="U180" s="12">
        <f>IF(OR(O180&gt;0.035, Q180&gt;0.060, I180&lt;80), "REJECT", IF(OR(O180&gt;0.028, Q180&gt;0.050, I180&lt;85), "WARNING", "PASS"))</f>
        <v/>
      </c>
    </row>
    <row r="181">
      <c r="A181" s="17" t="inlineStr">
        <is>
          <t>SMP-CH01-1180</t>
        </is>
      </c>
      <c r="B181" s="40" t="n">
        <v>45351</v>
      </c>
      <c r="C181" s="17" t="inlineStr">
        <is>
          <t>Shift_C</t>
        </is>
      </c>
      <c r="D181" s="17" t="inlineStr">
        <is>
          <t>Primary Magnetite</t>
        </is>
      </c>
      <c r="E181" s="17" t="inlineStr">
        <is>
          <t>Magnetite</t>
        </is>
      </c>
      <c r="F181" s="19" t="n">
        <v>67.52</v>
      </c>
      <c r="G181" s="19" t="n">
        <v>25.65</v>
      </c>
      <c r="H181" s="19" t="n">
        <v>64.59</v>
      </c>
      <c r="I181" s="19">
        <f>H181/F181*100</f>
        <v/>
      </c>
      <c r="J181" s="19" t="n">
        <v>2.91</v>
      </c>
      <c r="K181" s="19" t="n">
        <v>0.47</v>
      </c>
      <c r="L181" s="19" t="n">
        <v>0.38</v>
      </c>
      <c r="M181" s="19" t="n">
        <v>0.6</v>
      </c>
      <c r="N181" s="19">
        <f>(L181+M181)/(J181+K181)</f>
        <v/>
      </c>
      <c r="O181" s="20" t="n">
        <v>0.0139</v>
      </c>
      <c r="P181" s="20" t="n">
        <v>0.0327</v>
      </c>
      <c r="Q181" s="20" t="n">
        <v>0.0342</v>
      </c>
      <c r="R181" s="19" t="n">
        <v>0.53</v>
      </c>
      <c r="S181" s="17" t="inlineStr">
        <is>
          <t>Medium (Wi 13.5-14.5)</t>
        </is>
      </c>
      <c r="T181" s="21" t="inlineStr">
        <is>
          <t>Standard DR-Grade; High exothermic heat during induration.</t>
        </is>
      </c>
      <c r="U181" s="17">
        <f>IF(OR(O181&gt;0.035, Q181&gt;0.060, I181&lt;80), "REJECT", IF(OR(O181&gt;0.028, Q181&gt;0.050, I181&lt;85), "WARNING", "PASS"))</f>
        <v/>
      </c>
    </row>
    <row r="182">
      <c r="A182" s="12" t="inlineStr">
        <is>
          <t>SMP-CH01-1181</t>
        </is>
      </c>
      <c r="B182" s="39" t="n">
        <v>45352</v>
      </c>
      <c r="C182" s="12" t="inlineStr">
        <is>
          <t>Shift_A</t>
        </is>
      </c>
      <c r="D182" s="12" t="inlineStr">
        <is>
          <t>Martitic Ore</t>
        </is>
      </c>
      <c r="E182" s="12" t="inlineStr">
        <is>
          <t>Martite / Semi-oxidized Magnetite</t>
        </is>
      </c>
      <c r="F182" s="14" t="n">
        <v>65.56</v>
      </c>
      <c r="G182" s="14" t="n">
        <v>20.96</v>
      </c>
      <c r="H182" s="14" t="n">
        <v>54.36</v>
      </c>
      <c r="I182" s="14">
        <f>H182/F182*100</f>
        <v/>
      </c>
      <c r="J182" s="14" t="n">
        <v>4.56</v>
      </c>
      <c r="K182" s="14" t="n">
        <v>0.93</v>
      </c>
      <c r="L182" s="14" t="n">
        <v>0.79</v>
      </c>
      <c r="M182" s="14" t="n">
        <v>1.06</v>
      </c>
      <c r="N182" s="14">
        <f>(L182+M182)/(J182+K182)</f>
        <v/>
      </c>
      <c r="O182" s="15" t="n">
        <v>0.0214</v>
      </c>
      <c r="P182" s="15" t="n">
        <v>0.0781</v>
      </c>
      <c r="Q182" s="15" t="n">
        <v>0.0422</v>
      </c>
      <c r="R182" s="14" t="n">
        <v>1.26</v>
      </c>
      <c r="S182" s="12" t="inlineStr">
        <is>
          <t>Hard (Wi 15.5-17.0)</t>
        </is>
      </c>
      <c r="T182" s="16" t="inlineStr">
        <is>
          <t>Martitization alert: Low LIMS recovery; requires WHIMS or higher drum RPM.</t>
        </is>
      </c>
      <c r="U182" s="12">
        <f>IF(OR(O182&gt;0.035, Q182&gt;0.060, I182&lt;80), "REJECT", IF(OR(O182&gt;0.028, Q182&gt;0.050, I182&lt;85), "WARNING", "PASS"))</f>
        <v/>
      </c>
    </row>
    <row r="183">
      <c r="A183" s="17" t="inlineStr">
        <is>
          <t>SMP-CH01-1182</t>
        </is>
      </c>
      <c r="B183" s="40" t="n">
        <v>45352</v>
      </c>
      <c r="C183" s="17" t="inlineStr">
        <is>
          <t>Shift_B</t>
        </is>
      </c>
      <c r="D183" s="17" t="inlineStr">
        <is>
          <t>Martitic Ore</t>
        </is>
      </c>
      <c r="E183" s="17" t="inlineStr">
        <is>
          <t>Martite / Semi-oxidized Magnetite</t>
        </is>
      </c>
      <c r="F183" s="19" t="n">
        <v>65.90000000000001</v>
      </c>
      <c r="G183" s="19" t="n">
        <v>22.19</v>
      </c>
      <c r="H183" s="19" t="n">
        <v>54.97</v>
      </c>
      <c r="I183" s="19">
        <f>H183/F183*100</f>
        <v/>
      </c>
      <c r="J183" s="19" t="n">
        <v>3.31</v>
      </c>
      <c r="K183" s="19" t="n">
        <v>0.87</v>
      </c>
      <c r="L183" s="19" t="n">
        <v>0.62</v>
      </c>
      <c r="M183" s="19" t="n">
        <v>0.99</v>
      </c>
      <c r="N183" s="19">
        <f>(L183+M183)/(J183+K183)</f>
        <v/>
      </c>
      <c r="O183" s="20" t="n">
        <v>0.0309</v>
      </c>
      <c r="P183" s="20" t="n">
        <v>0.0537</v>
      </c>
      <c r="Q183" s="20" t="n">
        <v>0.052</v>
      </c>
      <c r="R183" s="19" t="n">
        <v>1.38</v>
      </c>
      <c r="S183" s="17" t="inlineStr">
        <is>
          <t>Hard (Wi 15.5-17.0)</t>
        </is>
      </c>
      <c r="T183" s="21" t="inlineStr">
        <is>
          <t>Martitization alert: Low LIMS recovery; requires WHIMS or higher drum RPM.</t>
        </is>
      </c>
      <c r="U183" s="17">
        <f>IF(OR(O183&gt;0.035, Q183&gt;0.060, I183&lt;80), "REJECT", IF(OR(O183&gt;0.028, Q183&gt;0.050, I183&lt;85), "WARNING", "PASS"))</f>
        <v/>
      </c>
    </row>
    <row r="184">
      <c r="A184" s="12" t="inlineStr">
        <is>
          <t>SMP-CH01-1183</t>
        </is>
      </c>
      <c r="B184" s="39" t="n">
        <v>45352</v>
      </c>
      <c r="C184" s="12" t="inlineStr">
        <is>
          <t>Shift_C</t>
        </is>
      </c>
      <c r="D184" s="12" t="inlineStr">
        <is>
          <t>Primary Magnetite</t>
        </is>
      </c>
      <c r="E184" s="12" t="inlineStr">
        <is>
          <t>Magnetite</t>
        </is>
      </c>
      <c r="F184" s="14" t="n">
        <v>65.77</v>
      </c>
      <c r="G184" s="14" t="n">
        <v>25.09</v>
      </c>
      <c r="H184" s="14" t="n">
        <v>61.13</v>
      </c>
      <c r="I184" s="14">
        <f>H184/F184*100</f>
        <v/>
      </c>
      <c r="J184" s="14" t="n">
        <v>2.4</v>
      </c>
      <c r="K184" s="14" t="n">
        <v>0.79</v>
      </c>
      <c r="L184" s="14" t="n">
        <v>0.42</v>
      </c>
      <c r="M184" s="14" t="n">
        <v>0.59</v>
      </c>
      <c r="N184" s="14">
        <f>(L184+M184)/(J184+K184)</f>
        <v/>
      </c>
      <c r="O184" s="15" t="n">
        <v>0.0249</v>
      </c>
      <c r="P184" s="15" t="n">
        <v>0.0394</v>
      </c>
      <c r="Q184" s="15" t="n">
        <v>0.0548</v>
      </c>
      <c r="R184" s="14" t="n">
        <v>0.36</v>
      </c>
      <c r="S184" s="12" t="inlineStr">
        <is>
          <t>Medium (Wi 13.5-14.5)</t>
        </is>
      </c>
      <c r="T184" s="16" t="inlineStr">
        <is>
          <t>Standard DR-Grade; High exothermic heat during induration.</t>
        </is>
      </c>
      <c r="U184" s="12">
        <f>IF(OR(O184&gt;0.035, Q184&gt;0.060, I184&lt;80), "REJECT", IF(OR(O184&gt;0.028, Q184&gt;0.050, I184&lt;85), "WARNING", "PASS"))</f>
        <v/>
      </c>
    </row>
    <row r="185">
      <c r="A185" s="17" t="inlineStr">
        <is>
          <t>SMP-CH01-1184</t>
        </is>
      </c>
      <c r="B185" s="40" t="n">
        <v>45353</v>
      </c>
      <c r="C185" s="17" t="inlineStr">
        <is>
          <t>Shift_A</t>
        </is>
      </c>
      <c r="D185" s="17" t="inlineStr">
        <is>
          <t>Martitic Ore</t>
        </is>
      </c>
      <c r="E185" s="17" t="inlineStr">
        <is>
          <t>Martite / Semi-oxidized Magnetite</t>
        </is>
      </c>
      <c r="F185" s="19" t="n">
        <v>66.34999999999999</v>
      </c>
      <c r="G185" s="19" t="n">
        <v>20.04</v>
      </c>
      <c r="H185" s="19" t="n">
        <v>52.61</v>
      </c>
      <c r="I185" s="19">
        <f>H185/F185*100</f>
        <v/>
      </c>
      <c r="J185" s="19" t="n">
        <v>4.1</v>
      </c>
      <c r="K185" s="19" t="n">
        <v>0.72</v>
      </c>
      <c r="L185" s="19" t="n">
        <v>0.45</v>
      </c>
      <c r="M185" s="19" t="n">
        <v>0.98</v>
      </c>
      <c r="N185" s="19">
        <f>(L185+M185)/(J185+K185)</f>
        <v/>
      </c>
      <c r="O185" s="20" t="n">
        <v>0.0225</v>
      </c>
      <c r="P185" s="20" t="n">
        <v>0.1061</v>
      </c>
      <c r="Q185" s="20" t="n">
        <v>0.0412</v>
      </c>
      <c r="R185" s="19" t="n">
        <v>1.39</v>
      </c>
      <c r="S185" s="17" t="inlineStr">
        <is>
          <t>Hard (Wi 15.5-17.0)</t>
        </is>
      </c>
      <c r="T185" s="21" t="inlineStr">
        <is>
          <t>Martitization alert: Low LIMS recovery; requires WHIMS or higher drum RPM.</t>
        </is>
      </c>
      <c r="U185" s="17">
        <f>IF(OR(O185&gt;0.035, Q185&gt;0.060, I185&lt;80), "REJECT", IF(OR(O185&gt;0.028, Q185&gt;0.050, I185&lt;85), "WARNING", "PASS"))</f>
        <v/>
      </c>
    </row>
    <row r="186">
      <c r="A186" s="12" t="inlineStr">
        <is>
          <t>SMP-CH01-1185</t>
        </is>
      </c>
      <c r="B186" s="39" t="n">
        <v>45353</v>
      </c>
      <c r="C186" s="12" t="inlineStr">
        <is>
          <t>Shift_B</t>
        </is>
      </c>
      <c r="D186" s="12" t="inlineStr">
        <is>
          <t>Hematite-Goethite / Weathered Skarn</t>
        </is>
      </c>
      <c r="E186" s="12" t="inlineStr">
        <is>
          <t>Goethite / Quartz-rich Hematite</t>
        </is>
      </c>
      <c r="F186" s="14" t="n">
        <v>59.74</v>
      </c>
      <c r="G186" s="14" t="n">
        <v>3</v>
      </c>
      <c r="H186" s="14" t="n">
        <v>21.71</v>
      </c>
      <c r="I186" s="14">
        <f>H186/F186*100</f>
        <v/>
      </c>
      <c r="J186" s="14" t="n">
        <v>4.1</v>
      </c>
      <c r="K186" s="14" t="n">
        <v>1.1</v>
      </c>
      <c r="L186" s="14" t="n">
        <v>0.72</v>
      </c>
      <c r="M186" s="14" t="n">
        <v>0.52</v>
      </c>
      <c r="N186" s="14">
        <f>(L186+M186)/(J186+K186)</f>
        <v/>
      </c>
      <c r="O186" s="15" t="n">
        <v>0.031</v>
      </c>
      <c r="P186" s="15" t="n">
        <v>0.0863</v>
      </c>
      <c r="Q186" s="15" t="n">
        <v>0.0222</v>
      </c>
      <c r="R186" s="14" t="n">
        <v>6.06</v>
      </c>
      <c r="S186" s="12" t="inlineStr">
        <is>
          <t>Variable / Highly Abrasive (Quartz)</t>
        </is>
      </c>
      <c r="T186" s="16" t="inlineStr">
        <is>
          <t>High LOI &amp; Alkalis: Risk of pellet swelling/whisker &amp; filter cloth blinding.</t>
        </is>
      </c>
      <c r="U186" s="12">
        <f>IF(OR(O186&gt;0.035, Q186&gt;0.060, I186&lt;80), "REJECT", IF(OR(O186&gt;0.028, Q186&gt;0.050, I186&lt;85), "WARNING", "PASS"))</f>
        <v/>
      </c>
    </row>
    <row r="187">
      <c r="A187" s="17" t="inlineStr">
        <is>
          <t>SMP-CH01-1186</t>
        </is>
      </c>
      <c r="B187" s="40" t="n">
        <v>45353</v>
      </c>
      <c r="C187" s="17" t="inlineStr">
        <is>
          <t>Shift_C</t>
        </is>
      </c>
      <c r="D187" s="17" t="inlineStr">
        <is>
          <t>Primary Magnetite</t>
        </is>
      </c>
      <c r="E187" s="17" t="inlineStr">
        <is>
          <t>Magnetite</t>
        </is>
      </c>
      <c r="F187" s="19" t="n">
        <v>64.61</v>
      </c>
      <c r="G187" s="19" t="n">
        <v>24.12</v>
      </c>
      <c r="H187" s="19" t="n">
        <v>58.2</v>
      </c>
      <c r="I187" s="19">
        <f>H187/F187*100</f>
        <v/>
      </c>
      <c r="J187" s="19" t="n">
        <v>2.51</v>
      </c>
      <c r="K187" s="19" t="n">
        <v>0.68</v>
      </c>
      <c r="L187" s="19" t="n">
        <v>0.33</v>
      </c>
      <c r="M187" s="19" t="n">
        <v>0.82</v>
      </c>
      <c r="N187" s="19">
        <f>(L187+M187)/(J187+K187)</f>
        <v/>
      </c>
      <c r="O187" s="20" t="n">
        <v>0.0263</v>
      </c>
      <c r="P187" s="20" t="n">
        <v>0.0558</v>
      </c>
      <c r="Q187" s="20" t="n">
        <v>0.0415</v>
      </c>
      <c r="R187" s="19" t="n">
        <v>0.4</v>
      </c>
      <c r="S187" s="17" t="inlineStr">
        <is>
          <t>Medium (Wi 13.5-14.5)</t>
        </is>
      </c>
      <c r="T187" s="21" t="inlineStr">
        <is>
          <t>Standard DR-Grade; High exothermic heat during induration.</t>
        </is>
      </c>
      <c r="U187" s="17">
        <f>IF(OR(O187&gt;0.035, Q187&gt;0.060, I187&lt;80), "REJECT", IF(OR(O187&gt;0.028, Q187&gt;0.050, I187&lt;85), "WARNING", "PASS"))</f>
        <v/>
      </c>
    </row>
    <row r="188">
      <c r="A188" s="12" t="inlineStr">
        <is>
          <t>SMP-CH01-1187</t>
        </is>
      </c>
      <c r="B188" s="39" t="n">
        <v>45354</v>
      </c>
      <c r="C188" s="12" t="inlineStr">
        <is>
          <t>Shift_A</t>
        </is>
      </c>
      <c r="D188" s="12" t="inlineStr">
        <is>
          <t>Primary Magnetite</t>
        </is>
      </c>
      <c r="E188" s="12" t="inlineStr">
        <is>
          <t>Magnetite</t>
        </is>
      </c>
      <c r="F188" s="14" t="n">
        <v>67.20999999999999</v>
      </c>
      <c r="G188" s="14" t="n">
        <v>24.48</v>
      </c>
      <c r="H188" s="14" t="n">
        <v>61.92</v>
      </c>
      <c r="I188" s="14">
        <f>H188/F188*100</f>
        <v/>
      </c>
      <c r="J188" s="14" t="n">
        <v>2.6</v>
      </c>
      <c r="K188" s="14" t="n">
        <v>0.75</v>
      </c>
      <c r="L188" s="14" t="n">
        <v>0.38</v>
      </c>
      <c r="M188" s="14" t="n">
        <v>0.33</v>
      </c>
      <c r="N188" s="14">
        <f>(L188+M188)/(J188+K188)</f>
        <v/>
      </c>
      <c r="O188" s="15" t="n">
        <v>0.0235</v>
      </c>
      <c r="P188" s="15" t="n">
        <v>0.0598</v>
      </c>
      <c r="Q188" s="15" t="n">
        <v>0.0272</v>
      </c>
      <c r="R188" s="14" t="n">
        <v>0.5</v>
      </c>
      <c r="S188" s="12" t="inlineStr">
        <is>
          <t>Medium (Wi 13.5-14.5)</t>
        </is>
      </c>
      <c r="T188" s="16" t="inlineStr">
        <is>
          <t>Standard DR-Grade; High exothermic heat during induration.</t>
        </is>
      </c>
      <c r="U188" s="12">
        <f>IF(OR(O188&gt;0.035, Q188&gt;0.060, I188&lt;80), "REJECT", IF(OR(O188&gt;0.028, Q188&gt;0.050, I188&lt;85), "WARNING", "PASS"))</f>
        <v/>
      </c>
    </row>
    <row r="189">
      <c r="A189" s="17" t="inlineStr">
        <is>
          <t>SMP-CH01-1188</t>
        </is>
      </c>
      <c r="B189" s="40" t="n">
        <v>45354</v>
      </c>
      <c r="C189" s="17" t="inlineStr">
        <is>
          <t>Shift_B</t>
        </is>
      </c>
      <c r="D189" s="17" t="inlineStr">
        <is>
          <t>Primary Magnetite</t>
        </is>
      </c>
      <c r="E189" s="17" t="inlineStr">
        <is>
          <t>Magnetite</t>
        </is>
      </c>
      <c r="F189" s="19" t="n">
        <v>68.31</v>
      </c>
      <c r="G189" s="19" t="n">
        <v>25.94</v>
      </c>
      <c r="H189" s="19" t="n">
        <v>63.66</v>
      </c>
      <c r="I189" s="19">
        <f>H189/F189*100</f>
        <v/>
      </c>
      <c r="J189" s="19" t="n">
        <v>2.45</v>
      </c>
      <c r="K189" s="19" t="n">
        <v>0.35</v>
      </c>
      <c r="L189" s="19" t="n">
        <v>0.43</v>
      </c>
      <c r="M189" s="19" t="n">
        <v>0.9</v>
      </c>
      <c r="N189" s="19">
        <f>(L189+M189)/(J189+K189)</f>
        <v/>
      </c>
      <c r="O189" s="20" t="n">
        <v>0.0221</v>
      </c>
      <c r="P189" s="20" t="n">
        <v>0.0485</v>
      </c>
      <c r="Q189" s="20" t="n">
        <v>0.0279</v>
      </c>
      <c r="R189" s="19" t="n">
        <v>0.31</v>
      </c>
      <c r="S189" s="17" t="inlineStr">
        <is>
          <t>Medium (Wi 13.5-14.5)</t>
        </is>
      </c>
      <c r="T189" s="21" t="inlineStr">
        <is>
          <t>Standard DR-Grade; High exothermic heat during induration.</t>
        </is>
      </c>
      <c r="U189" s="17">
        <f>IF(OR(O189&gt;0.035, Q189&gt;0.060, I189&lt;80), "REJECT", IF(OR(O189&gt;0.028, Q189&gt;0.050, I189&lt;85), "WARNING", "PASS"))</f>
        <v/>
      </c>
    </row>
    <row r="190">
      <c r="A190" s="12" t="inlineStr">
        <is>
          <t>SMP-CH01-1189</t>
        </is>
      </c>
      <c r="B190" s="39" t="n">
        <v>45354</v>
      </c>
      <c r="C190" s="12" t="inlineStr">
        <is>
          <t>Shift_C</t>
        </is>
      </c>
      <c r="D190" s="12" t="inlineStr">
        <is>
          <t>Primary Magnetite</t>
        </is>
      </c>
      <c r="E190" s="12" t="inlineStr">
        <is>
          <t>Magnetite</t>
        </is>
      </c>
      <c r="F190" s="14" t="n">
        <v>67.91</v>
      </c>
      <c r="G190" s="14" t="n">
        <v>27.41</v>
      </c>
      <c r="H190" s="14" t="n">
        <v>65.36</v>
      </c>
      <c r="I190" s="14">
        <f>H190/F190*100</f>
        <v/>
      </c>
      <c r="J190" s="14" t="n">
        <v>2</v>
      </c>
      <c r="K190" s="14" t="n">
        <v>0.65</v>
      </c>
      <c r="L190" s="14" t="n">
        <v>0.41</v>
      </c>
      <c r="M190" s="14" t="n">
        <v>0.46</v>
      </c>
      <c r="N190" s="14">
        <f>(L190+M190)/(J190+K190)</f>
        <v/>
      </c>
      <c r="O190" s="15" t="n">
        <v>0.0315</v>
      </c>
      <c r="P190" s="15" t="n">
        <v>0.0274</v>
      </c>
      <c r="Q190" s="15" t="n">
        <v>0.0448</v>
      </c>
      <c r="R190" s="14" t="n">
        <v>0.5</v>
      </c>
      <c r="S190" s="12" t="inlineStr">
        <is>
          <t>Medium (Wi 13.5-14.5)</t>
        </is>
      </c>
      <c r="T190" s="16" t="inlineStr">
        <is>
          <t>Standard DR-Grade; High exothermic heat during induration.</t>
        </is>
      </c>
      <c r="U190" s="12">
        <f>IF(OR(O190&gt;0.035, Q190&gt;0.060, I190&lt;80), "REJECT", IF(OR(O190&gt;0.028, Q190&gt;0.050, I190&lt;85), "WARNING", "PASS"))</f>
        <v/>
      </c>
    </row>
    <row r="191">
      <c r="A191" s="17" t="inlineStr">
        <is>
          <t>SMP-CH01-1190</t>
        </is>
      </c>
      <c r="B191" s="40" t="n">
        <v>45355</v>
      </c>
      <c r="C191" s="17" t="inlineStr">
        <is>
          <t>Shift_A</t>
        </is>
      </c>
      <c r="D191" s="17" t="inlineStr">
        <is>
          <t>Primary Magnetite</t>
        </is>
      </c>
      <c r="E191" s="17" t="inlineStr">
        <is>
          <t>Magnetite</t>
        </is>
      </c>
      <c r="F191" s="19" t="n">
        <v>67.22</v>
      </c>
      <c r="G191" s="19" t="n">
        <v>27.27</v>
      </c>
      <c r="H191" s="19" t="n">
        <v>63.02</v>
      </c>
      <c r="I191" s="19">
        <f>H191/F191*100</f>
        <v/>
      </c>
      <c r="J191" s="19" t="n">
        <v>2.34</v>
      </c>
      <c r="K191" s="19" t="n">
        <v>0.62</v>
      </c>
      <c r="L191" s="19" t="n">
        <v>0.37</v>
      </c>
      <c r="M191" s="19" t="n">
        <v>0.96</v>
      </c>
      <c r="N191" s="19">
        <f>(L191+M191)/(J191+K191)</f>
        <v/>
      </c>
      <c r="O191" s="20" t="n">
        <v>0.0124</v>
      </c>
      <c r="P191" s="20" t="n">
        <v>0.0478</v>
      </c>
      <c r="Q191" s="20" t="n">
        <v>0.0542</v>
      </c>
      <c r="R191" s="19" t="n">
        <v>0.4</v>
      </c>
      <c r="S191" s="17" t="inlineStr">
        <is>
          <t>Medium (Wi 13.5-14.5)</t>
        </is>
      </c>
      <c r="T191" s="21" t="inlineStr">
        <is>
          <t>Standard DR-Grade; High exothermic heat during induration.</t>
        </is>
      </c>
      <c r="U191" s="17">
        <f>IF(OR(O191&gt;0.035, Q191&gt;0.060, I191&lt;80), "REJECT", IF(OR(O191&gt;0.028, Q191&gt;0.050, I191&lt;85), "WARNING", "PASS"))</f>
        <v/>
      </c>
    </row>
    <row r="192">
      <c r="A192" s="12" t="inlineStr">
        <is>
          <t>SMP-CH01-1191</t>
        </is>
      </c>
      <c r="B192" s="39" t="n">
        <v>45355</v>
      </c>
      <c r="C192" s="12" t="inlineStr">
        <is>
          <t>Shift_B</t>
        </is>
      </c>
      <c r="D192" s="12" t="inlineStr">
        <is>
          <t>Primary Magnetite</t>
        </is>
      </c>
      <c r="E192" s="12" t="inlineStr">
        <is>
          <t>Magnetite</t>
        </is>
      </c>
      <c r="F192" s="14" t="n">
        <v>68.51000000000001</v>
      </c>
      <c r="G192" s="14" t="n">
        <v>26.82</v>
      </c>
      <c r="H192" s="14" t="n">
        <v>64.18000000000001</v>
      </c>
      <c r="I192" s="14">
        <f>H192/F192*100</f>
        <v/>
      </c>
      <c r="J192" s="14" t="n">
        <v>2.19</v>
      </c>
      <c r="K192" s="14" t="n">
        <v>0.52</v>
      </c>
      <c r="L192" s="14" t="n">
        <v>0.44</v>
      </c>
      <c r="M192" s="14" t="n">
        <v>0.62</v>
      </c>
      <c r="N192" s="14">
        <f>(L192+M192)/(J192+K192)</f>
        <v/>
      </c>
      <c r="O192" s="15" t="n">
        <v>0.0146</v>
      </c>
      <c r="P192" s="15" t="n">
        <v>0.0517</v>
      </c>
      <c r="Q192" s="15" t="n">
        <v>0.041</v>
      </c>
      <c r="R192" s="14" t="n">
        <v>0.41</v>
      </c>
      <c r="S192" s="12" t="inlineStr">
        <is>
          <t>Medium (Wi 13.5-14.5)</t>
        </is>
      </c>
      <c r="T192" s="16" t="inlineStr">
        <is>
          <t>Standard DR-Grade; High exothermic heat during induration.</t>
        </is>
      </c>
      <c r="U192" s="12">
        <f>IF(OR(O192&gt;0.035, Q192&gt;0.060, I192&lt;80), "REJECT", IF(OR(O192&gt;0.028, Q192&gt;0.050, I192&lt;85), "WARNING", "PASS"))</f>
        <v/>
      </c>
    </row>
    <row r="193">
      <c r="A193" s="17" t="inlineStr">
        <is>
          <t>SMP-CH01-1192</t>
        </is>
      </c>
      <c r="B193" s="40" t="n">
        <v>45355</v>
      </c>
      <c r="C193" s="17" t="inlineStr">
        <is>
          <t>Shift_C</t>
        </is>
      </c>
      <c r="D193" s="17" t="inlineStr">
        <is>
          <t>Primary Magnetite</t>
        </is>
      </c>
      <c r="E193" s="17" t="inlineStr">
        <is>
          <t>Magnetite</t>
        </is>
      </c>
      <c r="F193" s="19" t="n">
        <v>67.90000000000001</v>
      </c>
      <c r="G193" s="19" t="n">
        <v>26.66</v>
      </c>
      <c r="H193" s="19" t="n">
        <v>63.48</v>
      </c>
      <c r="I193" s="19">
        <f>H193/F193*100</f>
        <v/>
      </c>
      <c r="J193" s="19" t="n">
        <v>2.59</v>
      </c>
      <c r="K193" s="19" t="n">
        <v>0.5</v>
      </c>
      <c r="L193" s="19" t="n">
        <v>0.49</v>
      </c>
      <c r="M193" s="19" t="n">
        <v>0.65</v>
      </c>
      <c r="N193" s="19">
        <f>(L193+M193)/(J193+K193)</f>
        <v/>
      </c>
      <c r="O193" s="20" t="n">
        <v>0.0182</v>
      </c>
      <c r="P193" s="20" t="n">
        <v>0.0523</v>
      </c>
      <c r="Q193" s="20" t="n">
        <v>0.0524</v>
      </c>
      <c r="R193" s="19" t="n">
        <v>0.37</v>
      </c>
      <c r="S193" s="17" t="inlineStr">
        <is>
          <t>Medium (Wi 13.5-14.5)</t>
        </is>
      </c>
      <c r="T193" s="21" t="inlineStr">
        <is>
          <t>Standard DR-Grade; High exothermic heat during induration.</t>
        </is>
      </c>
      <c r="U193" s="17">
        <f>IF(OR(O193&gt;0.035, Q193&gt;0.060, I193&lt;80), "REJECT", IF(OR(O193&gt;0.028, Q193&gt;0.050, I193&lt;85), "WARNING", "PASS"))</f>
        <v/>
      </c>
    </row>
    <row r="194">
      <c r="A194" s="12" t="inlineStr">
        <is>
          <t>SMP-CH01-1193</t>
        </is>
      </c>
      <c r="B194" s="39" t="n">
        <v>45356</v>
      </c>
      <c r="C194" s="12" t="inlineStr">
        <is>
          <t>Shift_A</t>
        </is>
      </c>
      <c r="D194" s="12" t="inlineStr">
        <is>
          <t>Primary Magnetite</t>
        </is>
      </c>
      <c r="E194" s="12" t="inlineStr">
        <is>
          <t>Magnetite</t>
        </is>
      </c>
      <c r="F194" s="14" t="n">
        <v>69.17</v>
      </c>
      <c r="G194" s="14" t="n">
        <v>26.45</v>
      </c>
      <c r="H194" s="14" t="n">
        <v>63.15</v>
      </c>
      <c r="I194" s="14">
        <f>H194/F194*100</f>
        <v/>
      </c>
      <c r="J194" s="14" t="n">
        <v>3.09</v>
      </c>
      <c r="K194" s="14" t="n">
        <v>0.6</v>
      </c>
      <c r="L194" s="14" t="n">
        <v>0.61</v>
      </c>
      <c r="M194" s="14" t="n">
        <v>0.74</v>
      </c>
      <c r="N194" s="14">
        <f>(L194+M194)/(J194+K194)</f>
        <v/>
      </c>
      <c r="O194" s="15" t="n">
        <v>0.0208</v>
      </c>
      <c r="P194" s="15" t="n">
        <v>0.0544</v>
      </c>
      <c r="Q194" s="15" t="n">
        <v>0.0278</v>
      </c>
      <c r="R194" s="14" t="n">
        <v>0.3</v>
      </c>
      <c r="S194" s="12" t="inlineStr">
        <is>
          <t>Medium (Wi 13.5-14.5)</t>
        </is>
      </c>
      <c r="T194" s="16" t="inlineStr">
        <is>
          <t>Standard DR-Grade; High exothermic heat during induration.</t>
        </is>
      </c>
      <c r="U194" s="12">
        <f>IF(OR(O194&gt;0.035, Q194&gt;0.060, I194&lt;80), "REJECT", IF(OR(O194&gt;0.028, Q194&gt;0.050, I194&lt;85), "WARNING", "PASS"))</f>
        <v/>
      </c>
    </row>
    <row r="195">
      <c r="A195" s="17" t="inlineStr">
        <is>
          <t>SMP-CH01-1194</t>
        </is>
      </c>
      <c r="B195" s="40" t="n">
        <v>45356</v>
      </c>
      <c r="C195" s="17" t="inlineStr">
        <is>
          <t>Shift_B</t>
        </is>
      </c>
      <c r="D195" s="17" t="inlineStr">
        <is>
          <t>Martitic Ore</t>
        </is>
      </c>
      <c r="E195" s="17" t="inlineStr">
        <is>
          <t>Martite / Semi-oxidized Magnetite</t>
        </is>
      </c>
      <c r="F195" s="19" t="n">
        <v>64.17</v>
      </c>
      <c r="G195" s="19" t="n">
        <v>19.16</v>
      </c>
      <c r="H195" s="19" t="n">
        <v>51.82</v>
      </c>
      <c r="I195" s="19">
        <f>H195/F195*100</f>
        <v/>
      </c>
      <c r="J195" s="19" t="n">
        <v>3.45</v>
      </c>
      <c r="K195" s="19" t="n">
        <v>0.93</v>
      </c>
      <c r="L195" s="19" t="n">
        <v>0.8</v>
      </c>
      <c r="M195" s="19" t="n">
        <v>0.7</v>
      </c>
      <c r="N195" s="19">
        <f>(L195+M195)/(J195+K195)</f>
        <v/>
      </c>
      <c r="O195" s="20" t="n">
        <v>0.0291</v>
      </c>
      <c r="P195" s="20" t="n">
        <v>0.0488</v>
      </c>
      <c r="Q195" s="20" t="n">
        <v>0.0609</v>
      </c>
      <c r="R195" s="19" t="n">
        <v>1.15</v>
      </c>
      <c r="S195" s="17" t="inlineStr">
        <is>
          <t>Hard (Wi 15.5-17.0)</t>
        </is>
      </c>
      <c r="T195" s="21" t="inlineStr">
        <is>
          <t>Martitization alert: Low LIMS recovery; requires WHIMS or higher drum RPM.</t>
        </is>
      </c>
      <c r="U195" s="17">
        <f>IF(OR(O195&gt;0.035, Q195&gt;0.060, I195&lt;80), "REJECT", IF(OR(O195&gt;0.028, Q195&gt;0.050, I195&lt;85), "WARNING", "PASS"))</f>
        <v/>
      </c>
    </row>
    <row r="196">
      <c r="A196" s="12" t="inlineStr">
        <is>
          <t>SMP-CH01-1195</t>
        </is>
      </c>
      <c r="B196" s="39" t="n">
        <v>45356</v>
      </c>
      <c r="C196" s="12" t="inlineStr">
        <is>
          <t>Shift_C</t>
        </is>
      </c>
      <c r="D196" s="12" t="inlineStr">
        <is>
          <t>Hematite-Goethite / Weathered Skarn</t>
        </is>
      </c>
      <c r="E196" s="12" t="inlineStr">
        <is>
          <t>Goethite / Quartz-rich Hematite</t>
        </is>
      </c>
      <c r="F196" s="14" t="n">
        <v>58.81</v>
      </c>
      <c r="G196" s="14" t="n">
        <v>6.63</v>
      </c>
      <c r="H196" s="14" t="n">
        <v>30.79</v>
      </c>
      <c r="I196" s="14">
        <f>H196/F196*100</f>
        <v/>
      </c>
      <c r="J196" s="14" t="n">
        <v>3.88</v>
      </c>
      <c r="K196" s="14" t="n">
        <v>1.84</v>
      </c>
      <c r="L196" s="14" t="n">
        <v>0.82</v>
      </c>
      <c r="M196" s="14" t="n">
        <v>1.2</v>
      </c>
      <c r="N196" s="14">
        <f>(L196+M196)/(J196+K196)</f>
        <v/>
      </c>
      <c r="O196" s="15" t="n">
        <v>0.0391</v>
      </c>
      <c r="P196" s="15" t="n">
        <v>0.1113</v>
      </c>
      <c r="Q196" s="15" t="n">
        <v>0.0434</v>
      </c>
      <c r="R196" s="14" t="n">
        <v>6.72</v>
      </c>
      <c r="S196" s="12" t="inlineStr">
        <is>
          <t>Variable / Highly Abrasive (Quartz)</t>
        </is>
      </c>
      <c r="T196" s="16" t="inlineStr">
        <is>
          <t>High LOI &amp; Alkalis: Risk of pellet swelling/whisker &amp; filter cloth blinding.</t>
        </is>
      </c>
      <c r="U196" s="12">
        <f>IF(OR(O196&gt;0.035, Q196&gt;0.060, I196&lt;80), "REJECT", IF(OR(O196&gt;0.028, Q196&gt;0.050, I196&lt;85), "WARNING", "PASS"))</f>
        <v/>
      </c>
    </row>
    <row r="197">
      <c r="A197" s="17" t="inlineStr">
        <is>
          <t>SMP-CH01-1196</t>
        </is>
      </c>
      <c r="B197" s="40" t="n">
        <v>45357</v>
      </c>
      <c r="C197" s="17" t="inlineStr">
        <is>
          <t>Shift_A</t>
        </is>
      </c>
      <c r="D197" s="17" t="inlineStr">
        <is>
          <t>Primary Magnetite</t>
        </is>
      </c>
      <c r="E197" s="17" t="inlineStr">
        <is>
          <t>Magnetite</t>
        </is>
      </c>
      <c r="F197" s="19" t="n">
        <v>66.01000000000001</v>
      </c>
      <c r="G197" s="19" t="n">
        <v>26.21</v>
      </c>
      <c r="H197" s="19" t="n">
        <v>60.42</v>
      </c>
      <c r="I197" s="19">
        <f>H197/F197*100</f>
        <v/>
      </c>
      <c r="J197" s="19" t="n">
        <v>2.51</v>
      </c>
      <c r="K197" s="19" t="n">
        <v>0.46</v>
      </c>
      <c r="L197" s="19" t="n">
        <v>0.41</v>
      </c>
      <c r="M197" s="19" t="n">
        <v>0.75</v>
      </c>
      <c r="N197" s="19">
        <f>(L197+M197)/(J197+K197)</f>
        <v/>
      </c>
      <c r="O197" s="20" t="n">
        <v>0.0226</v>
      </c>
      <c r="P197" s="20" t="n">
        <v>0.0538</v>
      </c>
      <c r="Q197" s="20" t="n">
        <v>0.0538</v>
      </c>
      <c r="R197" s="19" t="n">
        <v>0.17</v>
      </c>
      <c r="S197" s="17" t="inlineStr">
        <is>
          <t>Medium (Wi 13.5-14.5)</t>
        </is>
      </c>
      <c r="T197" s="21" t="inlineStr">
        <is>
          <t>Standard DR-Grade; High exothermic heat during induration.</t>
        </is>
      </c>
      <c r="U197" s="17">
        <f>IF(OR(O197&gt;0.035, Q197&gt;0.060, I197&lt;80), "REJECT", IF(OR(O197&gt;0.028, Q197&gt;0.050, I197&lt;85), "WARNING", "PASS"))</f>
        <v/>
      </c>
    </row>
    <row r="198">
      <c r="A198" s="12" t="inlineStr">
        <is>
          <t>SMP-CH01-1197</t>
        </is>
      </c>
      <c r="B198" s="39" t="n">
        <v>45357</v>
      </c>
      <c r="C198" s="12" t="inlineStr">
        <is>
          <t>Shift_B</t>
        </is>
      </c>
      <c r="D198" s="12" t="inlineStr">
        <is>
          <t>Primary Magnetite</t>
        </is>
      </c>
      <c r="E198" s="12" t="inlineStr">
        <is>
          <t>Magnetite</t>
        </is>
      </c>
      <c r="F198" s="14" t="n">
        <v>66.53</v>
      </c>
      <c r="G198" s="14" t="n">
        <v>26.73</v>
      </c>
      <c r="H198" s="14" t="n">
        <v>61.76</v>
      </c>
      <c r="I198" s="14">
        <f>H198/F198*100</f>
        <v/>
      </c>
      <c r="J198" s="14" t="n">
        <v>2.98</v>
      </c>
      <c r="K198" s="14" t="n">
        <v>0.8100000000000001</v>
      </c>
      <c r="L198" s="14" t="n">
        <v>0.41</v>
      </c>
      <c r="M198" s="14" t="n">
        <v>0.6</v>
      </c>
      <c r="N198" s="14">
        <f>(L198+M198)/(J198+K198)</f>
        <v/>
      </c>
      <c r="O198" s="15" t="n">
        <v>0.008</v>
      </c>
      <c r="P198" s="15" t="n">
        <v>0.0511</v>
      </c>
      <c r="Q198" s="15" t="n">
        <v>0.0274</v>
      </c>
      <c r="R198" s="14" t="n">
        <v>0.32</v>
      </c>
      <c r="S198" s="12" t="inlineStr">
        <is>
          <t>Medium (Wi 13.5-14.5)</t>
        </is>
      </c>
      <c r="T198" s="16" t="inlineStr">
        <is>
          <t>Standard DR-Grade; High exothermic heat during induration.</t>
        </is>
      </c>
      <c r="U198" s="12">
        <f>IF(OR(O198&gt;0.035, Q198&gt;0.060, I198&lt;80), "REJECT", IF(OR(O198&gt;0.028, Q198&gt;0.050, I198&lt;85), "WARNING", "PASS"))</f>
        <v/>
      </c>
    </row>
    <row r="199">
      <c r="A199" s="17" t="inlineStr">
        <is>
          <t>SMP-CH01-1198</t>
        </is>
      </c>
      <c r="B199" s="40" t="n">
        <v>45357</v>
      </c>
      <c r="C199" s="17" t="inlineStr">
        <is>
          <t>Shift_C</t>
        </is>
      </c>
      <c r="D199" s="17" t="inlineStr">
        <is>
          <t>Hematite-Goethite / Weathered Skarn</t>
        </is>
      </c>
      <c r="E199" s="17" t="inlineStr">
        <is>
          <t>Goethite / Quartz-rich Hematite</t>
        </is>
      </c>
      <c r="F199" s="19" t="n">
        <v>59.45</v>
      </c>
      <c r="G199" s="19" t="n">
        <v>2.82</v>
      </c>
      <c r="H199" s="19" t="n">
        <v>23.64</v>
      </c>
      <c r="I199" s="19">
        <f>H199/F199*100</f>
        <v/>
      </c>
      <c r="J199" s="19" t="n">
        <v>2.67</v>
      </c>
      <c r="K199" s="19" t="n">
        <v>1.88</v>
      </c>
      <c r="L199" s="19" t="n">
        <v>0.79</v>
      </c>
      <c r="M199" s="19" t="n">
        <v>1</v>
      </c>
      <c r="N199" s="19">
        <f>(L199+M199)/(J199+K199)</f>
        <v/>
      </c>
      <c r="O199" s="20" t="n">
        <v>0.0665</v>
      </c>
      <c r="P199" s="20" t="n">
        <v>0.0522</v>
      </c>
      <c r="Q199" s="20" t="n">
        <v>0.0886</v>
      </c>
      <c r="R199" s="19" t="n">
        <v>6.51</v>
      </c>
      <c r="S199" s="17" t="inlineStr">
        <is>
          <t>Variable / Highly Abrasive (Quartz)</t>
        </is>
      </c>
      <c r="T199" s="21" t="inlineStr">
        <is>
          <t>High LOI &amp; Alkalis: Risk of pellet swelling/whisker &amp; filter cloth blinding.</t>
        </is>
      </c>
      <c r="U199" s="17">
        <f>IF(OR(O199&gt;0.035, Q199&gt;0.060, I199&lt;80), "REJECT", IF(OR(O199&gt;0.028, Q199&gt;0.050, I199&lt;85), "WARNING", "PASS"))</f>
        <v/>
      </c>
    </row>
    <row r="200">
      <c r="A200" s="12" t="inlineStr">
        <is>
          <t>SMP-CH01-1199</t>
        </is>
      </c>
      <c r="B200" s="39" t="n">
        <v>45358</v>
      </c>
      <c r="C200" s="12" t="inlineStr">
        <is>
          <t>Shift_A</t>
        </is>
      </c>
      <c r="D200" s="12" t="inlineStr">
        <is>
          <t>Primary Magnetite</t>
        </is>
      </c>
      <c r="E200" s="12" t="inlineStr">
        <is>
          <t>Magnetite</t>
        </is>
      </c>
      <c r="F200" s="14" t="n">
        <v>67.63</v>
      </c>
      <c r="G200" s="14" t="n">
        <v>25.75</v>
      </c>
      <c r="H200" s="14" t="n">
        <v>62.4</v>
      </c>
      <c r="I200" s="14">
        <f>H200/F200*100</f>
        <v/>
      </c>
      <c r="J200" s="14" t="n">
        <v>3.03</v>
      </c>
      <c r="K200" s="14" t="n">
        <v>0.7</v>
      </c>
      <c r="L200" s="14" t="n">
        <v>0.19</v>
      </c>
      <c r="M200" s="14" t="n">
        <v>0.54</v>
      </c>
      <c r="N200" s="14">
        <f>(L200+M200)/(J200+K200)</f>
        <v/>
      </c>
      <c r="O200" s="15" t="n">
        <v>0.0159</v>
      </c>
      <c r="P200" s="15" t="n">
        <v>0.0296</v>
      </c>
      <c r="Q200" s="15" t="n">
        <v>0.032</v>
      </c>
      <c r="R200" s="14" t="n">
        <v>0.58</v>
      </c>
      <c r="S200" s="12" t="inlineStr">
        <is>
          <t>Medium (Wi 13.5-14.5)</t>
        </is>
      </c>
      <c r="T200" s="16" t="inlineStr">
        <is>
          <t>Standard DR-Grade; High exothermic heat during induration.</t>
        </is>
      </c>
      <c r="U200" s="12">
        <f>IF(OR(O200&gt;0.035, Q200&gt;0.060, I200&lt;80), "REJECT", IF(OR(O200&gt;0.028, Q200&gt;0.050, I200&lt;85), "WARNING", "PASS"))</f>
        <v/>
      </c>
    </row>
    <row r="201">
      <c r="A201" s="17" t="inlineStr">
        <is>
          <t>SMP-CH01-1200</t>
        </is>
      </c>
      <c r="B201" s="40" t="n">
        <v>45358</v>
      </c>
      <c r="C201" s="17" t="inlineStr">
        <is>
          <t>Shift_B</t>
        </is>
      </c>
      <c r="D201" s="17" t="inlineStr">
        <is>
          <t>Martitic Ore</t>
        </is>
      </c>
      <c r="E201" s="17" t="inlineStr">
        <is>
          <t>Martite / Semi-oxidized Magnetite</t>
        </is>
      </c>
      <c r="F201" s="19" t="n">
        <v>67.03</v>
      </c>
      <c r="G201" s="19" t="n">
        <v>19.7</v>
      </c>
      <c r="H201" s="19" t="n">
        <v>51.66</v>
      </c>
      <c r="I201" s="19">
        <f>H201/F201*100</f>
        <v/>
      </c>
      <c r="J201" s="19" t="n">
        <v>4.76</v>
      </c>
      <c r="K201" s="19" t="n">
        <v>0.7</v>
      </c>
      <c r="L201" s="19" t="n">
        <v>0.49</v>
      </c>
      <c r="M201" s="19" t="n">
        <v>0.84</v>
      </c>
      <c r="N201" s="19">
        <f>(L201+M201)/(J201+K201)</f>
        <v/>
      </c>
      <c r="O201" s="20" t="n">
        <v>0.0383</v>
      </c>
      <c r="P201" s="20" t="n">
        <v>0.0587</v>
      </c>
      <c r="Q201" s="20" t="n">
        <v>0.0448</v>
      </c>
      <c r="R201" s="19" t="n">
        <v>1.63</v>
      </c>
      <c r="S201" s="17" t="inlineStr">
        <is>
          <t>Hard (Wi 15.5-17.0)</t>
        </is>
      </c>
      <c r="T201" s="21" t="inlineStr">
        <is>
          <t>Martitization alert: Low LIMS recovery; requires WHIMS or higher drum RPM.</t>
        </is>
      </c>
      <c r="U201" s="17">
        <f>IF(OR(O201&gt;0.035, Q201&gt;0.060, I201&lt;80), "REJECT", IF(OR(O201&gt;0.028, Q201&gt;0.050, I201&lt;85), "WARNING", "PASS"))</f>
        <v/>
      </c>
    </row>
  </sheetData>
  <autoFilter ref="A1:U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5" customWidth="1" min="4" max="4"/>
    <col width="20" customWidth="1" min="5" max="5"/>
    <col width="15" customWidth="1" min="6" max="6"/>
    <col width="12" customWidth="1" min="7" max="7"/>
    <col width="12" customWidth="1" min="8" max="8"/>
    <col width="21" customWidth="1" min="9" max="9"/>
    <col width="15" customWidth="1" min="10" max="10"/>
    <col width="41" customWidth="1" min="11" max="11"/>
    <col width="22" customWidth="1" min="12" max="12"/>
    <col width="20" customWidth="1" min="13" max="13"/>
    <col width="24" customWidth="1" min="14" max="14"/>
    <col width="24" customWidth="1" min="15" max="15"/>
    <col width="22" customWidth="1" min="16" max="16"/>
  </cols>
  <sheetData>
    <row r="1">
      <c r="A1" s="11" t="inlineStr">
        <is>
          <t>Shift_ID</t>
        </is>
      </c>
      <c r="B1" s="11" t="inlineStr">
        <is>
          <t>Date</t>
        </is>
      </c>
      <c r="C1" s="11" t="inlineStr">
        <is>
          <t>Shift</t>
        </is>
      </c>
      <c r="D1" s="11" t="inlineStr">
        <is>
          <t>Ore_Hardness_Class</t>
        </is>
      </c>
      <c r="E1" s="11" t="inlineStr">
        <is>
          <t>Feed_Rate_Dry_tph</t>
        </is>
      </c>
      <c r="F1" s="11" t="inlineStr">
        <is>
          <t>Mill_Pnet_kW</t>
        </is>
      </c>
      <c r="G1" s="11" t="inlineStr">
        <is>
          <t>F80_um</t>
        </is>
      </c>
      <c r="H1" s="11" t="inlineStr">
        <is>
          <t>P80_um</t>
        </is>
      </c>
      <c r="I1" s="11" t="inlineStr">
        <is>
          <t>E_spec_Plant_kWh_t</t>
        </is>
      </c>
      <c r="J1" s="11" t="inlineStr">
        <is>
          <t>Wi_lab_kWh_t</t>
        </is>
      </c>
      <c r="K1" s="11" t="inlineStr">
        <is>
          <t>Wi_op_kWh_t</t>
        </is>
      </c>
      <c r="L1" s="11" t="inlineStr">
        <is>
          <t>Bond_Efficiency_Eta</t>
        </is>
      </c>
      <c r="M1" s="11" t="inlineStr">
        <is>
          <t>Ball_Charge_J_pct</t>
        </is>
      </c>
      <c r="N1" s="11" t="inlineStr">
        <is>
          <t>Mill_Discharge_Cw_pct</t>
        </is>
      </c>
      <c r="O1" s="11" t="inlineStr">
        <is>
          <t>Ball_Consumption_kg_t</t>
        </is>
      </c>
      <c r="P1" s="11" t="inlineStr">
        <is>
          <t>Circuit_Energy_Status</t>
        </is>
      </c>
    </row>
    <row r="2">
      <c r="A2" s="12" t="inlineStr">
        <is>
          <t>SFT-GR-2001</t>
        </is>
      </c>
      <c r="B2" s="39" t="n">
        <v>45292</v>
      </c>
      <c r="C2" s="12" t="inlineStr">
        <is>
          <t>Shift_A</t>
        </is>
      </c>
      <c r="D2" s="12" t="inlineStr">
        <is>
          <t>Standard Skarn-Magnetite</t>
        </is>
      </c>
      <c r="E2" s="22" t="n">
        <v>251.8</v>
      </c>
      <c r="F2" s="22" t="n">
        <v>3190.1</v>
      </c>
      <c r="G2" s="22" t="n">
        <v>9614.9</v>
      </c>
      <c r="H2" s="22" t="n">
        <v>150.4</v>
      </c>
      <c r="I2" s="14">
        <f>F2/E2</f>
        <v/>
      </c>
      <c r="J2" s="14" t="n">
        <v>13.76</v>
      </c>
      <c r="K2" s="14">
        <f>I2/(10*(1/SQRT(H2)-1/SQRT(G2)))</f>
        <v/>
      </c>
      <c r="L2" s="15">
        <f>K2/J2</f>
        <v/>
      </c>
      <c r="M2" s="22" t="n">
        <v>34.4</v>
      </c>
      <c r="N2" s="22" t="n">
        <v>72.5</v>
      </c>
      <c r="O2" s="14" t="n">
        <v>0.484</v>
      </c>
      <c r="P2" s="12">
        <f>IF(L2&gt;1.40, "INEFFICIENT (Eta&gt;1.4)", IF(L2&lt;1.10, "OVERGRIND / LOW Wi", "OPTIMAL (1.10-1.35)"))</f>
        <v/>
      </c>
    </row>
    <row r="3">
      <c r="A3" s="17" t="inlineStr">
        <is>
          <t>SFT-GR-2002</t>
        </is>
      </c>
      <c r="B3" s="40" t="n">
        <v>45292</v>
      </c>
      <c r="C3" s="17" t="inlineStr">
        <is>
          <t>Shift_B</t>
        </is>
      </c>
      <c r="D3" s="17" t="inlineStr">
        <is>
          <t>Standard Skarn-Magnetite</t>
        </is>
      </c>
      <c r="E3" s="23" t="n">
        <v>238</v>
      </c>
      <c r="F3" s="23" t="n">
        <v>3152.6</v>
      </c>
      <c r="G3" s="23" t="n">
        <v>9200.6</v>
      </c>
      <c r="H3" s="23" t="n">
        <v>146.1</v>
      </c>
      <c r="I3" s="19">
        <f>F3/E3</f>
        <v/>
      </c>
      <c r="J3" s="19" t="n">
        <v>14.26</v>
      </c>
      <c r="K3" s="19">
        <f>I3/(10*(1/SQRT(H3)-1/SQRT(G3)))</f>
        <v/>
      </c>
      <c r="L3" s="20">
        <f>K3/J3</f>
        <v/>
      </c>
      <c r="M3" s="23" t="n">
        <v>35.3</v>
      </c>
      <c r="N3" s="23" t="n">
        <v>73.59999999999999</v>
      </c>
      <c r="O3" s="19" t="n">
        <v>0.604</v>
      </c>
      <c r="P3" s="17">
        <f>IF(L3&gt;1.40, "INEFFICIENT (Eta&gt;1.4)", IF(L3&lt;1.10, "OVERGRIND / LOW Wi", "OPTIMAL (1.10-1.35)"))</f>
        <v/>
      </c>
    </row>
    <row r="4">
      <c r="A4" s="12" t="inlineStr">
        <is>
          <t>SFT-GR-2003</t>
        </is>
      </c>
      <c r="B4" s="39" t="n">
        <v>45292</v>
      </c>
      <c r="C4" s="12" t="inlineStr">
        <is>
          <t>Shift_C</t>
        </is>
      </c>
      <c r="D4" s="12" t="inlineStr">
        <is>
          <t>Standard Skarn-Magnetite</t>
        </is>
      </c>
      <c r="E4" s="22" t="n">
        <v>258</v>
      </c>
      <c r="F4" s="22" t="n">
        <v>3140.8</v>
      </c>
      <c r="G4" s="22" t="n">
        <v>9477.700000000001</v>
      </c>
      <c r="H4" s="22" t="n">
        <v>153.4</v>
      </c>
      <c r="I4" s="14">
        <f>F4/E4</f>
        <v/>
      </c>
      <c r="J4" s="14" t="n">
        <v>14.43</v>
      </c>
      <c r="K4" s="14">
        <f>I4/(10*(1/SQRT(H4)-1/SQRT(G4)))</f>
        <v/>
      </c>
      <c r="L4" s="15">
        <f>K4/J4</f>
        <v/>
      </c>
      <c r="M4" s="22" t="n">
        <v>35.9</v>
      </c>
      <c r="N4" s="22" t="n">
        <v>71.7</v>
      </c>
      <c r="O4" s="14" t="n">
        <v>0.507</v>
      </c>
      <c r="P4" s="12">
        <f>IF(L4&gt;1.40, "INEFFICIENT (Eta&gt;1.4)", IF(L4&lt;1.10, "OVERGRIND / LOW Wi", "OPTIMAL (1.10-1.35)"))</f>
        <v/>
      </c>
    </row>
    <row r="5">
      <c r="A5" s="17" t="inlineStr">
        <is>
          <t>SFT-GR-2004</t>
        </is>
      </c>
      <c r="B5" s="40" t="n">
        <v>45293</v>
      </c>
      <c r="C5" s="17" t="inlineStr">
        <is>
          <t>Shift_A</t>
        </is>
      </c>
      <c r="D5" s="17" t="inlineStr">
        <is>
          <t>Hard Siliceous / Martite</t>
        </is>
      </c>
      <c r="E5" s="23" t="n">
        <v>214</v>
      </c>
      <c r="F5" s="23" t="n">
        <v>3217.6</v>
      </c>
      <c r="G5" s="23" t="n">
        <v>10811.6</v>
      </c>
      <c r="H5" s="23" t="n">
        <v>158.7</v>
      </c>
      <c r="I5" s="19">
        <f>F5/E5</f>
        <v/>
      </c>
      <c r="J5" s="19" t="n">
        <v>16.22</v>
      </c>
      <c r="K5" s="19">
        <f>I5/(10*(1/SQRT(H5)-1/SQRT(G5)))</f>
        <v/>
      </c>
      <c r="L5" s="20">
        <f>K5/J5</f>
        <v/>
      </c>
      <c r="M5" s="23" t="n">
        <v>36</v>
      </c>
      <c r="N5" s="23" t="n">
        <v>73.5</v>
      </c>
      <c r="O5" s="19" t="n">
        <v>0.653</v>
      </c>
      <c r="P5" s="17">
        <f>IF(L5&gt;1.40, "INEFFICIENT (Eta&gt;1.4)", IF(L5&lt;1.10, "OVERGRIND / LOW Wi", "OPTIMAL (1.10-1.35)"))</f>
        <v/>
      </c>
    </row>
    <row r="6">
      <c r="A6" s="12" t="inlineStr">
        <is>
          <t>SFT-GR-2005</t>
        </is>
      </c>
      <c r="B6" s="39" t="n">
        <v>45293</v>
      </c>
      <c r="C6" s="12" t="inlineStr">
        <is>
          <t>Shift_B</t>
        </is>
      </c>
      <c r="D6" s="12" t="inlineStr">
        <is>
          <t>Standard Skarn-Magnetite</t>
        </is>
      </c>
      <c r="E6" s="22" t="n">
        <v>245.7</v>
      </c>
      <c r="F6" s="22" t="n">
        <v>3064.4</v>
      </c>
      <c r="G6" s="22" t="n">
        <v>9933.299999999999</v>
      </c>
      <c r="H6" s="22" t="n">
        <v>147.7</v>
      </c>
      <c r="I6" s="14">
        <f>F6/E6</f>
        <v/>
      </c>
      <c r="J6" s="14" t="n">
        <v>14.18</v>
      </c>
      <c r="K6" s="14">
        <f>I6/(10*(1/SQRT(H6)-1/SQRT(G6)))</f>
        <v/>
      </c>
      <c r="L6" s="15">
        <f>K6/J6</f>
        <v/>
      </c>
      <c r="M6" s="22" t="n">
        <v>35.5</v>
      </c>
      <c r="N6" s="22" t="n">
        <v>72.59999999999999</v>
      </c>
      <c r="O6" s="14" t="n">
        <v>0.44</v>
      </c>
      <c r="P6" s="12">
        <f>IF(L6&gt;1.40, "INEFFICIENT (Eta&gt;1.4)", IF(L6&lt;1.10, "OVERGRIND / LOW Wi", "OPTIMAL (1.10-1.35)"))</f>
        <v/>
      </c>
    </row>
    <row r="7">
      <c r="A7" s="17" t="inlineStr">
        <is>
          <t>SFT-GR-2006</t>
        </is>
      </c>
      <c r="B7" s="40" t="n">
        <v>45293</v>
      </c>
      <c r="C7" s="17" t="inlineStr">
        <is>
          <t>Shift_C</t>
        </is>
      </c>
      <c r="D7" s="17" t="inlineStr">
        <is>
          <t>Hard Siliceous / Martite</t>
        </is>
      </c>
      <c r="E7" s="23" t="n">
        <v>225.5</v>
      </c>
      <c r="F7" s="23" t="n">
        <v>3200.3</v>
      </c>
      <c r="G7" s="23" t="n">
        <v>10235.9</v>
      </c>
      <c r="H7" s="23" t="n">
        <v>160.2</v>
      </c>
      <c r="I7" s="19">
        <f>F7/E7</f>
        <v/>
      </c>
      <c r="J7" s="19" t="n">
        <v>16.75</v>
      </c>
      <c r="K7" s="19">
        <f>I7/(10*(1/SQRT(H7)-1/SQRT(G7)))</f>
        <v/>
      </c>
      <c r="L7" s="20">
        <f>K7/J7</f>
        <v/>
      </c>
      <c r="M7" s="23" t="n">
        <v>34.5</v>
      </c>
      <c r="N7" s="23" t="n">
        <v>73.90000000000001</v>
      </c>
      <c r="O7" s="19" t="n">
        <v>0.594</v>
      </c>
      <c r="P7" s="17">
        <f>IF(L7&gt;1.40, "INEFFICIENT (Eta&gt;1.4)", IF(L7&lt;1.10, "OVERGRIND / LOW Wi", "OPTIMAL (1.10-1.35)"))</f>
        <v/>
      </c>
    </row>
    <row r="8">
      <c r="A8" s="12" t="inlineStr">
        <is>
          <t>SFT-GR-2007</t>
        </is>
      </c>
      <c r="B8" s="39" t="n">
        <v>45294</v>
      </c>
      <c r="C8" s="12" t="inlineStr">
        <is>
          <t>Shift_A</t>
        </is>
      </c>
      <c r="D8" s="12" t="inlineStr">
        <is>
          <t>Standard Skarn-Magnetite</t>
        </is>
      </c>
      <c r="E8" s="22" t="n">
        <v>247.8</v>
      </c>
      <c r="F8" s="22" t="n">
        <v>3044.1</v>
      </c>
      <c r="G8" s="22" t="n">
        <v>9196.4</v>
      </c>
      <c r="H8" s="22" t="n">
        <v>149.9</v>
      </c>
      <c r="I8" s="14">
        <f>F8/E8</f>
        <v/>
      </c>
      <c r="J8" s="14" t="n">
        <v>13.6</v>
      </c>
      <c r="K8" s="14">
        <f>I8/(10*(1/SQRT(H8)-1/SQRT(G8)))</f>
        <v/>
      </c>
      <c r="L8" s="15">
        <f>K8/J8</f>
        <v/>
      </c>
      <c r="M8" s="22" t="n">
        <v>35.8</v>
      </c>
      <c r="N8" s="22" t="n">
        <v>71.5</v>
      </c>
      <c r="O8" s="14" t="n">
        <v>0.511</v>
      </c>
      <c r="P8" s="12">
        <f>IF(L8&gt;1.40, "INEFFICIENT (Eta&gt;1.4)", IF(L8&lt;1.10, "OVERGRIND / LOW Wi", "OPTIMAL (1.10-1.35)"))</f>
        <v/>
      </c>
    </row>
    <row r="9">
      <c r="A9" s="17" t="inlineStr">
        <is>
          <t>SFT-GR-2008</t>
        </is>
      </c>
      <c r="B9" s="40" t="n">
        <v>45294</v>
      </c>
      <c r="C9" s="17" t="inlineStr">
        <is>
          <t>Shift_B</t>
        </is>
      </c>
      <c r="D9" s="17" t="inlineStr">
        <is>
          <t>Standard Skarn-Magnetite</t>
        </is>
      </c>
      <c r="E9" s="23" t="n">
        <v>252.1</v>
      </c>
      <c r="F9" s="23" t="n">
        <v>3081.5</v>
      </c>
      <c r="G9" s="23" t="n">
        <v>9543</v>
      </c>
      <c r="H9" s="23" t="n">
        <v>139.1</v>
      </c>
      <c r="I9" s="19">
        <f>F9/E9</f>
        <v/>
      </c>
      <c r="J9" s="19" t="n">
        <v>14.48</v>
      </c>
      <c r="K9" s="19">
        <f>I9/(10*(1/SQRT(H9)-1/SQRT(G9)))</f>
        <v/>
      </c>
      <c r="L9" s="20">
        <f>K9/J9</f>
        <v/>
      </c>
      <c r="M9" s="23" t="n">
        <v>35.4</v>
      </c>
      <c r="N9" s="23" t="n">
        <v>71.2</v>
      </c>
      <c r="O9" s="19" t="n">
        <v>0.426</v>
      </c>
      <c r="P9" s="17">
        <f>IF(L9&gt;1.40, "INEFFICIENT (Eta&gt;1.4)", IF(L9&lt;1.10, "OVERGRIND / LOW Wi", "OPTIMAL (1.10-1.35)"))</f>
        <v/>
      </c>
    </row>
    <row r="10">
      <c r="A10" s="12" t="inlineStr">
        <is>
          <t>SFT-GR-2009</t>
        </is>
      </c>
      <c r="B10" s="39" t="n">
        <v>45294</v>
      </c>
      <c r="C10" s="12" t="inlineStr">
        <is>
          <t>Shift_C</t>
        </is>
      </c>
      <c r="D10" s="12" t="inlineStr">
        <is>
          <t>Standard Skarn-Magnetite</t>
        </is>
      </c>
      <c r="E10" s="22" t="n">
        <v>243.1</v>
      </c>
      <c r="F10" s="22" t="n">
        <v>3065.7</v>
      </c>
      <c r="G10" s="22" t="n">
        <v>9454.5</v>
      </c>
      <c r="H10" s="22" t="n">
        <v>144.5</v>
      </c>
      <c r="I10" s="14">
        <f>F10/E10</f>
        <v/>
      </c>
      <c r="J10" s="14" t="n">
        <v>14.49</v>
      </c>
      <c r="K10" s="14">
        <f>I10/(10*(1/SQRT(H10)-1/SQRT(G10)))</f>
        <v/>
      </c>
      <c r="L10" s="15">
        <f>K10/J10</f>
        <v/>
      </c>
      <c r="M10" s="22" t="n">
        <v>35.9</v>
      </c>
      <c r="N10" s="22" t="n">
        <v>73.5</v>
      </c>
      <c r="O10" s="14" t="n">
        <v>0.454</v>
      </c>
      <c r="P10" s="12">
        <f>IF(L10&gt;1.40, "INEFFICIENT (Eta&gt;1.4)", IF(L10&lt;1.10, "OVERGRIND / LOW Wi", "OPTIMAL (1.10-1.35)"))</f>
        <v/>
      </c>
    </row>
    <row r="11">
      <c r="A11" s="17" t="inlineStr">
        <is>
          <t>SFT-GR-2010</t>
        </is>
      </c>
      <c r="B11" s="40" t="n">
        <v>45295</v>
      </c>
      <c r="C11" s="17" t="inlineStr">
        <is>
          <t>Shift_A</t>
        </is>
      </c>
      <c r="D11" s="17" t="inlineStr">
        <is>
          <t>Standard Skarn-Magnetite</t>
        </is>
      </c>
      <c r="E11" s="23" t="n">
        <v>245.6</v>
      </c>
      <c r="F11" s="23" t="n">
        <v>3108</v>
      </c>
      <c r="G11" s="23" t="n">
        <v>9650.5</v>
      </c>
      <c r="H11" s="23" t="n">
        <v>153.6</v>
      </c>
      <c r="I11" s="19">
        <f>F11/E11</f>
        <v/>
      </c>
      <c r="J11" s="19" t="n">
        <v>13.94</v>
      </c>
      <c r="K11" s="19">
        <f>I11/(10*(1/SQRT(H11)-1/SQRT(G11)))</f>
        <v/>
      </c>
      <c r="L11" s="20">
        <f>K11/J11</f>
        <v/>
      </c>
      <c r="M11" s="23" t="n">
        <v>36.4</v>
      </c>
      <c r="N11" s="23" t="n">
        <v>71.7</v>
      </c>
      <c r="O11" s="19" t="n">
        <v>0.427</v>
      </c>
      <c r="P11" s="17">
        <f>IF(L11&gt;1.40, "INEFFICIENT (Eta&gt;1.4)", IF(L11&lt;1.10, "OVERGRIND / LOW Wi", "OPTIMAL (1.10-1.35)"))</f>
        <v/>
      </c>
    </row>
    <row r="12">
      <c r="A12" s="12" t="inlineStr">
        <is>
          <t>SFT-GR-2011</t>
        </is>
      </c>
      <c r="B12" s="39" t="n">
        <v>45295</v>
      </c>
      <c r="C12" s="12" t="inlineStr">
        <is>
          <t>Shift_B</t>
        </is>
      </c>
      <c r="D12" s="12" t="inlineStr">
        <is>
          <t>Hard Siliceous / Martite</t>
        </is>
      </c>
      <c r="E12" s="22" t="n">
        <v>219.7</v>
      </c>
      <c r="F12" s="22" t="n">
        <v>3179.7</v>
      </c>
      <c r="G12" s="22" t="n">
        <v>9832.6</v>
      </c>
      <c r="H12" s="22" t="n">
        <v>148</v>
      </c>
      <c r="I12" s="14">
        <f>F12/E12</f>
        <v/>
      </c>
      <c r="J12" s="14" t="n">
        <v>16.35</v>
      </c>
      <c r="K12" s="14">
        <f>I12/(10*(1/SQRT(H12)-1/SQRT(G12)))</f>
        <v/>
      </c>
      <c r="L12" s="15">
        <f>K12/J12</f>
        <v/>
      </c>
      <c r="M12" s="22" t="n">
        <v>34.1</v>
      </c>
      <c r="N12" s="22" t="n">
        <v>74.90000000000001</v>
      </c>
      <c r="O12" s="14" t="n">
        <v>0.589</v>
      </c>
      <c r="P12" s="12">
        <f>IF(L12&gt;1.40, "INEFFICIENT (Eta&gt;1.4)", IF(L12&lt;1.10, "OVERGRIND / LOW Wi", "OPTIMAL (1.10-1.35)"))</f>
        <v/>
      </c>
    </row>
    <row r="13">
      <c r="A13" s="17" t="inlineStr">
        <is>
          <t>SFT-GR-2012</t>
        </is>
      </c>
      <c r="B13" s="40" t="n">
        <v>45295</v>
      </c>
      <c r="C13" s="17" t="inlineStr">
        <is>
          <t>Shift_C</t>
        </is>
      </c>
      <c r="D13" s="17" t="inlineStr">
        <is>
          <t>Hard Siliceous / Martite</t>
        </is>
      </c>
      <c r="E13" s="23" t="n">
        <v>215.7</v>
      </c>
      <c r="F13" s="23" t="n">
        <v>3140.1</v>
      </c>
      <c r="G13" s="23" t="n">
        <v>10240</v>
      </c>
      <c r="H13" s="23" t="n">
        <v>155.5</v>
      </c>
      <c r="I13" s="19">
        <f>F13/E13</f>
        <v/>
      </c>
      <c r="J13" s="19" t="n">
        <v>15.58</v>
      </c>
      <c r="K13" s="19">
        <f>I13/(10*(1/SQRT(H13)-1/SQRT(G13)))</f>
        <v/>
      </c>
      <c r="L13" s="20">
        <f>K13/J13</f>
        <v/>
      </c>
      <c r="M13" s="23" t="n">
        <v>32.3</v>
      </c>
      <c r="N13" s="23" t="n">
        <v>72.7</v>
      </c>
      <c r="O13" s="19" t="n">
        <v>0.57</v>
      </c>
      <c r="P13" s="17">
        <f>IF(L13&gt;1.40, "INEFFICIENT (Eta&gt;1.4)", IF(L13&lt;1.10, "OVERGRIND / LOW Wi", "OPTIMAL (1.10-1.35)"))</f>
        <v/>
      </c>
    </row>
    <row r="14">
      <c r="A14" s="12" t="inlineStr">
        <is>
          <t>SFT-GR-2013</t>
        </is>
      </c>
      <c r="B14" s="39" t="n">
        <v>45296</v>
      </c>
      <c r="C14" s="12" t="inlineStr">
        <is>
          <t>Shift_A</t>
        </is>
      </c>
      <c r="D14" s="12" t="inlineStr">
        <is>
          <t>Hard Siliceous / Martite</t>
        </is>
      </c>
      <c r="E14" s="22" t="n">
        <v>229</v>
      </c>
      <c r="F14" s="22" t="n">
        <v>3196.7</v>
      </c>
      <c r="G14" s="22" t="n">
        <v>10574.3</v>
      </c>
      <c r="H14" s="22" t="n">
        <v>157.2</v>
      </c>
      <c r="I14" s="14">
        <f>F14/E14</f>
        <v/>
      </c>
      <c r="J14" s="14" t="n">
        <v>16.54</v>
      </c>
      <c r="K14" s="14">
        <f>I14/(10*(1/SQRT(H14)-1/SQRT(G14)))</f>
        <v/>
      </c>
      <c r="L14" s="15">
        <f>K14/J14</f>
        <v/>
      </c>
      <c r="M14" s="22" t="n">
        <v>33</v>
      </c>
      <c r="N14" s="22" t="n">
        <v>74.8</v>
      </c>
      <c r="O14" s="14" t="n">
        <v>0.6820000000000001</v>
      </c>
      <c r="P14" s="12">
        <f>IF(L14&gt;1.40, "INEFFICIENT (Eta&gt;1.4)", IF(L14&lt;1.10, "OVERGRIND / LOW Wi", "OPTIMAL (1.10-1.35)"))</f>
        <v/>
      </c>
    </row>
    <row r="15">
      <c r="A15" s="17" t="inlineStr">
        <is>
          <t>SFT-GR-2014</t>
        </is>
      </c>
      <c r="B15" s="40" t="n">
        <v>45296</v>
      </c>
      <c r="C15" s="17" t="inlineStr">
        <is>
          <t>Shift_B</t>
        </is>
      </c>
      <c r="D15" s="17" t="inlineStr">
        <is>
          <t>Standard Skarn-Magnetite</t>
        </is>
      </c>
      <c r="E15" s="23" t="n">
        <v>240.8</v>
      </c>
      <c r="F15" s="23" t="n">
        <v>3140.9</v>
      </c>
      <c r="G15" s="23" t="n">
        <v>9961.4</v>
      </c>
      <c r="H15" s="23" t="n">
        <v>142.4</v>
      </c>
      <c r="I15" s="19">
        <f>F15/E15</f>
        <v/>
      </c>
      <c r="J15" s="19" t="n">
        <v>14.32</v>
      </c>
      <c r="K15" s="19">
        <f>I15/(10*(1/SQRT(H15)-1/SQRT(G15)))</f>
        <v/>
      </c>
      <c r="L15" s="20">
        <f>K15/J15</f>
        <v/>
      </c>
      <c r="M15" s="23" t="n">
        <v>34.1</v>
      </c>
      <c r="N15" s="23" t="n">
        <v>72.8</v>
      </c>
      <c r="O15" s="19" t="n">
        <v>0.491</v>
      </c>
      <c r="P15" s="17">
        <f>IF(L15&gt;1.40, "INEFFICIENT (Eta&gt;1.4)", IF(L15&lt;1.10, "OVERGRIND / LOW Wi", "OPTIMAL (1.10-1.35)"))</f>
        <v/>
      </c>
    </row>
    <row r="16">
      <c r="A16" s="12" t="inlineStr">
        <is>
          <t>SFT-GR-2015</t>
        </is>
      </c>
      <c r="B16" s="39" t="n">
        <v>45296</v>
      </c>
      <c r="C16" s="12" t="inlineStr">
        <is>
          <t>Shift_C</t>
        </is>
      </c>
      <c r="D16" s="12" t="inlineStr">
        <is>
          <t>Soft / Weathered Goethite</t>
        </is>
      </c>
      <c r="E16" s="22" t="n">
        <v>277.2</v>
      </c>
      <c r="F16" s="22" t="n">
        <v>3049.9</v>
      </c>
      <c r="G16" s="22" t="n">
        <v>8453.700000000001</v>
      </c>
      <c r="H16" s="22" t="n">
        <v>134.5</v>
      </c>
      <c r="I16" s="14">
        <f>F16/E16</f>
        <v/>
      </c>
      <c r="J16" s="14" t="n">
        <v>11.41</v>
      </c>
      <c r="K16" s="14">
        <f>I16/(10*(1/SQRT(H16)-1/SQRT(G16)))</f>
        <v/>
      </c>
      <c r="L16" s="15">
        <f>K16/J16</f>
        <v/>
      </c>
      <c r="M16" s="22" t="n">
        <v>37.4</v>
      </c>
      <c r="N16" s="22" t="n">
        <v>70.5</v>
      </c>
      <c r="O16" s="14" t="n">
        <v>0.372</v>
      </c>
      <c r="P16" s="12">
        <f>IF(L16&gt;1.40, "INEFFICIENT (Eta&gt;1.4)", IF(L16&lt;1.10, "OVERGRIND / LOW Wi", "OPTIMAL (1.10-1.35)"))</f>
        <v/>
      </c>
    </row>
    <row r="17">
      <c r="A17" s="17" t="inlineStr">
        <is>
          <t>SFT-GR-2016</t>
        </is>
      </c>
      <c r="B17" s="40" t="n">
        <v>45297</v>
      </c>
      <c r="C17" s="17" t="inlineStr">
        <is>
          <t>Shift_A</t>
        </is>
      </c>
      <c r="D17" s="17" t="inlineStr">
        <is>
          <t>Standard Skarn-Magnetite</t>
        </is>
      </c>
      <c r="E17" s="23" t="n">
        <v>249.5</v>
      </c>
      <c r="F17" s="23" t="n">
        <v>3156.2</v>
      </c>
      <c r="G17" s="23" t="n">
        <v>9399.799999999999</v>
      </c>
      <c r="H17" s="23" t="n">
        <v>150.8</v>
      </c>
      <c r="I17" s="19">
        <f>F17/E17</f>
        <v/>
      </c>
      <c r="J17" s="19" t="n">
        <v>14.23</v>
      </c>
      <c r="K17" s="19">
        <f>I17/(10*(1/SQRT(H17)-1/SQRT(G17)))</f>
        <v/>
      </c>
      <c r="L17" s="20">
        <f>K17/J17</f>
        <v/>
      </c>
      <c r="M17" s="23" t="n">
        <v>34</v>
      </c>
      <c r="N17" s="23" t="n">
        <v>72</v>
      </c>
      <c r="O17" s="19" t="n">
        <v>0.473</v>
      </c>
      <c r="P17" s="17">
        <f>IF(L17&gt;1.40, "INEFFICIENT (Eta&gt;1.4)", IF(L17&lt;1.10, "OVERGRIND / LOW Wi", "OPTIMAL (1.10-1.35)"))</f>
        <v/>
      </c>
    </row>
    <row r="18">
      <c r="A18" s="12" t="inlineStr">
        <is>
          <t>SFT-GR-2017</t>
        </is>
      </c>
      <c r="B18" s="39" t="n">
        <v>45297</v>
      </c>
      <c r="C18" s="12" t="inlineStr">
        <is>
          <t>Shift_B</t>
        </is>
      </c>
      <c r="D18" s="12" t="inlineStr">
        <is>
          <t>Standard Skarn-Magnetite</t>
        </is>
      </c>
      <c r="E18" s="22" t="n">
        <v>251.5</v>
      </c>
      <c r="F18" s="22" t="n">
        <v>3019.7</v>
      </c>
      <c r="G18" s="22" t="n">
        <v>9368.299999999999</v>
      </c>
      <c r="H18" s="22" t="n">
        <v>156.4</v>
      </c>
      <c r="I18" s="14">
        <f>F18/E18</f>
        <v/>
      </c>
      <c r="J18" s="14" t="n">
        <v>14.13</v>
      </c>
      <c r="K18" s="14">
        <f>I18/(10*(1/SQRT(H18)-1/SQRT(G18)))</f>
        <v/>
      </c>
      <c r="L18" s="15">
        <f>K18/J18</f>
        <v/>
      </c>
      <c r="M18" s="22" t="n">
        <v>34.5</v>
      </c>
      <c r="N18" s="22" t="n">
        <v>72</v>
      </c>
      <c r="O18" s="14" t="n">
        <v>0.477</v>
      </c>
      <c r="P18" s="12">
        <f>IF(L18&gt;1.40, "INEFFICIENT (Eta&gt;1.4)", IF(L18&lt;1.10, "OVERGRIND / LOW Wi", "OPTIMAL (1.10-1.35)"))</f>
        <v/>
      </c>
    </row>
    <row r="19">
      <c r="A19" s="17" t="inlineStr">
        <is>
          <t>SFT-GR-2018</t>
        </is>
      </c>
      <c r="B19" s="40" t="n">
        <v>45297</v>
      </c>
      <c r="C19" s="17" t="inlineStr">
        <is>
          <t>Shift_C</t>
        </is>
      </c>
      <c r="D19" s="17" t="inlineStr">
        <is>
          <t>Standard Skarn-Magnetite</t>
        </is>
      </c>
      <c r="E19" s="23" t="n">
        <v>255.5</v>
      </c>
      <c r="F19" s="23" t="n">
        <v>3074.9</v>
      </c>
      <c r="G19" s="23" t="n">
        <v>9579</v>
      </c>
      <c r="H19" s="23" t="n">
        <v>149.5</v>
      </c>
      <c r="I19" s="19">
        <f>F19/E19</f>
        <v/>
      </c>
      <c r="J19" s="19" t="n">
        <v>13.48</v>
      </c>
      <c r="K19" s="19">
        <f>I19/(10*(1/SQRT(H19)-1/SQRT(G19)))</f>
        <v/>
      </c>
      <c r="L19" s="20">
        <f>K19/J19</f>
        <v/>
      </c>
      <c r="M19" s="23" t="n">
        <v>34.8</v>
      </c>
      <c r="N19" s="23" t="n">
        <v>71.40000000000001</v>
      </c>
      <c r="O19" s="19" t="n">
        <v>0.452</v>
      </c>
      <c r="P19" s="17">
        <f>IF(L19&gt;1.40, "INEFFICIENT (Eta&gt;1.4)", IF(L19&lt;1.10, "OVERGRIND / LOW Wi", "OPTIMAL (1.10-1.35)"))</f>
        <v/>
      </c>
    </row>
    <row r="20">
      <c r="A20" s="12" t="inlineStr">
        <is>
          <t>SFT-GR-2019</t>
        </is>
      </c>
      <c r="B20" s="39" t="n">
        <v>45298</v>
      </c>
      <c r="C20" s="12" t="inlineStr">
        <is>
          <t>Shift_A</t>
        </is>
      </c>
      <c r="D20" s="12" t="inlineStr">
        <is>
          <t>Standard Skarn-Magnetite</t>
        </is>
      </c>
      <c r="E20" s="22" t="n">
        <v>247.6</v>
      </c>
      <c r="F20" s="22" t="n">
        <v>3180.7</v>
      </c>
      <c r="G20" s="22" t="n">
        <v>9799.1</v>
      </c>
      <c r="H20" s="22" t="n">
        <v>150</v>
      </c>
      <c r="I20" s="14">
        <f>F20/E20</f>
        <v/>
      </c>
      <c r="J20" s="14" t="n">
        <v>14.68</v>
      </c>
      <c r="K20" s="14">
        <f>I20/(10*(1/SQRT(H20)-1/SQRT(G20)))</f>
        <v/>
      </c>
      <c r="L20" s="15">
        <f>K20/J20</f>
        <v/>
      </c>
      <c r="M20" s="22" t="n">
        <v>35.5</v>
      </c>
      <c r="N20" s="22" t="n">
        <v>70.90000000000001</v>
      </c>
      <c r="O20" s="14" t="n">
        <v>0.488</v>
      </c>
      <c r="P20" s="12">
        <f>IF(L20&gt;1.40, "INEFFICIENT (Eta&gt;1.4)", IF(L20&lt;1.10, "OVERGRIND / LOW Wi", "OPTIMAL (1.10-1.35)"))</f>
        <v/>
      </c>
    </row>
    <row r="21">
      <c r="A21" s="17" t="inlineStr">
        <is>
          <t>SFT-GR-2020</t>
        </is>
      </c>
      <c r="B21" s="40" t="n">
        <v>45298</v>
      </c>
      <c r="C21" s="17" t="inlineStr">
        <is>
          <t>Shift_B</t>
        </is>
      </c>
      <c r="D21" s="17" t="inlineStr">
        <is>
          <t>Standard Skarn-Magnetite</t>
        </is>
      </c>
      <c r="E21" s="23" t="n">
        <v>257.1</v>
      </c>
      <c r="F21" s="23" t="n">
        <v>3061.8</v>
      </c>
      <c r="G21" s="23" t="n">
        <v>9511.4</v>
      </c>
      <c r="H21" s="23" t="n">
        <v>151.4</v>
      </c>
      <c r="I21" s="19">
        <f>F21/E21</f>
        <v/>
      </c>
      <c r="J21" s="19" t="n">
        <v>14.35</v>
      </c>
      <c r="K21" s="19">
        <f>I21/(10*(1/SQRT(H21)-1/SQRT(G21)))</f>
        <v/>
      </c>
      <c r="L21" s="20">
        <f>K21/J21</f>
        <v/>
      </c>
      <c r="M21" s="23" t="n">
        <v>34.8</v>
      </c>
      <c r="N21" s="23" t="n">
        <v>72.90000000000001</v>
      </c>
      <c r="O21" s="19" t="n">
        <v>0.575</v>
      </c>
      <c r="P21" s="17">
        <f>IF(L21&gt;1.40, "INEFFICIENT (Eta&gt;1.4)", IF(L21&lt;1.10, "OVERGRIND / LOW Wi", "OPTIMAL (1.10-1.35)"))</f>
        <v/>
      </c>
    </row>
    <row r="22">
      <c r="A22" s="12" t="inlineStr">
        <is>
          <t>SFT-GR-2021</t>
        </is>
      </c>
      <c r="B22" s="39" t="n">
        <v>45298</v>
      </c>
      <c r="C22" s="12" t="inlineStr">
        <is>
          <t>Shift_C</t>
        </is>
      </c>
      <c r="D22" s="12" t="inlineStr">
        <is>
          <t>Standard Skarn-Magnetite</t>
        </is>
      </c>
      <c r="E22" s="22" t="n">
        <v>247.8</v>
      </c>
      <c r="F22" s="22" t="n">
        <v>3155.3</v>
      </c>
      <c r="G22" s="22" t="n">
        <v>9692.4</v>
      </c>
      <c r="H22" s="22" t="n">
        <v>158.7</v>
      </c>
      <c r="I22" s="14">
        <f>F22/E22</f>
        <v/>
      </c>
      <c r="J22" s="14" t="n">
        <v>14.32</v>
      </c>
      <c r="K22" s="14">
        <f>I22/(10*(1/SQRT(H22)-1/SQRT(G22)))</f>
        <v/>
      </c>
      <c r="L22" s="15">
        <f>K22/J22</f>
        <v/>
      </c>
      <c r="M22" s="22" t="n">
        <v>34.2</v>
      </c>
      <c r="N22" s="22" t="n">
        <v>72.7</v>
      </c>
      <c r="O22" s="14" t="n">
        <v>0.439</v>
      </c>
      <c r="P22" s="12">
        <f>IF(L22&gt;1.40, "INEFFICIENT (Eta&gt;1.4)", IF(L22&lt;1.10, "OVERGRIND / LOW Wi", "OPTIMAL (1.10-1.35)"))</f>
        <v/>
      </c>
    </row>
    <row r="23">
      <c r="A23" s="17" t="inlineStr">
        <is>
          <t>SFT-GR-2022</t>
        </is>
      </c>
      <c r="B23" s="40" t="n">
        <v>45299</v>
      </c>
      <c r="C23" s="17" t="inlineStr">
        <is>
          <t>Shift_A</t>
        </is>
      </c>
      <c r="D23" s="17" t="inlineStr">
        <is>
          <t>Standard Skarn-Magnetite</t>
        </is>
      </c>
      <c r="E23" s="23" t="n">
        <v>243.9</v>
      </c>
      <c r="F23" s="23" t="n">
        <v>3072.5</v>
      </c>
      <c r="G23" s="23" t="n">
        <v>9757.9</v>
      </c>
      <c r="H23" s="23" t="n">
        <v>146.1</v>
      </c>
      <c r="I23" s="19">
        <f>F23/E23</f>
        <v/>
      </c>
      <c r="J23" s="19" t="n">
        <v>14.8</v>
      </c>
      <c r="K23" s="19">
        <f>I23/(10*(1/SQRT(H23)-1/SQRT(G23)))</f>
        <v/>
      </c>
      <c r="L23" s="20">
        <f>K23/J23</f>
        <v/>
      </c>
      <c r="M23" s="23" t="n">
        <v>35</v>
      </c>
      <c r="N23" s="23" t="n">
        <v>72</v>
      </c>
      <c r="O23" s="19" t="n">
        <v>0.403</v>
      </c>
      <c r="P23" s="17">
        <f>IF(L23&gt;1.40, "INEFFICIENT (Eta&gt;1.4)", IF(L23&lt;1.10, "OVERGRIND / LOW Wi", "OPTIMAL (1.10-1.35)"))</f>
        <v/>
      </c>
    </row>
    <row r="24">
      <c r="A24" s="12" t="inlineStr">
        <is>
          <t>SFT-GR-2023</t>
        </is>
      </c>
      <c r="B24" s="39" t="n">
        <v>45299</v>
      </c>
      <c r="C24" s="12" t="inlineStr">
        <is>
          <t>Shift_B</t>
        </is>
      </c>
      <c r="D24" s="12" t="inlineStr">
        <is>
          <t>Standard Skarn-Magnetite</t>
        </is>
      </c>
      <c r="E24" s="22" t="n">
        <v>249.9</v>
      </c>
      <c r="F24" s="22" t="n">
        <v>3112.6</v>
      </c>
      <c r="G24" s="22" t="n">
        <v>9387.200000000001</v>
      </c>
      <c r="H24" s="22" t="n">
        <v>156.7</v>
      </c>
      <c r="I24" s="14">
        <f>F24/E24</f>
        <v/>
      </c>
      <c r="J24" s="14" t="n">
        <v>14.32</v>
      </c>
      <c r="K24" s="14">
        <f>I24/(10*(1/SQRT(H24)-1/SQRT(G24)))</f>
        <v/>
      </c>
      <c r="L24" s="15">
        <f>K24/J24</f>
        <v/>
      </c>
      <c r="M24" s="22" t="n">
        <v>34</v>
      </c>
      <c r="N24" s="22" t="n">
        <v>71.40000000000001</v>
      </c>
      <c r="O24" s="14" t="n">
        <v>0.46</v>
      </c>
      <c r="P24" s="12">
        <f>IF(L24&gt;1.40, "INEFFICIENT (Eta&gt;1.4)", IF(L24&lt;1.10, "OVERGRIND / LOW Wi", "OPTIMAL (1.10-1.35)"))</f>
        <v/>
      </c>
    </row>
    <row r="25">
      <c r="A25" s="17" t="inlineStr">
        <is>
          <t>SFT-GR-2024</t>
        </is>
      </c>
      <c r="B25" s="40" t="n">
        <v>45299</v>
      </c>
      <c r="C25" s="17" t="inlineStr">
        <is>
          <t>Shift_C</t>
        </is>
      </c>
      <c r="D25" s="17" t="inlineStr">
        <is>
          <t>Standard Skarn-Magnetite</t>
        </is>
      </c>
      <c r="E25" s="23" t="n">
        <v>252.7</v>
      </c>
      <c r="F25" s="23" t="n">
        <v>3128.5</v>
      </c>
      <c r="G25" s="23" t="n">
        <v>9790.5</v>
      </c>
      <c r="H25" s="23" t="n">
        <v>146.3</v>
      </c>
      <c r="I25" s="19">
        <f>F25/E25</f>
        <v/>
      </c>
      <c r="J25" s="19" t="n">
        <v>14.32</v>
      </c>
      <c r="K25" s="19">
        <f>I25/(10*(1/SQRT(H25)-1/SQRT(G25)))</f>
        <v/>
      </c>
      <c r="L25" s="20">
        <f>K25/J25</f>
        <v/>
      </c>
      <c r="M25" s="23" t="n">
        <v>34.4</v>
      </c>
      <c r="N25" s="23" t="n">
        <v>71.09999999999999</v>
      </c>
      <c r="O25" s="19" t="n">
        <v>0.447</v>
      </c>
      <c r="P25" s="17">
        <f>IF(L25&gt;1.40, "INEFFICIENT (Eta&gt;1.4)", IF(L25&lt;1.10, "OVERGRIND / LOW Wi", "OPTIMAL (1.10-1.35)"))</f>
        <v/>
      </c>
    </row>
    <row r="26">
      <c r="A26" s="12" t="inlineStr">
        <is>
          <t>SFT-GR-2025</t>
        </is>
      </c>
      <c r="B26" s="39" t="n">
        <v>45300</v>
      </c>
      <c r="C26" s="12" t="inlineStr">
        <is>
          <t>Shift_A</t>
        </is>
      </c>
      <c r="D26" s="12" t="inlineStr">
        <is>
          <t>Standard Skarn-Magnetite</t>
        </is>
      </c>
      <c r="E26" s="22" t="n">
        <v>254.3</v>
      </c>
      <c r="F26" s="22" t="n">
        <v>3152.4</v>
      </c>
      <c r="G26" s="22" t="n">
        <v>9360</v>
      </c>
      <c r="H26" s="22" t="n">
        <v>144.7</v>
      </c>
      <c r="I26" s="14">
        <f>F26/E26</f>
        <v/>
      </c>
      <c r="J26" s="14" t="n">
        <v>13.14</v>
      </c>
      <c r="K26" s="14">
        <f>I26/(10*(1/SQRT(H26)-1/SQRT(G26)))</f>
        <v/>
      </c>
      <c r="L26" s="15">
        <f>K26/J26</f>
        <v/>
      </c>
      <c r="M26" s="22" t="n">
        <v>36</v>
      </c>
      <c r="N26" s="22" t="n">
        <v>71.09999999999999</v>
      </c>
      <c r="O26" s="14" t="n">
        <v>0.425</v>
      </c>
      <c r="P26" s="12">
        <f>IF(L26&gt;1.40, "INEFFICIENT (Eta&gt;1.4)", IF(L26&lt;1.10, "OVERGRIND / LOW Wi", "OPTIMAL (1.10-1.35)"))</f>
        <v/>
      </c>
    </row>
    <row r="27">
      <c r="A27" s="17" t="inlineStr">
        <is>
          <t>SFT-GR-2026</t>
        </is>
      </c>
      <c r="B27" s="40" t="n">
        <v>45300</v>
      </c>
      <c r="C27" s="17" t="inlineStr">
        <is>
          <t>Shift_B</t>
        </is>
      </c>
      <c r="D27" s="17" t="inlineStr">
        <is>
          <t>Standard Skarn-Magnetite</t>
        </is>
      </c>
      <c r="E27" s="23" t="n">
        <v>243.2</v>
      </c>
      <c r="F27" s="23" t="n">
        <v>3108.8</v>
      </c>
      <c r="G27" s="23" t="n">
        <v>10395.6</v>
      </c>
      <c r="H27" s="23" t="n">
        <v>149.8</v>
      </c>
      <c r="I27" s="19">
        <f>F27/E27</f>
        <v/>
      </c>
      <c r="J27" s="19" t="n">
        <v>13.91</v>
      </c>
      <c r="K27" s="19">
        <f>I27/(10*(1/SQRT(H27)-1/SQRT(G27)))</f>
        <v/>
      </c>
      <c r="L27" s="20">
        <f>K27/J27</f>
        <v/>
      </c>
      <c r="M27" s="23" t="n">
        <v>34.7</v>
      </c>
      <c r="N27" s="23" t="n">
        <v>72.7</v>
      </c>
      <c r="O27" s="19" t="n">
        <v>0.499</v>
      </c>
      <c r="P27" s="17">
        <f>IF(L27&gt;1.40, "INEFFICIENT (Eta&gt;1.4)", IF(L27&lt;1.10, "OVERGRIND / LOW Wi", "OPTIMAL (1.10-1.35)"))</f>
        <v/>
      </c>
    </row>
    <row r="28">
      <c r="A28" s="12" t="inlineStr">
        <is>
          <t>SFT-GR-2027</t>
        </is>
      </c>
      <c r="B28" s="39" t="n">
        <v>45300</v>
      </c>
      <c r="C28" s="12" t="inlineStr">
        <is>
          <t>Shift_C</t>
        </is>
      </c>
      <c r="D28" s="12" t="inlineStr">
        <is>
          <t>Soft / Weathered Goethite</t>
        </is>
      </c>
      <c r="E28" s="22" t="n">
        <v>287.7</v>
      </c>
      <c r="F28" s="22" t="n">
        <v>2883.8</v>
      </c>
      <c r="G28" s="22" t="n">
        <v>8325.700000000001</v>
      </c>
      <c r="H28" s="22" t="n">
        <v>134</v>
      </c>
      <c r="I28" s="14">
        <f>F28/E28</f>
        <v/>
      </c>
      <c r="J28" s="14" t="n">
        <v>11.34</v>
      </c>
      <c r="K28" s="14">
        <f>I28/(10*(1/SQRT(H28)-1/SQRT(G28)))</f>
        <v/>
      </c>
      <c r="L28" s="15">
        <f>K28/J28</f>
        <v/>
      </c>
      <c r="M28" s="22" t="n">
        <v>36.4</v>
      </c>
      <c r="N28" s="22" t="n">
        <v>69.8</v>
      </c>
      <c r="O28" s="14" t="n">
        <v>0.402</v>
      </c>
      <c r="P28" s="12">
        <f>IF(L28&gt;1.40, "INEFFICIENT (Eta&gt;1.4)", IF(L28&lt;1.10, "OVERGRIND / LOW Wi", "OPTIMAL (1.10-1.35)"))</f>
        <v/>
      </c>
    </row>
    <row r="29">
      <c r="A29" s="17" t="inlineStr">
        <is>
          <t>SFT-GR-2028</t>
        </is>
      </c>
      <c r="B29" s="40" t="n">
        <v>45301</v>
      </c>
      <c r="C29" s="17" t="inlineStr">
        <is>
          <t>Shift_A</t>
        </is>
      </c>
      <c r="D29" s="17" t="inlineStr">
        <is>
          <t>Standard Skarn-Magnetite</t>
        </is>
      </c>
      <c r="E29" s="23" t="n">
        <v>257.3</v>
      </c>
      <c r="F29" s="23" t="n">
        <v>3037.7</v>
      </c>
      <c r="G29" s="23" t="n">
        <v>9516.5</v>
      </c>
      <c r="H29" s="23" t="n">
        <v>144.5</v>
      </c>
      <c r="I29" s="19">
        <f>F29/E29</f>
        <v/>
      </c>
      <c r="J29" s="19" t="n">
        <v>14.39</v>
      </c>
      <c r="K29" s="19">
        <f>I29/(10*(1/SQRT(H29)-1/SQRT(G29)))</f>
        <v/>
      </c>
      <c r="L29" s="20">
        <f>K29/J29</f>
        <v/>
      </c>
      <c r="M29" s="23" t="n">
        <v>33.7</v>
      </c>
      <c r="N29" s="23" t="n">
        <v>71.8</v>
      </c>
      <c r="O29" s="19" t="n">
        <v>0.468</v>
      </c>
      <c r="P29" s="17">
        <f>IF(L29&gt;1.40, "INEFFICIENT (Eta&gt;1.4)", IF(L29&lt;1.10, "OVERGRIND / LOW Wi", "OPTIMAL (1.10-1.35)"))</f>
        <v/>
      </c>
    </row>
    <row r="30">
      <c r="A30" s="12" t="inlineStr">
        <is>
          <t>SFT-GR-2029</t>
        </is>
      </c>
      <c r="B30" s="39" t="n">
        <v>45301</v>
      </c>
      <c r="C30" s="12" t="inlineStr">
        <is>
          <t>Shift_B</t>
        </is>
      </c>
      <c r="D30" s="12" t="inlineStr">
        <is>
          <t>Standard Skarn-Magnetite</t>
        </is>
      </c>
      <c r="E30" s="22" t="n">
        <v>254.8</v>
      </c>
      <c r="F30" s="22" t="n">
        <v>3092.7</v>
      </c>
      <c r="G30" s="22" t="n">
        <v>9322.1</v>
      </c>
      <c r="H30" s="22" t="n">
        <v>144.3</v>
      </c>
      <c r="I30" s="14">
        <f>F30/E30</f>
        <v/>
      </c>
      <c r="J30" s="14" t="n">
        <v>13.43</v>
      </c>
      <c r="K30" s="14">
        <f>I30/(10*(1/SQRT(H30)-1/SQRT(G30)))</f>
        <v/>
      </c>
      <c r="L30" s="15">
        <f>K30/J30</f>
        <v/>
      </c>
      <c r="M30" s="22" t="n">
        <v>34.3</v>
      </c>
      <c r="N30" s="22" t="n">
        <v>72.09999999999999</v>
      </c>
      <c r="O30" s="14" t="n">
        <v>0.498</v>
      </c>
      <c r="P30" s="12">
        <f>IF(L30&gt;1.40, "INEFFICIENT (Eta&gt;1.4)", IF(L30&lt;1.10, "OVERGRIND / LOW Wi", "OPTIMAL (1.10-1.35)"))</f>
        <v/>
      </c>
    </row>
    <row r="31">
      <c r="A31" s="17" t="inlineStr">
        <is>
          <t>SFT-GR-2030</t>
        </is>
      </c>
      <c r="B31" s="40" t="n">
        <v>45301</v>
      </c>
      <c r="C31" s="17" t="inlineStr">
        <is>
          <t>Shift_C</t>
        </is>
      </c>
      <c r="D31" s="17" t="inlineStr">
        <is>
          <t>Standard Skarn-Magnetite</t>
        </is>
      </c>
      <c r="E31" s="23" t="n">
        <v>235</v>
      </c>
      <c r="F31" s="23" t="n">
        <v>3193.5</v>
      </c>
      <c r="G31" s="23" t="n">
        <v>9616.9</v>
      </c>
      <c r="H31" s="23" t="n">
        <v>143.7</v>
      </c>
      <c r="I31" s="19">
        <f>F31/E31</f>
        <v/>
      </c>
      <c r="J31" s="19" t="n">
        <v>13.37</v>
      </c>
      <c r="K31" s="19">
        <f>I31/(10*(1/SQRT(H31)-1/SQRT(G31)))</f>
        <v/>
      </c>
      <c r="L31" s="20">
        <f>K31/J31</f>
        <v/>
      </c>
      <c r="M31" s="23" t="n">
        <v>35.5</v>
      </c>
      <c r="N31" s="23" t="n">
        <v>69.90000000000001</v>
      </c>
      <c r="O31" s="19" t="n">
        <v>0.48</v>
      </c>
      <c r="P31" s="17">
        <f>IF(L31&gt;1.40, "INEFFICIENT (Eta&gt;1.4)", IF(L31&lt;1.10, "OVERGRIND / LOW Wi", "OPTIMAL (1.10-1.35)"))</f>
        <v/>
      </c>
    </row>
    <row r="32">
      <c r="A32" s="12" t="inlineStr">
        <is>
          <t>SFT-GR-2031</t>
        </is>
      </c>
      <c r="B32" s="39" t="n">
        <v>45302</v>
      </c>
      <c r="C32" s="12" t="inlineStr">
        <is>
          <t>Shift_A</t>
        </is>
      </c>
      <c r="D32" s="12" t="inlineStr">
        <is>
          <t>Soft / Weathered Goethite</t>
        </is>
      </c>
      <c r="E32" s="22" t="n">
        <v>292.8</v>
      </c>
      <c r="F32" s="22" t="n">
        <v>2550</v>
      </c>
      <c r="G32" s="22" t="n">
        <v>7879.1</v>
      </c>
      <c r="H32" s="22" t="n">
        <v>175</v>
      </c>
      <c r="I32" s="14">
        <f>F32/E32</f>
        <v/>
      </c>
      <c r="J32" s="14" t="n">
        <v>11.72</v>
      </c>
      <c r="K32" s="14">
        <f>I32/(10*(1/SQRT(H32)-1/SQRT(G32)))</f>
        <v/>
      </c>
      <c r="L32" s="15">
        <f>K32/J32</f>
        <v/>
      </c>
      <c r="M32" s="22" t="n">
        <v>27.5</v>
      </c>
      <c r="N32" s="22" t="n">
        <v>70.8</v>
      </c>
      <c r="O32" s="14" t="n">
        <v>0.356</v>
      </c>
      <c r="P32" s="12">
        <f>IF(L32&gt;1.40, "INEFFICIENT (Eta&gt;1.4)", IF(L32&lt;1.10, "OVERGRIND / LOW Wi", "OPTIMAL (1.10-1.35)"))</f>
        <v/>
      </c>
    </row>
    <row r="33">
      <c r="A33" s="17" t="inlineStr">
        <is>
          <t>SFT-GR-2032</t>
        </is>
      </c>
      <c r="B33" s="40" t="n">
        <v>45302</v>
      </c>
      <c r="C33" s="17" t="inlineStr">
        <is>
          <t>Shift_B</t>
        </is>
      </c>
      <c r="D33" s="17" t="inlineStr">
        <is>
          <t>Standard Skarn-Magnetite</t>
        </is>
      </c>
      <c r="E33" s="23" t="n">
        <v>248.1</v>
      </c>
      <c r="F33" s="23" t="n">
        <v>3101.9</v>
      </c>
      <c r="G33" s="23" t="n">
        <v>9065.4</v>
      </c>
      <c r="H33" s="23" t="n">
        <v>146.5</v>
      </c>
      <c r="I33" s="19">
        <f>F33/E33</f>
        <v/>
      </c>
      <c r="J33" s="19" t="n">
        <v>14.34</v>
      </c>
      <c r="K33" s="19">
        <f>I33/(10*(1/SQRT(H33)-1/SQRT(G33)))</f>
        <v/>
      </c>
      <c r="L33" s="20">
        <f>K33/J33</f>
        <v/>
      </c>
      <c r="M33" s="23" t="n">
        <v>34.9</v>
      </c>
      <c r="N33" s="23" t="n">
        <v>74.09999999999999</v>
      </c>
      <c r="O33" s="19" t="n">
        <v>0.436</v>
      </c>
      <c r="P33" s="17">
        <f>IF(L33&gt;1.40, "INEFFICIENT (Eta&gt;1.4)", IF(L33&lt;1.10, "OVERGRIND / LOW Wi", "OPTIMAL (1.10-1.35)"))</f>
        <v/>
      </c>
    </row>
    <row r="34">
      <c r="A34" s="12" t="inlineStr">
        <is>
          <t>SFT-GR-2033</t>
        </is>
      </c>
      <c r="B34" s="39" t="n">
        <v>45302</v>
      </c>
      <c r="C34" s="12" t="inlineStr">
        <is>
          <t>Shift_C</t>
        </is>
      </c>
      <c r="D34" s="12" t="inlineStr">
        <is>
          <t>Standard Skarn-Magnetite</t>
        </is>
      </c>
      <c r="E34" s="22" t="n">
        <v>256.7</v>
      </c>
      <c r="F34" s="22" t="n">
        <v>3162.2</v>
      </c>
      <c r="G34" s="22" t="n">
        <v>9539.6</v>
      </c>
      <c r="H34" s="22" t="n">
        <v>149.8</v>
      </c>
      <c r="I34" s="14">
        <f>F34/E34</f>
        <v/>
      </c>
      <c r="J34" s="14" t="n">
        <v>13.56</v>
      </c>
      <c r="K34" s="14">
        <f>I34/(10*(1/SQRT(H34)-1/SQRT(G34)))</f>
        <v/>
      </c>
      <c r="L34" s="15">
        <f>K34/J34</f>
        <v/>
      </c>
      <c r="M34" s="22" t="n">
        <v>35.3</v>
      </c>
      <c r="N34" s="22" t="n">
        <v>70.3</v>
      </c>
      <c r="O34" s="14" t="n">
        <v>0.473</v>
      </c>
      <c r="P34" s="12">
        <f>IF(L34&gt;1.40, "INEFFICIENT (Eta&gt;1.4)", IF(L34&lt;1.10, "OVERGRIND / LOW Wi", "OPTIMAL (1.10-1.35)"))</f>
        <v/>
      </c>
    </row>
    <row r="35">
      <c r="A35" s="17" t="inlineStr">
        <is>
          <t>SFT-GR-2034</t>
        </is>
      </c>
      <c r="B35" s="40" t="n">
        <v>45303</v>
      </c>
      <c r="C35" s="17" t="inlineStr">
        <is>
          <t>Shift_A</t>
        </is>
      </c>
      <c r="D35" s="17" t="inlineStr">
        <is>
          <t>Hard Siliceous / Martite</t>
        </is>
      </c>
      <c r="E35" s="23" t="n">
        <v>223</v>
      </c>
      <c r="F35" s="23" t="n">
        <v>3168</v>
      </c>
      <c r="G35" s="23" t="n">
        <v>10474.6</v>
      </c>
      <c r="H35" s="23" t="n">
        <v>163.4</v>
      </c>
      <c r="I35" s="19">
        <f>F35/E35</f>
        <v/>
      </c>
      <c r="J35" s="19" t="n">
        <v>15.84</v>
      </c>
      <c r="K35" s="19">
        <f>I35/(10*(1/SQRT(H35)-1/SQRT(G35)))</f>
        <v/>
      </c>
      <c r="L35" s="20">
        <f>K35/J35</f>
        <v/>
      </c>
      <c r="M35" s="23" t="n">
        <v>33.5</v>
      </c>
      <c r="N35" s="23" t="n">
        <v>73.5</v>
      </c>
      <c r="O35" s="19" t="n">
        <v>0.623</v>
      </c>
      <c r="P35" s="17">
        <f>IF(L35&gt;1.40, "INEFFICIENT (Eta&gt;1.4)", IF(L35&lt;1.10, "OVERGRIND / LOW Wi", "OPTIMAL (1.10-1.35)"))</f>
        <v/>
      </c>
    </row>
    <row r="36">
      <c r="A36" s="12" t="inlineStr">
        <is>
          <t>SFT-GR-2035</t>
        </is>
      </c>
      <c r="B36" s="39" t="n">
        <v>45303</v>
      </c>
      <c r="C36" s="12" t="inlineStr">
        <is>
          <t>Shift_B</t>
        </is>
      </c>
      <c r="D36" s="12" t="inlineStr">
        <is>
          <t>Standard Skarn-Magnetite</t>
        </is>
      </c>
      <c r="E36" s="22" t="n">
        <v>257.5</v>
      </c>
      <c r="F36" s="22" t="n">
        <v>3124.8</v>
      </c>
      <c r="G36" s="22" t="n">
        <v>9513.299999999999</v>
      </c>
      <c r="H36" s="22" t="n">
        <v>149</v>
      </c>
      <c r="I36" s="14">
        <f>F36/E36</f>
        <v/>
      </c>
      <c r="J36" s="14" t="n">
        <v>13.89</v>
      </c>
      <c r="K36" s="14">
        <f>I36/(10*(1/SQRT(H36)-1/SQRT(G36)))</f>
        <v/>
      </c>
      <c r="L36" s="15">
        <f>K36/J36</f>
        <v/>
      </c>
      <c r="M36" s="22" t="n">
        <v>34.4</v>
      </c>
      <c r="N36" s="22" t="n">
        <v>71.8</v>
      </c>
      <c r="O36" s="14" t="n">
        <v>0.453</v>
      </c>
      <c r="P36" s="12">
        <f>IF(L36&gt;1.40, "INEFFICIENT (Eta&gt;1.4)", IF(L36&lt;1.10, "OVERGRIND / LOW Wi", "OPTIMAL (1.10-1.35)"))</f>
        <v/>
      </c>
    </row>
    <row r="37">
      <c r="A37" s="17" t="inlineStr">
        <is>
          <t>SFT-GR-2036</t>
        </is>
      </c>
      <c r="B37" s="40" t="n">
        <v>45303</v>
      </c>
      <c r="C37" s="17" t="inlineStr">
        <is>
          <t>Shift_C</t>
        </is>
      </c>
      <c r="D37" s="17" t="inlineStr">
        <is>
          <t>Hard Siliceous / Martite</t>
        </is>
      </c>
      <c r="E37" s="23" t="n">
        <v>231.2</v>
      </c>
      <c r="F37" s="23" t="n">
        <v>3174.6</v>
      </c>
      <c r="G37" s="23" t="n">
        <v>10024.1</v>
      </c>
      <c r="H37" s="23" t="n">
        <v>152.3</v>
      </c>
      <c r="I37" s="19">
        <f>F37/E37</f>
        <v/>
      </c>
      <c r="J37" s="19" t="n">
        <v>15.56</v>
      </c>
      <c r="K37" s="19">
        <f>I37/(10*(1/SQRT(H37)-1/SQRT(G37)))</f>
        <v/>
      </c>
      <c r="L37" s="20">
        <f>K37/J37</f>
        <v/>
      </c>
      <c r="M37" s="23" t="n">
        <v>33.8</v>
      </c>
      <c r="N37" s="23" t="n">
        <v>73</v>
      </c>
      <c r="O37" s="19" t="n">
        <v>0.51</v>
      </c>
      <c r="P37" s="17">
        <f>IF(L37&gt;1.40, "INEFFICIENT (Eta&gt;1.4)", IF(L37&lt;1.10, "OVERGRIND / LOW Wi", "OPTIMAL (1.10-1.35)"))</f>
        <v/>
      </c>
    </row>
    <row r="38">
      <c r="A38" s="12" t="inlineStr">
        <is>
          <t>SFT-GR-2037</t>
        </is>
      </c>
      <c r="B38" s="39" t="n">
        <v>45304</v>
      </c>
      <c r="C38" s="12" t="inlineStr">
        <is>
          <t>Shift_A</t>
        </is>
      </c>
      <c r="D38" s="12" t="inlineStr">
        <is>
          <t>Hard Siliceous / Martite</t>
        </is>
      </c>
      <c r="E38" s="22" t="n">
        <v>234.7</v>
      </c>
      <c r="F38" s="22" t="n">
        <v>3191.6</v>
      </c>
      <c r="G38" s="22" t="n">
        <v>11344.1</v>
      </c>
      <c r="H38" s="22" t="n">
        <v>157.6</v>
      </c>
      <c r="I38" s="14">
        <f>F38/E38</f>
        <v/>
      </c>
      <c r="J38" s="14" t="n">
        <v>17.14</v>
      </c>
      <c r="K38" s="14">
        <f>I38/(10*(1/SQRT(H38)-1/SQRT(G38)))</f>
        <v/>
      </c>
      <c r="L38" s="15">
        <f>K38/J38</f>
        <v/>
      </c>
      <c r="M38" s="22" t="n">
        <v>35.8</v>
      </c>
      <c r="N38" s="22" t="n">
        <v>74.8</v>
      </c>
      <c r="O38" s="14" t="n">
        <v>0.641</v>
      </c>
      <c r="P38" s="12">
        <f>IF(L38&gt;1.40, "INEFFICIENT (Eta&gt;1.4)", IF(L38&lt;1.10, "OVERGRIND / LOW Wi", "OPTIMAL (1.10-1.35)"))</f>
        <v/>
      </c>
    </row>
    <row r="39">
      <c r="A39" s="17" t="inlineStr">
        <is>
          <t>SFT-GR-2038</t>
        </is>
      </c>
      <c r="B39" s="40" t="n">
        <v>45304</v>
      </c>
      <c r="C39" s="17" t="inlineStr">
        <is>
          <t>Shift_B</t>
        </is>
      </c>
      <c r="D39" s="17" t="inlineStr">
        <is>
          <t>Hard Siliceous / Martite</t>
        </is>
      </c>
      <c r="E39" s="23" t="n">
        <v>239.1</v>
      </c>
      <c r="F39" s="23" t="n">
        <v>3216.4</v>
      </c>
      <c r="G39" s="23" t="n">
        <v>10155.6</v>
      </c>
      <c r="H39" s="23" t="n">
        <v>164.4</v>
      </c>
      <c r="I39" s="19">
        <f>F39/E39</f>
        <v/>
      </c>
      <c r="J39" s="19" t="n">
        <v>16.54</v>
      </c>
      <c r="K39" s="19">
        <f>I39/(10*(1/SQRT(H39)-1/SQRT(G39)))</f>
        <v/>
      </c>
      <c r="L39" s="20">
        <f>K39/J39</f>
        <v/>
      </c>
      <c r="M39" s="23" t="n">
        <v>34.8</v>
      </c>
      <c r="N39" s="23" t="n">
        <v>73.09999999999999</v>
      </c>
      <c r="O39" s="19" t="n">
        <v>0.596</v>
      </c>
      <c r="P39" s="17">
        <f>IF(L39&gt;1.40, "INEFFICIENT (Eta&gt;1.4)", IF(L39&lt;1.10, "OVERGRIND / LOW Wi", "OPTIMAL (1.10-1.35)"))</f>
        <v/>
      </c>
    </row>
    <row r="40">
      <c r="A40" s="12" t="inlineStr">
        <is>
          <t>SFT-GR-2039</t>
        </is>
      </c>
      <c r="B40" s="39" t="n">
        <v>45304</v>
      </c>
      <c r="C40" s="12" t="inlineStr">
        <is>
          <t>Shift_C</t>
        </is>
      </c>
      <c r="D40" s="12" t="inlineStr">
        <is>
          <t>Soft / Weathered Goethite</t>
        </is>
      </c>
      <c r="E40" s="22" t="n">
        <v>276.7</v>
      </c>
      <c r="F40" s="22" t="n">
        <v>2982.5</v>
      </c>
      <c r="G40" s="22" t="n">
        <v>8704.6</v>
      </c>
      <c r="H40" s="22" t="n">
        <v>141.1</v>
      </c>
      <c r="I40" s="14">
        <f>F40/E40</f>
        <v/>
      </c>
      <c r="J40" s="14" t="n">
        <v>11.64</v>
      </c>
      <c r="K40" s="14">
        <f>I40/(10*(1/SQRT(H40)-1/SQRT(G40)))</f>
        <v/>
      </c>
      <c r="L40" s="15">
        <f>K40/J40</f>
        <v/>
      </c>
      <c r="M40" s="22" t="n">
        <v>36.2</v>
      </c>
      <c r="N40" s="22" t="n">
        <v>71.8</v>
      </c>
      <c r="O40" s="14" t="n">
        <v>0.413</v>
      </c>
      <c r="P40" s="12">
        <f>IF(L40&gt;1.40, "INEFFICIENT (Eta&gt;1.4)", IF(L40&lt;1.10, "OVERGRIND / LOW Wi", "OPTIMAL (1.10-1.35)"))</f>
        <v/>
      </c>
    </row>
    <row r="41">
      <c r="A41" s="17" t="inlineStr">
        <is>
          <t>SFT-GR-2040</t>
        </is>
      </c>
      <c r="B41" s="40" t="n">
        <v>45305</v>
      </c>
      <c r="C41" s="17" t="inlineStr">
        <is>
          <t>Shift_A</t>
        </is>
      </c>
      <c r="D41" s="17" t="inlineStr">
        <is>
          <t>Standard Skarn-Magnetite</t>
        </is>
      </c>
      <c r="E41" s="23" t="n">
        <v>248.3</v>
      </c>
      <c r="F41" s="23" t="n">
        <v>3057.6</v>
      </c>
      <c r="G41" s="23" t="n">
        <v>9304.4</v>
      </c>
      <c r="H41" s="23" t="n">
        <v>142.6</v>
      </c>
      <c r="I41" s="19">
        <f>F41/E41</f>
        <v/>
      </c>
      <c r="J41" s="19" t="n">
        <v>14.72</v>
      </c>
      <c r="K41" s="19">
        <f>I41/(10*(1/SQRT(H41)-1/SQRT(G41)))</f>
        <v/>
      </c>
      <c r="L41" s="20">
        <f>K41/J41</f>
        <v/>
      </c>
      <c r="M41" s="23" t="n">
        <v>34.2</v>
      </c>
      <c r="N41" s="23" t="n">
        <v>71.7</v>
      </c>
      <c r="O41" s="19" t="n">
        <v>0.424</v>
      </c>
      <c r="P41" s="17">
        <f>IF(L41&gt;1.40, "INEFFICIENT (Eta&gt;1.4)", IF(L41&lt;1.10, "OVERGRIND / LOW Wi", "OPTIMAL (1.10-1.35)"))</f>
        <v/>
      </c>
    </row>
    <row r="42">
      <c r="A42" s="12" t="inlineStr">
        <is>
          <t>SFT-GR-2041</t>
        </is>
      </c>
      <c r="B42" s="39" t="n">
        <v>45305</v>
      </c>
      <c r="C42" s="12" t="inlineStr">
        <is>
          <t>Shift_B</t>
        </is>
      </c>
      <c r="D42" s="12" t="inlineStr">
        <is>
          <t>Soft / Weathered Goethite</t>
        </is>
      </c>
      <c r="E42" s="22" t="n">
        <v>275.2</v>
      </c>
      <c r="F42" s="22" t="n">
        <v>2963.3</v>
      </c>
      <c r="G42" s="22" t="n">
        <v>8032.2</v>
      </c>
      <c r="H42" s="22" t="n">
        <v>142.6</v>
      </c>
      <c r="I42" s="14">
        <f>F42/E42</f>
        <v/>
      </c>
      <c r="J42" s="14" t="n">
        <v>10.95</v>
      </c>
      <c r="K42" s="14">
        <f>I42/(10*(1/SQRT(H42)-1/SQRT(G42)))</f>
        <v/>
      </c>
      <c r="L42" s="15">
        <f>K42/J42</f>
        <v/>
      </c>
      <c r="M42" s="22" t="n">
        <v>35.7</v>
      </c>
      <c r="N42" s="22" t="n">
        <v>71.3</v>
      </c>
      <c r="O42" s="14" t="n">
        <v>0.398</v>
      </c>
      <c r="P42" s="12">
        <f>IF(L42&gt;1.40, "INEFFICIENT (Eta&gt;1.4)", IF(L42&lt;1.10, "OVERGRIND / LOW Wi", "OPTIMAL (1.10-1.35)"))</f>
        <v/>
      </c>
    </row>
    <row r="43">
      <c r="A43" s="17" t="inlineStr">
        <is>
          <t>SFT-GR-2042</t>
        </is>
      </c>
      <c r="B43" s="40" t="n">
        <v>45305</v>
      </c>
      <c r="C43" s="17" t="inlineStr">
        <is>
          <t>Shift_C</t>
        </is>
      </c>
      <c r="D43" s="17" t="inlineStr">
        <is>
          <t>Standard Skarn-Magnetite</t>
        </is>
      </c>
      <c r="E43" s="23" t="n">
        <v>257.1</v>
      </c>
      <c r="F43" s="23" t="n">
        <v>3108.6</v>
      </c>
      <c r="G43" s="23" t="n">
        <v>9666</v>
      </c>
      <c r="H43" s="23" t="n">
        <v>142.1</v>
      </c>
      <c r="I43" s="19">
        <f>F43/E43</f>
        <v/>
      </c>
      <c r="J43" s="19" t="n">
        <v>13.56</v>
      </c>
      <c r="K43" s="19">
        <f>I43/(10*(1/SQRT(H43)-1/SQRT(G43)))</f>
        <v/>
      </c>
      <c r="L43" s="20">
        <f>K43/J43</f>
        <v/>
      </c>
      <c r="M43" s="23" t="n">
        <v>34.1</v>
      </c>
      <c r="N43" s="23" t="n">
        <v>72.5</v>
      </c>
      <c r="O43" s="19" t="n">
        <v>0.442</v>
      </c>
      <c r="P43" s="17">
        <f>IF(L43&gt;1.40, "INEFFICIENT (Eta&gt;1.4)", IF(L43&lt;1.10, "OVERGRIND / LOW Wi", "OPTIMAL (1.10-1.35)"))</f>
        <v/>
      </c>
    </row>
    <row r="44">
      <c r="A44" s="12" t="inlineStr">
        <is>
          <t>SFT-GR-2043</t>
        </is>
      </c>
      <c r="B44" s="39" t="n">
        <v>45306</v>
      </c>
      <c r="C44" s="12" t="inlineStr">
        <is>
          <t>Shift_A</t>
        </is>
      </c>
      <c r="D44" s="12" t="inlineStr">
        <is>
          <t>Standard Skarn-Magnetite</t>
        </is>
      </c>
      <c r="E44" s="22" t="n">
        <v>254.9</v>
      </c>
      <c r="F44" s="22" t="n">
        <v>3152.2</v>
      </c>
      <c r="G44" s="22" t="n">
        <v>9661.200000000001</v>
      </c>
      <c r="H44" s="22" t="n">
        <v>151.6</v>
      </c>
      <c r="I44" s="14">
        <f>F44/E44</f>
        <v/>
      </c>
      <c r="J44" s="14" t="n">
        <v>13.39</v>
      </c>
      <c r="K44" s="14">
        <f>I44/(10*(1/SQRT(H44)-1/SQRT(G44)))</f>
        <v/>
      </c>
      <c r="L44" s="15">
        <f>K44/J44</f>
        <v/>
      </c>
      <c r="M44" s="22" t="n">
        <v>35.8</v>
      </c>
      <c r="N44" s="22" t="n">
        <v>71.2</v>
      </c>
      <c r="O44" s="14" t="n">
        <v>0.537</v>
      </c>
      <c r="P44" s="12">
        <f>IF(L44&gt;1.40, "INEFFICIENT (Eta&gt;1.4)", IF(L44&lt;1.10, "OVERGRIND / LOW Wi", "OPTIMAL (1.10-1.35)"))</f>
        <v/>
      </c>
    </row>
    <row r="45">
      <c r="A45" s="17" t="inlineStr">
        <is>
          <t>SFT-GR-2044</t>
        </is>
      </c>
      <c r="B45" s="40" t="n">
        <v>45306</v>
      </c>
      <c r="C45" s="17" t="inlineStr">
        <is>
          <t>Shift_B</t>
        </is>
      </c>
      <c r="D45" s="17" t="inlineStr">
        <is>
          <t>Standard Skarn-Magnetite</t>
        </is>
      </c>
      <c r="E45" s="23" t="n">
        <v>237.5</v>
      </c>
      <c r="F45" s="23" t="n">
        <v>3104.8</v>
      </c>
      <c r="G45" s="23" t="n">
        <v>9421</v>
      </c>
      <c r="H45" s="23" t="n">
        <v>151.4</v>
      </c>
      <c r="I45" s="19">
        <f>F45/E45</f>
        <v/>
      </c>
      <c r="J45" s="19" t="n">
        <v>14.14</v>
      </c>
      <c r="K45" s="19">
        <f>I45/(10*(1/SQRT(H45)-1/SQRT(G45)))</f>
        <v/>
      </c>
      <c r="L45" s="20">
        <f>K45/J45</f>
        <v/>
      </c>
      <c r="M45" s="23" t="n">
        <v>34.7</v>
      </c>
      <c r="N45" s="23" t="n">
        <v>71.7</v>
      </c>
      <c r="O45" s="19" t="n">
        <v>0.509</v>
      </c>
      <c r="P45" s="17">
        <f>IF(L45&gt;1.40, "INEFFICIENT (Eta&gt;1.4)", IF(L45&lt;1.10, "OVERGRIND / LOW Wi", "OPTIMAL (1.10-1.35)"))</f>
        <v/>
      </c>
    </row>
    <row r="46">
      <c r="A46" s="12" t="inlineStr">
        <is>
          <t>SFT-GR-2045</t>
        </is>
      </c>
      <c r="B46" s="39" t="n">
        <v>45306</v>
      </c>
      <c r="C46" s="12" t="inlineStr">
        <is>
          <t>Shift_C</t>
        </is>
      </c>
      <c r="D46" s="12" t="inlineStr">
        <is>
          <t>Soft / Weathered Goethite</t>
        </is>
      </c>
      <c r="E46" s="22" t="n">
        <v>280.2</v>
      </c>
      <c r="F46" s="22" t="n">
        <v>2907.6</v>
      </c>
      <c r="G46" s="22" t="n">
        <v>8243.9</v>
      </c>
      <c r="H46" s="22" t="n">
        <v>142.6</v>
      </c>
      <c r="I46" s="14">
        <f>F46/E46</f>
        <v/>
      </c>
      <c r="J46" s="14" t="n">
        <v>11.31</v>
      </c>
      <c r="K46" s="14">
        <f>I46/(10*(1/SQRT(H46)-1/SQRT(G46)))</f>
        <v/>
      </c>
      <c r="L46" s="15">
        <f>K46/J46</f>
        <v/>
      </c>
      <c r="M46" s="22" t="n">
        <v>35.4</v>
      </c>
      <c r="N46" s="22" t="n">
        <v>70.8</v>
      </c>
      <c r="O46" s="14" t="n">
        <v>0.389</v>
      </c>
      <c r="P46" s="12">
        <f>IF(L46&gt;1.40, "INEFFICIENT (Eta&gt;1.4)", IF(L46&lt;1.10, "OVERGRIND / LOW Wi", "OPTIMAL (1.10-1.35)"))</f>
        <v/>
      </c>
    </row>
    <row r="47">
      <c r="A47" s="17" t="inlineStr">
        <is>
          <t>SFT-GR-2046</t>
        </is>
      </c>
      <c r="B47" s="40" t="n">
        <v>45307</v>
      </c>
      <c r="C47" s="17" t="inlineStr">
        <is>
          <t>Shift_A</t>
        </is>
      </c>
      <c r="D47" s="17" t="inlineStr">
        <is>
          <t>Soft / Weathered Goethite</t>
        </is>
      </c>
      <c r="E47" s="23" t="n">
        <v>273</v>
      </c>
      <c r="F47" s="23" t="n">
        <v>2947.6</v>
      </c>
      <c r="G47" s="23" t="n">
        <v>8152.9</v>
      </c>
      <c r="H47" s="23" t="n">
        <v>139.3</v>
      </c>
      <c r="I47" s="19">
        <f>F47/E47</f>
        <v/>
      </c>
      <c r="J47" s="19" t="n">
        <v>11.09</v>
      </c>
      <c r="K47" s="19">
        <f>I47/(10*(1/SQRT(H47)-1/SQRT(G47)))</f>
        <v/>
      </c>
      <c r="L47" s="20">
        <f>K47/J47</f>
        <v/>
      </c>
      <c r="M47" s="23" t="n">
        <v>37.1</v>
      </c>
      <c r="N47" s="23" t="n">
        <v>71.3</v>
      </c>
      <c r="O47" s="19" t="n">
        <v>0.341</v>
      </c>
      <c r="P47" s="17">
        <f>IF(L47&gt;1.40, "INEFFICIENT (Eta&gt;1.4)", IF(L47&lt;1.10, "OVERGRIND / LOW Wi", "OPTIMAL (1.10-1.35)"))</f>
        <v/>
      </c>
    </row>
    <row r="48">
      <c r="A48" s="12" t="inlineStr">
        <is>
          <t>SFT-GR-2047</t>
        </is>
      </c>
      <c r="B48" s="39" t="n">
        <v>45307</v>
      </c>
      <c r="C48" s="12" t="inlineStr">
        <is>
          <t>Shift_B</t>
        </is>
      </c>
      <c r="D48" s="12" t="inlineStr">
        <is>
          <t>Standard Skarn-Magnetite</t>
        </is>
      </c>
      <c r="E48" s="22" t="n">
        <v>255</v>
      </c>
      <c r="F48" s="22" t="n">
        <v>3153.6</v>
      </c>
      <c r="G48" s="22" t="n">
        <v>10106</v>
      </c>
      <c r="H48" s="22" t="n">
        <v>152.8</v>
      </c>
      <c r="I48" s="14">
        <f>F48/E48</f>
        <v/>
      </c>
      <c r="J48" s="14" t="n">
        <v>14.53</v>
      </c>
      <c r="K48" s="14">
        <f>I48/(10*(1/SQRT(H48)-1/SQRT(G48)))</f>
        <v/>
      </c>
      <c r="L48" s="15">
        <f>K48/J48</f>
        <v/>
      </c>
      <c r="M48" s="22" t="n">
        <v>35.3</v>
      </c>
      <c r="N48" s="22" t="n">
        <v>73.3</v>
      </c>
      <c r="O48" s="14" t="n">
        <v>0.55</v>
      </c>
      <c r="P48" s="12">
        <f>IF(L48&gt;1.40, "INEFFICIENT (Eta&gt;1.4)", IF(L48&lt;1.10, "OVERGRIND / LOW Wi", "OPTIMAL (1.10-1.35)"))</f>
        <v/>
      </c>
    </row>
    <row r="49">
      <c r="A49" s="17" t="inlineStr">
        <is>
          <t>SFT-GR-2048</t>
        </is>
      </c>
      <c r="B49" s="40" t="n">
        <v>45307</v>
      </c>
      <c r="C49" s="17" t="inlineStr">
        <is>
          <t>Shift_C</t>
        </is>
      </c>
      <c r="D49" s="17" t="inlineStr">
        <is>
          <t>Soft / Weathered Goethite</t>
        </is>
      </c>
      <c r="E49" s="23" t="n">
        <v>287.5</v>
      </c>
      <c r="F49" s="23" t="n">
        <v>2900.9</v>
      </c>
      <c r="G49" s="23" t="n">
        <v>8736.299999999999</v>
      </c>
      <c r="H49" s="23" t="n">
        <v>140</v>
      </c>
      <c r="I49" s="19">
        <f>F49/E49</f>
        <v/>
      </c>
      <c r="J49" s="19" t="n">
        <v>11.36</v>
      </c>
      <c r="K49" s="19">
        <f>I49/(10*(1/SQRT(H49)-1/SQRT(G49)))</f>
        <v/>
      </c>
      <c r="L49" s="20">
        <f>K49/J49</f>
        <v/>
      </c>
      <c r="M49" s="23" t="n">
        <v>34.9</v>
      </c>
      <c r="N49" s="23" t="n">
        <v>70.8</v>
      </c>
      <c r="O49" s="19" t="n">
        <v>0.317</v>
      </c>
      <c r="P49" s="17">
        <f>IF(L49&gt;1.40, "INEFFICIENT (Eta&gt;1.4)", IF(L49&lt;1.10, "OVERGRIND / LOW Wi", "OPTIMAL (1.10-1.35)"))</f>
        <v/>
      </c>
    </row>
    <row r="50">
      <c r="A50" s="12" t="inlineStr">
        <is>
          <t>SFT-GR-2049</t>
        </is>
      </c>
      <c r="B50" s="39" t="n">
        <v>45308</v>
      </c>
      <c r="C50" s="12" t="inlineStr">
        <is>
          <t>Shift_A</t>
        </is>
      </c>
      <c r="D50" s="12" t="inlineStr">
        <is>
          <t>Standard Skarn-Magnetite</t>
        </is>
      </c>
      <c r="E50" s="22" t="n">
        <v>254.4</v>
      </c>
      <c r="F50" s="22" t="n">
        <v>3134.6</v>
      </c>
      <c r="G50" s="22" t="n">
        <v>9979.200000000001</v>
      </c>
      <c r="H50" s="22" t="n">
        <v>147.7</v>
      </c>
      <c r="I50" s="14">
        <f>F50/E50</f>
        <v/>
      </c>
      <c r="J50" s="14" t="n">
        <v>14.45</v>
      </c>
      <c r="K50" s="14">
        <f>I50/(10*(1/SQRT(H50)-1/SQRT(G50)))</f>
        <v/>
      </c>
      <c r="L50" s="15">
        <f>K50/J50</f>
        <v/>
      </c>
      <c r="M50" s="22" t="n">
        <v>34.3</v>
      </c>
      <c r="N50" s="22" t="n">
        <v>73</v>
      </c>
      <c r="O50" s="14" t="n">
        <v>0.527</v>
      </c>
      <c r="P50" s="12">
        <f>IF(L50&gt;1.40, "INEFFICIENT (Eta&gt;1.4)", IF(L50&lt;1.10, "OVERGRIND / LOW Wi", "OPTIMAL (1.10-1.35)"))</f>
        <v/>
      </c>
    </row>
    <row r="51">
      <c r="A51" s="17" t="inlineStr">
        <is>
          <t>SFT-GR-2050</t>
        </is>
      </c>
      <c r="B51" s="40" t="n">
        <v>45308</v>
      </c>
      <c r="C51" s="17" t="inlineStr">
        <is>
          <t>Shift_B</t>
        </is>
      </c>
      <c r="D51" s="17" t="inlineStr">
        <is>
          <t>Standard Skarn-Magnetite</t>
        </is>
      </c>
      <c r="E51" s="23" t="n">
        <v>250</v>
      </c>
      <c r="F51" s="23" t="n">
        <v>3150.6</v>
      </c>
      <c r="G51" s="23" t="n">
        <v>9902.4</v>
      </c>
      <c r="H51" s="23" t="n">
        <v>144.3</v>
      </c>
      <c r="I51" s="19">
        <f>F51/E51</f>
        <v/>
      </c>
      <c r="J51" s="19" t="n">
        <v>14.79</v>
      </c>
      <c r="K51" s="19">
        <f>I51/(10*(1/SQRT(H51)-1/SQRT(G51)))</f>
        <v/>
      </c>
      <c r="L51" s="20">
        <f>K51/J51</f>
        <v/>
      </c>
      <c r="M51" s="23" t="n">
        <v>34.5</v>
      </c>
      <c r="N51" s="23" t="n">
        <v>73</v>
      </c>
      <c r="O51" s="19" t="n">
        <v>0.547</v>
      </c>
      <c r="P51" s="17">
        <f>IF(L51&gt;1.40, "INEFFICIENT (Eta&gt;1.4)", IF(L51&lt;1.10, "OVERGRIND / LOW Wi", "OPTIMAL (1.10-1.35)"))</f>
        <v/>
      </c>
    </row>
    <row r="52">
      <c r="A52" s="12" t="inlineStr">
        <is>
          <t>SFT-GR-2051</t>
        </is>
      </c>
      <c r="B52" s="39" t="n">
        <v>45308</v>
      </c>
      <c r="C52" s="12" t="inlineStr">
        <is>
          <t>Shift_C</t>
        </is>
      </c>
      <c r="D52" s="12" t="inlineStr">
        <is>
          <t>Standard Skarn-Magnetite</t>
        </is>
      </c>
      <c r="E52" s="22" t="n">
        <v>264.6</v>
      </c>
      <c r="F52" s="22" t="n">
        <v>3147.6</v>
      </c>
      <c r="G52" s="22" t="n">
        <v>9642.1</v>
      </c>
      <c r="H52" s="22" t="n">
        <v>150.6</v>
      </c>
      <c r="I52" s="14">
        <f>F52/E52</f>
        <v/>
      </c>
      <c r="J52" s="14" t="n">
        <v>13.84</v>
      </c>
      <c r="K52" s="14">
        <f>I52/(10*(1/SQRT(H52)-1/SQRT(G52)))</f>
        <v/>
      </c>
      <c r="L52" s="15">
        <f>K52/J52</f>
        <v/>
      </c>
      <c r="M52" s="22" t="n">
        <v>36.3</v>
      </c>
      <c r="N52" s="22" t="n">
        <v>72.7</v>
      </c>
      <c r="O52" s="14" t="n">
        <v>0.5</v>
      </c>
      <c r="P52" s="12">
        <f>IF(L52&gt;1.40, "INEFFICIENT (Eta&gt;1.4)", IF(L52&lt;1.10, "OVERGRIND / LOW Wi", "OPTIMAL (1.10-1.35)"))</f>
        <v/>
      </c>
    </row>
    <row r="53">
      <c r="A53" s="17" t="inlineStr">
        <is>
          <t>SFT-GR-2052</t>
        </is>
      </c>
      <c r="B53" s="40" t="n">
        <v>45309</v>
      </c>
      <c r="C53" s="17" t="inlineStr">
        <is>
          <t>Shift_A</t>
        </is>
      </c>
      <c r="D53" s="17" t="inlineStr">
        <is>
          <t>Hard Siliceous / Martite</t>
        </is>
      </c>
      <c r="E53" s="23" t="n">
        <v>230.6</v>
      </c>
      <c r="F53" s="23" t="n">
        <v>3098.8</v>
      </c>
      <c r="G53" s="23" t="n">
        <v>10381.4</v>
      </c>
      <c r="H53" s="23" t="n">
        <v>157.4</v>
      </c>
      <c r="I53" s="19">
        <f>F53/E53</f>
        <v/>
      </c>
      <c r="J53" s="19" t="n">
        <v>16.52</v>
      </c>
      <c r="K53" s="19">
        <f>I53/(10*(1/SQRT(H53)-1/SQRT(G53)))</f>
        <v/>
      </c>
      <c r="L53" s="20">
        <f>K53/J53</f>
        <v/>
      </c>
      <c r="M53" s="23" t="n">
        <v>32.6</v>
      </c>
      <c r="N53" s="23" t="n">
        <v>73.8</v>
      </c>
      <c r="O53" s="19" t="n">
        <v>0.61</v>
      </c>
      <c r="P53" s="17">
        <f>IF(L53&gt;1.40, "INEFFICIENT (Eta&gt;1.4)", IF(L53&lt;1.10, "OVERGRIND / LOW Wi", "OPTIMAL (1.10-1.35)"))</f>
        <v/>
      </c>
    </row>
    <row r="54">
      <c r="A54" s="12" t="inlineStr">
        <is>
          <t>SFT-GR-2053</t>
        </is>
      </c>
      <c r="B54" s="39" t="n">
        <v>45309</v>
      </c>
      <c r="C54" s="12" t="inlineStr">
        <is>
          <t>Shift_B</t>
        </is>
      </c>
      <c r="D54" s="12" t="inlineStr">
        <is>
          <t>Standard Skarn-Magnetite</t>
        </is>
      </c>
      <c r="E54" s="22" t="n">
        <v>258.9</v>
      </c>
      <c r="F54" s="22" t="n">
        <v>3059.6</v>
      </c>
      <c r="G54" s="22" t="n">
        <v>9455.299999999999</v>
      </c>
      <c r="H54" s="22" t="n">
        <v>152.7</v>
      </c>
      <c r="I54" s="14">
        <f>F54/E54</f>
        <v/>
      </c>
      <c r="J54" s="14" t="n">
        <v>13.3</v>
      </c>
      <c r="K54" s="14">
        <f>I54/(10*(1/SQRT(H54)-1/SQRT(G54)))</f>
        <v/>
      </c>
      <c r="L54" s="15">
        <f>K54/J54</f>
        <v/>
      </c>
      <c r="M54" s="22" t="n">
        <v>35.3</v>
      </c>
      <c r="N54" s="22" t="n">
        <v>72.3</v>
      </c>
      <c r="O54" s="14" t="n">
        <v>0.512</v>
      </c>
      <c r="P54" s="12">
        <f>IF(L54&gt;1.40, "INEFFICIENT (Eta&gt;1.4)", IF(L54&lt;1.10, "OVERGRIND / LOW Wi", "OPTIMAL (1.10-1.35)"))</f>
        <v/>
      </c>
    </row>
    <row r="55">
      <c r="A55" s="17" t="inlineStr">
        <is>
          <t>SFT-GR-2054</t>
        </is>
      </c>
      <c r="B55" s="40" t="n">
        <v>45309</v>
      </c>
      <c r="C55" s="17" t="inlineStr">
        <is>
          <t>Shift_C</t>
        </is>
      </c>
      <c r="D55" s="17" t="inlineStr">
        <is>
          <t>Standard Skarn-Magnetite</t>
        </is>
      </c>
      <c r="E55" s="23" t="n">
        <v>243.6</v>
      </c>
      <c r="F55" s="23" t="n">
        <v>3144.8</v>
      </c>
      <c r="G55" s="23" t="n">
        <v>9310.5</v>
      </c>
      <c r="H55" s="23" t="n">
        <v>149.3</v>
      </c>
      <c r="I55" s="19">
        <f>F55/E55</f>
        <v/>
      </c>
      <c r="J55" s="19" t="n">
        <v>14.25</v>
      </c>
      <c r="K55" s="19">
        <f>I55/(10*(1/SQRT(H55)-1/SQRT(G55)))</f>
        <v/>
      </c>
      <c r="L55" s="20">
        <f>K55/J55</f>
        <v/>
      </c>
      <c r="M55" s="23" t="n">
        <v>35.8</v>
      </c>
      <c r="N55" s="23" t="n">
        <v>72</v>
      </c>
      <c r="O55" s="19" t="n">
        <v>0.498</v>
      </c>
      <c r="P55" s="17">
        <f>IF(L55&gt;1.40, "INEFFICIENT (Eta&gt;1.4)", IF(L55&lt;1.10, "OVERGRIND / LOW Wi", "OPTIMAL (1.10-1.35)"))</f>
        <v/>
      </c>
    </row>
    <row r="56">
      <c r="A56" s="12" t="inlineStr">
        <is>
          <t>SFT-GR-2055</t>
        </is>
      </c>
      <c r="B56" s="39" t="n">
        <v>45310</v>
      </c>
      <c r="C56" s="12" t="inlineStr">
        <is>
          <t>Shift_A</t>
        </is>
      </c>
      <c r="D56" s="12" t="inlineStr">
        <is>
          <t>Hard Siliceous / Martite</t>
        </is>
      </c>
      <c r="E56" s="22" t="n">
        <v>220.2</v>
      </c>
      <c r="F56" s="22" t="n">
        <v>3213.7</v>
      </c>
      <c r="G56" s="22" t="n">
        <v>10623.4</v>
      </c>
      <c r="H56" s="22" t="n">
        <v>152</v>
      </c>
      <c r="I56" s="14">
        <f>F56/E56</f>
        <v/>
      </c>
      <c r="J56" s="14" t="n">
        <v>16.41</v>
      </c>
      <c r="K56" s="14">
        <f>I56/(10*(1/SQRT(H56)-1/SQRT(G56)))</f>
        <v/>
      </c>
      <c r="L56" s="15">
        <f>K56/J56</f>
        <v/>
      </c>
      <c r="M56" s="22" t="n">
        <v>33.8</v>
      </c>
      <c r="N56" s="22" t="n">
        <v>72.90000000000001</v>
      </c>
      <c r="O56" s="14" t="n">
        <v>0.585</v>
      </c>
      <c r="P56" s="12">
        <f>IF(L56&gt;1.40, "INEFFICIENT (Eta&gt;1.4)", IF(L56&lt;1.10, "OVERGRIND / LOW Wi", "OPTIMAL (1.10-1.35)"))</f>
        <v/>
      </c>
    </row>
    <row r="57">
      <c r="A57" s="17" t="inlineStr">
        <is>
          <t>SFT-GR-2056</t>
        </is>
      </c>
      <c r="B57" s="40" t="n">
        <v>45310</v>
      </c>
      <c r="C57" s="17" t="inlineStr">
        <is>
          <t>Shift_B</t>
        </is>
      </c>
      <c r="D57" s="17" t="inlineStr">
        <is>
          <t>Standard Skarn-Magnetite</t>
        </is>
      </c>
      <c r="E57" s="23" t="n">
        <v>247.7</v>
      </c>
      <c r="F57" s="23" t="n">
        <v>3087.2</v>
      </c>
      <c r="G57" s="23" t="n">
        <v>9427.6</v>
      </c>
      <c r="H57" s="23" t="n">
        <v>147.7</v>
      </c>
      <c r="I57" s="19">
        <f>F57/E57</f>
        <v/>
      </c>
      <c r="J57" s="19" t="n">
        <v>13.8</v>
      </c>
      <c r="K57" s="19">
        <f>I57/(10*(1/SQRT(H57)-1/SQRT(G57)))</f>
        <v/>
      </c>
      <c r="L57" s="20">
        <f>K57/J57</f>
        <v/>
      </c>
      <c r="M57" s="23" t="n">
        <v>35.5</v>
      </c>
      <c r="N57" s="23" t="n">
        <v>72.7</v>
      </c>
      <c r="O57" s="19" t="n">
        <v>0.454</v>
      </c>
      <c r="P57" s="17">
        <f>IF(L57&gt;1.40, "INEFFICIENT (Eta&gt;1.4)", IF(L57&lt;1.10, "OVERGRIND / LOW Wi", "OPTIMAL (1.10-1.35)"))</f>
        <v/>
      </c>
    </row>
    <row r="58">
      <c r="A58" s="12" t="inlineStr">
        <is>
          <t>SFT-GR-2057</t>
        </is>
      </c>
      <c r="B58" s="39" t="n">
        <v>45310</v>
      </c>
      <c r="C58" s="12" t="inlineStr">
        <is>
          <t>Shift_C</t>
        </is>
      </c>
      <c r="D58" s="12" t="inlineStr">
        <is>
          <t>Standard Skarn-Magnetite</t>
        </is>
      </c>
      <c r="E58" s="22" t="n">
        <v>243.9</v>
      </c>
      <c r="F58" s="22" t="n">
        <v>3080.9</v>
      </c>
      <c r="G58" s="22" t="n">
        <v>9326</v>
      </c>
      <c r="H58" s="22" t="n">
        <v>154.8</v>
      </c>
      <c r="I58" s="14">
        <f>F58/E58</f>
        <v/>
      </c>
      <c r="J58" s="14" t="n">
        <v>13.59</v>
      </c>
      <c r="K58" s="14">
        <f>I58/(10*(1/SQRT(H58)-1/SQRT(G58)))</f>
        <v/>
      </c>
      <c r="L58" s="15">
        <f>K58/J58</f>
        <v/>
      </c>
      <c r="M58" s="22" t="n">
        <v>33.9</v>
      </c>
      <c r="N58" s="22" t="n">
        <v>71.7</v>
      </c>
      <c r="O58" s="14" t="n">
        <v>0.493</v>
      </c>
      <c r="P58" s="12">
        <f>IF(L58&gt;1.40, "INEFFICIENT (Eta&gt;1.4)", IF(L58&lt;1.10, "OVERGRIND / LOW Wi", "OPTIMAL (1.10-1.35)"))</f>
        <v/>
      </c>
    </row>
    <row r="59">
      <c r="A59" s="17" t="inlineStr">
        <is>
          <t>SFT-GR-2058</t>
        </is>
      </c>
      <c r="B59" s="40" t="n">
        <v>45311</v>
      </c>
      <c r="C59" s="17" t="inlineStr">
        <is>
          <t>Shift_A</t>
        </is>
      </c>
      <c r="D59" s="17" t="inlineStr">
        <is>
          <t>Standard Skarn-Magnetite</t>
        </is>
      </c>
      <c r="E59" s="23" t="n">
        <v>243.2</v>
      </c>
      <c r="F59" s="23" t="n">
        <v>3128.7</v>
      </c>
      <c r="G59" s="23" t="n">
        <v>8964.200000000001</v>
      </c>
      <c r="H59" s="23" t="n">
        <v>146.2</v>
      </c>
      <c r="I59" s="19">
        <f>F59/E59</f>
        <v/>
      </c>
      <c r="J59" s="19" t="n">
        <v>13.99</v>
      </c>
      <c r="K59" s="19">
        <f>I59/(10*(1/SQRT(H59)-1/SQRT(G59)))</f>
        <v/>
      </c>
      <c r="L59" s="20">
        <f>K59/J59</f>
        <v/>
      </c>
      <c r="M59" s="23" t="n">
        <v>35.3</v>
      </c>
      <c r="N59" s="23" t="n">
        <v>72.09999999999999</v>
      </c>
      <c r="O59" s="19" t="n">
        <v>0.588</v>
      </c>
      <c r="P59" s="17">
        <f>IF(L59&gt;1.40, "INEFFICIENT (Eta&gt;1.4)", IF(L59&lt;1.10, "OVERGRIND / LOW Wi", "OPTIMAL (1.10-1.35)"))</f>
        <v/>
      </c>
    </row>
    <row r="60">
      <c r="A60" s="12" t="inlineStr">
        <is>
          <t>SFT-GR-2059</t>
        </is>
      </c>
      <c r="B60" s="39" t="n">
        <v>45311</v>
      </c>
      <c r="C60" s="12" t="inlineStr">
        <is>
          <t>Shift_B</t>
        </is>
      </c>
      <c r="D60" s="12" t="inlineStr">
        <is>
          <t>Standard Skarn-Magnetite</t>
        </is>
      </c>
      <c r="E60" s="22" t="n">
        <v>256.3</v>
      </c>
      <c r="F60" s="22" t="n">
        <v>3057.7</v>
      </c>
      <c r="G60" s="22" t="n">
        <v>9492.6</v>
      </c>
      <c r="H60" s="22" t="n">
        <v>138.6</v>
      </c>
      <c r="I60" s="14">
        <f>F60/E60</f>
        <v/>
      </c>
      <c r="J60" s="14" t="n">
        <v>13.43</v>
      </c>
      <c r="K60" s="14">
        <f>I60/(10*(1/SQRT(H60)-1/SQRT(G60)))</f>
        <v/>
      </c>
      <c r="L60" s="15">
        <f>K60/J60</f>
        <v/>
      </c>
      <c r="M60" s="22" t="n">
        <v>34.6</v>
      </c>
      <c r="N60" s="22" t="n">
        <v>71.09999999999999</v>
      </c>
      <c r="O60" s="14" t="n">
        <v>0.387</v>
      </c>
      <c r="P60" s="12">
        <f>IF(L60&gt;1.40, "INEFFICIENT (Eta&gt;1.4)", IF(L60&lt;1.10, "OVERGRIND / LOW Wi", "OPTIMAL (1.10-1.35)"))</f>
        <v/>
      </c>
    </row>
    <row r="61">
      <c r="A61" s="17" t="inlineStr">
        <is>
          <t>SFT-GR-2060</t>
        </is>
      </c>
      <c r="B61" s="40" t="n">
        <v>45311</v>
      </c>
      <c r="C61" s="17" t="inlineStr">
        <is>
          <t>Shift_C</t>
        </is>
      </c>
      <c r="D61" s="17" t="inlineStr">
        <is>
          <t>Hard Siliceous / Martite</t>
        </is>
      </c>
      <c r="E61" s="23" t="n">
        <v>233.1</v>
      </c>
      <c r="F61" s="23" t="n">
        <v>3219.3</v>
      </c>
      <c r="G61" s="23" t="n">
        <v>10647.5</v>
      </c>
      <c r="H61" s="23" t="n">
        <v>158.4</v>
      </c>
      <c r="I61" s="19">
        <f>F61/E61</f>
        <v/>
      </c>
      <c r="J61" s="19" t="n">
        <v>17.42</v>
      </c>
      <c r="K61" s="19">
        <f>I61/(10*(1/SQRT(H61)-1/SQRT(G61)))</f>
        <v/>
      </c>
      <c r="L61" s="20">
        <f>K61/J61</f>
        <v/>
      </c>
      <c r="M61" s="23" t="n">
        <v>31.7</v>
      </c>
      <c r="N61" s="23" t="n">
        <v>73.2</v>
      </c>
      <c r="O61" s="19" t="n">
        <v>0.662</v>
      </c>
      <c r="P61" s="17">
        <f>IF(L61&gt;1.40, "INEFFICIENT (Eta&gt;1.4)", IF(L61&lt;1.10, "OVERGRIND / LOW Wi", "OPTIMAL (1.10-1.35)"))</f>
        <v/>
      </c>
    </row>
    <row r="62">
      <c r="A62" s="12" t="inlineStr">
        <is>
          <t>SFT-GR-2061</t>
        </is>
      </c>
      <c r="B62" s="39" t="n">
        <v>45312</v>
      </c>
      <c r="C62" s="12" t="inlineStr">
        <is>
          <t>Shift_A</t>
        </is>
      </c>
      <c r="D62" s="12" t="inlineStr">
        <is>
          <t>Standard Skarn-Magnetite</t>
        </is>
      </c>
      <c r="E62" s="22" t="n">
        <v>249.4</v>
      </c>
      <c r="F62" s="22" t="n">
        <v>2933.8</v>
      </c>
      <c r="G62" s="22" t="n">
        <v>9059.299999999999</v>
      </c>
      <c r="H62" s="22" t="n">
        <v>145.9</v>
      </c>
      <c r="I62" s="14">
        <f>F62/E62</f>
        <v/>
      </c>
      <c r="J62" s="14" t="n">
        <v>14.68</v>
      </c>
      <c r="K62" s="14">
        <f>I62/(10*(1/SQRT(H62)-1/SQRT(G62)))</f>
        <v/>
      </c>
      <c r="L62" s="15">
        <f>K62/J62</f>
        <v/>
      </c>
      <c r="M62" s="22" t="n">
        <v>36</v>
      </c>
      <c r="N62" s="22" t="n">
        <v>71.8</v>
      </c>
      <c r="O62" s="14" t="n">
        <v>0.522</v>
      </c>
      <c r="P62" s="12">
        <f>IF(L62&gt;1.40, "INEFFICIENT (Eta&gt;1.4)", IF(L62&lt;1.10, "OVERGRIND / LOW Wi", "OPTIMAL (1.10-1.35)"))</f>
        <v/>
      </c>
    </row>
    <row r="63">
      <c r="A63" s="17" t="inlineStr">
        <is>
          <t>SFT-GR-2062</t>
        </is>
      </c>
      <c r="B63" s="40" t="n">
        <v>45312</v>
      </c>
      <c r="C63" s="17" t="inlineStr">
        <is>
          <t>Shift_B</t>
        </is>
      </c>
      <c r="D63" s="17" t="inlineStr">
        <is>
          <t>Standard Skarn-Magnetite</t>
        </is>
      </c>
      <c r="E63" s="23" t="n">
        <v>247.8</v>
      </c>
      <c r="F63" s="23" t="n">
        <v>3087.8</v>
      </c>
      <c r="G63" s="23" t="n">
        <v>9410</v>
      </c>
      <c r="H63" s="23" t="n">
        <v>157.5</v>
      </c>
      <c r="I63" s="19">
        <f>F63/E63</f>
        <v/>
      </c>
      <c r="J63" s="19" t="n">
        <v>14.63</v>
      </c>
      <c r="K63" s="19">
        <f>I63/(10*(1/SQRT(H63)-1/SQRT(G63)))</f>
        <v/>
      </c>
      <c r="L63" s="20">
        <f>K63/J63</f>
        <v/>
      </c>
      <c r="M63" s="23" t="n">
        <v>36.6</v>
      </c>
      <c r="N63" s="23" t="n">
        <v>73.8</v>
      </c>
      <c r="O63" s="19" t="n">
        <v>0.474</v>
      </c>
      <c r="P63" s="17">
        <f>IF(L63&gt;1.40, "INEFFICIENT (Eta&gt;1.4)", IF(L63&lt;1.10, "OVERGRIND / LOW Wi", "OPTIMAL (1.10-1.35)"))</f>
        <v/>
      </c>
    </row>
    <row r="64">
      <c r="A64" s="12" t="inlineStr">
        <is>
          <t>SFT-GR-2063</t>
        </is>
      </c>
      <c r="B64" s="39" t="n">
        <v>45312</v>
      </c>
      <c r="C64" s="12" t="inlineStr">
        <is>
          <t>Shift_C</t>
        </is>
      </c>
      <c r="D64" s="12" t="inlineStr">
        <is>
          <t>Standard Skarn-Magnetite</t>
        </is>
      </c>
      <c r="E64" s="22" t="n">
        <v>256.9</v>
      </c>
      <c r="F64" s="22" t="n">
        <v>3055.4</v>
      </c>
      <c r="G64" s="22" t="n">
        <v>9620.6</v>
      </c>
      <c r="H64" s="22" t="n">
        <v>141.5</v>
      </c>
      <c r="I64" s="14">
        <f>F64/E64</f>
        <v/>
      </c>
      <c r="J64" s="14" t="n">
        <v>13.16</v>
      </c>
      <c r="K64" s="14">
        <f>I64/(10*(1/SQRT(H64)-1/SQRT(G64)))</f>
        <v/>
      </c>
      <c r="L64" s="15">
        <f>K64/J64</f>
        <v/>
      </c>
      <c r="M64" s="22" t="n">
        <v>35.3</v>
      </c>
      <c r="N64" s="22" t="n">
        <v>71.3</v>
      </c>
      <c r="O64" s="14" t="n">
        <v>0.451</v>
      </c>
      <c r="P64" s="12">
        <f>IF(L64&gt;1.40, "INEFFICIENT (Eta&gt;1.4)", IF(L64&lt;1.10, "OVERGRIND / LOW Wi", "OPTIMAL (1.10-1.35)"))</f>
        <v/>
      </c>
    </row>
    <row r="65">
      <c r="A65" s="17" t="inlineStr">
        <is>
          <t>SFT-GR-2064</t>
        </is>
      </c>
      <c r="B65" s="40" t="n">
        <v>45313</v>
      </c>
      <c r="C65" s="17" t="inlineStr">
        <is>
          <t>Shift_A</t>
        </is>
      </c>
      <c r="D65" s="17" t="inlineStr">
        <is>
          <t>Standard Skarn-Magnetite</t>
        </is>
      </c>
      <c r="E65" s="23" t="n">
        <v>256.7</v>
      </c>
      <c r="F65" s="23" t="n">
        <v>3044.8</v>
      </c>
      <c r="G65" s="23" t="n">
        <v>9566.200000000001</v>
      </c>
      <c r="H65" s="23" t="n">
        <v>154.1</v>
      </c>
      <c r="I65" s="19">
        <f>F65/E65</f>
        <v/>
      </c>
      <c r="J65" s="19" t="n">
        <v>13.78</v>
      </c>
      <c r="K65" s="19">
        <f>I65/(10*(1/SQRT(H65)-1/SQRT(G65)))</f>
        <v/>
      </c>
      <c r="L65" s="20">
        <f>K65/J65</f>
        <v/>
      </c>
      <c r="M65" s="23" t="n">
        <v>34.5</v>
      </c>
      <c r="N65" s="23" t="n">
        <v>71.40000000000001</v>
      </c>
      <c r="O65" s="19" t="n">
        <v>0.471</v>
      </c>
      <c r="P65" s="17">
        <f>IF(L65&gt;1.40, "INEFFICIENT (Eta&gt;1.4)", IF(L65&lt;1.10, "OVERGRIND / LOW Wi", "OPTIMAL (1.10-1.35)"))</f>
        <v/>
      </c>
    </row>
    <row r="66">
      <c r="A66" s="12" t="inlineStr">
        <is>
          <t>SFT-GR-2065</t>
        </is>
      </c>
      <c r="B66" s="39" t="n">
        <v>45313</v>
      </c>
      <c r="C66" s="12" t="inlineStr">
        <is>
          <t>Shift_B</t>
        </is>
      </c>
      <c r="D66" s="12" t="inlineStr">
        <is>
          <t>Standard Skarn-Magnetite</t>
        </is>
      </c>
      <c r="E66" s="22" t="n">
        <v>253.7</v>
      </c>
      <c r="F66" s="22" t="n">
        <v>3126</v>
      </c>
      <c r="G66" s="22" t="n">
        <v>9206.6</v>
      </c>
      <c r="H66" s="22" t="n">
        <v>144.6</v>
      </c>
      <c r="I66" s="14">
        <f>F66/E66</f>
        <v/>
      </c>
      <c r="J66" s="14" t="n">
        <v>14.16</v>
      </c>
      <c r="K66" s="14">
        <f>I66/(10*(1/SQRT(H66)-1/SQRT(G66)))</f>
        <v/>
      </c>
      <c r="L66" s="15">
        <f>K66/J66</f>
        <v/>
      </c>
      <c r="M66" s="22" t="n">
        <v>34.3</v>
      </c>
      <c r="N66" s="22" t="n">
        <v>71.7</v>
      </c>
      <c r="O66" s="14" t="n">
        <v>0.502</v>
      </c>
      <c r="P66" s="12">
        <f>IF(L66&gt;1.40, "INEFFICIENT (Eta&gt;1.4)", IF(L66&lt;1.10, "OVERGRIND / LOW Wi", "OPTIMAL (1.10-1.35)"))</f>
        <v/>
      </c>
    </row>
    <row r="67">
      <c r="A67" s="17" t="inlineStr">
        <is>
          <t>SFT-GR-2066</t>
        </is>
      </c>
      <c r="B67" s="40" t="n">
        <v>45313</v>
      </c>
      <c r="C67" s="17" t="inlineStr">
        <is>
          <t>Shift_C</t>
        </is>
      </c>
      <c r="D67" s="17" t="inlineStr">
        <is>
          <t>Standard Skarn-Magnetite</t>
        </is>
      </c>
      <c r="E67" s="23" t="n">
        <v>259.8</v>
      </c>
      <c r="F67" s="23" t="n">
        <v>3068.1</v>
      </c>
      <c r="G67" s="23" t="n">
        <v>9637.5</v>
      </c>
      <c r="H67" s="23" t="n">
        <v>137.6</v>
      </c>
      <c r="I67" s="19">
        <f>F67/E67</f>
        <v/>
      </c>
      <c r="J67" s="19" t="n">
        <v>14.21</v>
      </c>
      <c r="K67" s="19">
        <f>I67/(10*(1/SQRT(H67)-1/SQRT(G67)))</f>
        <v/>
      </c>
      <c r="L67" s="20">
        <f>K67/J67</f>
        <v/>
      </c>
      <c r="M67" s="23" t="n">
        <v>34.4</v>
      </c>
      <c r="N67" s="23" t="n">
        <v>72</v>
      </c>
      <c r="O67" s="19" t="n">
        <v>0.444</v>
      </c>
      <c r="P67" s="17">
        <f>IF(L67&gt;1.40, "INEFFICIENT (Eta&gt;1.4)", IF(L67&lt;1.10, "OVERGRIND / LOW Wi", "OPTIMAL (1.10-1.35)"))</f>
        <v/>
      </c>
    </row>
    <row r="68">
      <c r="A68" s="12" t="inlineStr">
        <is>
          <t>SFT-GR-2067</t>
        </is>
      </c>
      <c r="B68" s="39" t="n">
        <v>45314</v>
      </c>
      <c r="C68" s="12" t="inlineStr">
        <is>
          <t>Shift_A</t>
        </is>
      </c>
      <c r="D68" s="12" t="inlineStr">
        <is>
          <t>Soft / Weathered Goethite</t>
        </is>
      </c>
      <c r="E68" s="22" t="n">
        <v>269.1</v>
      </c>
      <c r="F68" s="22" t="n">
        <v>2945.8</v>
      </c>
      <c r="G68" s="22" t="n">
        <v>8511.5</v>
      </c>
      <c r="H68" s="22" t="n">
        <v>144.4</v>
      </c>
      <c r="I68" s="14">
        <f>F68/E68</f>
        <v/>
      </c>
      <c r="J68" s="14" t="n">
        <v>11.24</v>
      </c>
      <c r="K68" s="14">
        <f>I68/(10*(1/SQRT(H68)-1/SQRT(G68)))</f>
        <v/>
      </c>
      <c r="L68" s="15">
        <f>K68/J68</f>
        <v/>
      </c>
      <c r="M68" s="22" t="n">
        <v>35.8</v>
      </c>
      <c r="N68" s="22" t="n">
        <v>70.5</v>
      </c>
      <c r="O68" s="14" t="n">
        <v>0.344</v>
      </c>
      <c r="P68" s="12">
        <f>IF(L68&gt;1.40, "INEFFICIENT (Eta&gt;1.4)", IF(L68&lt;1.10, "OVERGRIND / LOW Wi", "OPTIMAL (1.10-1.35)"))</f>
        <v/>
      </c>
    </row>
    <row r="69">
      <c r="A69" s="17" t="inlineStr">
        <is>
          <t>SFT-GR-2068</t>
        </is>
      </c>
      <c r="B69" s="40" t="n">
        <v>45314</v>
      </c>
      <c r="C69" s="17" t="inlineStr">
        <is>
          <t>Shift_B</t>
        </is>
      </c>
      <c r="D69" s="17" t="inlineStr">
        <is>
          <t>Standard Skarn-Magnetite</t>
        </is>
      </c>
      <c r="E69" s="23" t="n">
        <v>261.1</v>
      </c>
      <c r="F69" s="23" t="n">
        <v>3080.7</v>
      </c>
      <c r="G69" s="23" t="n">
        <v>9614.9</v>
      </c>
      <c r="H69" s="23" t="n">
        <v>148.7</v>
      </c>
      <c r="I69" s="19">
        <f>F69/E69</f>
        <v/>
      </c>
      <c r="J69" s="19" t="n">
        <v>13.79</v>
      </c>
      <c r="K69" s="19">
        <f>I69/(10*(1/SQRT(H69)-1/SQRT(G69)))</f>
        <v/>
      </c>
      <c r="L69" s="20">
        <f>K69/J69</f>
        <v/>
      </c>
      <c r="M69" s="23" t="n">
        <v>32.9</v>
      </c>
      <c r="N69" s="23" t="n">
        <v>72.59999999999999</v>
      </c>
      <c r="O69" s="19" t="n">
        <v>0.489</v>
      </c>
      <c r="P69" s="17">
        <f>IF(L69&gt;1.40, "INEFFICIENT (Eta&gt;1.4)", IF(L69&lt;1.10, "OVERGRIND / LOW Wi", "OPTIMAL (1.10-1.35)"))</f>
        <v/>
      </c>
    </row>
    <row r="70">
      <c r="A70" s="12" t="inlineStr">
        <is>
          <t>SFT-GR-2069</t>
        </is>
      </c>
      <c r="B70" s="39" t="n">
        <v>45314</v>
      </c>
      <c r="C70" s="12" t="inlineStr">
        <is>
          <t>Shift_C</t>
        </is>
      </c>
      <c r="D70" s="12" t="inlineStr">
        <is>
          <t>Standard Skarn-Magnetite</t>
        </is>
      </c>
      <c r="E70" s="22" t="n">
        <v>250</v>
      </c>
      <c r="F70" s="22" t="n">
        <v>3102.8</v>
      </c>
      <c r="G70" s="22" t="n">
        <v>9346.4</v>
      </c>
      <c r="H70" s="22" t="n">
        <v>154</v>
      </c>
      <c r="I70" s="14">
        <f>F70/E70</f>
        <v/>
      </c>
      <c r="J70" s="14" t="n">
        <v>13.74</v>
      </c>
      <c r="K70" s="14">
        <f>I70/(10*(1/SQRT(H70)-1/SQRT(G70)))</f>
        <v/>
      </c>
      <c r="L70" s="15">
        <f>K70/J70</f>
        <v/>
      </c>
      <c r="M70" s="22" t="n">
        <v>34.8</v>
      </c>
      <c r="N70" s="22" t="n">
        <v>70.8</v>
      </c>
      <c r="O70" s="14" t="n">
        <v>0.468</v>
      </c>
      <c r="P70" s="12">
        <f>IF(L70&gt;1.40, "INEFFICIENT (Eta&gt;1.4)", IF(L70&lt;1.10, "OVERGRIND / LOW Wi", "OPTIMAL (1.10-1.35)"))</f>
        <v/>
      </c>
    </row>
    <row r="71">
      <c r="A71" s="17" t="inlineStr">
        <is>
          <t>SFT-GR-2070</t>
        </is>
      </c>
      <c r="B71" s="40" t="n">
        <v>45315</v>
      </c>
      <c r="C71" s="17" t="inlineStr">
        <is>
          <t>Shift_A</t>
        </is>
      </c>
      <c r="D71" s="17" t="inlineStr">
        <is>
          <t>Standard Skarn-Magnetite</t>
        </is>
      </c>
      <c r="E71" s="23" t="n">
        <v>252.6</v>
      </c>
      <c r="F71" s="23" t="n">
        <v>3024.1</v>
      </c>
      <c r="G71" s="23" t="n">
        <v>9725.200000000001</v>
      </c>
      <c r="H71" s="23" t="n">
        <v>145.9</v>
      </c>
      <c r="I71" s="19">
        <f>F71/E71</f>
        <v/>
      </c>
      <c r="J71" s="19" t="n">
        <v>13.77</v>
      </c>
      <c r="K71" s="19">
        <f>I71/(10*(1/SQRT(H71)-1/SQRT(G71)))</f>
        <v/>
      </c>
      <c r="L71" s="20">
        <f>K71/J71</f>
        <v/>
      </c>
      <c r="M71" s="23" t="n">
        <v>33.9</v>
      </c>
      <c r="N71" s="23" t="n">
        <v>71.59999999999999</v>
      </c>
      <c r="O71" s="19" t="n">
        <v>0.53</v>
      </c>
      <c r="P71" s="17">
        <f>IF(L71&gt;1.40, "INEFFICIENT (Eta&gt;1.4)", IF(L71&lt;1.10, "OVERGRIND / LOW Wi", "OPTIMAL (1.10-1.35)"))</f>
        <v/>
      </c>
    </row>
    <row r="72">
      <c r="A72" s="12" t="inlineStr">
        <is>
          <t>SFT-GR-2071</t>
        </is>
      </c>
      <c r="B72" s="39" t="n">
        <v>45315</v>
      </c>
      <c r="C72" s="12" t="inlineStr">
        <is>
          <t>Shift_B</t>
        </is>
      </c>
      <c r="D72" s="12" t="inlineStr">
        <is>
          <t>Hard Siliceous / Martite</t>
        </is>
      </c>
      <c r="E72" s="22" t="n">
        <v>220.5</v>
      </c>
      <c r="F72" s="22" t="n">
        <v>3230.2</v>
      </c>
      <c r="G72" s="22" t="n">
        <v>10052.7</v>
      </c>
      <c r="H72" s="22" t="n">
        <v>160.5</v>
      </c>
      <c r="I72" s="14">
        <f>F72/E72</f>
        <v/>
      </c>
      <c r="J72" s="14" t="n">
        <v>16.66</v>
      </c>
      <c r="K72" s="14">
        <f>I72/(10*(1/SQRT(H72)-1/SQRT(G72)))</f>
        <v/>
      </c>
      <c r="L72" s="15">
        <f>K72/J72</f>
        <v/>
      </c>
      <c r="M72" s="22" t="n">
        <v>34.1</v>
      </c>
      <c r="N72" s="22" t="n">
        <v>72.90000000000001</v>
      </c>
      <c r="O72" s="14" t="n">
        <v>0.612</v>
      </c>
      <c r="P72" s="12">
        <f>IF(L72&gt;1.40, "INEFFICIENT (Eta&gt;1.4)", IF(L72&lt;1.10, "OVERGRIND / LOW Wi", "OPTIMAL (1.10-1.35)"))</f>
        <v/>
      </c>
    </row>
    <row r="73">
      <c r="A73" s="17" t="inlineStr">
        <is>
          <t>SFT-GR-2072</t>
        </is>
      </c>
      <c r="B73" s="40" t="n">
        <v>45315</v>
      </c>
      <c r="C73" s="17" t="inlineStr">
        <is>
          <t>Shift_C</t>
        </is>
      </c>
      <c r="D73" s="17" t="inlineStr">
        <is>
          <t>Standard Skarn-Magnetite</t>
        </is>
      </c>
      <c r="E73" s="23" t="n">
        <v>260.4</v>
      </c>
      <c r="F73" s="23" t="n">
        <v>3064.1</v>
      </c>
      <c r="G73" s="23" t="n">
        <v>9723.5</v>
      </c>
      <c r="H73" s="23" t="n">
        <v>147</v>
      </c>
      <c r="I73" s="19">
        <f>F73/E73</f>
        <v/>
      </c>
      <c r="J73" s="19" t="n">
        <v>14.04</v>
      </c>
      <c r="K73" s="19">
        <f>I73/(10*(1/SQRT(H73)-1/SQRT(G73)))</f>
        <v/>
      </c>
      <c r="L73" s="20">
        <f>K73/J73</f>
        <v/>
      </c>
      <c r="M73" s="23" t="n">
        <v>34.9</v>
      </c>
      <c r="N73" s="23" t="n">
        <v>72.09999999999999</v>
      </c>
      <c r="O73" s="19" t="n">
        <v>0.49</v>
      </c>
      <c r="P73" s="17">
        <f>IF(L73&gt;1.40, "INEFFICIENT (Eta&gt;1.4)", IF(L73&lt;1.10, "OVERGRIND / LOW Wi", "OPTIMAL (1.10-1.35)"))</f>
        <v/>
      </c>
    </row>
    <row r="74">
      <c r="A74" s="12" t="inlineStr">
        <is>
          <t>SFT-GR-2073</t>
        </is>
      </c>
      <c r="B74" s="39" t="n">
        <v>45316</v>
      </c>
      <c r="C74" s="12" t="inlineStr">
        <is>
          <t>Shift_A</t>
        </is>
      </c>
      <c r="D74" s="12" t="inlineStr">
        <is>
          <t>Soft / Weathered Goethite</t>
        </is>
      </c>
      <c r="E74" s="22" t="n">
        <v>263.3</v>
      </c>
      <c r="F74" s="22" t="n">
        <v>2879.7</v>
      </c>
      <c r="G74" s="22" t="n">
        <v>8601.4</v>
      </c>
      <c r="H74" s="22" t="n">
        <v>139.3</v>
      </c>
      <c r="I74" s="14">
        <f>F74/E74</f>
        <v/>
      </c>
      <c r="J74" s="14" t="n">
        <v>11.78</v>
      </c>
      <c r="K74" s="14">
        <f>I74/(10*(1/SQRT(H74)-1/SQRT(G74)))</f>
        <v/>
      </c>
      <c r="L74" s="15">
        <f>K74/J74</f>
        <v/>
      </c>
      <c r="M74" s="22" t="n">
        <v>36.4</v>
      </c>
      <c r="N74" s="22" t="n">
        <v>69.8</v>
      </c>
      <c r="O74" s="14" t="n">
        <v>0.351</v>
      </c>
      <c r="P74" s="12">
        <f>IF(L74&gt;1.40, "INEFFICIENT (Eta&gt;1.4)", IF(L74&lt;1.10, "OVERGRIND / LOW Wi", "OPTIMAL (1.10-1.35)"))</f>
        <v/>
      </c>
    </row>
    <row r="75">
      <c r="A75" s="17" t="inlineStr">
        <is>
          <t>SFT-GR-2074</t>
        </is>
      </c>
      <c r="B75" s="40" t="n">
        <v>45316</v>
      </c>
      <c r="C75" s="17" t="inlineStr">
        <is>
          <t>Shift_B</t>
        </is>
      </c>
      <c r="D75" s="17" t="inlineStr">
        <is>
          <t>Soft / Weathered Goethite</t>
        </is>
      </c>
      <c r="E75" s="23" t="n">
        <v>286.8</v>
      </c>
      <c r="F75" s="23" t="n">
        <v>2913.8</v>
      </c>
      <c r="G75" s="23" t="n">
        <v>8119.7</v>
      </c>
      <c r="H75" s="23" t="n">
        <v>131.4</v>
      </c>
      <c r="I75" s="19">
        <f>F75/E75</f>
        <v/>
      </c>
      <c r="J75" s="19" t="n">
        <v>11.85</v>
      </c>
      <c r="K75" s="19">
        <f>I75/(10*(1/SQRT(H75)-1/SQRT(G75)))</f>
        <v/>
      </c>
      <c r="L75" s="20">
        <f>K75/J75</f>
        <v/>
      </c>
      <c r="M75" s="23" t="n">
        <v>35.7</v>
      </c>
      <c r="N75" s="23" t="n">
        <v>71.2</v>
      </c>
      <c r="O75" s="19" t="n">
        <v>0.366</v>
      </c>
      <c r="P75" s="17">
        <f>IF(L75&gt;1.40, "INEFFICIENT (Eta&gt;1.4)", IF(L75&lt;1.10, "OVERGRIND / LOW Wi", "OPTIMAL (1.10-1.35)"))</f>
        <v/>
      </c>
    </row>
    <row r="76">
      <c r="A76" s="12" t="inlineStr">
        <is>
          <t>SFT-GR-2075</t>
        </is>
      </c>
      <c r="B76" s="39" t="n">
        <v>45316</v>
      </c>
      <c r="C76" s="12" t="inlineStr">
        <is>
          <t>Shift_C</t>
        </is>
      </c>
      <c r="D76" s="12" t="inlineStr">
        <is>
          <t>Soft / Weathered Goethite</t>
        </is>
      </c>
      <c r="E76" s="22" t="n">
        <v>265.8</v>
      </c>
      <c r="F76" s="22" t="n">
        <v>2884.3</v>
      </c>
      <c r="G76" s="22" t="n">
        <v>8304.4</v>
      </c>
      <c r="H76" s="22" t="n">
        <v>137.8</v>
      </c>
      <c r="I76" s="14">
        <f>F76/E76</f>
        <v/>
      </c>
      <c r="J76" s="14" t="n">
        <v>11.31</v>
      </c>
      <c r="K76" s="14">
        <f>I76/(10*(1/SQRT(H76)-1/SQRT(G76)))</f>
        <v/>
      </c>
      <c r="L76" s="15">
        <f>K76/J76</f>
        <v/>
      </c>
      <c r="M76" s="22" t="n">
        <v>36.4</v>
      </c>
      <c r="N76" s="22" t="n">
        <v>69.3</v>
      </c>
      <c r="O76" s="14" t="n">
        <v>0.38</v>
      </c>
      <c r="P76" s="12">
        <f>IF(L76&gt;1.40, "INEFFICIENT (Eta&gt;1.4)", IF(L76&lt;1.10, "OVERGRIND / LOW Wi", "OPTIMAL (1.10-1.35)"))</f>
        <v/>
      </c>
    </row>
    <row r="77">
      <c r="A77" s="17" t="inlineStr">
        <is>
          <t>SFT-GR-2076</t>
        </is>
      </c>
      <c r="B77" s="40" t="n">
        <v>45317</v>
      </c>
      <c r="C77" s="17" t="inlineStr">
        <is>
          <t>Shift_A</t>
        </is>
      </c>
      <c r="D77" s="17" t="inlineStr">
        <is>
          <t>Standard Skarn-Magnetite</t>
        </is>
      </c>
      <c r="E77" s="23" t="n">
        <v>256.2</v>
      </c>
      <c r="F77" s="23" t="n">
        <v>3123.3</v>
      </c>
      <c r="G77" s="23" t="n">
        <v>9956.299999999999</v>
      </c>
      <c r="H77" s="23" t="n">
        <v>143.3</v>
      </c>
      <c r="I77" s="19">
        <f>F77/E77</f>
        <v/>
      </c>
      <c r="J77" s="19" t="n">
        <v>14.48</v>
      </c>
      <c r="K77" s="19">
        <f>I77/(10*(1/SQRT(H77)-1/SQRT(G77)))</f>
        <v/>
      </c>
      <c r="L77" s="20">
        <f>K77/J77</f>
        <v/>
      </c>
      <c r="M77" s="23" t="n">
        <v>36.7</v>
      </c>
      <c r="N77" s="23" t="n">
        <v>72.7</v>
      </c>
      <c r="O77" s="19" t="n">
        <v>0.471</v>
      </c>
      <c r="P77" s="17">
        <f>IF(L77&gt;1.40, "INEFFICIENT (Eta&gt;1.4)", IF(L77&lt;1.10, "OVERGRIND / LOW Wi", "OPTIMAL (1.10-1.35)"))</f>
        <v/>
      </c>
    </row>
    <row r="78">
      <c r="A78" s="12" t="inlineStr">
        <is>
          <t>SFT-GR-2077</t>
        </is>
      </c>
      <c r="B78" s="39" t="n">
        <v>45317</v>
      </c>
      <c r="C78" s="12" t="inlineStr">
        <is>
          <t>Shift_B</t>
        </is>
      </c>
      <c r="D78" s="12" t="inlineStr">
        <is>
          <t>Soft / Weathered Goethite</t>
        </is>
      </c>
      <c r="E78" s="22" t="n">
        <v>279.8</v>
      </c>
      <c r="F78" s="22" t="n">
        <v>2883.7</v>
      </c>
      <c r="G78" s="22" t="n">
        <v>8523.4</v>
      </c>
      <c r="H78" s="22" t="n">
        <v>136</v>
      </c>
      <c r="I78" s="14">
        <f>F78/E78</f>
        <v/>
      </c>
      <c r="J78" s="14" t="n">
        <v>11.39</v>
      </c>
      <c r="K78" s="14">
        <f>I78/(10*(1/SQRT(H78)-1/SQRT(G78)))</f>
        <v/>
      </c>
      <c r="L78" s="15">
        <f>K78/J78</f>
        <v/>
      </c>
      <c r="M78" s="22" t="n">
        <v>35.6</v>
      </c>
      <c r="N78" s="22" t="n">
        <v>69.90000000000001</v>
      </c>
      <c r="O78" s="14" t="n">
        <v>0.323</v>
      </c>
      <c r="P78" s="12">
        <f>IF(L78&gt;1.40, "INEFFICIENT (Eta&gt;1.4)", IF(L78&lt;1.10, "OVERGRIND / LOW Wi", "OPTIMAL (1.10-1.35)"))</f>
        <v/>
      </c>
    </row>
    <row r="79">
      <c r="A79" s="17" t="inlineStr">
        <is>
          <t>SFT-GR-2078</t>
        </is>
      </c>
      <c r="B79" s="40" t="n">
        <v>45317</v>
      </c>
      <c r="C79" s="17" t="inlineStr">
        <is>
          <t>Shift_C</t>
        </is>
      </c>
      <c r="D79" s="17" t="inlineStr">
        <is>
          <t>Hard Siliceous / Martite</t>
        </is>
      </c>
      <c r="E79" s="23" t="n">
        <v>219.3</v>
      </c>
      <c r="F79" s="23" t="n">
        <v>3127.2</v>
      </c>
      <c r="G79" s="23" t="n">
        <v>10608</v>
      </c>
      <c r="H79" s="23" t="n">
        <v>144.5</v>
      </c>
      <c r="I79" s="19">
        <f>F79/E79</f>
        <v/>
      </c>
      <c r="J79" s="19" t="n">
        <v>16.68</v>
      </c>
      <c r="K79" s="19">
        <f>I79/(10*(1/SQRT(H79)-1/SQRT(G79)))</f>
        <v/>
      </c>
      <c r="L79" s="20">
        <f>K79/J79</f>
        <v/>
      </c>
      <c r="M79" s="23" t="n">
        <v>33.9</v>
      </c>
      <c r="N79" s="23" t="n">
        <v>72.3</v>
      </c>
      <c r="O79" s="19" t="n">
        <v>0.719</v>
      </c>
      <c r="P79" s="17">
        <f>IF(L79&gt;1.40, "INEFFICIENT (Eta&gt;1.4)", IF(L79&lt;1.10, "OVERGRIND / LOW Wi", "OPTIMAL (1.10-1.35)"))</f>
        <v/>
      </c>
    </row>
    <row r="80">
      <c r="A80" s="12" t="inlineStr">
        <is>
          <t>SFT-GR-2079</t>
        </is>
      </c>
      <c r="B80" s="39" t="n">
        <v>45318</v>
      </c>
      <c r="C80" s="12" t="inlineStr">
        <is>
          <t>Shift_A</t>
        </is>
      </c>
      <c r="D80" s="12" t="inlineStr">
        <is>
          <t>Standard Skarn-Magnetite</t>
        </is>
      </c>
      <c r="E80" s="22" t="n">
        <v>241.9</v>
      </c>
      <c r="F80" s="22" t="n">
        <v>3086.1</v>
      </c>
      <c r="G80" s="22" t="n">
        <v>9714.5</v>
      </c>
      <c r="H80" s="22" t="n">
        <v>152.3</v>
      </c>
      <c r="I80" s="14">
        <f>F80/E80</f>
        <v/>
      </c>
      <c r="J80" s="14" t="n">
        <v>14.05</v>
      </c>
      <c r="K80" s="14">
        <f>I80/(10*(1/SQRT(H80)-1/SQRT(G80)))</f>
        <v/>
      </c>
      <c r="L80" s="15">
        <f>K80/J80</f>
        <v/>
      </c>
      <c r="M80" s="22" t="n">
        <v>36.3</v>
      </c>
      <c r="N80" s="22" t="n">
        <v>73.5</v>
      </c>
      <c r="O80" s="14" t="n">
        <v>0.512</v>
      </c>
      <c r="P80" s="12">
        <f>IF(L80&gt;1.40, "INEFFICIENT (Eta&gt;1.4)", IF(L80&lt;1.10, "OVERGRIND / LOW Wi", "OPTIMAL (1.10-1.35)"))</f>
        <v/>
      </c>
    </row>
    <row r="81">
      <c r="A81" s="17" t="inlineStr">
        <is>
          <t>SFT-GR-2080</t>
        </is>
      </c>
      <c r="B81" s="40" t="n">
        <v>45318</v>
      </c>
      <c r="C81" s="17" t="inlineStr">
        <is>
          <t>Shift_B</t>
        </is>
      </c>
      <c r="D81" s="17" t="inlineStr">
        <is>
          <t>Soft / Weathered Goethite</t>
        </is>
      </c>
      <c r="E81" s="23" t="n">
        <v>267.3</v>
      </c>
      <c r="F81" s="23" t="n">
        <v>2942.6</v>
      </c>
      <c r="G81" s="23" t="n">
        <v>8232.700000000001</v>
      </c>
      <c r="H81" s="23" t="n">
        <v>133.5</v>
      </c>
      <c r="I81" s="19">
        <f>F81/E81</f>
        <v/>
      </c>
      <c r="J81" s="19" t="n">
        <v>10.84</v>
      </c>
      <c r="K81" s="19">
        <f>I81/(10*(1/SQRT(H81)-1/SQRT(G81)))</f>
        <v/>
      </c>
      <c r="L81" s="20">
        <f>K81/J81</f>
        <v/>
      </c>
      <c r="M81" s="23" t="n">
        <v>37.9</v>
      </c>
      <c r="N81" s="23" t="n">
        <v>71.59999999999999</v>
      </c>
      <c r="O81" s="19" t="n">
        <v>0.398</v>
      </c>
      <c r="P81" s="17">
        <f>IF(L81&gt;1.40, "INEFFICIENT (Eta&gt;1.4)", IF(L81&lt;1.10, "OVERGRIND / LOW Wi", "OPTIMAL (1.10-1.35)"))</f>
        <v/>
      </c>
    </row>
    <row r="82">
      <c r="A82" s="12" t="inlineStr">
        <is>
          <t>SFT-GR-2081</t>
        </is>
      </c>
      <c r="B82" s="39" t="n">
        <v>45318</v>
      </c>
      <c r="C82" s="12" t="inlineStr">
        <is>
          <t>Shift_C</t>
        </is>
      </c>
      <c r="D82" s="12" t="inlineStr">
        <is>
          <t>Standard Skarn-Magnetite</t>
        </is>
      </c>
      <c r="E82" s="22" t="n">
        <v>266.6</v>
      </c>
      <c r="F82" s="22" t="n">
        <v>3012.8</v>
      </c>
      <c r="G82" s="22" t="n">
        <v>9674.700000000001</v>
      </c>
      <c r="H82" s="22" t="n">
        <v>147.7</v>
      </c>
      <c r="I82" s="14">
        <f>F82/E82</f>
        <v/>
      </c>
      <c r="J82" s="14" t="n">
        <v>14.17</v>
      </c>
      <c r="K82" s="14">
        <f>I82/(10*(1/SQRT(H82)-1/SQRT(G82)))</f>
        <v/>
      </c>
      <c r="L82" s="15">
        <f>K82/J82</f>
        <v/>
      </c>
      <c r="M82" s="22" t="n">
        <v>35.5</v>
      </c>
      <c r="N82" s="22" t="n">
        <v>71.7</v>
      </c>
      <c r="O82" s="14" t="n">
        <v>0.474</v>
      </c>
      <c r="P82" s="12">
        <f>IF(L82&gt;1.40, "INEFFICIENT (Eta&gt;1.4)", IF(L82&lt;1.10, "OVERGRIND / LOW Wi", "OPTIMAL (1.10-1.35)"))</f>
        <v/>
      </c>
    </row>
    <row r="83">
      <c r="A83" s="17" t="inlineStr">
        <is>
          <t>SFT-GR-2082</t>
        </is>
      </c>
      <c r="B83" s="40" t="n">
        <v>45319</v>
      </c>
      <c r="C83" s="17" t="inlineStr">
        <is>
          <t>Shift_A</t>
        </is>
      </c>
      <c r="D83" s="17" t="inlineStr">
        <is>
          <t>Standard Skarn-Magnetite</t>
        </is>
      </c>
      <c r="E83" s="23" t="n">
        <v>265.1</v>
      </c>
      <c r="F83" s="23" t="n">
        <v>3127.8</v>
      </c>
      <c r="G83" s="23" t="n">
        <v>9099.4</v>
      </c>
      <c r="H83" s="23" t="n">
        <v>150.4</v>
      </c>
      <c r="I83" s="19">
        <f>F83/E83</f>
        <v/>
      </c>
      <c r="J83" s="19" t="n">
        <v>13.83</v>
      </c>
      <c r="K83" s="19">
        <f>I83/(10*(1/SQRT(H83)-1/SQRT(G83)))</f>
        <v/>
      </c>
      <c r="L83" s="20">
        <f>K83/J83</f>
        <v/>
      </c>
      <c r="M83" s="23" t="n">
        <v>33.5</v>
      </c>
      <c r="N83" s="23" t="n">
        <v>72.90000000000001</v>
      </c>
      <c r="O83" s="19" t="n">
        <v>0.461</v>
      </c>
      <c r="P83" s="17">
        <f>IF(L83&gt;1.40, "INEFFICIENT (Eta&gt;1.4)", IF(L83&lt;1.10, "OVERGRIND / LOW Wi", "OPTIMAL (1.10-1.35)"))</f>
        <v/>
      </c>
    </row>
    <row r="84">
      <c r="A84" s="12" t="inlineStr">
        <is>
          <t>SFT-GR-2083</t>
        </is>
      </c>
      <c r="B84" s="39" t="n">
        <v>45319</v>
      </c>
      <c r="C84" s="12" t="inlineStr">
        <is>
          <t>Shift_B</t>
        </is>
      </c>
      <c r="D84" s="12" t="inlineStr">
        <is>
          <t>Hard Siliceous / Martite</t>
        </is>
      </c>
      <c r="E84" s="22" t="n">
        <v>221.7</v>
      </c>
      <c r="F84" s="22" t="n">
        <v>3246.1</v>
      </c>
      <c r="G84" s="22" t="n">
        <v>10292.6</v>
      </c>
      <c r="H84" s="22" t="n">
        <v>149.5</v>
      </c>
      <c r="I84" s="14">
        <f>F84/E84</f>
        <v/>
      </c>
      <c r="J84" s="14" t="n">
        <v>15.42</v>
      </c>
      <c r="K84" s="14">
        <f>I84/(10*(1/SQRT(H84)-1/SQRT(G84)))</f>
        <v/>
      </c>
      <c r="L84" s="15">
        <f>K84/J84</f>
        <v/>
      </c>
      <c r="M84" s="22" t="n">
        <v>33.2</v>
      </c>
      <c r="N84" s="22" t="n">
        <v>73.40000000000001</v>
      </c>
      <c r="O84" s="14" t="n">
        <v>0.577</v>
      </c>
      <c r="P84" s="12">
        <f>IF(L84&gt;1.40, "INEFFICIENT (Eta&gt;1.4)", IF(L84&lt;1.10, "OVERGRIND / LOW Wi", "OPTIMAL (1.10-1.35)"))</f>
        <v/>
      </c>
    </row>
    <row r="85">
      <c r="A85" s="17" t="inlineStr">
        <is>
          <t>SFT-GR-2084</t>
        </is>
      </c>
      <c r="B85" s="40" t="n">
        <v>45319</v>
      </c>
      <c r="C85" s="17" t="inlineStr">
        <is>
          <t>Shift_C</t>
        </is>
      </c>
      <c r="D85" s="17" t="inlineStr">
        <is>
          <t>Standard Skarn-Magnetite</t>
        </is>
      </c>
      <c r="E85" s="23" t="n">
        <v>254.4</v>
      </c>
      <c r="F85" s="23" t="n">
        <v>3160</v>
      </c>
      <c r="G85" s="23" t="n">
        <v>9361.1</v>
      </c>
      <c r="H85" s="23" t="n">
        <v>145.9</v>
      </c>
      <c r="I85" s="19">
        <f>F85/E85</f>
        <v/>
      </c>
      <c r="J85" s="19" t="n">
        <v>13.82</v>
      </c>
      <c r="K85" s="19">
        <f>I85/(10*(1/SQRT(H85)-1/SQRT(G85)))</f>
        <v/>
      </c>
      <c r="L85" s="20">
        <f>K85/J85</f>
        <v/>
      </c>
      <c r="M85" s="23" t="n">
        <v>36.2</v>
      </c>
      <c r="N85" s="23" t="n">
        <v>70.5</v>
      </c>
      <c r="O85" s="19" t="n">
        <v>0.464</v>
      </c>
      <c r="P85" s="17">
        <f>IF(L85&gt;1.40, "INEFFICIENT (Eta&gt;1.4)", IF(L85&lt;1.10, "OVERGRIND / LOW Wi", "OPTIMAL (1.10-1.35)"))</f>
        <v/>
      </c>
    </row>
    <row r="86">
      <c r="A86" s="12" t="inlineStr">
        <is>
          <t>SFT-GR-2085</t>
        </is>
      </c>
      <c r="B86" s="39" t="n">
        <v>45320</v>
      </c>
      <c r="C86" s="12" t="inlineStr">
        <is>
          <t>Shift_A</t>
        </is>
      </c>
      <c r="D86" s="12" t="inlineStr">
        <is>
          <t>Soft / Weathered Goethite</t>
        </is>
      </c>
      <c r="E86" s="22" t="n">
        <v>290.7</v>
      </c>
      <c r="F86" s="22" t="n">
        <v>2948.4</v>
      </c>
      <c r="G86" s="22" t="n">
        <v>8020.2</v>
      </c>
      <c r="H86" s="22" t="n">
        <v>133.4</v>
      </c>
      <c r="I86" s="14">
        <f>F86/E86</f>
        <v/>
      </c>
      <c r="J86" s="14" t="n">
        <v>11.63</v>
      </c>
      <c r="K86" s="14">
        <f>I86/(10*(1/SQRT(H86)-1/SQRT(G86)))</f>
        <v/>
      </c>
      <c r="L86" s="15">
        <f>K86/J86</f>
        <v/>
      </c>
      <c r="M86" s="22" t="n">
        <v>35.8</v>
      </c>
      <c r="N86" s="22" t="n">
        <v>70.59999999999999</v>
      </c>
      <c r="O86" s="14" t="n">
        <v>0.382</v>
      </c>
      <c r="P86" s="12">
        <f>IF(L86&gt;1.40, "INEFFICIENT (Eta&gt;1.4)", IF(L86&lt;1.10, "OVERGRIND / LOW Wi", "OPTIMAL (1.10-1.35)"))</f>
        <v/>
      </c>
    </row>
    <row r="87">
      <c r="A87" s="17" t="inlineStr">
        <is>
          <t>SFT-GR-2086</t>
        </is>
      </c>
      <c r="B87" s="40" t="n">
        <v>45320</v>
      </c>
      <c r="C87" s="17" t="inlineStr">
        <is>
          <t>Shift_B</t>
        </is>
      </c>
      <c r="D87" s="17" t="inlineStr">
        <is>
          <t>Standard Skarn-Magnetite</t>
        </is>
      </c>
      <c r="E87" s="23" t="n">
        <v>251.4</v>
      </c>
      <c r="F87" s="23" t="n">
        <v>3051.9</v>
      </c>
      <c r="G87" s="23" t="n">
        <v>9438</v>
      </c>
      <c r="H87" s="23" t="n">
        <v>182</v>
      </c>
      <c r="I87" s="19">
        <f>F87/E87</f>
        <v/>
      </c>
      <c r="J87" s="19" t="n">
        <v>13.86</v>
      </c>
      <c r="K87" s="19">
        <f>I87/(10*(1/SQRT(H87)-1/SQRT(G87)))</f>
        <v/>
      </c>
      <c r="L87" s="20">
        <f>K87/J87</f>
        <v/>
      </c>
      <c r="M87" s="23" t="n">
        <v>35.2</v>
      </c>
      <c r="N87" s="23" t="n">
        <v>78.5</v>
      </c>
      <c r="O87" s="19" t="n">
        <v>0.489</v>
      </c>
      <c r="P87" s="17">
        <f>IF(L87&gt;1.40, "INEFFICIENT (Eta&gt;1.4)", IF(L87&lt;1.10, "OVERGRIND / LOW Wi", "OPTIMAL (1.10-1.35)"))</f>
        <v/>
      </c>
    </row>
    <row r="88">
      <c r="A88" s="12" t="inlineStr">
        <is>
          <t>SFT-GR-2087</t>
        </is>
      </c>
      <c r="B88" s="39" t="n">
        <v>45320</v>
      </c>
      <c r="C88" s="12" t="inlineStr">
        <is>
          <t>Shift_C</t>
        </is>
      </c>
      <c r="D88" s="12" t="inlineStr">
        <is>
          <t>Standard Skarn-Magnetite</t>
        </is>
      </c>
      <c r="E88" s="22" t="n">
        <v>259.2</v>
      </c>
      <c r="F88" s="22" t="n">
        <v>3120.2</v>
      </c>
      <c r="G88" s="22" t="n">
        <v>9628.299999999999</v>
      </c>
      <c r="H88" s="22" t="n">
        <v>140.2</v>
      </c>
      <c r="I88" s="14">
        <f>F88/E88</f>
        <v/>
      </c>
      <c r="J88" s="14" t="n">
        <v>13.13</v>
      </c>
      <c r="K88" s="14">
        <f>I88/(10*(1/SQRT(H88)-1/SQRT(G88)))</f>
        <v/>
      </c>
      <c r="L88" s="15">
        <f>K88/J88</f>
        <v/>
      </c>
      <c r="M88" s="22" t="n">
        <v>36.4</v>
      </c>
      <c r="N88" s="22" t="n">
        <v>71.59999999999999</v>
      </c>
      <c r="O88" s="14" t="n">
        <v>0.468</v>
      </c>
      <c r="P88" s="12">
        <f>IF(L88&gt;1.40, "INEFFICIENT (Eta&gt;1.4)", IF(L88&lt;1.10, "OVERGRIND / LOW Wi", "OPTIMAL (1.10-1.35)"))</f>
        <v/>
      </c>
    </row>
    <row r="89">
      <c r="A89" s="17" t="inlineStr">
        <is>
          <t>SFT-GR-2088</t>
        </is>
      </c>
      <c r="B89" s="40" t="n">
        <v>45321</v>
      </c>
      <c r="C89" s="17" t="inlineStr">
        <is>
          <t>Shift_A</t>
        </is>
      </c>
      <c r="D89" s="17" t="inlineStr">
        <is>
          <t>Standard Skarn-Magnetite</t>
        </is>
      </c>
      <c r="E89" s="23" t="n">
        <v>243.1</v>
      </c>
      <c r="F89" s="23" t="n">
        <v>3072.2</v>
      </c>
      <c r="G89" s="23" t="n">
        <v>9561.299999999999</v>
      </c>
      <c r="H89" s="23" t="n">
        <v>142</v>
      </c>
      <c r="I89" s="19">
        <f>F89/E89</f>
        <v/>
      </c>
      <c r="J89" s="19" t="n">
        <v>14.69</v>
      </c>
      <c r="K89" s="19">
        <f>I89/(10*(1/SQRT(H89)-1/SQRT(G89)))</f>
        <v/>
      </c>
      <c r="L89" s="20">
        <f>K89/J89</f>
        <v/>
      </c>
      <c r="M89" s="23" t="n">
        <v>34.6</v>
      </c>
      <c r="N89" s="23" t="n">
        <v>72.3</v>
      </c>
      <c r="O89" s="19" t="n">
        <v>0.467</v>
      </c>
      <c r="P89" s="17">
        <f>IF(L89&gt;1.40, "INEFFICIENT (Eta&gt;1.4)", IF(L89&lt;1.10, "OVERGRIND / LOW Wi", "OPTIMAL (1.10-1.35)"))</f>
        <v/>
      </c>
    </row>
    <row r="90">
      <c r="A90" s="12" t="inlineStr">
        <is>
          <t>SFT-GR-2089</t>
        </is>
      </c>
      <c r="B90" s="39" t="n">
        <v>45321</v>
      </c>
      <c r="C90" s="12" t="inlineStr">
        <is>
          <t>Shift_B</t>
        </is>
      </c>
      <c r="D90" s="12" t="inlineStr">
        <is>
          <t>Standard Skarn-Magnetite</t>
        </is>
      </c>
      <c r="E90" s="22" t="n">
        <v>247.7</v>
      </c>
      <c r="F90" s="22" t="n">
        <v>3107.7</v>
      </c>
      <c r="G90" s="22" t="n">
        <v>9805.4</v>
      </c>
      <c r="H90" s="22" t="n">
        <v>148.1</v>
      </c>
      <c r="I90" s="14">
        <f>F90/E90</f>
        <v/>
      </c>
      <c r="J90" s="14" t="n">
        <v>13.52</v>
      </c>
      <c r="K90" s="14">
        <f>I90/(10*(1/SQRT(H90)-1/SQRT(G90)))</f>
        <v/>
      </c>
      <c r="L90" s="15">
        <f>K90/J90</f>
        <v/>
      </c>
      <c r="M90" s="22" t="n">
        <v>33.4</v>
      </c>
      <c r="N90" s="22" t="n">
        <v>72.3</v>
      </c>
      <c r="O90" s="14" t="n">
        <v>0.47</v>
      </c>
      <c r="P90" s="12">
        <f>IF(L90&gt;1.40, "INEFFICIENT (Eta&gt;1.4)", IF(L90&lt;1.10, "OVERGRIND / LOW Wi", "OPTIMAL (1.10-1.35)"))</f>
        <v/>
      </c>
    </row>
    <row r="91">
      <c r="A91" s="17" t="inlineStr">
        <is>
          <t>SFT-GR-2090</t>
        </is>
      </c>
      <c r="B91" s="40" t="n">
        <v>45321</v>
      </c>
      <c r="C91" s="17" t="inlineStr">
        <is>
          <t>Shift_C</t>
        </is>
      </c>
      <c r="D91" s="17" t="inlineStr">
        <is>
          <t>Soft / Weathered Goethite</t>
        </is>
      </c>
      <c r="E91" s="23" t="n">
        <v>280.5</v>
      </c>
      <c r="F91" s="23" t="n">
        <v>2873.8</v>
      </c>
      <c r="G91" s="23" t="n">
        <v>8795.9</v>
      </c>
      <c r="H91" s="23" t="n">
        <v>138.8</v>
      </c>
      <c r="I91" s="19">
        <f>F91/E91</f>
        <v/>
      </c>
      <c r="J91" s="19" t="n">
        <v>11.59</v>
      </c>
      <c r="K91" s="19">
        <f>I91/(10*(1/SQRT(H91)-1/SQRT(G91)))</f>
        <v/>
      </c>
      <c r="L91" s="20">
        <f>K91/J91</f>
        <v/>
      </c>
      <c r="M91" s="23" t="n">
        <v>37.3</v>
      </c>
      <c r="N91" s="23" t="n">
        <v>70</v>
      </c>
      <c r="O91" s="19" t="n">
        <v>0.435</v>
      </c>
      <c r="P91" s="17">
        <f>IF(L91&gt;1.40, "INEFFICIENT (Eta&gt;1.4)", IF(L91&lt;1.10, "OVERGRIND / LOW Wi", "OPTIMAL (1.10-1.35)"))</f>
        <v/>
      </c>
    </row>
    <row r="92">
      <c r="A92" s="12" t="inlineStr">
        <is>
          <t>SFT-GR-2091</t>
        </is>
      </c>
      <c r="B92" s="39" t="n">
        <v>45322</v>
      </c>
      <c r="C92" s="12" t="inlineStr">
        <is>
          <t>Shift_A</t>
        </is>
      </c>
      <c r="D92" s="12" t="inlineStr">
        <is>
          <t>Hard Siliceous / Martite</t>
        </is>
      </c>
      <c r="E92" s="22" t="n">
        <v>227.7</v>
      </c>
      <c r="F92" s="22" t="n">
        <v>3206.1</v>
      </c>
      <c r="G92" s="22" t="n">
        <v>11001.9</v>
      </c>
      <c r="H92" s="22" t="n">
        <v>154.6</v>
      </c>
      <c r="I92" s="14">
        <f>F92/E92</f>
        <v/>
      </c>
      <c r="J92" s="14" t="n">
        <v>16.35</v>
      </c>
      <c r="K92" s="14">
        <f>I92/(10*(1/SQRT(H92)-1/SQRT(G92)))</f>
        <v/>
      </c>
      <c r="L92" s="15">
        <f>K92/J92</f>
        <v/>
      </c>
      <c r="M92" s="22" t="n">
        <v>35.4</v>
      </c>
      <c r="N92" s="22" t="n">
        <v>74.2</v>
      </c>
      <c r="O92" s="14" t="n">
        <v>0.609</v>
      </c>
      <c r="P92" s="12">
        <f>IF(L92&gt;1.40, "INEFFICIENT (Eta&gt;1.4)", IF(L92&lt;1.10, "OVERGRIND / LOW Wi", "OPTIMAL (1.10-1.35)"))</f>
        <v/>
      </c>
    </row>
    <row r="93">
      <c r="A93" s="17" t="inlineStr">
        <is>
          <t>SFT-GR-2092</t>
        </is>
      </c>
      <c r="B93" s="40" t="n">
        <v>45322</v>
      </c>
      <c r="C93" s="17" t="inlineStr">
        <is>
          <t>Shift_B</t>
        </is>
      </c>
      <c r="D93" s="17" t="inlineStr">
        <is>
          <t>Standard Skarn-Magnetite</t>
        </is>
      </c>
      <c r="E93" s="23" t="n">
        <v>259.8</v>
      </c>
      <c r="F93" s="23" t="n">
        <v>3002.4</v>
      </c>
      <c r="G93" s="23" t="n">
        <v>9543.1</v>
      </c>
      <c r="H93" s="23" t="n">
        <v>138.9</v>
      </c>
      <c r="I93" s="19">
        <f>F93/E93</f>
        <v/>
      </c>
      <c r="J93" s="19" t="n">
        <v>13.98</v>
      </c>
      <c r="K93" s="19">
        <f>I93/(10*(1/SQRT(H93)-1/SQRT(G93)))</f>
        <v/>
      </c>
      <c r="L93" s="20">
        <f>K93/J93</f>
        <v/>
      </c>
      <c r="M93" s="23" t="n">
        <v>35.8</v>
      </c>
      <c r="N93" s="23" t="n">
        <v>71.90000000000001</v>
      </c>
      <c r="O93" s="19" t="n">
        <v>0.497</v>
      </c>
      <c r="P93" s="17">
        <f>IF(L93&gt;1.40, "INEFFICIENT (Eta&gt;1.4)", IF(L93&lt;1.10, "OVERGRIND / LOW Wi", "OPTIMAL (1.10-1.35)"))</f>
        <v/>
      </c>
    </row>
    <row r="94">
      <c r="A94" s="12" t="inlineStr">
        <is>
          <t>SFT-GR-2093</t>
        </is>
      </c>
      <c r="B94" s="39" t="n">
        <v>45322</v>
      </c>
      <c r="C94" s="12" t="inlineStr">
        <is>
          <t>Shift_C</t>
        </is>
      </c>
      <c r="D94" s="12" t="inlineStr">
        <is>
          <t>Hard Siliceous / Martite</t>
        </is>
      </c>
      <c r="E94" s="22" t="n">
        <v>213.2</v>
      </c>
      <c r="F94" s="22" t="n">
        <v>3253.9</v>
      </c>
      <c r="G94" s="22" t="n">
        <v>10310.3</v>
      </c>
      <c r="H94" s="22" t="n">
        <v>156.4</v>
      </c>
      <c r="I94" s="14">
        <f>F94/E94</f>
        <v/>
      </c>
      <c r="J94" s="14" t="n">
        <v>17.15</v>
      </c>
      <c r="K94" s="14">
        <f>I94/(10*(1/SQRT(H94)-1/SQRT(G94)))</f>
        <v/>
      </c>
      <c r="L94" s="15">
        <f>K94/J94</f>
        <v/>
      </c>
      <c r="M94" s="22" t="n">
        <v>33.6</v>
      </c>
      <c r="N94" s="22" t="n">
        <v>74.7</v>
      </c>
      <c r="O94" s="14" t="n">
        <v>0.674</v>
      </c>
      <c r="P94" s="12">
        <f>IF(L94&gt;1.40, "INEFFICIENT (Eta&gt;1.4)", IF(L94&lt;1.10, "OVERGRIND / LOW Wi", "OPTIMAL (1.10-1.35)"))</f>
        <v/>
      </c>
    </row>
    <row r="95">
      <c r="A95" s="17" t="inlineStr">
        <is>
          <t>SFT-GR-2094</t>
        </is>
      </c>
      <c r="B95" s="40" t="n">
        <v>45323</v>
      </c>
      <c r="C95" s="17" t="inlineStr">
        <is>
          <t>Shift_A</t>
        </is>
      </c>
      <c r="D95" s="17" t="inlineStr">
        <is>
          <t>Standard Skarn-Magnetite</t>
        </is>
      </c>
      <c r="E95" s="23" t="n">
        <v>254.6</v>
      </c>
      <c r="F95" s="23" t="n">
        <v>3122.5</v>
      </c>
      <c r="G95" s="23" t="n">
        <v>8939.1</v>
      </c>
      <c r="H95" s="23" t="n">
        <v>142.2</v>
      </c>
      <c r="I95" s="19">
        <f>F95/E95</f>
        <v/>
      </c>
      <c r="J95" s="19" t="n">
        <v>13.48</v>
      </c>
      <c r="K95" s="19">
        <f>I95/(10*(1/SQRT(H95)-1/SQRT(G95)))</f>
        <v/>
      </c>
      <c r="L95" s="20">
        <f>K95/J95</f>
        <v/>
      </c>
      <c r="M95" s="23" t="n">
        <v>34.7</v>
      </c>
      <c r="N95" s="23" t="n">
        <v>71.8</v>
      </c>
      <c r="O95" s="19" t="n">
        <v>0.432</v>
      </c>
      <c r="P95" s="17">
        <f>IF(L95&gt;1.40, "INEFFICIENT (Eta&gt;1.4)", IF(L95&lt;1.10, "OVERGRIND / LOW Wi", "OPTIMAL (1.10-1.35)"))</f>
        <v/>
      </c>
    </row>
    <row r="96">
      <c r="A96" s="12" t="inlineStr">
        <is>
          <t>SFT-GR-2095</t>
        </is>
      </c>
      <c r="B96" s="39" t="n">
        <v>45323</v>
      </c>
      <c r="C96" s="12" t="inlineStr">
        <is>
          <t>Shift_B</t>
        </is>
      </c>
      <c r="D96" s="12" t="inlineStr">
        <is>
          <t>Hard Siliceous / Martite</t>
        </is>
      </c>
      <c r="E96" s="22" t="n">
        <v>222.8</v>
      </c>
      <c r="F96" s="22" t="n">
        <v>3154.7</v>
      </c>
      <c r="G96" s="22" t="n">
        <v>10637.7</v>
      </c>
      <c r="H96" s="22" t="n">
        <v>153.8</v>
      </c>
      <c r="I96" s="14">
        <f>F96/E96</f>
        <v/>
      </c>
      <c r="J96" s="14" t="n">
        <v>16.08</v>
      </c>
      <c r="K96" s="14">
        <f>I96/(10*(1/SQRT(H96)-1/SQRT(G96)))</f>
        <v/>
      </c>
      <c r="L96" s="15">
        <f>K96/J96</f>
        <v/>
      </c>
      <c r="M96" s="22" t="n">
        <v>33.4</v>
      </c>
      <c r="N96" s="22" t="n">
        <v>73</v>
      </c>
      <c r="O96" s="14" t="n">
        <v>0.615</v>
      </c>
      <c r="P96" s="12">
        <f>IF(L96&gt;1.40, "INEFFICIENT (Eta&gt;1.4)", IF(L96&lt;1.10, "OVERGRIND / LOW Wi", "OPTIMAL (1.10-1.35)"))</f>
        <v/>
      </c>
    </row>
    <row r="97">
      <c r="A97" s="17" t="inlineStr">
        <is>
          <t>SFT-GR-2096</t>
        </is>
      </c>
      <c r="B97" s="40" t="n">
        <v>45323</v>
      </c>
      <c r="C97" s="17" t="inlineStr">
        <is>
          <t>Shift_C</t>
        </is>
      </c>
      <c r="D97" s="17" t="inlineStr">
        <is>
          <t>Standard Skarn-Magnetite</t>
        </is>
      </c>
      <c r="E97" s="23" t="n">
        <v>260.5</v>
      </c>
      <c r="F97" s="23" t="n">
        <v>3103.6</v>
      </c>
      <c r="G97" s="23" t="n">
        <v>9376.6</v>
      </c>
      <c r="H97" s="23" t="n">
        <v>147.6</v>
      </c>
      <c r="I97" s="19">
        <f>F97/E97</f>
        <v/>
      </c>
      <c r="J97" s="19" t="n">
        <v>13.24</v>
      </c>
      <c r="K97" s="19">
        <f>I97/(10*(1/SQRT(H97)-1/SQRT(G97)))</f>
        <v/>
      </c>
      <c r="L97" s="20">
        <f>K97/J97</f>
        <v/>
      </c>
      <c r="M97" s="23" t="n">
        <v>35</v>
      </c>
      <c r="N97" s="23" t="n">
        <v>70.59999999999999</v>
      </c>
      <c r="O97" s="19" t="n">
        <v>0.54</v>
      </c>
      <c r="P97" s="17">
        <f>IF(L97&gt;1.40, "INEFFICIENT (Eta&gt;1.4)", IF(L97&lt;1.10, "OVERGRIND / LOW Wi", "OPTIMAL (1.10-1.35)"))</f>
        <v/>
      </c>
    </row>
    <row r="98">
      <c r="A98" s="12" t="inlineStr">
        <is>
          <t>SFT-GR-2097</t>
        </is>
      </c>
      <c r="B98" s="39" t="n">
        <v>45324</v>
      </c>
      <c r="C98" s="12" t="inlineStr">
        <is>
          <t>Shift_A</t>
        </is>
      </c>
      <c r="D98" s="12" t="inlineStr">
        <is>
          <t>Soft / Weathered Goethite</t>
        </is>
      </c>
      <c r="E98" s="22" t="n">
        <v>277.7</v>
      </c>
      <c r="F98" s="22" t="n">
        <v>2888.8</v>
      </c>
      <c r="G98" s="22" t="n">
        <v>8527</v>
      </c>
      <c r="H98" s="22" t="n">
        <v>137</v>
      </c>
      <c r="I98" s="14">
        <f>F98/E98</f>
        <v/>
      </c>
      <c r="J98" s="14" t="n">
        <v>10.81</v>
      </c>
      <c r="K98" s="14">
        <f>I98/(10*(1/SQRT(H98)-1/SQRT(G98)))</f>
        <v/>
      </c>
      <c r="L98" s="15">
        <f>K98/J98</f>
        <v/>
      </c>
      <c r="M98" s="22" t="n">
        <v>36.6</v>
      </c>
      <c r="N98" s="22" t="n">
        <v>70.09999999999999</v>
      </c>
      <c r="O98" s="14" t="n">
        <v>0.382</v>
      </c>
      <c r="P98" s="12">
        <f>IF(L98&gt;1.40, "INEFFICIENT (Eta&gt;1.4)", IF(L98&lt;1.10, "OVERGRIND / LOW Wi", "OPTIMAL (1.10-1.35)"))</f>
        <v/>
      </c>
    </row>
    <row r="99">
      <c r="A99" s="17" t="inlineStr">
        <is>
          <t>SFT-GR-2098</t>
        </is>
      </c>
      <c r="B99" s="40" t="n">
        <v>45324</v>
      </c>
      <c r="C99" s="17" t="inlineStr">
        <is>
          <t>Shift_B</t>
        </is>
      </c>
      <c r="D99" s="17" t="inlineStr">
        <is>
          <t>Standard Skarn-Magnetite</t>
        </is>
      </c>
      <c r="E99" s="23" t="n">
        <v>253.8</v>
      </c>
      <c r="F99" s="23" t="n">
        <v>3064.6</v>
      </c>
      <c r="G99" s="23" t="n">
        <v>9286.299999999999</v>
      </c>
      <c r="H99" s="23" t="n">
        <v>147.4</v>
      </c>
      <c r="I99" s="19">
        <f>F99/E99</f>
        <v/>
      </c>
      <c r="J99" s="19" t="n">
        <v>14.17</v>
      </c>
      <c r="K99" s="19">
        <f>I99/(10*(1/SQRT(H99)-1/SQRT(G99)))</f>
        <v/>
      </c>
      <c r="L99" s="20">
        <f>K99/J99</f>
        <v/>
      </c>
      <c r="M99" s="23" t="n">
        <v>34.1</v>
      </c>
      <c r="N99" s="23" t="n">
        <v>72.7</v>
      </c>
      <c r="O99" s="19" t="n">
        <v>0.465</v>
      </c>
      <c r="P99" s="17">
        <f>IF(L99&gt;1.40, "INEFFICIENT (Eta&gt;1.4)", IF(L99&lt;1.10, "OVERGRIND / LOW Wi", "OPTIMAL (1.10-1.35)"))</f>
        <v/>
      </c>
    </row>
    <row r="100">
      <c r="A100" s="12" t="inlineStr">
        <is>
          <t>SFT-GR-2099</t>
        </is>
      </c>
      <c r="B100" s="39" t="n">
        <v>45324</v>
      </c>
      <c r="C100" s="12" t="inlineStr">
        <is>
          <t>Shift_C</t>
        </is>
      </c>
      <c r="D100" s="12" t="inlineStr">
        <is>
          <t>Standard Skarn-Magnetite</t>
        </is>
      </c>
      <c r="E100" s="22" t="n">
        <v>243.8</v>
      </c>
      <c r="F100" s="22" t="n">
        <v>3099.5</v>
      </c>
      <c r="G100" s="22" t="n">
        <v>9302.799999999999</v>
      </c>
      <c r="H100" s="22" t="n">
        <v>138.3</v>
      </c>
      <c r="I100" s="14">
        <f>F100/E100</f>
        <v/>
      </c>
      <c r="J100" s="14" t="n">
        <v>14.27</v>
      </c>
      <c r="K100" s="14">
        <f>I100/(10*(1/SQRT(H100)-1/SQRT(G100)))</f>
        <v/>
      </c>
      <c r="L100" s="15">
        <f>K100/J100</f>
        <v/>
      </c>
      <c r="M100" s="22" t="n">
        <v>34.3</v>
      </c>
      <c r="N100" s="22" t="n">
        <v>72.5</v>
      </c>
      <c r="O100" s="14" t="n">
        <v>0.385</v>
      </c>
      <c r="P100" s="12">
        <f>IF(L100&gt;1.40, "INEFFICIENT (Eta&gt;1.4)", IF(L100&lt;1.10, "OVERGRIND / LOW Wi", "OPTIMAL (1.10-1.35)"))</f>
        <v/>
      </c>
    </row>
    <row r="101">
      <c r="A101" s="17" t="inlineStr">
        <is>
          <t>SFT-GR-2100</t>
        </is>
      </c>
      <c r="B101" s="40" t="n">
        <v>45325</v>
      </c>
      <c r="C101" s="17" t="inlineStr">
        <is>
          <t>Shift_A</t>
        </is>
      </c>
      <c r="D101" s="17" t="inlineStr">
        <is>
          <t>Standard Skarn-Magnetite</t>
        </is>
      </c>
      <c r="E101" s="23" t="n">
        <v>252.5</v>
      </c>
      <c r="F101" s="23" t="n">
        <v>3069.7</v>
      </c>
      <c r="G101" s="23" t="n">
        <v>9636.799999999999</v>
      </c>
      <c r="H101" s="23" t="n">
        <v>145.7</v>
      </c>
      <c r="I101" s="19">
        <f>F101/E101</f>
        <v/>
      </c>
      <c r="J101" s="19" t="n">
        <v>14.53</v>
      </c>
      <c r="K101" s="19">
        <f>I101/(10*(1/SQRT(H101)-1/SQRT(G101)))</f>
        <v/>
      </c>
      <c r="L101" s="20">
        <f>K101/J101</f>
        <v/>
      </c>
      <c r="M101" s="23" t="n">
        <v>34.3</v>
      </c>
      <c r="N101" s="23" t="n">
        <v>71.09999999999999</v>
      </c>
      <c r="O101" s="19" t="n">
        <v>0.41</v>
      </c>
      <c r="P101" s="17">
        <f>IF(L101&gt;1.40, "INEFFICIENT (Eta&gt;1.4)", IF(L101&lt;1.10, "OVERGRIND / LOW Wi", "OPTIMAL (1.10-1.35)"))</f>
        <v/>
      </c>
    </row>
    <row r="102">
      <c r="A102" s="12" t="inlineStr">
        <is>
          <t>SFT-GR-2101</t>
        </is>
      </c>
      <c r="B102" s="39" t="n">
        <v>45325</v>
      </c>
      <c r="C102" s="12" t="inlineStr">
        <is>
          <t>Shift_B</t>
        </is>
      </c>
      <c r="D102" s="12" t="inlineStr">
        <is>
          <t>Hard Siliceous / Martite</t>
        </is>
      </c>
      <c r="E102" s="22" t="n">
        <v>216.4</v>
      </c>
      <c r="F102" s="22" t="n">
        <v>3221</v>
      </c>
      <c r="G102" s="22" t="n">
        <v>10044.9</v>
      </c>
      <c r="H102" s="22" t="n">
        <v>159.1</v>
      </c>
      <c r="I102" s="14">
        <f>F102/E102</f>
        <v/>
      </c>
      <c r="J102" s="14" t="n">
        <v>17.28</v>
      </c>
      <c r="K102" s="14">
        <f>I102/(10*(1/SQRT(H102)-1/SQRT(G102)))</f>
        <v/>
      </c>
      <c r="L102" s="15">
        <f>K102/J102</f>
        <v/>
      </c>
      <c r="M102" s="22" t="n">
        <v>33.6</v>
      </c>
      <c r="N102" s="22" t="n">
        <v>73.2</v>
      </c>
      <c r="O102" s="14" t="n">
        <v>0.651</v>
      </c>
      <c r="P102" s="12">
        <f>IF(L102&gt;1.40, "INEFFICIENT (Eta&gt;1.4)", IF(L102&lt;1.10, "OVERGRIND / LOW Wi", "OPTIMAL (1.10-1.35)"))</f>
        <v/>
      </c>
    </row>
    <row r="103">
      <c r="A103" s="17" t="inlineStr">
        <is>
          <t>SFT-GR-2102</t>
        </is>
      </c>
      <c r="B103" s="40" t="n">
        <v>45325</v>
      </c>
      <c r="C103" s="17" t="inlineStr">
        <is>
          <t>Shift_C</t>
        </is>
      </c>
      <c r="D103" s="17" t="inlineStr">
        <is>
          <t>Standard Skarn-Magnetite</t>
        </is>
      </c>
      <c r="E103" s="23" t="n">
        <v>246</v>
      </c>
      <c r="F103" s="23" t="n">
        <v>3148.8</v>
      </c>
      <c r="G103" s="23" t="n">
        <v>9654.700000000001</v>
      </c>
      <c r="H103" s="23" t="n">
        <v>152.9</v>
      </c>
      <c r="I103" s="19">
        <f>F103/E103</f>
        <v/>
      </c>
      <c r="J103" s="19" t="n">
        <v>13.41</v>
      </c>
      <c r="K103" s="19">
        <f>I103/(10*(1/SQRT(H103)-1/SQRT(G103)))</f>
        <v/>
      </c>
      <c r="L103" s="20">
        <f>K103/J103</f>
        <v/>
      </c>
      <c r="M103" s="23" t="n">
        <v>35.5</v>
      </c>
      <c r="N103" s="23" t="n">
        <v>71.09999999999999</v>
      </c>
      <c r="O103" s="19" t="n">
        <v>0.467</v>
      </c>
      <c r="P103" s="17">
        <f>IF(L103&gt;1.40, "INEFFICIENT (Eta&gt;1.4)", IF(L103&lt;1.10, "OVERGRIND / LOW Wi", "OPTIMAL (1.10-1.35)"))</f>
        <v/>
      </c>
    </row>
    <row r="104">
      <c r="A104" s="12" t="inlineStr">
        <is>
          <t>SFT-GR-2103</t>
        </is>
      </c>
      <c r="B104" s="39" t="n">
        <v>45326</v>
      </c>
      <c r="C104" s="12" t="inlineStr">
        <is>
          <t>Shift_A</t>
        </is>
      </c>
      <c r="D104" s="12" t="inlineStr">
        <is>
          <t>Hard Siliceous / Martite</t>
        </is>
      </c>
      <c r="E104" s="22" t="n">
        <v>213.6</v>
      </c>
      <c r="F104" s="22" t="n">
        <v>3184.9</v>
      </c>
      <c r="G104" s="22" t="n">
        <v>10417.5</v>
      </c>
      <c r="H104" s="22" t="n">
        <v>159.6</v>
      </c>
      <c r="I104" s="14">
        <f>F104/E104</f>
        <v/>
      </c>
      <c r="J104" s="14" t="n">
        <v>17.2</v>
      </c>
      <c r="K104" s="14">
        <f>I104/(10*(1/SQRT(H104)-1/SQRT(G104)))</f>
        <v/>
      </c>
      <c r="L104" s="15">
        <f>K104/J104</f>
        <v/>
      </c>
      <c r="M104" s="22" t="n">
        <v>35.3</v>
      </c>
      <c r="N104" s="22" t="n">
        <v>74.40000000000001</v>
      </c>
      <c r="O104" s="14" t="n">
        <v>0.631</v>
      </c>
      <c r="P104" s="12">
        <f>IF(L104&gt;1.40, "INEFFICIENT (Eta&gt;1.4)", IF(L104&lt;1.10, "OVERGRIND / LOW Wi", "OPTIMAL (1.10-1.35)"))</f>
        <v/>
      </c>
    </row>
    <row r="105">
      <c r="A105" s="17" t="inlineStr">
        <is>
          <t>SFT-GR-2104</t>
        </is>
      </c>
      <c r="B105" s="40" t="n">
        <v>45326</v>
      </c>
      <c r="C105" s="17" t="inlineStr">
        <is>
          <t>Shift_B</t>
        </is>
      </c>
      <c r="D105" s="17" t="inlineStr">
        <is>
          <t>Standard Skarn-Magnetite</t>
        </is>
      </c>
      <c r="E105" s="23" t="n">
        <v>245.1</v>
      </c>
      <c r="F105" s="23" t="n">
        <v>3023.2</v>
      </c>
      <c r="G105" s="23" t="n">
        <v>8936</v>
      </c>
      <c r="H105" s="23" t="n">
        <v>151.6</v>
      </c>
      <c r="I105" s="19">
        <f>F105/E105</f>
        <v/>
      </c>
      <c r="J105" s="19" t="n">
        <v>14.91</v>
      </c>
      <c r="K105" s="19">
        <f>I105/(10*(1/SQRT(H105)-1/SQRT(G105)))</f>
        <v/>
      </c>
      <c r="L105" s="20">
        <f>K105/J105</f>
        <v/>
      </c>
      <c r="M105" s="23" t="n">
        <v>33.1</v>
      </c>
      <c r="N105" s="23" t="n">
        <v>71.7</v>
      </c>
      <c r="O105" s="19" t="n">
        <v>0.497</v>
      </c>
      <c r="P105" s="17">
        <f>IF(L105&gt;1.40, "INEFFICIENT (Eta&gt;1.4)", IF(L105&lt;1.10, "OVERGRIND / LOW Wi", "OPTIMAL (1.10-1.35)"))</f>
        <v/>
      </c>
    </row>
    <row r="106">
      <c r="A106" s="12" t="inlineStr">
        <is>
          <t>SFT-GR-2105</t>
        </is>
      </c>
      <c r="B106" s="39" t="n">
        <v>45326</v>
      </c>
      <c r="C106" s="12" t="inlineStr">
        <is>
          <t>Shift_C</t>
        </is>
      </c>
      <c r="D106" s="12" t="inlineStr">
        <is>
          <t>Soft / Weathered Goethite</t>
        </is>
      </c>
      <c r="E106" s="22" t="n">
        <v>279.3</v>
      </c>
      <c r="F106" s="22" t="n">
        <v>3038.2</v>
      </c>
      <c r="G106" s="22" t="n">
        <v>8303.4</v>
      </c>
      <c r="H106" s="22" t="n">
        <v>140.7</v>
      </c>
      <c r="I106" s="14">
        <f>F106/E106</f>
        <v/>
      </c>
      <c r="J106" s="14" t="n">
        <v>11.87</v>
      </c>
      <c r="K106" s="14">
        <f>I106/(10*(1/SQRT(H106)-1/SQRT(G106)))</f>
        <v/>
      </c>
      <c r="L106" s="15">
        <f>K106/J106</f>
        <v/>
      </c>
      <c r="M106" s="22" t="n">
        <v>35.4</v>
      </c>
      <c r="N106" s="22" t="n">
        <v>70.90000000000001</v>
      </c>
      <c r="O106" s="14" t="n">
        <v>0.368</v>
      </c>
      <c r="P106" s="12">
        <f>IF(L106&gt;1.40, "INEFFICIENT (Eta&gt;1.4)", IF(L106&lt;1.10, "OVERGRIND / LOW Wi", "OPTIMAL (1.10-1.35)"))</f>
        <v/>
      </c>
    </row>
    <row r="107">
      <c r="A107" s="17" t="inlineStr">
        <is>
          <t>SFT-GR-2106</t>
        </is>
      </c>
      <c r="B107" s="40" t="n">
        <v>45327</v>
      </c>
      <c r="C107" s="17" t="inlineStr">
        <is>
          <t>Shift_A</t>
        </is>
      </c>
      <c r="D107" s="17" t="inlineStr">
        <is>
          <t>Standard Skarn-Magnetite</t>
        </is>
      </c>
      <c r="E107" s="23" t="n">
        <v>253.6</v>
      </c>
      <c r="F107" s="23" t="n">
        <v>3159.2</v>
      </c>
      <c r="G107" s="23" t="n">
        <v>9146.6</v>
      </c>
      <c r="H107" s="23" t="n">
        <v>156.3</v>
      </c>
      <c r="I107" s="19">
        <f>F107/E107</f>
        <v/>
      </c>
      <c r="J107" s="19" t="n">
        <v>14.36</v>
      </c>
      <c r="K107" s="19">
        <f>I107/(10*(1/SQRT(H107)-1/SQRT(G107)))</f>
        <v/>
      </c>
      <c r="L107" s="20">
        <f>K107/J107</f>
        <v/>
      </c>
      <c r="M107" s="23" t="n">
        <v>36.5</v>
      </c>
      <c r="N107" s="23" t="n">
        <v>72.59999999999999</v>
      </c>
      <c r="O107" s="19" t="n">
        <v>0.551</v>
      </c>
      <c r="P107" s="17">
        <f>IF(L107&gt;1.40, "INEFFICIENT (Eta&gt;1.4)", IF(L107&lt;1.10, "OVERGRIND / LOW Wi", "OPTIMAL (1.10-1.35)"))</f>
        <v/>
      </c>
    </row>
    <row r="108">
      <c r="A108" s="12" t="inlineStr">
        <is>
          <t>SFT-GR-2107</t>
        </is>
      </c>
      <c r="B108" s="39" t="n">
        <v>45327</v>
      </c>
      <c r="C108" s="12" t="inlineStr">
        <is>
          <t>Shift_B</t>
        </is>
      </c>
      <c r="D108" s="12" t="inlineStr">
        <is>
          <t>Standard Skarn-Magnetite</t>
        </is>
      </c>
      <c r="E108" s="22" t="n">
        <v>243.9</v>
      </c>
      <c r="F108" s="22" t="n">
        <v>3136.4</v>
      </c>
      <c r="G108" s="22" t="n">
        <v>9188.799999999999</v>
      </c>
      <c r="H108" s="22" t="n">
        <v>151.1</v>
      </c>
      <c r="I108" s="14">
        <f>F108/E108</f>
        <v/>
      </c>
      <c r="J108" s="14" t="n">
        <v>14.37</v>
      </c>
      <c r="K108" s="14">
        <f>I108/(10*(1/SQRT(H108)-1/SQRT(G108)))</f>
        <v/>
      </c>
      <c r="L108" s="15">
        <f>K108/J108</f>
        <v/>
      </c>
      <c r="M108" s="22" t="n">
        <v>33.7</v>
      </c>
      <c r="N108" s="22" t="n">
        <v>71.40000000000001</v>
      </c>
      <c r="O108" s="14" t="n">
        <v>0.508</v>
      </c>
      <c r="P108" s="12">
        <f>IF(L108&gt;1.40, "INEFFICIENT (Eta&gt;1.4)", IF(L108&lt;1.10, "OVERGRIND / LOW Wi", "OPTIMAL (1.10-1.35)"))</f>
        <v/>
      </c>
    </row>
    <row r="109">
      <c r="A109" s="17" t="inlineStr">
        <is>
          <t>SFT-GR-2108</t>
        </is>
      </c>
      <c r="B109" s="40" t="n">
        <v>45327</v>
      </c>
      <c r="C109" s="17" t="inlineStr">
        <is>
          <t>Shift_C</t>
        </is>
      </c>
      <c r="D109" s="17" t="inlineStr">
        <is>
          <t>Standard Skarn-Magnetite</t>
        </is>
      </c>
      <c r="E109" s="23" t="n">
        <v>242.1</v>
      </c>
      <c r="F109" s="23" t="n">
        <v>3057.7</v>
      </c>
      <c r="G109" s="23" t="n">
        <v>9874.9</v>
      </c>
      <c r="H109" s="23" t="n">
        <v>151.9</v>
      </c>
      <c r="I109" s="19">
        <f>F109/E109</f>
        <v/>
      </c>
      <c r="J109" s="19" t="n">
        <v>14.11</v>
      </c>
      <c r="K109" s="19">
        <f>I109/(10*(1/SQRT(H109)-1/SQRT(G109)))</f>
        <v/>
      </c>
      <c r="L109" s="20">
        <f>K109/J109</f>
        <v/>
      </c>
      <c r="M109" s="23" t="n">
        <v>35</v>
      </c>
      <c r="N109" s="23" t="n">
        <v>71.7</v>
      </c>
      <c r="O109" s="19" t="n">
        <v>0.399</v>
      </c>
      <c r="P109" s="17">
        <f>IF(L109&gt;1.40, "INEFFICIENT (Eta&gt;1.4)", IF(L109&lt;1.10, "OVERGRIND / LOW Wi", "OPTIMAL (1.10-1.35)"))</f>
        <v/>
      </c>
    </row>
    <row r="110">
      <c r="A110" s="12" t="inlineStr">
        <is>
          <t>SFT-GR-2109</t>
        </is>
      </c>
      <c r="B110" s="39" t="n">
        <v>45328</v>
      </c>
      <c r="C110" s="12" t="inlineStr">
        <is>
          <t>Shift_A</t>
        </is>
      </c>
      <c r="D110" s="12" t="inlineStr">
        <is>
          <t>Standard Skarn-Magnetite</t>
        </is>
      </c>
      <c r="E110" s="22" t="n">
        <v>247.4</v>
      </c>
      <c r="F110" s="22" t="n">
        <v>3103.8</v>
      </c>
      <c r="G110" s="22" t="n">
        <v>9418.200000000001</v>
      </c>
      <c r="H110" s="22" t="n">
        <v>155.2</v>
      </c>
      <c r="I110" s="14">
        <f>F110/E110</f>
        <v/>
      </c>
      <c r="J110" s="14" t="n">
        <v>13.93</v>
      </c>
      <c r="K110" s="14">
        <f>I110/(10*(1/SQRT(H110)-1/SQRT(G110)))</f>
        <v/>
      </c>
      <c r="L110" s="15">
        <f>K110/J110</f>
        <v/>
      </c>
      <c r="M110" s="22" t="n">
        <v>32.8</v>
      </c>
      <c r="N110" s="22" t="n">
        <v>71.59999999999999</v>
      </c>
      <c r="O110" s="14" t="n">
        <v>0.445</v>
      </c>
      <c r="P110" s="12">
        <f>IF(L110&gt;1.40, "INEFFICIENT (Eta&gt;1.4)", IF(L110&lt;1.10, "OVERGRIND / LOW Wi", "OPTIMAL (1.10-1.35)"))</f>
        <v/>
      </c>
    </row>
    <row r="111">
      <c r="A111" s="17" t="inlineStr">
        <is>
          <t>SFT-GR-2110</t>
        </is>
      </c>
      <c r="B111" s="40" t="n">
        <v>45328</v>
      </c>
      <c r="C111" s="17" t="inlineStr">
        <is>
          <t>Shift_B</t>
        </is>
      </c>
      <c r="D111" s="17" t="inlineStr">
        <is>
          <t>Hard Siliceous / Martite</t>
        </is>
      </c>
      <c r="E111" s="23" t="n">
        <v>234.4</v>
      </c>
      <c r="F111" s="23" t="n">
        <v>3200.5</v>
      </c>
      <c r="G111" s="23" t="n">
        <v>11647.4</v>
      </c>
      <c r="H111" s="23" t="n">
        <v>146</v>
      </c>
      <c r="I111" s="19">
        <f>F111/E111</f>
        <v/>
      </c>
      <c r="J111" s="19" t="n">
        <v>16.59</v>
      </c>
      <c r="K111" s="19">
        <f>I111/(10*(1/SQRT(H111)-1/SQRT(G111)))</f>
        <v/>
      </c>
      <c r="L111" s="20">
        <f>K111/J111</f>
        <v/>
      </c>
      <c r="M111" s="23" t="n">
        <v>35.3</v>
      </c>
      <c r="N111" s="23" t="n">
        <v>73.3</v>
      </c>
      <c r="O111" s="19" t="n">
        <v>0.659</v>
      </c>
      <c r="P111" s="17">
        <f>IF(L111&gt;1.40, "INEFFICIENT (Eta&gt;1.4)", IF(L111&lt;1.10, "OVERGRIND / LOW Wi", "OPTIMAL (1.10-1.35)"))</f>
        <v/>
      </c>
    </row>
    <row r="112">
      <c r="A112" s="12" t="inlineStr">
        <is>
          <t>SFT-GR-2111</t>
        </is>
      </c>
      <c r="B112" s="39" t="n">
        <v>45328</v>
      </c>
      <c r="C112" s="12" t="inlineStr">
        <is>
          <t>Shift_C</t>
        </is>
      </c>
      <c r="D112" s="12" t="inlineStr">
        <is>
          <t>Standard Skarn-Magnetite</t>
        </is>
      </c>
      <c r="E112" s="22" t="n">
        <v>258.3</v>
      </c>
      <c r="F112" s="22" t="n">
        <v>3195.1</v>
      </c>
      <c r="G112" s="22" t="n">
        <v>9573.4</v>
      </c>
      <c r="H112" s="22" t="n">
        <v>148.6</v>
      </c>
      <c r="I112" s="14">
        <f>F112/E112</f>
        <v/>
      </c>
      <c r="J112" s="14" t="n">
        <v>13.6</v>
      </c>
      <c r="K112" s="14">
        <f>I112/(10*(1/SQRT(H112)-1/SQRT(G112)))</f>
        <v/>
      </c>
      <c r="L112" s="15">
        <f>K112/J112</f>
        <v/>
      </c>
      <c r="M112" s="22" t="n">
        <v>35.2</v>
      </c>
      <c r="N112" s="22" t="n">
        <v>72.90000000000001</v>
      </c>
      <c r="O112" s="14" t="n">
        <v>0.526</v>
      </c>
      <c r="P112" s="12">
        <f>IF(L112&gt;1.40, "INEFFICIENT (Eta&gt;1.4)", IF(L112&lt;1.10, "OVERGRIND / LOW Wi", "OPTIMAL (1.10-1.35)"))</f>
        <v/>
      </c>
    </row>
    <row r="113">
      <c r="A113" s="17" t="inlineStr">
        <is>
          <t>SFT-GR-2112</t>
        </is>
      </c>
      <c r="B113" s="40" t="n">
        <v>45329</v>
      </c>
      <c r="C113" s="17" t="inlineStr">
        <is>
          <t>Shift_A</t>
        </is>
      </c>
      <c r="D113" s="17" t="inlineStr">
        <is>
          <t>Soft / Weathered Goethite</t>
        </is>
      </c>
      <c r="E113" s="23" t="n">
        <v>269.3</v>
      </c>
      <c r="F113" s="23" t="n">
        <v>3021.2</v>
      </c>
      <c r="G113" s="23" t="n">
        <v>8702.700000000001</v>
      </c>
      <c r="H113" s="23" t="n">
        <v>137</v>
      </c>
      <c r="I113" s="19">
        <f>F113/E113</f>
        <v/>
      </c>
      <c r="J113" s="19" t="n">
        <v>11.15</v>
      </c>
      <c r="K113" s="19">
        <f>I113/(10*(1/SQRT(H113)-1/SQRT(G113)))</f>
        <v/>
      </c>
      <c r="L113" s="20">
        <f>K113/J113</f>
        <v/>
      </c>
      <c r="M113" s="23" t="n">
        <v>36</v>
      </c>
      <c r="N113" s="23" t="n">
        <v>69.90000000000001</v>
      </c>
      <c r="O113" s="19" t="n">
        <v>0.415</v>
      </c>
      <c r="P113" s="17">
        <f>IF(L113&gt;1.40, "INEFFICIENT (Eta&gt;1.4)", IF(L113&lt;1.10, "OVERGRIND / LOW Wi", "OPTIMAL (1.10-1.35)"))</f>
        <v/>
      </c>
    </row>
    <row r="114">
      <c r="A114" s="12" t="inlineStr">
        <is>
          <t>SFT-GR-2113</t>
        </is>
      </c>
      <c r="B114" s="39" t="n">
        <v>45329</v>
      </c>
      <c r="C114" s="12" t="inlineStr">
        <is>
          <t>Shift_B</t>
        </is>
      </c>
      <c r="D114" s="12" t="inlineStr">
        <is>
          <t>Hard Siliceous / Martite</t>
        </is>
      </c>
      <c r="E114" s="22" t="n">
        <v>232.1</v>
      </c>
      <c r="F114" s="22" t="n">
        <v>3169.6</v>
      </c>
      <c r="G114" s="22" t="n">
        <v>10614.9</v>
      </c>
      <c r="H114" s="22" t="n">
        <v>165.2</v>
      </c>
      <c r="I114" s="14">
        <f>F114/E114</f>
        <v/>
      </c>
      <c r="J114" s="14" t="n">
        <v>15.51</v>
      </c>
      <c r="K114" s="14">
        <f>I114/(10*(1/SQRT(H114)-1/SQRT(G114)))</f>
        <v/>
      </c>
      <c r="L114" s="15">
        <f>K114/J114</f>
        <v/>
      </c>
      <c r="M114" s="22" t="n">
        <v>33.2</v>
      </c>
      <c r="N114" s="22" t="n">
        <v>73.2</v>
      </c>
      <c r="O114" s="14" t="n">
        <v>0.634</v>
      </c>
      <c r="P114" s="12">
        <f>IF(L114&gt;1.40, "INEFFICIENT (Eta&gt;1.4)", IF(L114&lt;1.10, "OVERGRIND / LOW Wi", "OPTIMAL (1.10-1.35)"))</f>
        <v/>
      </c>
    </row>
    <row r="115">
      <c r="A115" s="17" t="inlineStr">
        <is>
          <t>SFT-GR-2114</t>
        </is>
      </c>
      <c r="B115" s="40" t="n">
        <v>45329</v>
      </c>
      <c r="C115" s="17" t="inlineStr">
        <is>
          <t>Shift_C</t>
        </is>
      </c>
      <c r="D115" s="17" t="inlineStr">
        <is>
          <t>Standard Skarn-Magnetite</t>
        </is>
      </c>
      <c r="E115" s="23" t="n">
        <v>260.8</v>
      </c>
      <c r="F115" s="23" t="n">
        <v>3158.5</v>
      </c>
      <c r="G115" s="23" t="n">
        <v>9540.299999999999</v>
      </c>
      <c r="H115" s="23" t="n">
        <v>148.4</v>
      </c>
      <c r="I115" s="19">
        <f>F115/E115</f>
        <v/>
      </c>
      <c r="J115" s="19" t="n">
        <v>13.63</v>
      </c>
      <c r="K115" s="19">
        <f>I115/(10*(1/SQRT(H115)-1/SQRT(G115)))</f>
        <v/>
      </c>
      <c r="L115" s="20">
        <f>K115/J115</f>
        <v/>
      </c>
      <c r="M115" s="23" t="n">
        <v>35.6</v>
      </c>
      <c r="N115" s="23" t="n">
        <v>71.3</v>
      </c>
      <c r="O115" s="19" t="n">
        <v>0.481</v>
      </c>
      <c r="P115" s="17">
        <f>IF(L115&gt;1.40, "INEFFICIENT (Eta&gt;1.4)", IF(L115&lt;1.10, "OVERGRIND / LOW Wi", "OPTIMAL (1.10-1.35)"))</f>
        <v/>
      </c>
    </row>
    <row r="116">
      <c r="A116" s="12" t="inlineStr">
        <is>
          <t>SFT-GR-2115</t>
        </is>
      </c>
      <c r="B116" s="39" t="n">
        <v>45330</v>
      </c>
      <c r="C116" s="12" t="inlineStr">
        <is>
          <t>Shift_A</t>
        </is>
      </c>
      <c r="D116" s="12" t="inlineStr">
        <is>
          <t>Standard Skarn-Magnetite</t>
        </is>
      </c>
      <c r="E116" s="22" t="n">
        <v>237.3</v>
      </c>
      <c r="F116" s="22" t="n">
        <v>3030.6</v>
      </c>
      <c r="G116" s="22" t="n">
        <v>9321.5</v>
      </c>
      <c r="H116" s="22" t="n">
        <v>146.6</v>
      </c>
      <c r="I116" s="14">
        <f>F116/E116</f>
        <v/>
      </c>
      <c r="J116" s="14" t="n">
        <v>14.57</v>
      </c>
      <c r="K116" s="14">
        <f>I116/(10*(1/SQRT(H116)-1/SQRT(G116)))</f>
        <v/>
      </c>
      <c r="L116" s="15">
        <f>K116/J116</f>
        <v/>
      </c>
      <c r="M116" s="22" t="n">
        <v>34.4</v>
      </c>
      <c r="N116" s="22" t="n">
        <v>72</v>
      </c>
      <c r="O116" s="14" t="n">
        <v>0.491</v>
      </c>
      <c r="P116" s="12">
        <f>IF(L116&gt;1.40, "INEFFICIENT (Eta&gt;1.4)", IF(L116&lt;1.10, "OVERGRIND / LOW Wi", "OPTIMAL (1.10-1.35)"))</f>
        <v/>
      </c>
    </row>
    <row r="117">
      <c r="A117" s="17" t="inlineStr">
        <is>
          <t>SFT-GR-2116</t>
        </is>
      </c>
      <c r="B117" s="40" t="n">
        <v>45330</v>
      </c>
      <c r="C117" s="17" t="inlineStr">
        <is>
          <t>Shift_B</t>
        </is>
      </c>
      <c r="D117" s="17" t="inlineStr">
        <is>
          <t>Standard Skarn-Magnetite</t>
        </is>
      </c>
      <c r="E117" s="23" t="n">
        <v>252.7</v>
      </c>
      <c r="F117" s="23" t="n">
        <v>3039.6</v>
      </c>
      <c r="G117" s="23" t="n">
        <v>9177.4</v>
      </c>
      <c r="H117" s="23" t="n">
        <v>156.4</v>
      </c>
      <c r="I117" s="19">
        <f>F117/E117</f>
        <v/>
      </c>
      <c r="J117" s="19" t="n">
        <v>14.51</v>
      </c>
      <c r="K117" s="19">
        <f>I117/(10*(1/SQRT(H117)-1/SQRT(G117)))</f>
        <v/>
      </c>
      <c r="L117" s="20">
        <f>K117/J117</f>
        <v/>
      </c>
      <c r="M117" s="23" t="n">
        <v>34.1</v>
      </c>
      <c r="N117" s="23" t="n">
        <v>71.09999999999999</v>
      </c>
      <c r="O117" s="19" t="n">
        <v>0.525</v>
      </c>
      <c r="P117" s="17">
        <f>IF(L117&gt;1.40, "INEFFICIENT (Eta&gt;1.4)", IF(L117&lt;1.10, "OVERGRIND / LOW Wi", "OPTIMAL (1.10-1.35)"))</f>
        <v/>
      </c>
    </row>
    <row r="118">
      <c r="A118" s="12" t="inlineStr">
        <is>
          <t>SFT-GR-2117</t>
        </is>
      </c>
      <c r="B118" s="39" t="n">
        <v>45330</v>
      </c>
      <c r="C118" s="12" t="inlineStr">
        <is>
          <t>Shift_C</t>
        </is>
      </c>
      <c r="D118" s="12" t="inlineStr">
        <is>
          <t>Standard Skarn-Magnetite</t>
        </is>
      </c>
      <c r="E118" s="22" t="n">
        <v>252.6</v>
      </c>
      <c r="F118" s="22" t="n">
        <v>3186.6</v>
      </c>
      <c r="G118" s="22" t="n">
        <v>9710.9</v>
      </c>
      <c r="H118" s="22" t="n">
        <v>153.2</v>
      </c>
      <c r="I118" s="14">
        <f>F118/E118</f>
        <v/>
      </c>
      <c r="J118" s="14" t="n">
        <v>13.63</v>
      </c>
      <c r="K118" s="14">
        <f>I118/(10*(1/SQRT(H118)-1/SQRT(G118)))</f>
        <v/>
      </c>
      <c r="L118" s="15">
        <f>K118/J118</f>
        <v/>
      </c>
      <c r="M118" s="22" t="n">
        <v>35.8</v>
      </c>
      <c r="N118" s="22" t="n">
        <v>72</v>
      </c>
      <c r="O118" s="14" t="n">
        <v>0.523</v>
      </c>
      <c r="P118" s="12">
        <f>IF(L118&gt;1.40, "INEFFICIENT (Eta&gt;1.4)", IF(L118&lt;1.10, "OVERGRIND / LOW Wi", "OPTIMAL (1.10-1.35)"))</f>
        <v/>
      </c>
    </row>
    <row r="119">
      <c r="A119" s="17" t="inlineStr">
        <is>
          <t>SFT-GR-2118</t>
        </is>
      </c>
      <c r="B119" s="40" t="n">
        <v>45331</v>
      </c>
      <c r="C119" s="17" t="inlineStr">
        <is>
          <t>Shift_A</t>
        </is>
      </c>
      <c r="D119" s="17" t="inlineStr">
        <is>
          <t>Hard Siliceous / Martite</t>
        </is>
      </c>
      <c r="E119" s="23" t="n">
        <v>229.5</v>
      </c>
      <c r="F119" s="23" t="n">
        <v>3283.4</v>
      </c>
      <c r="G119" s="23" t="n">
        <v>10094.1</v>
      </c>
      <c r="H119" s="23" t="n">
        <v>153.8</v>
      </c>
      <c r="I119" s="19">
        <f>F119/E119</f>
        <v/>
      </c>
      <c r="J119" s="19" t="n">
        <v>15.91</v>
      </c>
      <c r="K119" s="19">
        <f>I119/(10*(1/SQRT(H119)-1/SQRT(G119)))</f>
        <v/>
      </c>
      <c r="L119" s="20">
        <f>K119/J119</f>
        <v/>
      </c>
      <c r="M119" s="23" t="n">
        <v>34.5</v>
      </c>
      <c r="N119" s="23" t="n">
        <v>73.5</v>
      </c>
      <c r="O119" s="19" t="n">
        <v>0.571</v>
      </c>
      <c r="P119" s="17">
        <f>IF(L119&gt;1.40, "INEFFICIENT (Eta&gt;1.4)", IF(L119&lt;1.10, "OVERGRIND / LOW Wi", "OPTIMAL (1.10-1.35)"))</f>
        <v/>
      </c>
    </row>
    <row r="120">
      <c r="A120" s="12" t="inlineStr">
        <is>
          <t>SFT-GR-2119</t>
        </is>
      </c>
      <c r="B120" s="39" t="n">
        <v>45331</v>
      </c>
      <c r="C120" s="12" t="inlineStr">
        <is>
          <t>Shift_B</t>
        </is>
      </c>
      <c r="D120" s="12" t="inlineStr">
        <is>
          <t>Standard Skarn-Magnetite</t>
        </is>
      </c>
      <c r="E120" s="22" t="n">
        <v>250.7</v>
      </c>
      <c r="F120" s="22" t="n">
        <v>3159</v>
      </c>
      <c r="G120" s="22" t="n">
        <v>10183.5</v>
      </c>
      <c r="H120" s="22" t="n">
        <v>151.3</v>
      </c>
      <c r="I120" s="14">
        <f>F120/E120</f>
        <v/>
      </c>
      <c r="J120" s="14" t="n">
        <v>13.66</v>
      </c>
      <c r="K120" s="14">
        <f>I120/(10*(1/SQRT(H120)-1/SQRT(G120)))</f>
        <v/>
      </c>
      <c r="L120" s="15">
        <f>K120/J120</f>
        <v/>
      </c>
      <c r="M120" s="22" t="n">
        <v>33.7</v>
      </c>
      <c r="N120" s="22" t="n">
        <v>73.59999999999999</v>
      </c>
      <c r="O120" s="14" t="n">
        <v>0.479</v>
      </c>
      <c r="P120" s="12">
        <f>IF(L120&gt;1.40, "INEFFICIENT (Eta&gt;1.4)", IF(L120&lt;1.10, "OVERGRIND / LOW Wi", "OPTIMAL (1.10-1.35)"))</f>
        <v/>
      </c>
    </row>
    <row r="121">
      <c r="A121" s="17" t="inlineStr">
        <is>
          <t>SFT-GR-2120</t>
        </is>
      </c>
      <c r="B121" s="40" t="n">
        <v>45331</v>
      </c>
      <c r="C121" s="17" t="inlineStr">
        <is>
          <t>Shift_C</t>
        </is>
      </c>
      <c r="D121" s="17" t="inlineStr">
        <is>
          <t>Standard Skarn-Magnetite</t>
        </is>
      </c>
      <c r="E121" s="23" t="n">
        <v>237.6</v>
      </c>
      <c r="F121" s="23" t="n">
        <v>3179.5</v>
      </c>
      <c r="G121" s="23" t="n">
        <v>9672.200000000001</v>
      </c>
      <c r="H121" s="23" t="n">
        <v>155</v>
      </c>
      <c r="I121" s="19">
        <f>F121/E121</f>
        <v/>
      </c>
      <c r="J121" s="19" t="n">
        <v>14.37</v>
      </c>
      <c r="K121" s="19">
        <f>I121/(10*(1/SQRT(H121)-1/SQRT(G121)))</f>
        <v/>
      </c>
      <c r="L121" s="20">
        <f>K121/J121</f>
        <v/>
      </c>
      <c r="M121" s="23" t="n">
        <v>33.7</v>
      </c>
      <c r="N121" s="23" t="n">
        <v>70.90000000000001</v>
      </c>
      <c r="O121" s="19" t="n">
        <v>0.474</v>
      </c>
      <c r="P121" s="17">
        <f>IF(L121&gt;1.40, "INEFFICIENT (Eta&gt;1.4)", IF(L121&lt;1.10, "OVERGRIND / LOW Wi", "OPTIMAL (1.10-1.35)"))</f>
        <v/>
      </c>
    </row>
    <row r="122">
      <c r="A122" s="12" t="inlineStr">
        <is>
          <t>SFT-GR-2121</t>
        </is>
      </c>
      <c r="B122" s="39" t="n">
        <v>45332</v>
      </c>
      <c r="C122" s="12" t="inlineStr">
        <is>
          <t>Shift_A</t>
        </is>
      </c>
      <c r="D122" s="12" t="inlineStr">
        <is>
          <t>Hard Siliceous / Martite</t>
        </is>
      </c>
      <c r="E122" s="22" t="n">
        <v>233.1</v>
      </c>
      <c r="F122" s="22" t="n">
        <v>3185</v>
      </c>
      <c r="G122" s="22" t="n">
        <v>10437.8</v>
      </c>
      <c r="H122" s="22" t="n">
        <v>160.6</v>
      </c>
      <c r="I122" s="14">
        <f>F122/E122</f>
        <v/>
      </c>
      <c r="J122" s="14" t="n">
        <v>15.49</v>
      </c>
      <c r="K122" s="14">
        <f>I122/(10*(1/SQRT(H122)-1/SQRT(G122)))</f>
        <v/>
      </c>
      <c r="L122" s="15">
        <f>K122/J122</f>
        <v/>
      </c>
      <c r="M122" s="22" t="n">
        <v>35.2</v>
      </c>
      <c r="N122" s="22" t="n">
        <v>74.59999999999999</v>
      </c>
      <c r="O122" s="14" t="n">
        <v>0.5610000000000001</v>
      </c>
      <c r="P122" s="12">
        <f>IF(L122&gt;1.40, "INEFFICIENT (Eta&gt;1.4)", IF(L122&lt;1.10, "OVERGRIND / LOW Wi", "OPTIMAL (1.10-1.35)"))</f>
        <v/>
      </c>
    </row>
    <row r="123">
      <c r="A123" s="17" t="inlineStr">
        <is>
          <t>SFT-GR-2122</t>
        </is>
      </c>
      <c r="B123" s="40" t="n">
        <v>45332</v>
      </c>
      <c r="C123" s="17" t="inlineStr">
        <is>
          <t>Shift_B</t>
        </is>
      </c>
      <c r="D123" s="17" t="inlineStr">
        <is>
          <t>Standard Skarn-Magnetite</t>
        </is>
      </c>
      <c r="E123" s="23" t="n">
        <v>262.7</v>
      </c>
      <c r="F123" s="23" t="n">
        <v>3133.9</v>
      </c>
      <c r="G123" s="23" t="n">
        <v>9458.9</v>
      </c>
      <c r="H123" s="23" t="n">
        <v>145.4</v>
      </c>
      <c r="I123" s="19">
        <f>F123/E123</f>
        <v/>
      </c>
      <c r="J123" s="19" t="n">
        <v>13.89</v>
      </c>
      <c r="K123" s="19">
        <f>I123/(10*(1/SQRT(H123)-1/SQRT(G123)))</f>
        <v/>
      </c>
      <c r="L123" s="20">
        <f>K123/J123</f>
        <v/>
      </c>
      <c r="M123" s="23" t="n">
        <v>34.7</v>
      </c>
      <c r="N123" s="23" t="n">
        <v>72.3</v>
      </c>
      <c r="O123" s="19" t="n">
        <v>0.483</v>
      </c>
      <c r="P123" s="17">
        <f>IF(L123&gt;1.40, "INEFFICIENT (Eta&gt;1.4)", IF(L123&lt;1.10, "OVERGRIND / LOW Wi", "OPTIMAL (1.10-1.35)"))</f>
        <v/>
      </c>
    </row>
    <row r="124">
      <c r="A124" s="12" t="inlineStr">
        <is>
          <t>SFT-GR-2123</t>
        </is>
      </c>
      <c r="B124" s="39" t="n">
        <v>45332</v>
      </c>
      <c r="C124" s="12" t="inlineStr">
        <is>
          <t>Shift_C</t>
        </is>
      </c>
      <c r="D124" s="12" t="inlineStr">
        <is>
          <t>Standard Skarn-Magnetite</t>
        </is>
      </c>
      <c r="E124" s="22" t="n">
        <v>246</v>
      </c>
      <c r="F124" s="22" t="n">
        <v>3037.5</v>
      </c>
      <c r="G124" s="22" t="n">
        <v>9506.6</v>
      </c>
      <c r="H124" s="22" t="n">
        <v>137.7</v>
      </c>
      <c r="I124" s="14">
        <f>F124/E124</f>
        <v/>
      </c>
      <c r="J124" s="14" t="n">
        <v>13.93</v>
      </c>
      <c r="K124" s="14">
        <f>I124/(10*(1/SQRT(H124)-1/SQRT(G124)))</f>
        <v/>
      </c>
      <c r="L124" s="15">
        <f>K124/J124</f>
        <v/>
      </c>
      <c r="M124" s="22" t="n">
        <v>34.3</v>
      </c>
      <c r="N124" s="22" t="n">
        <v>71.3</v>
      </c>
      <c r="O124" s="14" t="n">
        <v>0.47</v>
      </c>
      <c r="P124" s="12">
        <f>IF(L124&gt;1.40, "INEFFICIENT (Eta&gt;1.4)", IF(L124&lt;1.10, "OVERGRIND / LOW Wi", "OPTIMAL (1.10-1.35)"))</f>
        <v/>
      </c>
    </row>
    <row r="125">
      <c r="A125" s="17" t="inlineStr">
        <is>
          <t>SFT-GR-2124</t>
        </is>
      </c>
      <c r="B125" s="40" t="n">
        <v>45333</v>
      </c>
      <c r="C125" s="17" t="inlineStr">
        <is>
          <t>Shift_A</t>
        </is>
      </c>
      <c r="D125" s="17" t="inlineStr">
        <is>
          <t>Soft / Weathered Goethite</t>
        </is>
      </c>
      <c r="E125" s="23" t="n">
        <v>264.2</v>
      </c>
      <c r="F125" s="23" t="n">
        <v>2907.5</v>
      </c>
      <c r="G125" s="23" t="n">
        <v>8883.6</v>
      </c>
      <c r="H125" s="23" t="n">
        <v>135.9</v>
      </c>
      <c r="I125" s="19">
        <f>F125/E125</f>
        <v/>
      </c>
      <c r="J125" s="19" t="n">
        <v>10.78</v>
      </c>
      <c r="K125" s="19">
        <f>I125/(10*(1/SQRT(H125)-1/SQRT(G125)))</f>
        <v/>
      </c>
      <c r="L125" s="20">
        <f>K125/J125</f>
        <v/>
      </c>
      <c r="M125" s="23" t="n">
        <v>36.1</v>
      </c>
      <c r="N125" s="23" t="n">
        <v>70.8</v>
      </c>
      <c r="O125" s="19" t="n">
        <v>0.384</v>
      </c>
      <c r="P125" s="17">
        <f>IF(L125&gt;1.40, "INEFFICIENT (Eta&gt;1.4)", IF(L125&lt;1.10, "OVERGRIND / LOW Wi", "OPTIMAL (1.10-1.35)"))</f>
        <v/>
      </c>
    </row>
    <row r="126">
      <c r="A126" s="12" t="inlineStr">
        <is>
          <t>SFT-GR-2125</t>
        </is>
      </c>
      <c r="B126" s="39" t="n">
        <v>45333</v>
      </c>
      <c r="C126" s="12" t="inlineStr">
        <is>
          <t>Shift_B</t>
        </is>
      </c>
      <c r="D126" s="12" t="inlineStr">
        <is>
          <t>Standard Skarn-Magnetite</t>
        </is>
      </c>
      <c r="E126" s="22" t="n">
        <v>245.7</v>
      </c>
      <c r="F126" s="22" t="n">
        <v>3010.2</v>
      </c>
      <c r="G126" s="22" t="n">
        <v>9947.1</v>
      </c>
      <c r="H126" s="22" t="n">
        <v>143.8</v>
      </c>
      <c r="I126" s="14">
        <f>F126/E126</f>
        <v/>
      </c>
      <c r="J126" s="14" t="n">
        <v>14.98</v>
      </c>
      <c r="K126" s="14">
        <f>I126/(10*(1/SQRT(H126)-1/SQRT(G126)))</f>
        <v/>
      </c>
      <c r="L126" s="15">
        <f>K126/J126</f>
        <v/>
      </c>
      <c r="M126" s="22" t="n">
        <v>34.6</v>
      </c>
      <c r="N126" s="22" t="n">
        <v>71.09999999999999</v>
      </c>
      <c r="O126" s="14" t="n">
        <v>0.466</v>
      </c>
      <c r="P126" s="12">
        <f>IF(L126&gt;1.40, "INEFFICIENT (Eta&gt;1.4)", IF(L126&lt;1.10, "OVERGRIND / LOW Wi", "OPTIMAL (1.10-1.35)"))</f>
        <v/>
      </c>
    </row>
    <row r="127">
      <c r="A127" s="17" t="inlineStr">
        <is>
          <t>SFT-GR-2126</t>
        </is>
      </c>
      <c r="B127" s="40" t="n">
        <v>45333</v>
      </c>
      <c r="C127" s="17" t="inlineStr">
        <is>
          <t>Shift_C</t>
        </is>
      </c>
      <c r="D127" s="17" t="inlineStr">
        <is>
          <t>Hard Siliceous / Martite</t>
        </is>
      </c>
      <c r="E127" s="23" t="n">
        <v>236.9</v>
      </c>
      <c r="F127" s="23" t="n">
        <v>3208.5</v>
      </c>
      <c r="G127" s="23" t="n">
        <v>10910.8</v>
      </c>
      <c r="H127" s="23" t="n">
        <v>162.6</v>
      </c>
      <c r="I127" s="19">
        <f>F127/E127</f>
        <v/>
      </c>
      <c r="J127" s="19" t="n">
        <v>17.58</v>
      </c>
      <c r="K127" s="19">
        <f>I127/(10*(1/SQRT(H127)-1/SQRT(G127)))</f>
        <v/>
      </c>
      <c r="L127" s="20">
        <f>K127/J127</f>
        <v/>
      </c>
      <c r="M127" s="23" t="n">
        <v>33.3</v>
      </c>
      <c r="N127" s="23" t="n">
        <v>72.8</v>
      </c>
      <c r="O127" s="19" t="n">
        <v>0.624</v>
      </c>
      <c r="P127" s="17">
        <f>IF(L127&gt;1.40, "INEFFICIENT (Eta&gt;1.4)", IF(L127&lt;1.10, "OVERGRIND / LOW Wi", "OPTIMAL (1.10-1.35)"))</f>
        <v/>
      </c>
    </row>
    <row r="128">
      <c r="A128" s="12" t="inlineStr">
        <is>
          <t>SFT-GR-2127</t>
        </is>
      </c>
      <c r="B128" s="39" t="n">
        <v>45334</v>
      </c>
      <c r="C128" s="12" t="inlineStr">
        <is>
          <t>Shift_A</t>
        </is>
      </c>
      <c r="D128" s="12" t="inlineStr">
        <is>
          <t>Standard Skarn-Magnetite</t>
        </is>
      </c>
      <c r="E128" s="22" t="n">
        <v>256.4</v>
      </c>
      <c r="F128" s="22" t="n">
        <v>3061.5</v>
      </c>
      <c r="G128" s="22" t="n">
        <v>9367.9</v>
      </c>
      <c r="H128" s="22" t="n">
        <v>146.9</v>
      </c>
      <c r="I128" s="14">
        <f>F128/E128</f>
        <v/>
      </c>
      <c r="J128" s="14" t="n">
        <v>13.92</v>
      </c>
      <c r="K128" s="14">
        <f>I128/(10*(1/SQRT(H128)-1/SQRT(G128)))</f>
        <v/>
      </c>
      <c r="L128" s="15">
        <f>K128/J128</f>
        <v/>
      </c>
      <c r="M128" s="22" t="n">
        <v>33.9</v>
      </c>
      <c r="N128" s="22" t="n">
        <v>71.40000000000001</v>
      </c>
      <c r="O128" s="14" t="n">
        <v>0.487</v>
      </c>
      <c r="P128" s="12">
        <f>IF(L128&gt;1.40, "INEFFICIENT (Eta&gt;1.4)", IF(L128&lt;1.10, "OVERGRIND / LOW Wi", "OPTIMAL (1.10-1.35)"))</f>
        <v/>
      </c>
    </row>
    <row r="129">
      <c r="A129" s="17" t="inlineStr">
        <is>
          <t>SFT-GR-2128</t>
        </is>
      </c>
      <c r="B129" s="40" t="n">
        <v>45334</v>
      </c>
      <c r="C129" s="17" t="inlineStr">
        <is>
          <t>Shift_B</t>
        </is>
      </c>
      <c r="D129" s="17" t="inlineStr">
        <is>
          <t>Soft / Weathered Goethite</t>
        </is>
      </c>
      <c r="E129" s="23" t="n">
        <v>286.9</v>
      </c>
      <c r="F129" s="23" t="n">
        <v>3086.3</v>
      </c>
      <c r="G129" s="23" t="n">
        <v>8058.5</v>
      </c>
      <c r="H129" s="23" t="n">
        <v>140</v>
      </c>
      <c r="I129" s="19">
        <f>F129/E129</f>
        <v/>
      </c>
      <c r="J129" s="19" t="n">
        <v>11.7</v>
      </c>
      <c r="K129" s="19">
        <f>I129/(10*(1/SQRT(H129)-1/SQRT(G129)))</f>
        <v/>
      </c>
      <c r="L129" s="20">
        <f>K129/J129</f>
        <v/>
      </c>
      <c r="M129" s="23" t="n">
        <v>36.5</v>
      </c>
      <c r="N129" s="23" t="n">
        <v>70.59999999999999</v>
      </c>
      <c r="O129" s="19" t="n">
        <v>0.377</v>
      </c>
      <c r="P129" s="17">
        <f>IF(L129&gt;1.40, "INEFFICIENT (Eta&gt;1.4)", IF(L129&lt;1.10, "OVERGRIND / LOW Wi", "OPTIMAL (1.10-1.35)"))</f>
        <v/>
      </c>
    </row>
    <row r="130">
      <c r="A130" s="12" t="inlineStr">
        <is>
          <t>SFT-GR-2129</t>
        </is>
      </c>
      <c r="B130" s="39" t="n">
        <v>45334</v>
      </c>
      <c r="C130" s="12" t="inlineStr">
        <is>
          <t>Shift_C</t>
        </is>
      </c>
      <c r="D130" s="12" t="inlineStr">
        <is>
          <t>Standard Skarn-Magnetite</t>
        </is>
      </c>
      <c r="E130" s="22" t="n">
        <v>243.5</v>
      </c>
      <c r="F130" s="22" t="n">
        <v>3094.9</v>
      </c>
      <c r="G130" s="22" t="n">
        <v>9352.200000000001</v>
      </c>
      <c r="H130" s="22" t="n">
        <v>161.2</v>
      </c>
      <c r="I130" s="14">
        <f>F130/E130</f>
        <v/>
      </c>
      <c r="J130" s="14" t="n">
        <v>14.22</v>
      </c>
      <c r="K130" s="14">
        <f>I130/(10*(1/SQRT(H130)-1/SQRT(G130)))</f>
        <v/>
      </c>
      <c r="L130" s="15">
        <f>K130/J130</f>
        <v/>
      </c>
      <c r="M130" s="22" t="n">
        <v>35.5</v>
      </c>
      <c r="N130" s="22" t="n">
        <v>72.09999999999999</v>
      </c>
      <c r="O130" s="14" t="n">
        <v>0.499</v>
      </c>
      <c r="P130" s="12">
        <f>IF(L130&gt;1.40, "INEFFICIENT (Eta&gt;1.4)", IF(L130&lt;1.10, "OVERGRIND / LOW Wi", "OPTIMAL (1.10-1.35)"))</f>
        <v/>
      </c>
    </row>
    <row r="131">
      <c r="A131" s="17" t="inlineStr">
        <is>
          <t>SFT-GR-2130</t>
        </is>
      </c>
      <c r="B131" s="40" t="n">
        <v>45335</v>
      </c>
      <c r="C131" s="17" t="inlineStr">
        <is>
          <t>Shift_A</t>
        </is>
      </c>
      <c r="D131" s="17" t="inlineStr">
        <is>
          <t>Standard Skarn-Magnetite</t>
        </is>
      </c>
      <c r="E131" s="23" t="n">
        <v>246.8</v>
      </c>
      <c r="F131" s="23" t="n">
        <v>3199.6</v>
      </c>
      <c r="G131" s="23" t="n">
        <v>9250.4</v>
      </c>
      <c r="H131" s="23" t="n">
        <v>145.2</v>
      </c>
      <c r="I131" s="19">
        <f>F131/E131</f>
        <v/>
      </c>
      <c r="J131" s="19" t="n">
        <v>13.73</v>
      </c>
      <c r="K131" s="19">
        <f>I131/(10*(1/SQRT(H131)-1/SQRT(G131)))</f>
        <v/>
      </c>
      <c r="L131" s="20">
        <f>K131/J131</f>
        <v/>
      </c>
      <c r="M131" s="23" t="n">
        <v>34.9</v>
      </c>
      <c r="N131" s="23" t="n">
        <v>72.7</v>
      </c>
      <c r="O131" s="19" t="n">
        <v>0.488</v>
      </c>
      <c r="P131" s="17">
        <f>IF(L131&gt;1.40, "INEFFICIENT (Eta&gt;1.4)", IF(L131&lt;1.10, "OVERGRIND / LOW Wi", "OPTIMAL (1.10-1.35)"))</f>
        <v/>
      </c>
    </row>
    <row r="132">
      <c r="A132" s="12" t="inlineStr">
        <is>
          <t>SFT-GR-2131</t>
        </is>
      </c>
      <c r="B132" s="39" t="n">
        <v>45335</v>
      </c>
      <c r="C132" s="12" t="inlineStr">
        <is>
          <t>Shift_B</t>
        </is>
      </c>
      <c r="D132" s="12" t="inlineStr">
        <is>
          <t>Standard Skarn-Magnetite</t>
        </is>
      </c>
      <c r="E132" s="22" t="n">
        <v>238.4</v>
      </c>
      <c r="F132" s="22" t="n">
        <v>3116.3</v>
      </c>
      <c r="G132" s="22" t="n">
        <v>9862.5</v>
      </c>
      <c r="H132" s="22" t="n">
        <v>153.7</v>
      </c>
      <c r="I132" s="14">
        <f>F132/E132</f>
        <v/>
      </c>
      <c r="J132" s="14" t="n">
        <v>13.88</v>
      </c>
      <c r="K132" s="14">
        <f>I132/(10*(1/SQRT(H132)-1/SQRT(G132)))</f>
        <v/>
      </c>
      <c r="L132" s="15">
        <f>K132/J132</f>
        <v/>
      </c>
      <c r="M132" s="22" t="n">
        <v>34.4</v>
      </c>
      <c r="N132" s="22" t="n">
        <v>73</v>
      </c>
      <c r="O132" s="14" t="n">
        <v>0.489</v>
      </c>
      <c r="P132" s="12">
        <f>IF(L132&gt;1.40, "INEFFICIENT (Eta&gt;1.4)", IF(L132&lt;1.10, "OVERGRIND / LOW Wi", "OPTIMAL (1.10-1.35)"))</f>
        <v/>
      </c>
    </row>
    <row r="133">
      <c r="A133" s="17" t="inlineStr">
        <is>
          <t>SFT-GR-2132</t>
        </is>
      </c>
      <c r="B133" s="40" t="n">
        <v>45335</v>
      </c>
      <c r="C133" s="17" t="inlineStr">
        <is>
          <t>Shift_C</t>
        </is>
      </c>
      <c r="D133" s="17" t="inlineStr">
        <is>
          <t>Standard Skarn-Magnetite</t>
        </is>
      </c>
      <c r="E133" s="23" t="n">
        <v>260.8</v>
      </c>
      <c r="F133" s="23" t="n">
        <v>3126.1</v>
      </c>
      <c r="G133" s="23" t="n">
        <v>9470.6</v>
      </c>
      <c r="H133" s="23" t="n">
        <v>159.4</v>
      </c>
      <c r="I133" s="19">
        <f>F133/E133</f>
        <v/>
      </c>
      <c r="J133" s="19" t="n">
        <v>14.19</v>
      </c>
      <c r="K133" s="19">
        <f>I133/(10*(1/SQRT(H133)-1/SQRT(G133)))</f>
        <v/>
      </c>
      <c r="L133" s="20">
        <f>K133/J133</f>
        <v/>
      </c>
      <c r="M133" s="23" t="n">
        <v>35.9</v>
      </c>
      <c r="N133" s="23" t="n">
        <v>72.5</v>
      </c>
      <c r="O133" s="19" t="n">
        <v>0.429</v>
      </c>
      <c r="P133" s="17">
        <f>IF(L133&gt;1.40, "INEFFICIENT (Eta&gt;1.4)", IF(L133&lt;1.10, "OVERGRIND / LOW Wi", "OPTIMAL (1.10-1.35)"))</f>
        <v/>
      </c>
    </row>
    <row r="134">
      <c r="A134" s="12" t="inlineStr">
        <is>
          <t>SFT-GR-2133</t>
        </is>
      </c>
      <c r="B134" s="39" t="n">
        <v>45336</v>
      </c>
      <c r="C134" s="12" t="inlineStr">
        <is>
          <t>Shift_A</t>
        </is>
      </c>
      <c r="D134" s="12" t="inlineStr">
        <is>
          <t>Standard Skarn-Magnetite</t>
        </is>
      </c>
      <c r="E134" s="22" t="n">
        <v>254.4</v>
      </c>
      <c r="F134" s="22" t="n">
        <v>3022.8</v>
      </c>
      <c r="G134" s="22" t="n">
        <v>9539.700000000001</v>
      </c>
      <c r="H134" s="22" t="n">
        <v>145</v>
      </c>
      <c r="I134" s="14">
        <f>F134/E134</f>
        <v/>
      </c>
      <c r="J134" s="14" t="n">
        <v>14.56</v>
      </c>
      <c r="K134" s="14">
        <f>I134/(10*(1/SQRT(H134)-1/SQRT(G134)))</f>
        <v/>
      </c>
      <c r="L134" s="15">
        <f>K134/J134</f>
        <v/>
      </c>
      <c r="M134" s="22" t="n">
        <v>35.2</v>
      </c>
      <c r="N134" s="22" t="n">
        <v>71</v>
      </c>
      <c r="O134" s="14" t="n">
        <v>0.472</v>
      </c>
      <c r="P134" s="12">
        <f>IF(L134&gt;1.40, "INEFFICIENT (Eta&gt;1.4)", IF(L134&lt;1.10, "OVERGRIND / LOW Wi", "OPTIMAL (1.10-1.35)"))</f>
        <v/>
      </c>
    </row>
    <row r="135">
      <c r="A135" s="17" t="inlineStr">
        <is>
          <t>SFT-GR-2134</t>
        </is>
      </c>
      <c r="B135" s="40" t="n">
        <v>45336</v>
      </c>
      <c r="C135" s="17" t="inlineStr">
        <is>
          <t>Shift_B</t>
        </is>
      </c>
      <c r="D135" s="17" t="inlineStr">
        <is>
          <t>Standard Skarn-Magnetite</t>
        </is>
      </c>
      <c r="E135" s="23" t="n">
        <v>240</v>
      </c>
      <c r="F135" s="23" t="n">
        <v>3093.6</v>
      </c>
      <c r="G135" s="23" t="n">
        <v>9331.799999999999</v>
      </c>
      <c r="H135" s="23" t="n">
        <v>133.4</v>
      </c>
      <c r="I135" s="19">
        <f>F135/E135</f>
        <v/>
      </c>
      <c r="J135" s="19" t="n">
        <v>13.81</v>
      </c>
      <c r="K135" s="19">
        <f>I135/(10*(1/SQRT(H135)-1/SQRT(G135)))</f>
        <v/>
      </c>
      <c r="L135" s="20">
        <f>K135/J135</f>
        <v/>
      </c>
      <c r="M135" s="23" t="n">
        <v>37.1</v>
      </c>
      <c r="N135" s="23" t="n">
        <v>72.90000000000001</v>
      </c>
      <c r="O135" s="19" t="n">
        <v>0.465</v>
      </c>
      <c r="P135" s="17">
        <f>IF(L135&gt;1.40, "INEFFICIENT (Eta&gt;1.4)", IF(L135&lt;1.10, "OVERGRIND / LOW Wi", "OPTIMAL (1.10-1.35)"))</f>
        <v/>
      </c>
    </row>
    <row r="136">
      <c r="A136" s="12" t="inlineStr">
        <is>
          <t>SFT-GR-2135</t>
        </is>
      </c>
      <c r="B136" s="39" t="n">
        <v>45336</v>
      </c>
      <c r="C136" s="12" t="inlineStr">
        <is>
          <t>Shift_C</t>
        </is>
      </c>
      <c r="D136" s="12" t="inlineStr">
        <is>
          <t>Standard Skarn-Magnetite</t>
        </is>
      </c>
      <c r="E136" s="22" t="n">
        <v>250.1</v>
      </c>
      <c r="F136" s="22" t="n">
        <v>3106.3</v>
      </c>
      <c r="G136" s="22" t="n">
        <v>9279.6</v>
      </c>
      <c r="H136" s="22" t="n">
        <v>153.1</v>
      </c>
      <c r="I136" s="14">
        <f>F136/E136</f>
        <v/>
      </c>
      <c r="J136" s="14" t="n">
        <v>13.71</v>
      </c>
      <c r="K136" s="14">
        <f>I136/(10*(1/SQRT(H136)-1/SQRT(G136)))</f>
        <v/>
      </c>
      <c r="L136" s="15">
        <f>K136/J136</f>
        <v/>
      </c>
      <c r="M136" s="22" t="n">
        <v>35.2</v>
      </c>
      <c r="N136" s="22" t="n">
        <v>72.40000000000001</v>
      </c>
      <c r="O136" s="14" t="n">
        <v>0.483</v>
      </c>
      <c r="P136" s="12">
        <f>IF(L136&gt;1.40, "INEFFICIENT (Eta&gt;1.4)", IF(L136&lt;1.10, "OVERGRIND / LOW Wi", "OPTIMAL (1.10-1.35)"))</f>
        <v/>
      </c>
    </row>
    <row r="137">
      <c r="A137" s="17" t="inlineStr">
        <is>
          <t>SFT-GR-2136</t>
        </is>
      </c>
      <c r="B137" s="40" t="n">
        <v>45337</v>
      </c>
      <c r="C137" s="17" t="inlineStr">
        <is>
          <t>Shift_A</t>
        </is>
      </c>
      <c r="D137" s="17" t="inlineStr">
        <is>
          <t>Standard Skarn-Magnetite</t>
        </is>
      </c>
      <c r="E137" s="23" t="n">
        <v>239.3</v>
      </c>
      <c r="F137" s="23" t="n">
        <v>3079.4</v>
      </c>
      <c r="G137" s="23" t="n">
        <v>9539.6</v>
      </c>
      <c r="H137" s="23" t="n">
        <v>145.7</v>
      </c>
      <c r="I137" s="19">
        <f>F137/E137</f>
        <v/>
      </c>
      <c r="J137" s="19" t="n">
        <v>14.07</v>
      </c>
      <c r="K137" s="19">
        <f>I137/(10*(1/SQRT(H137)-1/SQRT(G137)))</f>
        <v/>
      </c>
      <c r="L137" s="20">
        <f>K137/J137</f>
        <v/>
      </c>
      <c r="M137" s="23" t="n">
        <v>34.8</v>
      </c>
      <c r="N137" s="23" t="n">
        <v>71.90000000000001</v>
      </c>
      <c r="O137" s="19" t="n">
        <v>0.477</v>
      </c>
      <c r="P137" s="17">
        <f>IF(L137&gt;1.40, "INEFFICIENT (Eta&gt;1.4)", IF(L137&lt;1.10, "OVERGRIND / LOW Wi", "OPTIMAL (1.10-1.35)"))</f>
        <v/>
      </c>
    </row>
    <row r="138">
      <c r="A138" s="12" t="inlineStr">
        <is>
          <t>SFT-GR-2137</t>
        </is>
      </c>
      <c r="B138" s="39" t="n">
        <v>45337</v>
      </c>
      <c r="C138" s="12" t="inlineStr">
        <is>
          <t>Shift_B</t>
        </is>
      </c>
      <c r="D138" s="12" t="inlineStr">
        <is>
          <t>Standard Skarn-Magnetite</t>
        </is>
      </c>
      <c r="E138" s="22" t="n">
        <v>251</v>
      </c>
      <c r="F138" s="22" t="n">
        <v>3116</v>
      </c>
      <c r="G138" s="22" t="n">
        <v>9539.299999999999</v>
      </c>
      <c r="H138" s="22" t="n">
        <v>146.3</v>
      </c>
      <c r="I138" s="14">
        <f>F138/E138</f>
        <v/>
      </c>
      <c r="J138" s="14" t="n">
        <v>13.34</v>
      </c>
      <c r="K138" s="14">
        <f>I138/(10*(1/SQRT(H138)-1/SQRT(G138)))</f>
        <v/>
      </c>
      <c r="L138" s="15">
        <f>K138/J138</f>
        <v/>
      </c>
      <c r="M138" s="22" t="n">
        <v>34</v>
      </c>
      <c r="N138" s="22" t="n">
        <v>71.40000000000001</v>
      </c>
      <c r="O138" s="14" t="n">
        <v>0.484</v>
      </c>
      <c r="P138" s="12">
        <f>IF(L138&gt;1.40, "INEFFICIENT (Eta&gt;1.4)", IF(L138&lt;1.10, "OVERGRIND / LOW Wi", "OPTIMAL (1.10-1.35)"))</f>
        <v/>
      </c>
    </row>
    <row r="139">
      <c r="A139" s="17" t="inlineStr">
        <is>
          <t>SFT-GR-2138</t>
        </is>
      </c>
      <c r="B139" s="40" t="n">
        <v>45337</v>
      </c>
      <c r="C139" s="17" t="inlineStr">
        <is>
          <t>Shift_C</t>
        </is>
      </c>
      <c r="D139" s="17" t="inlineStr">
        <is>
          <t>Standard Skarn-Magnetite</t>
        </is>
      </c>
      <c r="E139" s="23" t="n">
        <v>261.1</v>
      </c>
      <c r="F139" s="23" t="n">
        <v>3084.9</v>
      </c>
      <c r="G139" s="23" t="n">
        <v>8719.1</v>
      </c>
      <c r="H139" s="23" t="n">
        <v>146.2</v>
      </c>
      <c r="I139" s="19">
        <f>F139/E139</f>
        <v/>
      </c>
      <c r="J139" s="19" t="n">
        <v>14.46</v>
      </c>
      <c r="K139" s="19">
        <f>I139/(10*(1/SQRT(H139)-1/SQRT(G139)))</f>
        <v/>
      </c>
      <c r="L139" s="20">
        <f>K139/J139</f>
        <v/>
      </c>
      <c r="M139" s="23" t="n">
        <v>34.9</v>
      </c>
      <c r="N139" s="23" t="n">
        <v>71.2</v>
      </c>
      <c r="O139" s="19" t="n">
        <v>0.459</v>
      </c>
      <c r="P139" s="17">
        <f>IF(L139&gt;1.40, "INEFFICIENT (Eta&gt;1.4)", IF(L139&lt;1.10, "OVERGRIND / LOW Wi", "OPTIMAL (1.10-1.35)"))</f>
        <v/>
      </c>
    </row>
    <row r="140">
      <c r="A140" s="12" t="inlineStr">
        <is>
          <t>SFT-GR-2139</t>
        </is>
      </c>
      <c r="B140" s="39" t="n">
        <v>45338</v>
      </c>
      <c r="C140" s="12" t="inlineStr">
        <is>
          <t>Shift_A</t>
        </is>
      </c>
      <c r="D140" s="12" t="inlineStr">
        <is>
          <t>Standard Skarn-Magnetite</t>
        </is>
      </c>
      <c r="E140" s="22" t="n">
        <v>254.1</v>
      </c>
      <c r="F140" s="22" t="n">
        <v>3054.2</v>
      </c>
      <c r="G140" s="22" t="n">
        <v>9840.299999999999</v>
      </c>
      <c r="H140" s="22" t="n">
        <v>141</v>
      </c>
      <c r="I140" s="14">
        <f>F140/E140</f>
        <v/>
      </c>
      <c r="J140" s="14" t="n">
        <v>14.04</v>
      </c>
      <c r="K140" s="14">
        <f>I140/(10*(1/SQRT(H140)-1/SQRT(G140)))</f>
        <v/>
      </c>
      <c r="L140" s="15">
        <f>K140/J140</f>
        <v/>
      </c>
      <c r="M140" s="22" t="n">
        <v>34.4</v>
      </c>
      <c r="N140" s="22" t="n">
        <v>72.5</v>
      </c>
      <c r="O140" s="14" t="n">
        <v>0.522</v>
      </c>
      <c r="P140" s="12">
        <f>IF(L140&gt;1.40, "INEFFICIENT (Eta&gt;1.4)", IF(L140&lt;1.10, "OVERGRIND / LOW Wi", "OPTIMAL (1.10-1.35)"))</f>
        <v/>
      </c>
    </row>
    <row r="141">
      <c r="A141" s="17" t="inlineStr">
        <is>
          <t>SFT-GR-2140</t>
        </is>
      </c>
      <c r="B141" s="40" t="n">
        <v>45338</v>
      </c>
      <c r="C141" s="17" t="inlineStr">
        <is>
          <t>Shift_B</t>
        </is>
      </c>
      <c r="D141" s="17" t="inlineStr">
        <is>
          <t>Standard Skarn-Magnetite</t>
        </is>
      </c>
      <c r="E141" s="23" t="n">
        <v>249.6</v>
      </c>
      <c r="F141" s="23" t="n">
        <v>3090.8</v>
      </c>
      <c r="G141" s="23" t="n">
        <v>9393</v>
      </c>
      <c r="H141" s="23" t="n">
        <v>153.9</v>
      </c>
      <c r="I141" s="19">
        <f>F141/E141</f>
        <v/>
      </c>
      <c r="J141" s="19" t="n">
        <v>14.33</v>
      </c>
      <c r="K141" s="19">
        <f>I141/(10*(1/SQRT(H141)-1/SQRT(G141)))</f>
        <v/>
      </c>
      <c r="L141" s="20">
        <f>K141/J141</f>
        <v/>
      </c>
      <c r="M141" s="23" t="n">
        <v>34.4</v>
      </c>
      <c r="N141" s="23" t="n">
        <v>72</v>
      </c>
      <c r="O141" s="19" t="n">
        <v>0.482</v>
      </c>
      <c r="P141" s="17">
        <f>IF(L141&gt;1.40, "INEFFICIENT (Eta&gt;1.4)", IF(L141&lt;1.10, "OVERGRIND / LOW Wi", "OPTIMAL (1.10-1.35)"))</f>
        <v/>
      </c>
    </row>
    <row r="142">
      <c r="A142" s="12" t="inlineStr">
        <is>
          <t>SFT-GR-2141</t>
        </is>
      </c>
      <c r="B142" s="39" t="n">
        <v>45338</v>
      </c>
      <c r="C142" s="12" t="inlineStr">
        <is>
          <t>Shift_C</t>
        </is>
      </c>
      <c r="D142" s="12" t="inlineStr">
        <is>
          <t>Standard Skarn-Magnetite</t>
        </is>
      </c>
      <c r="E142" s="22" t="n">
        <v>236.4</v>
      </c>
      <c r="F142" s="22" t="n">
        <v>3070.1</v>
      </c>
      <c r="G142" s="22" t="n">
        <v>9823.4</v>
      </c>
      <c r="H142" s="22" t="n">
        <v>145.2</v>
      </c>
      <c r="I142" s="14">
        <f>F142/E142</f>
        <v/>
      </c>
      <c r="J142" s="14" t="n">
        <v>13.39</v>
      </c>
      <c r="K142" s="14">
        <f>I142/(10*(1/SQRT(H142)-1/SQRT(G142)))</f>
        <v/>
      </c>
      <c r="L142" s="15">
        <f>K142/J142</f>
        <v/>
      </c>
      <c r="M142" s="22" t="n">
        <v>36.6</v>
      </c>
      <c r="N142" s="22" t="n">
        <v>73</v>
      </c>
      <c r="O142" s="14" t="n">
        <v>0.491</v>
      </c>
      <c r="P142" s="12">
        <f>IF(L142&gt;1.40, "INEFFICIENT (Eta&gt;1.4)", IF(L142&lt;1.10, "OVERGRIND / LOW Wi", "OPTIMAL (1.10-1.35)"))</f>
        <v/>
      </c>
    </row>
    <row r="143">
      <c r="A143" s="17" t="inlineStr">
        <is>
          <t>SFT-GR-2142</t>
        </is>
      </c>
      <c r="B143" s="40" t="n">
        <v>45339</v>
      </c>
      <c r="C143" s="17" t="inlineStr">
        <is>
          <t>Shift_A</t>
        </is>
      </c>
      <c r="D143" s="17" t="inlineStr">
        <is>
          <t>Hard Siliceous / Martite</t>
        </is>
      </c>
      <c r="E143" s="23" t="n">
        <v>229.2</v>
      </c>
      <c r="F143" s="23" t="n">
        <v>3251.2</v>
      </c>
      <c r="G143" s="23" t="n">
        <v>9613.299999999999</v>
      </c>
      <c r="H143" s="23" t="n">
        <v>159</v>
      </c>
      <c r="I143" s="19">
        <f>F143/E143</f>
        <v/>
      </c>
      <c r="J143" s="19" t="n">
        <v>16.1</v>
      </c>
      <c r="K143" s="19">
        <f>I143/(10*(1/SQRT(H143)-1/SQRT(G143)))</f>
        <v/>
      </c>
      <c r="L143" s="20">
        <f>K143/J143</f>
        <v/>
      </c>
      <c r="M143" s="23" t="n">
        <v>31</v>
      </c>
      <c r="N143" s="23" t="n">
        <v>72.59999999999999</v>
      </c>
      <c r="O143" s="19" t="n">
        <v>0.701</v>
      </c>
      <c r="P143" s="17">
        <f>IF(L143&gt;1.40, "INEFFICIENT (Eta&gt;1.4)", IF(L143&lt;1.10, "OVERGRIND / LOW Wi", "OPTIMAL (1.10-1.35)"))</f>
        <v/>
      </c>
    </row>
    <row r="144">
      <c r="A144" s="12" t="inlineStr">
        <is>
          <t>SFT-GR-2143</t>
        </is>
      </c>
      <c r="B144" s="39" t="n">
        <v>45339</v>
      </c>
      <c r="C144" s="12" t="inlineStr">
        <is>
          <t>Shift_B</t>
        </is>
      </c>
      <c r="D144" s="12" t="inlineStr">
        <is>
          <t>Standard Skarn-Magnetite</t>
        </is>
      </c>
      <c r="E144" s="22" t="n">
        <v>240.7</v>
      </c>
      <c r="F144" s="22" t="n">
        <v>2968.6</v>
      </c>
      <c r="G144" s="22" t="n">
        <v>9343.6</v>
      </c>
      <c r="H144" s="22" t="n">
        <v>153.7</v>
      </c>
      <c r="I144" s="14">
        <f>F144/E144</f>
        <v/>
      </c>
      <c r="J144" s="14" t="n">
        <v>14.55</v>
      </c>
      <c r="K144" s="14">
        <f>I144/(10*(1/SQRT(H144)-1/SQRT(G144)))</f>
        <v/>
      </c>
      <c r="L144" s="15">
        <f>K144/J144</f>
        <v/>
      </c>
      <c r="M144" s="22" t="n">
        <v>33.3</v>
      </c>
      <c r="N144" s="22" t="n">
        <v>71.09999999999999</v>
      </c>
      <c r="O144" s="14" t="n">
        <v>0.491</v>
      </c>
      <c r="P144" s="12">
        <f>IF(L144&gt;1.40, "INEFFICIENT (Eta&gt;1.4)", IF(L144&lt;1.10, "OVERGRIND / LOW Wi", "OPTIMAL (1.10-1.35)"))</f>
        <v/>
      </c>
    </row>
    <row r="145">
      <c r="A145" s="17" t="inlineStr">
        <is>
          <t>SFT-GR-2144</t>
        </is>
      </c>
      <c r="B145" s="40" t="n">
        <v>45339</v>
      </c>
      <c r="C145" s="17" t="inlineStr">
        <is>
          <t>Shift_C</t>
        </is>
      </c>
      <c r="D145" s="17" t="inlineStr">
        <is>
          <t>Standard Skarn-Magnetite</t>
        </is>
      </c>
      <c r="E145" s="23" t="n">
        <v>262.8</v>
      </c>
      <c r="F145" s="23" t="n">
        <v>3133.9</v>
      </c>
      <c r="G145" s="23" t="n">
        <v>9256.299999999999</v>
      </c>
      <c r="H145" s="23" t="n">
        <v>147.8</v>
      </c>
      <c r="I145" s="19">
        <f>F145/E145</f>
        <v/>
      </c>
      <c r="J145" s="19" t="n">
        <v>14.84</v>
      </c>
      <c r="K145" s="19">
        <f>I145/(10*(1/SQRT(H145)-1/SQRT(G145)))</f>
        <v/>
      </c>
      <c r="L145" s="20">
        <f>K145/J145</f>
        <v/>
      </c>
      <c r="M145" s="23" t="n">
        <v>34.8</v>
      </c>
      <c r="N145" s="23" t="n">
        <v>72.3</v>
      </c>
      <c r="O145" s="19" t="n">
        <v>0.538</v>
      </c>
      <c r="P145" s="17">
        <f>IF(L145&gt;1.40, "INEFFICIENT (Eta&gt;1.4)", IF(L145&lt;1.10, "OVERGRIND / LOW Wi", "OPTIMAL (1.10-1.35)"))</f>
        <v/>
      </c>
    </row>
    <row r="146">
      <c r="A146" s="12" t="inlineStr">
        <is>
          <t>SFT-GR-2145</t>
        </is>
      </c>
      <c r="B146" s="39" t="n">
        <v>45340</v>
      </c>
      <c r="C146" s="12" t="inlineStr">
        <is>
          <t>Shift_A</t>
        </is>
      </c>
      <c r="D146" s="12" t="inlineStr">
        <is>
          <t>Standard Skarn-Magnetite</t>
        </is>
      </c>
      <c r="E146" s="22" t="n">
        <v>264.2</v>
      </c>
      <c r="F146" s="22" t="n">
        <v>3132.8</v>
      </c>
      <c r="G146" s="22" t="n">
        <v>9748.4</v>
      </c>
      <c r="H146" s="22" t="n">
        <v>146.7</v>
      </c>
      <c r="I146" s="14">
        <f>F146/E146</f>
        <v/>
      </c>
      <c r="J146" s="14" t="n">
        <v>14.25</v>
      </c>
      <c r="K146" s="14">
        <f>I146/(10*(1/SQRT(H146)-1/SQRT(G146)))</f>
        <v/>
      </c>
      <c r="L146" s="15">
        <f>K146/J146</f>
        <v/>
      </c>
      <c r="M146" s="22" t="n">
        <v>37.4</v>
      </c>
      <c r="N146" s="22" t="n">
        <v>71.7</v>
      </c>
      <c r="O146" s="14" t="n">
        <v>0.456</v>
      </c>
      <c r="P146" s="12">
        <f>IF(L146&gt;1.40, "INEFFICIENT (Eta&gt;1.4)", IF(L146&lt;1.10, "OVERGRIND / LOW Wi", "OPTIMAL (1.10-1.35)"))</f>
        <v/>
      </c>
    </row>
    <row r="147">
      <c r="A147" s="17" t="inlineStr">
        <is>
          <t>SFT-GR-2146</t>
        </is>
      </c>
      <c r="B147" s="40" t="n">
        <v>45340</v>
      </c>
      <c r="C147" s="17" t="inlineStr">
        <is>
          <t>Shift_B</t>
        </is>
      </c>
      <c r="D147" s="17" t="inlineStr">
        <is>
          <t>Standard Skarn-Magnetite</t>
        </is>
      </c>
      <c r="E147" s="23" t="n">
        <v>195</v>
      </c>
      <c r="F147" s="23" t="n">
        <v>3008</v>
      </c>
      <c r="G147" s="23" t="n">
        <v>9490.299999999999</v>
      </c>
      <c r="H147" s="23" t="n">
        <v>105</v>
      </c>
      <c r="I147" s="19">
        <f>F147/E147</f>
        <v/>
      </c>
      <c r="J147" s="19" t="n">
        <v>14.14</v>
      </c>
      <c r="K147" s="19">
        <f>I147/(10*(1/SQRT(H147)-1/SQRT(G147)))</f>
        <v/>
      </c>
      <c r="L147" s="20">
        <f>K147/J147</f>
        <v/>
      </c>
      <c r="M147" s="23" t="n">
        <v>35.1</v>
      </c>
      <c r="N147" s="23" t="n">
        <v>71.90000000000001</v>
      </c>
      <c r="O147" s="19" t="n">
        <v>0.85</v>
      </c>
      <c r="P147" s="17">
        <f>IF(L147&gt;1.40, "INEFFICIENT (Eta&gt;1.4)", IF(L147&lt;1.10, "OVERGRIND / LOW Wi", "OPTIMAL (1.10-1.35)"))</f>
        <v/>
      </c>
    </row>
    <row r="148">
      <c r="A148" s="12" t="inlineStr">
        <is>
          <t>SFT-GR-2147</t>
        </is>
      </c>
      <c r="B148" s="39" t="n">
        <v>45340</v>
      </c>
      <c r="C148" s="12" t="inlineStr">
        <is>
          <t>Shift_C</t>
        </is>
      </c>
      <c r="D148" s="12" t="inlineStr">
        <is>
          <t>Standard Skarn-Magnetite</t>
        </is>
      </c>
      <c r="E148" s="22" t="n">
        <v>267</v>
      </c>
      <c r="F148" s="22" t="n">
        <v>3129</v>
      </c>
      <c r="G148" s="22" t="n">
        <v>8746.700000000001</v>
      </c>
      <c r="H148" s="22" t="n">
        <v>147.8</v>
      </c>
      <c r="I148" s="14">
        <f>F148/E148</f>
        <v/>
      </c>
      <c r="J148" s="14" t="n">
        <v>14.34</v>
      </c>
      <c r="K148" s="14">
        <f>I148/(10*(1/SQRT(H148)-1/SQRT(G148)))</f>
        <v/>
      </c>
      <c r="L148" s="15">
        <f>K148/J148</f>
        <v/>
      </c>
      <c r="M148" s="22" t="n">
        <v>35</v>
      </c>
      <c r="N148" s="22" t="n">
        <v>72.7</v>
      </c>
      <c r="O148" s="14" t="n">
        <v>0.487</v>
      </c>
      <c r="P148" s="12">
        <f>IF(L148&gt;1.40, "INEFFICIENT (Eta&gt;1.4)", IF(L148&lt;1.10, "OVERGRIND / LOW Wi", "OPTIMAL (1.10-1.35)"))</f>
        <v/>
      </c>
    </row>
    <row r="149">
      <c r="A149" s="17" t="inlineStr">
        <is>
          <t>SFT-GR-2148</t>
        </is>
      </c>
      <c r="B149" s="40" t="n">
        <v>45341</v>
      </c>
      <c r="C149" s="17" t="inlineStr">
        <is>
          <t>Shift_A</t>
        </is>
      </c>
      <c r="D149" s="17" t="inlineStr">
        <is>
          <t>Standard Skarn-Magnetite</t>
        </is>
      </c>
      <c r="E149" s="23" t="n">
        <v>260.5</v>
      </c>
      <c r="F149" s="23" t="n">
        <v>3116</v>
      </c>
      <c r="G149" s="23" t="n">
        <v>9558.200000000001</v>
      </c>
      <c r="H149" s="23" t="n">
        <v>141.6</v>
      </c>
      <c r="I149" s="19">
        <f>F149/E149</f>
        <v/>
      </c>
      <c r="J149" s="19" t="n">
        <v>13.88</v>
      </c>
      <c r="K149" s="19">
        <f>I149/(10*(1/SQRT(H149)-1/SQRT(G149)))</f>
        <v/>
      </c>
      <c r="L149" s="20">
        <f>K149/J149</f>
        <v/>
      </c>
      <c r="M149" s="23" t="n">
        <v>35.3</v>
      </c>
      <c r="N149" s="23" t="n">
        <v>71.3</v>
      </c>
      <c r="O149" s="19" t="n">
        <v>0.454</v>
      </c>
      <c r="P149" s="17">
        <f>IF(L149&gt;1.40, "INEFFICIENT (Eta&gt;1.4)", IF(L149&lt;1.10, "OVERGRIND / LOW Wi", "OPTIMAL (1.10-1.35)"))</f>
        <v/>
      </c>
    </row>
    <row r="150">
      <c r="A150" s="12" t="inlineStr">
        <is>
          <t>SFT-GR-2149</t>
        </is>
      </c>
      <c r="B150" s="39" t="n">
        <v>45341</v>
      </c>
      <c r="C150" s="12" t="inlineStr">
        <is>
          <t>Shift_B</t>
        </is>
      </c>
      <c r="D150" s="12" t="inlineStr">
        <is>
          <t>Standard Skarn-Magnetite</t>
        </is>
      </c>
      <c r="E150" s="22" t="n">
        <v>235.3</v>
      </c>
      <c r="F150" s="22" t="n">
        <v>3022.2</v>
      </c>
      <c r="G150" s="22" t="n">
        <v>10058.8</v>
      </c>
      <c r="H150" s="22" t="n">
        <v>144.4</v>
      </c>
      <c r="I150" s="14">
        <f>F150/E150</f>
        <v/>
      </c>
      <c r="J150" s="14" t="n">
        <v>14.21</v>
      </c>
      <c r="K150" s="14">
        <f>I150/(10*(1/SQRT(H150)-1/SQRT(G150)))</f>
        <v/>
      </c>
      <c r="L150" s="15">
        <f>K150/J150</f>
        <v/>
      </c>
      <c r="M150" s="22" t="n">
        <v>35.2</v>
      </c>
      <c r="N150" s="22" t="n">
        <v>70.8</v>
      </c>
      <c r="O150" s="14" t="n">
        <v>0.484</v>
      </c>
      <c r="P150" s="12">
        <f>IF(L150&gt;1.40, "INEFFICIENT (Eta&gt;1.4)", IF(L150&lt;1.10, "OVERGRIND / LOW Wi", "OPTIMAL (1.10-1.35)"))</f>
        <v/>
      </c>
    </row>
    <row r="151">
      <c r="A151" s="17" t="inlineStr">
        <is>
          <t>SFT-GR-2150</t>
        </is>
      </c>
      <c r="B151" s="40" t="n">
        <v>45341</v>
      </c>
      <c r="C151" s="17" t="inlineStr">
        <is>
          <t>Shift_C</t>
        </is>
      </c>
      <c r="D151" s="17" t="inlineStr">
        <is>
          <t>Standard Skarn-Magnetite</t>
        </is>
      </c>
      <c r="E151" s="23" t="n">
        <v>246.8</v>
      </c>
      <c r="F151" s="23" t="n">
        <v>3153.4</v>
      </c>
      <c r="G151" s="23" t="n">
        <v>9681.200000000001</v>
      </c>
      <c r="H151" s="23" t="n">
        <v>159.5</v>
      </c>
      <c r="I151" s="19">
        <f>F151/E151</f>
        <v/>
      </c>
      <c r="J151" s="19" t="n">
        <v>14.5</v>
      </c>
      <c r="K151" s="19">
        <f>I151/(10*(1/SQRT(H151)-1/SQRT(G151)))</f>
        <v/>
      </c>
      <c r="L151" s="20">
        <f>K151/J151</f>
        <v/>
      </c>
      <c r="M151" s="23" t="n">
        <v>33.5</v>
      </c>
      <c r="N151" s="23" t="n">
        <v>73</v>
      </c>
      <c r="O151" s="19" t="n">
        <v>0.526</v>
      </c>
      <c r="P151" s="17">
        <f>IF(L151&gt;1.40, "INEFFICIENT (Eta&gt;1.4)", IF(L151&lt;1.10, "OVERGRIND / LOW Wi", "OPTIMAL (1.10-1.35)"))</f>
        <v/>
      </c>
    </row>
    <row r="152">
      <c r="A152" s="12" t="inlineStr">
        <is>
          <t>SFT-GR-2151</t>
        </is>
      </c>
      <c r="B152" s="39" t="n">
        <v>45342</v>
      </c>
      <c r="C152" s="12" t="inlineStr">
        <is>
          <t>Shift_A</t>
        </is>
      </c>
      <c r="D152" s="12" t="inlineStr">
        <is>
          <t>Soft / Weathered Goethite</t>
        </is>
      </c>
      <c r="E152" s="22" t="n">
        <v>272.1</v>
      </c>
      <c r="F152" s="22" t="n">
        <v>2933.4</v>
      </c>
      <c r="G152" s="22" t="n">
        <v>8357.799999999999</v>
      </c>
      <c r="H152" s="22" t="n">
        <v>136.1</v>
      </c>
      <c r="I152" s="14">
        <f>F152/E152</f>
        <v/>
      </c>
      <c r="J152" s="14" t="n">
        <v>11.76</v>
      </c>
      <c r="K152" s="14">
        <f>I152/(10*(1/SQRT(H152)-1/SQRT(G152)))</f>
        <v/>
      </c>
      <c r="L152" s="15">
        <f>K152/J152</f>
        <v/>
      </c>
      <c r="M152" s="22" t="n">
        <v>35.7</v>
      </c>
      <c r="N152" s="22" t="n">
        <v>70.5</v>
      </c>
      <c r="O152" s="14" t="n">
        <v>0.415</v>
      </c>
      <c r="P152" s="12">
        <f>IF(L152&gt;1.40, "INEFFICIENT (Eta&gt;1.4)", IF(L152&lt;1.10, "OVERGRIND / LOW Wi", "OPTIMAL (1.10-1.35)"))</f>
        <v/>
      </c>
    </row>
    <row r="153">
      <c r="A153" s="17" t="inlineStr">
        <is>
          <t>SFT-GR-2152</t>
        </is>
      </c>
      <c r="B153" s="40" t="n">
        <v>45342</v>
      </c>
      <c r="C153" s="17" t="inlineStr">
        <is>
          <t>Shift_B</t>
        </is>
      </c>
      <c r="D153" s="17" t="inlineStr">
        <is>
          <t>Hard Siliceous / Martite</t>
        </is>
      </c>
      <c r="E153" s="23" t="n">
        <v>217.1</v>
      </c>
      <c r="F153" s="23" t="n">
        <v>3168.8</v>
      </c>
      <c r="G153" s="23" t="n">
        <v>10932.8</v>
      </c>
      <c r="H153" s="23" t="n">
        <v>147.9</v>
      </c>
      <c r="I153" s="19">
        <f>F153/E153</f>
        <v/>
      </c>
      <c r="J153" s="19" t="n">
        <v>16.89</v>
      </c>
      <c r="K153" s="19">
        <f>I153/(10*(1/SQRT(H153)-1/SQRT(G153)))</f>
        <v/>
      </c>
      <c r="L153" s="20">
        <f>K153/J153</f>
        <v/>
      </c>
      <c r="M153" s="23" t="n">
        <v>33.5</v>
      </c>
      <c r="N153" s="23" t="n">
        <v>73.5</v>
      </c>
      <c r="O153" s="19" t="n">
        <v>0.626</v>
      </c>
      <c r="P153" s="17">
        <f>IF(L153&gt;1.40, "INEFFICIENT (Eta&gt;1.4)", IF(L153&lt;1.10, "OVERGRIND / LOW Wi", "OPTIMAL (1.10-1.35)"))</f>
        <v/>
      </c>
    </row>
    <row r="154">
      <c r="A154" s="12" t="inlineStr">
        <is>
          <t>SFT-GR-2153</t>
        </is>
      </c>
      <c r="B154" s="39" t="n">
        <v>45342</v>
      </c>
      <c r="C154" s="12" t="inlineStr">
        <is>
          <t>Shift_C</t>
        </is>
      </c>
      <c r="D154" s="12" t="inlineStr">
        <is>
          <t>Soft / Weathered Goethite</t>
        </is>
      </c>
      <c r="E154" s="22" t="n">
        <v>269.4</v>
      </c>
      <c r="F154" s="22" t="n">
        <v>2995.6</v>
      </c>
      <c r="G154" s="22" t="n">
        <v>8569</v>
      </c>
      <c r="H154" s="22" t="n">
        <v>137.6</v>
      </c>
      <c r="I154" s="14">
        <f>F154/E154</f>
        <v/>
      </c>
      <c r="J154" s="14" t="n">
        <v>11.9</v>
      </c>
      <c r="K154" s="14">
        <f>I154/(10*(1/SQRT(H154)-1/SQRT(G154)))</f>
        <v/>
      </c>
      <c r="L154" s="15">
        <f>K154/J154</f>
        <v/>
      </c>
      <c r="M154" s="22" t="n">
        <v>36.3</v>
      </c>
      <c r="N154" s="22" t="n">
        <v>70.8</v>
      </c>
      <c r="O154" s="14" t="n">
        <v>0.355</v>
      </c>
      <c r="P154" s="12">
        <f>IF(L154&gt;1.40, "INEFFICIENT (Eta&gt;1.4)", IF(L154&lt;1.10, "OVERGRIND / LOW Wi", "OPTIMAL (1.10-1.35)"))</f>
        <v/>
      </c>
    </row>
    <row r="155">
      <c r="A155" s="17" t="inlineStr">
        <is>
          <t>SFT-GR-2154</t>
        </is>
      </c>
      <c r="B155" s="40" t="n">
        <v>45343</v>
      </c>
      <c r="C155" s="17" t="inlineStr">
        <is>
          <t>Shift_A</t>
        </is>
      </c>
      <c r="D155" s="17" t="inlineStr">
        <is>
          <t>Hard Siliceous / Martite</t>
        </is>
      </c>
      <c r="E155" s="23" t="n">
        <v>228.5</v>
      </c>
      <c r="F155" s="23" t="n">
        <v>3120.9</v>
      </c>
      <c r="G155" s="23" t="n">
        <v>10518.8</v>
      </c>
      <c r="H155" s="23" t="n">
        <v>167.4</v>
      </c>
      <c r="I155" s="19">
        <f>F155/E155</f>
        <v/>
      </c>
      <c r="J155" s="19" t="n">
        <v>15.81</v>
      </c>
      <c r="K155" s="19">
        <f>I155/(10*(1/SQRT(H155)-1/SQRT(G155)))</f>
        <v/>
      </c>
      <c r="L155" s="20">
        <f>K155/J155</f>
        <v/>
      </c>
      <c r="M155" s="23" t="n">
        <v>32.9</v>
      </c>
      <c r="N155" s="23" t="n">
        <v>72.7</v>
      </c>
      <c r="O155" s="19" t="n">
        <v>0.658</v>
      </c>
      <c r="P155" s="17">
        <f>IF(L155&gt;1.40, "INEFFICIENT (Eta&gt;1.4)", IF(L155&lt;1.10, "OVERGRIND / LOW Wi", "OPTIMAL (1.10-1.35)"))</f>
        <v/>
      </c>
    </row>
    <row r="156">
      <c r="A156" s="12" t="inlineStr">
        <is>
          <t>SFT-GR-2155</t>
        </is>
      </c>
      <c r="B156" s="39" t="n">
        <v>45343</v>
      </c>
      <c r="C156" s="12" t="inlineStr">
        <is>
          <t>Shift_B</t>
        </is>
      </c>
      <c r="D156" s="12" t="inlineStr">
        <is>
          <t>Standard Skarn-Magnetite</t>
        </is>
      </c>
      <c r="E156" s="22" t="n">
        <v>244.9</v>
      </c>
      <c r="F156" s="22" t="n">
        <v>3105.5</v>
      </c>
      <c r="G156" s="22" t="n">
        <v>9522.700000000001</v>
      </c>
      <c r="H156" s="22" t="n">
        <v>154.7</v>
      </c>
      <c r="I156" s="14">
        <f>F156/E156</f>
        <v/>
      </c>
      <c r="J156" s="14" t="n">
        <v>13.67</v>
      </c>
      <c r="K156" s="14">
        <f>I156/(10*(1/SQRT(H156)-1/SQRT(G156)))</f>
        <v/>
      </c>
      <c r="L156" s="15">
        <f>K156/J156</f>
        <v/>
      </c>
      <c r="M156" s="22" t="n">
        <v>34.3</v>
      </c>
      <c r="N156" s="22" t="n">
        <v>70.8</v>
      </c>
      <c r="O156" s="14" t="n">
        <v>0.434</v>
      </c>
      <c r="P156" s="12">
        <f>IF(L156&gt;1.40, "INEFFICIENT (Eta&gt;1.4)", IF(L156&lt;1.10, "OVERGRIND / LOW Wi", "OPTIMAL (1.10-1.35)"))</f>
        <v/>
      </c>
    </row>
    <row r="157">
      <c r="A157" s="17" t="inlineStr">
        <is>
          <t>SFT-GR-2156</t>
        </is>
      </c>
      <c r="B157" s="40" t="n">
        <v>45343</v>
      </c>
      <c r="C157" s="17" t="inlineStr">
        <is>
          <t>Shift_C</t>
        </is>
      </c>
      <c r="D157" s="17" t="inlineStr">
        <is>
          <t>Standard Skarn-Magnetite</t>
        </is>
      </c>
      <c r="E157" s="23" t="n">
        <v>249.7</v>
      </c>
      <c r="F157" s="23" t="n">
        <v>3059.4</v>
      </c>
      <c r="G157" s="23" t="n">
        <v>9165.799999999999</v>
      </c>
      <c r="H157" s="23" t="n">
        <v>149.3</v>
      </c>
      <c r="I157" s="19">
        <f>F157/E157</f>
        <v/>
      </c>
      <c r="J157" s="19" t="n">
        <v>13.6</v>
      </c>
      <c r="K157" s="19">
        <f>I157/(10*(1/SQRT(H157)-1/SQRT(G157)))</f>
        <v/>
      </c>
      <c r="L157" s="20">
        <f>K157/J157</f>
        <v/>
      </c>
      <c r="M157" s="23" t="n">
        <v>35.2</v>
      </c>
      <c r="N157" s="23" t="n">
        <v>72.59999999999999</v>
      </c>
      <c r="O157" s="19" t="n">
        <v>0.463</v>
      </c>
      <c r="P157" s="17">
        <f>IF(L157&gt;1.40, "INEFFICIENT (Eta&gt;1.4)", IF(L157&lt;1.10, "OVERGRIND / LOW Wi", "OPTIMAL (1.10-1.35)"))</f>
        <v/>
      </c>
    </row>
    <row r="158">
      <c r="A158" s="12" t="inlineStr">
        <is>
          <t>SFT-GR-2157</t>
        </is>
      </c>
      <c r="B158" s="39" t="n">
        <v>45344</v>
      </c>
      <c r="C158" s="12" t="inlineStr">
        <is>
          <t>Shift_A</t>
        </is>
      </c>
      <c r="D158" s="12" t="inlineStr">
        <is>
          <t>Soft / Weathered Goethite</t>
        </is>
      </c>
      <c r="E158" s="22" t="n">
        <v>278.4</v>
      </c>
      <c r="F158" s="22" t="n">
        <v>2969.9</v>
      </c>
      <c r="G158" s="22" t="n">
        <v>8249.6</v>
      </c>
      <c r="H158" s="22" t="n">
        <v>133.5</v>
      </c>
      <c r="I158" s="14">
        <f>F158/E158</f>
        <v/>
      </c>
      <c r="J158" s="14" t="n">
        <v>11.27</v>
      </c>
      <c r="K158" s="14">
        <f>I158/(10*(1/SQRT(H158)-1/SQRT(G158)))</f>
        <v/>
      </c>
      <c r="L158" s="15">
        <f>K158/J158</f>
        <v/>
      </c>
      <c r="M158" s="22" t="n">
        <v>37</v>
      </c>
      <c r="N158" s="22" t="n">
        <v>72.09999999999999</v>
      </c>
      <c r="O158" s="14" t="n">
        <v>0.38</v>
      </c>
      <c r="P158" s="12">
        <f>IF(L158&gt;1.40, "INEFFICIENT (Eta&gt;1.4)", IF(L158&lt;1.10, "OVERGRIND / LOW Wi", "OPTIMAL (1.10-1.35)"))</f>
        <v/>
      </c>
    </row>
    <row r="159">
      <c r="A159" s="17" t="inlineStr">
        <is>
          <t>SFT-GR-2158</t>
        </is>
      </c>
      <c r="B159" s="40" t="n">
        <v>45344</v>
      </c>
      <c r="C159" s="17" t="inlineStr">
        <is>
          <t>Shift_B</t>
        </is>
      </c>
      <c r="D159" s="17" t="inlineStr">
        <is>
          <t>Standard Skarn-Magnetite</t>
        </is>
      </c>
      <c r="E159" s="23" t="n">
        <v>244.2</v>
      </c>
      <c r="F159" s="23" t="n">
        <v>3118.7</v>
      </c>
      <c r="G159" s="23" t="n">
        <v>9593.700000000001</v>
      </c>
      <c r="H159" s="23" t="n">
        <v>154</v>
      </c>
      <c r="I159" s="19">
        <f>F159/E159</f>
        <v/>
      </c>
      <c r="J159" s="19" t="n">
        <v>13.86</v>
      </c>
      <c r="K159" s="19">
        <f>I159/(10*(1/SQRT(H159)-1/SQRT(G159)))</f>
        <v/>
      </c>
      <c r="L159" s="20">
        <f>K159/J159</f>
        <v/>
      </c>
      <c r="M159" s="23" t="n">
        <v>33.7</v>
      </c>
      <c r="N159" s="23" t="n">
        <v>72.59999999999999</v>
      </c>
      <c r="O159" s="19" t="n">
        <v>0.504</v>
      </c>
      <c r="P159" s="17">
        <f>IF(L159&gt;1.40, "INEFFICIENT (Eta&gt;1.4)", IF(L159&lt;1.10, "OVERGRIND / LOW Wi", "OPTIMAL (1.10-1.35)"))</f>
        <v/>
      </c>
    </row>
    <row r="160">
      <c r="A160" s="12" t="inlineStr">
        <is>
          <t>SFT-GR-2159</t>
        </is>
      </c>
      <c r="B160" s="39" t="n">
        <v>45344</v>
      </c>
      <c r="C160" s="12" t="inlineStr">
        <is>
          <t>Shift_C</t>
        </is>
      </c>
      <c r="D160" s="12" t="inlineStr">
        <is>
          <t>Soft / Weathered Goethite</t>
        </is>
      </c>
      <c r="E160" s="22" t="n">
        <v>271.6</v>
      </c>
      <c r="F160" s="22" t="n">
        <v>2974.1</v>
      </c>
      <c r="G160" s="22" t="n">
        <v>7947.3</v>
      </c>
      <c r="H160" s="22" t="n">
        <v>141.4</v>
      </c>
      <c r="I160" s="14">
        <f>F160/E160</f>
        <v/>
      </c>
      <c r="J160" s="14" t="n">
        <v>11.83</v>
      </c>
      <c r="K160" s="14">
        <f>I160/(10*(1/SQRT(H160)-1/SQRT(G160)))</f>
        <v/>
      </c>
      <c r="L160" s="15">
        <f>K160/J160</f>
        <v/>
      </c>
      <c r="M160" s="22" t="n">
        <v>36.9</v>
      </c>
      <c r="N160" s="22" t="n">
        <v>70.90000000000001</v>
      </c>
      <c r="O160" s="14" t="n">
        <v>0.369</v>
      </c>
      <c r="P160" s="12">
        <f>IF(L160&gt;1.40, "INEFFICIENT (Eta&gt;1.4)", IF(L160&lt;1.10, "OVERGRIND / LOW Wi", "OPTIMAL (1.10-1.35)"))</f>
        <v/>
      </c>
    </row>
    <row r="161">
      <c r="A161" s="17" t="inlineStr">
        <is>
          <t>SFT-GR-2160</t>
        </is>
      </c>
      <c r="B161" s="40" t="n">
        <v>45345</v>
      </c>
      <c r="C161" s="17" t="inlineStr">
        <is>
          <t>Shift_A</t>
        </is>
      </c>
      <c r="D161" s="17" t="inlineStr">
        <is>
          <t>Standard Skarn-Magnetite</t>
        </is>
      </c>
      <c r="E161" s="23" t="n">
        <v>248.8</v>
      </c>
      <c r="F161" s="23" t="n">
        <v>3159.6</v>
      </c>
      <c r="G161" s="23" t="n">
        <v>9474.9</v>
      </c>
      <c r="H161" s="23" t="n">
        <v>142.4</v>
      </c>
      <c r="I161" s="19">
        <f>F161/E161</f>
        <v/>
      </c>
      <c r="J161" s="19" t="n">
        <v>14.03</v>
      </c>
      <c r="K161" s="19">
        <f>I161/(10*(1/SQRT(H161)-1/SQRT(G161)))</f>
        <v/>
      </c>
      <c r="L161" s="20">
        <f>K161/J161</f>
        <v/>
      </c>
      <c r="M161" s="23" t="n">
        <v>34.6</v>
      </c>
      <c r="N161" s="23" t="n">
        <v>72.09999999999999</v>
      </c>
      <c r="O161" s="19" t="n">
        <v>0.529</v>
      </c>
      <c r="P161" s="17">
        <f>IF(L161&gt;1.40, "INEFFICIENT (Eta&gt;1.4)", IF(L161&lt;1.10, "OVERGRIND / LOW Wi", "OPTIMAL (1.10-1.35)"))</f>
        <v/>
      </c>
    </row>
    <row r="162">
      <c r="A162" s="12" t="inlineStr">
        <is>
          <t>SFT-GR-2161</t>
        </is>
      </c>
      <c r="B162" s="39" t="n">
        <v>45345</v>
      </c>
      <c r="C162" s="12" t="inlineStr">
        <is>
          <t>Shift_B</t>
        </is>
      </c>
      <c r="D162" s="12" t="inlineStr">
        <is>
          <t>Standard Skarn-Magnetite</t>
        </is>
      </c>
      <c r="E162" s="22" t="n">
        <v>264.5</v>
      </c>
      <c r="F162" s="22" t="n">
        <v>3057</v>
      </c>
      <c r="G162" s="22" t="n">
        <v>10188.4</v>
      </c>
      <c r="H162" s="22" t="n">
        <v>149.9</v>
      </c>
      <c r="I162" s="14">
        <f>F162/E162</f>
        <v/>
      </c>
      <c r="J162" s="14" t="n">
        <v>14.04</v>
      </c>
      <c r="K162" s="14">
        <f>I162/(10*(1/SQRT(H162)-1/SQRT(G162)))</f>
        <v/>
      </c>
      <c r="L162" s="15">
        <f>K162/J162</f>
        <v/>
      </c>
      <c r="M162" s="22" t="n">
        <v>35.4</v>
      </c>
      <c r="N162" s="22" t="n">
        <v>71.5</v>
      </c>
      <c r="O162" s="14" t="n">
        <v>0.493</v>
      </c>
      <c r="P162" s="12">
        <f>IF(L162&gt;1.40, "INEFFICIENT (Eta&gt;1.4)", IF(L162&lt;1.10, "OVERGRIND / LOW Wi", "OPTIMAL (1.10-1.35)"))</f>
        <v/>
      </c>
    </row>
    <row r="163">
      <c r="A163" s="17" t="inlineStr">
        <is>
          <t>SFT-GR-2162</t>
        </is>
      </c>
      <c r="B163" s="40" t="n">
        <v>45345</v>
      </c>
      <c r="C163" s="17" t="inlineStr">
        <is>
          <t>Shift_C</t>
        </is>
      </c>
      <c r="D163" s="17" t="inlineStr">
        <is>
          <t>Hard Siliceous / Martite</t>
        </is>
      </c>
      <c r="E163" s="23" t="n">
        <v>235.6</v>
      </c>
      <c r="F163" s="23" t="n">
        <v>3234.9</v>
      </c>
      <c r="G163" s="23" t="n">
        <v>10374</v>
      </c>
      <c r="H163" s="23" t="n">
        <v>152.6</v>
      </c>
      <c r="I163" s="19">
        <f>F163/E163</f>
        <v/>
      </c>
      <c r="J163" s="19" t="n">
        <v>17.11</v>
      </c>
      <c r="K163" s="19">
        <f>I163/(10*(1/SQRT(H163)-1/SQRT(G163)))</f>
        <v/>
      </c>
      <c r="L163" s="20">
        <f>K163/J163</f>
        <v/>
      </c>
      <c r="M163" s="23" t="n">
        <v>34.4</v>
      </c>
      <c r="N163" s="23" t="n">
        <v>74.3</v>
      </c>
      <c r="O163" s="19" t="n">
        <v>0.609</v>
      </c>
      <c r="P163" s="17">
        <f>IF(L163&gt;1.40, "INEFFICIENT (Eta&gt;1.4)", IF(L163&lt;1.10, "OVERGRIND / LOW Wi", "OPTIMAL (1.10-1.35)"))</f>
        <v/>
      </c>
    </row>
    <row r="164">
      <c r="A164" s="12" t="inlineStr">
        <is>
          <t>SFT-GR-2163</t>
        </is>
      </c>
      <c r="B164" s="39" t="n">
        <v>45346</v>
      </c>
      <c r="C164" s="12" t="inlineStr">
        <is>
          <t>Shift_A</t>
        </is>
      </c>
      <c r="D164" s="12" t="inlineStr">
        <is>
          <t>Standard Skarn-Magnetite</t>
        </is>
      </c>
      <c r="E164" s="22" t="n">
        <v>251.5</v>
      </c>
      <c r="F164" s="22" t="n">
        <v>3030.7</v>
      </c>
      <c r="G164" s="22" t="n">
        <v>9738</v>
      </c>
      <c r="H164" s="22" t="n">
        <v>153</v>
      </c>
      <c r="I164" s="14">
        <f>F164/E164</f>
        <v/>
      </c>
      <c r="J164" s="14" t="n">
        <v>14.03</v>
      </c>
      <c r="K164" s="14">
        <f>I164/(10*(1/SQRT(H164)-1/SQRT(G164)))</f>
        <v/>
      </c>
      <c r="L164" s="15">
        <f>K164/J164</f>
        <v/>
      </c>
      <c r="M164" s="22" t="n">
        <v>34.3</v>
      </c>
      <c r="N164" s="22" t="n">
        <v>71.2</v>
      </c>
      <c r="O164" s="14" t="n">
        <v>0.468</v>
      </c>
      <c r="P164" s="12">
        <f>IF(L164&gt;1.40, "INEFFICIENT (Eta&gt;1.4)", IF(L164&lt;1.10, "OVERGRIND / LOW Wi", "OPTIMAL (1.10-1.35)"))</f>
        <v/>
      </c>
    </row>
    <row r="165">
      <c r="A165" s="17" t="inlineStr">
        <is>
          <t>SFT-GR-2164</t>
        </is>
      </c>
      <c r="B165" s="40" t="n">
        <v>45346</v>
      </c>
      <c r="C165" s="17" t="inlineStr">
        <is>
          <t>Shift_B</t>
        </is>
      </c>
      <c r="D165" s="17" t="inlineStr">
        <is>
          <t>Standard Skarn-Magnetite</t>
        </is>
      </c>
      <c r="E165" s="23" t="n">
        <v>250.3</v>
      </c>
      <c r="F165" s="23" t="n">
        <v>3028.2</v>
      </c>
      <c r="G165" s="23" t="n">
        <v>9105.299999999999</v>
      </c>
      <c r="H165" s="23" t="n">
        <v>149.4</v>
      </c>
      <c r="I165" s="19">
        <f>F165/E165</f>
        <v/>
      </c>
      <c r="J165" s="19" t="n">
        <v>14.17</v>
      </c>
      <c r="K165" s="19">
        <f>I165/(10*(1/SQRT(H165)-1/SQRT(G165)))</f>
        <v/>
      </c>
      <c r="L165" s="20">
        <f>K165/J165</f>
        <v/>
      </c>
      <c r="M165" s="23" t="n">
        <v>32.9</v>
      </c>
      <c r="N165" s="23" t="n">
        <v>72.8</v>
      </c>
      <c r="O165" s="19" t="n">
        <v>0.474</v>
      </c>
      <c r="P165" s="17">
        <f>IF(L165&gt;1.40, "INEFFICIENT (Eta&gt;1.4)", IF(L165&lt;1.10, "OVERGRIND / LOW Wi", "OPTIMAL (1.10-1.35)"))</f>
        <v/>
      </c>
    </row>
    <row r="166">
      <c r="A166" s="12" t="inlineStr">
        <is>
          <t>SFT-GR-2165</t>
        </is>
      </c>
      <c r="B166" s="39" t="n">
        <v>45346</v>
      </c>
      <c r="C166" s="12" t="inlineStr">
        <is>
          <t>Shift_C</t>
        </is>
      </c>
      <c r="D166" s="12" t="inlineStr">
        <is>
          <t>Standard Skarn-Magnetite</t>
        </is>
      </c>
      <c r="E166" s="22" t="n">
        <v>250.2</v>
      </c>
      <c r="F166" s="22" t="n">
        <v>3110.7</v>
      </c>
      <c r="G166" s="22" t="n">
        <v>9331.5</v>
      </c>
      <c r="H166" s="22" t="n">
        <v>140.2</v>
      </c>
      <c r="I166" s="14">
        <f>F166/E166</f>
        <v/>
      </c>
      <c r="J166" s="14" t="n">
        <v>13.54</v>
      </c>
      <c r="K166" s="14">
        <f>I166/(10*(1/SQRT(H166)-1/SQRT(G166)))</f>
        <v/>
      </c>
      <c r="L166" s="15">
        <f>K166/J166</f>
        <v/>
      </c>
      <c r="M166" s="22" t="n">
        <v>36.7</v>
      </c>
      <c r="N166" s="22" t="n">
        <v>73.09999999999999</v>
      </c>
      <c r="O166" s="14" t="n">
        <v>0.465</v>
      </c>
      <c r="P166" s="12">
        <f>IF(L166&gt;1.40, "INEFFICIENT (Eta&gt;1.4)", IF(L166&lt;1.10, "OVERGRIND / LOW Wi", "OPTIMAL (1.10-1.35)"))</f>
        <v/>
      </c>
    </row>
    <row r="167">
      <c r="A167" s="17" t="inlineStr">
        <is>
          <t>SFT-GR-2166</t>
        </is>
      </c>
      <c r="B167" s="40" t="n">
        <v>45347</v>
      </c>
      <c r="C167" s="17" t="inlineStr">
        <is>
          <t>Shift_A</t>
        </is>
      </c>
      <c r="D167" s="17" t="inlineStr">
        <is>
          <t>Standard Skarn-Magnetite</t>
        </is>
      </c>
      <c r="E167" s="23" t="n">
        <v>258.6</v>
      </c>
      <c r="F167" s="23" t="n">
        <v>3040</v>
      </c>
      <c r="G167" s="23" t="n">
        <v>8805.200000000001</v>
      </c>
      <c r="H167" s="23" t="n">
        <v>152.3</v>
      </c>
      <c r="I167" s="19">
        <f>F167/E167</f>
        <v/>
      </c>
      <c r="J167" s="19" t="n">
        <v>14.2</v>
      </c>
      <c r="K167" s="19">
        <f>I167/(10*(1/SQRT(H167)-1/SQRT(G167)))</f>
        <v/>
      </c>
      <c r="L167" s="20">
        <f>K167/J167</f>
        <v/>
      </c>
      <c r="M167" s="23" t="n">
        <v>34.2</v>
      </c>
      <c r="N167" s="23" t="n">
        <v>70.40000000000001</v>
      </c>
      <c r="O167" s="19" t="n">
        <v>0.486</v>
      </c>
      <c r="P167" s="17">
        <f>IF(L167&gt;1.40, "INEFFICIENT (Eta&gt;1.4)", IF(L167&lt;1.10, "OVERGRIND / LOW Wi", "OPTIMAL (1.10-1.35)"))</f>
        <v/>
      </c>
    </row>
    <row r="168">
      <c r="A168" s="12" t="inlineStr">
        <is>
          <t>SFT-GR-2167</t>
        </is>
      </c>
      <c r="B168" s="39" t="n">
        <v>45347</v>
      </c>
      <c r="C168" s="12" t="inlineStr">
        <is>
          <t>Shift_B</t>
        </is>
      </c>
      <c r="D168" s="12" t="inlineStr">
        <is>
          <t>Standard Skarn-Magnetite</t>
        </is>
      </c>
      <c r="E168" s="22" t="n">
        <v>250.2</v>
      </c>
      <c r="F168" s="22" t="n">
        <v>3088.6</v>
      </c>
      <c r="G168" s="22" t="n">
        <v>9685.9</v>
      </c>
      <c r="H168" s="22" t="n">
        <v>141</v>
      </c>
      <c r="I168" s="14">
        <f>F168/E168</f>
        <v/>
      </c>
      <c r="J168" s="14" t="n">
        <v>14</v>
      </c>
      <c r="K168" s="14">
        <f>I168/(10*(1/SQRT(H168)-1/SQRT(G168)))</f>
        <v/>
      </c>
      <c r="L168" s="15">
        <f>K168/J168</f>
        <v/>
      </c>
      <c r="M168" s="22" t="n">
        <v>34.6</v>
      </c>
      <c r="N168" s="22" t="n">
        <v>72.40000000000001</v>
      </c>
      <c r="O168" s="14" t="n">
        <v>0.507</v>
      </c>
      <c r="P168" s="12">
        <f>IF(L168&gt;1.40, "INEFFICIENT (Eta&gt;1.4)", IF(L168&lt;1.10, "OVERGRIND / LOW Wi", "OPTIMAL (1.10-1.35)"))</f>
        <v/>
      </c>
    </row>
    <row r="169">
      <c r="A169" s="17" t="inlineStr">
        <is>
          <t>SFT-GR-2168</t>
        </is>
      </c>
      <c r="B169" s="40" t="n">
        <v>45347</v>
      </c>
      <c r="C169" s="17" t="inlineStr">
        <is>
          <t>Shift_C</t>
        </is>
      </c>
      <c r="D169" s="17" t="inlineStr">
        <is>
          <t>Standard Skarn-Magnetite</t>
        </is>
      </c>
      <c r="E169" s="23" t="n">
        <v>251.3</v>
      </c>
      <c r="F169" s="23" t="n">
        <v>3050.2</v>
      </c>
      <c r="G169" s="23" t="n">
        <v>9445.5</v>
      </c>
      <c r="H169" s="23" t="n">
        <v>137.1</v>
      </c>
      <c r="I169" s="19">
        <f>F169/E169</f>
        <v/>
      </c>
      <c r="J169" s="19" t="n">
        <v>14.13</v>
      </c>
      <c r="K169" s="19">
        <f>I169/(10*(1/SQRT(H169)-1/SQRT(G169)))</f>
        <v/>
      </c>
      <c r="L169" s="20">
        <f>K169/J169</f>
        <v/>
      </c>
      <c r="M169" s="23" t="n">
        <v>35.2</v>
      </c>
      <c r="N169" s="23" t="n">
        <v>73.09999999999999</v>
      </c>
      <c r="O169" s="19" t="n">
        <v>0.421</v>
      </c>
      <c r="P169" s="17">
        <f>IF(L169&gt;1.40, "INEFFICIENT (Eta&gt;1.4)", IF(L169&lt;1.10, "OVERGRIND / LOW Wi", "OPTIMAL (1.10-1.35)"))</f>
        <v/>
      </c>
    </row>
    <row r="170">
      <c r="A170" s="12" t="inlineStr">
        <is>
          <t>SFT-GR-2169</t>
        </is>
      </c>
      <c r="B170" s="39" t="n">
        <v>45348</v>
      </c>
      <c r="C170" s="12" t="inlineStr">
        <is>
          <t>Shift_A</t>
        </is>
      </c>
      <c r="D170" s="12" t="inlineStr">
        <is>
          <t>Hard Siliceous / Martite</t>
        </is>
      </c>
      <c r="E170" s="22" t="n">
        <v>220.5</v>
      </c>
      <c r="F170" s="22" t="n">
        <v>3177</v>
      </c>
      <c r="G170" s="22" t="n">
        <v>10937.3</v>
      </c>
      <c r="H170" s="22" t="n">
        <v>167.4</v>
      </c>
      <c r="I170" s="14">
        <f>F170/E170</f>
        <v/>
      </c>
      <c r="J170" s="14" t="n">
        <v>16.45</v>
      </c>
      <c r="K170" s="14">
        <f>I170/(10*(1/SQRT(H170)-1/SQRT(G170)))</f>
        <v/>
      </c>
      <c r="L170" s="15">
        <f>K170/J170</f>
        <v/>
      </c>
      <c r="M170" s="22" t="n">
        <v>33.3</v>
      </c>
      <c r="N170" s="22" t="n">
        <v>74.5</v>
      </c>
      <c r="O170" s="14" t="n">
        <v>0.621</v>
      </c>
      <c r="P170" s="12">
        <f>IF(L170&gt;1.40, "INEFFICIENT (Eta&gt;1.4)", IF(L170&lt;1.10, "OVERGRIND / LOW Wi", "OPTIMAL (1.10-1.35)"))</f>
        <v/>
      </c>
    </row>
    <row r="171">
      <c r="A171" s="17" t="inlineStr">
        <is>
          <t>SFT-GR-2170</t>
        </is>
      </c>
      <c r="B171" s="40" t="n">
        <v>45348</v>
      </c>
      <c r="C171" s="17" t="inlineStr">
        <is>
          <t>Shift_B</t>
        </is>
      </c>
      <c r="D171" s="17" t="inlineStr">
        <is>
          <t>Soft / Weathered Goethite</t>
        </is>
      </c>
      <c r="E171" s="23" t="n">
        <v>274.8</v>
      </c>
      <c r="F171" s="23" t="n">
        <v>2969.3</v>
      </c>
      <c r="G171" s="23" t="n">
        <v>8196.1</v>
      </c>
      <c r="H171" s="23" t="n">
        <v>134.7</v>
      </c>
      <c r="I171" s="19">
        <f>F171/E171</f>
        <v/>
      </c>
      <c r="J171" s="19" t="n">
        <v>11.61</v>
      </c>
      <c r="K171" s="19">
        <f>I171/(10*(1/SQRT(H171)-1/SQRT(G171)))</f>
        <v/>
      </c>
      <c r="L171" s="20">
        <f>K171/J171</f>
        <v/>
      </c>
      <c r="M171" s="23" t="n">
        <v>36.7</v>
      </c>
      <c r="N171" s="23" t="n">
        <v>70.7</v>
      </c>
      <c r="O171" s="19" t="n">
        <v>0.381</v>
      </c>
      <c r="P171" s="17">
        <f>IF(L171&gt;1.40, "INEFFICIENT (Eta&gt;1.4)", IF(L171&lt;1.10, "OVERGRIND / LOW Wi", "OPTIMAL (1.10-1.35)"))</f>
        <v/>
      </c>
    </row>
    <row r="172">
      <c r="A172" s="12" t="inlineStr">
        <is>
          <t>SFT-GR-2171</t>
        </is>
      </c>
      <c r="B172" s="39" t="n">
        <v>45348</v>
      </c>
      <c r="C172" s="12" t="inlineStr">
        <is>
          <t>Shift_C</t>
        </is>
      </c>
      <c r="D172" s="12" t="inlineStr">
        <is>
          <t>Soft / Weathered Goethite</t>
        </is>
      </c>
      <c r="E172" s="22" t="n">
        <v>270.5</v>
      </c>
      <c r="F172" s="22" t="n">
        <v>2864.7</v>
      </c>
      <c r="G172" s="22" t="n">
        <v>8019</v>
      </c>
      <c r="H172" s="22" t="n">
        <v>135.9</v>
      </c>
      <c r="I172" s="14">
        <f>F172/E172</f>
        <v/>
      </c>
      <c r="J172" s="14" t="n">
        <v>11.62</v>
      </c>
      <c r="K172" s="14">
        <f>I172/(10*(1/SQRT(H172)-1/SQRT(G172)))</f>
        <v/>
      </c>
      <c r="L172" s="15">
        <f>K172/J172</f>
        <v/>
      </c>
      <c r="M172" s="22" t="n">
        <v>36.8</v>
      </c>
      <c r="N172" s="22" t="n">
        <v>69.8</v>
      </c>
      <c r="O172" s="14" t="n">
        <v>0.356</v>
      </c>
      <c r="P172" s="12">
        <f>IF(L172&gt;1.40, "INEFFICIENT (Eta&gt;1.4)", IF(L172&lt;1.10, "OVERGRIND / LOW Wi", "OPTIMAL (1.10-1.35)"))</f>
        <v/>
      </c>
    </row>
    <row r="173">
      <c r="A173" s="17" t="inlineStr">
        <is>
          <t>SFT-GR-2172</t>
        </is>
      </c>
      <c r="B173" s="40" t="n">
        <v>45349</v>
      </c>
      <c r="C173" s="17" t="inlineStr">
        <is>
          <t>Shift_A</t>
        </is>
      </c>
      <c r="D173" s="17" t="inlineStr">
        <is>
          <t>Standard Skarn-Magnetite</t>
        </is>
      </c>
      <c r="E173" s="23" t="n">
        <v>253.8</v>
      </c>
      <c r="F173" s="23" t="n">
        <v>3008.4</v>
      </c>
      <c r="G173" s="23" t="n">
        <v>9131.5</v>
      </c>
      <c r="H173" s="23" t="n">
        <v>137.6</v>
      </c>
      <c r="I173" s="19">
        <f>F173/E173</f>
        <v/>
      </c>
      <c r="J173" s="19" t="n">
        <v>13.29</v>
      </c>
      <c r="K173" s="19">
        <f>I173/(10*(1/SQRT(H173)-1/SQRT(G173)))</f>
        <v/>
      </c>
      <c r="L173" s="20">
        <f>K173/J173</f>
        <v/>
      </c>
      <c r="M173" s="23" t="n">
        <v>34.9</v>
      </c>
      <c r="N173" s="23" t="n">
        <v>71.90000000000001</v>
      </c>
      <c r="O173" s="19" t="n">
        <v>0.467</v>
      </c>
      <c r="P173" s="17">
        <f>IF(L173&gt;1.40, "INEFFICIENT (Eta&gt;1.4)", IF(L173&lt;1.10, "OVERGRIND / LOW Wi", "OPTIMAL (1.10-1.35)"))</f>
        <v/>
      </c>
    </row>
    <row r="174">
      <c r="A174" s="12" t="inlineStr">
        <is>
          <t>SFT-GR-2173</t>
        </is>
      </c>
      <c r="B174" s="39" t="n">
        <v>45349</v>
      </c>
      <c r="C174" s="12" t="inlineStr">
        <is>
          <t>Shift_B</t>
        </is>
      </c>
      <c r="D174" s="12" t="inlineStr">
        <is>
          <t>Standard Skarn-Magnetite</t>
        </is>
      </c>
      <c r="E174" s="22" t="n">
        <v>246.1</v>
      </c>
      <c r="F174" s="22" t="n">
        <v>3080.8</v>
      </c>
      <c r="G174" s="22" t="n">
        <v>9586.6</v>
      </c>
      <c r="H174" s="22" t="n">
        <v>143.5</v>
      </c>
      <c r="I174" s="14">
        <f>F174/E174</f>
        <v/>
      </c>
      <c r="J174" s="14" t="n">
        <v>13.63</v>
      </c>
      <c r="K174" s="14">
        <f>I174/(10*(1/SQRT(H174)-1/SQRT(G174)))</f>
        <v/>
      </c>
      <c r="L174" s="15">
        <f>K174/J174</f>
        <v/>
      </c>
      <c r="M174" s="22" t="n">
        <v>35.3</v>
      </c>
      <c r="N174" s="22" t="n">
        <v>72.40000000000001</v>
      </c>
      <c r="O174" s="14" t="n">
        <v>0.461</v>
      </c>
      <c r="P174" s="12">
        <f>IF(L174&gt;1.40, "INEFFICIENT (Eta&gt;1.4)", IF(L174&lt;1.10, "OVERGRIND / LOW Wi", "OPTIMAL (1.10-1.35)"))</f>
        <v/>
      </c>
    </row>
    <row r="175">
      <c r="A175" s="17" t="inlineStr">
        <is>
          <t>SFT-GR-2174</t>
        </is>
      </c>
      <c r="B175" s="40" t="n">
        <v>45349</v>
      </c>
      <c r="C175" s="17" t="inlineStr">
        <is>
          <t>Shift_C</t>
        </is>
      </c>
      <c r="D175" s="17" t="inlineStr">
        <is>
          <t>Standard Skarn-Magnetite</t>
        </is>
      </c>
      <c r="E175" s="23" t="n">
        <v>246.7</v>
      </c>
      <c r="F175" s="23" t="n">
        <v>3112.9</v>
      </c>
      <c r="G175" s="23" t="n">
        <v>9427.799999999999</v>
      </c>
      <c r="H175" s="23" t="n">
        <v>148</v>
      </c>
      <c r="I175" s="19">
        <f>F175/E175</f>
        <v/>
      </c>
      <c r="J175" s="19" t="n">
        <v>14.23</v>
      </c>
      <c r="K175" s="19">
        <f>I175/(10*(1/SQRT(H175)-1/SQRT(G175)))</f>
        <v/>
      </c>
      <c r="L175" s="20">
        <f>K175/J175</f>
        <v/>
      </c>
      <c r="M175" s="23" t="n">
        <v>34.7</v>
      </c>
      <c r="N175" s="23" t="n">
        <v>71.90000000000001</v>
      </c>
      <c r="O175" s="19" t="n">
        <v>0.488</v>
      </c>
      <c r="P175" s="17">
        <f>IF(L175&gt;1.40, "INEFFICIENT (Eta&gt;1.4)", IF(L175&lt;1.10, "OVERGRIND / LOW Wi", "OPTIMAL (1.10-1.35)"))</f>
        <v/>
      </c>
    </row>
    <row r="176">
      <c r="A176" s="12" t="inlineStr">
        <is>
          <t>SFT-GR-2175</t>
        </is>
      </c>
      <c r="B176" s="39" t="n">
        <v>45350</v>
      </c>
      <c r="C176" s="12" t="inlineStr">
        <is>
          <t>Shift_A</t>
        </is>
      </c>
      <c r="D176" s="12" t="inlineStr">
        <is>
          <t>Standard Skarn-Magnetite</t>
        </is>
      </c>
      <c r="E176" s="22" t="n">
        <v>238.3</v>
      </c>
      <c r="F176" s="22" t="n">
        <v>3146.6</v>
      </c>
      <c r="G176" s="22" t="n">
        <v>8830</v>
      </c>
      <c r="H176" s="22" t="n">
        <v>150.4</v>
      </c>
      <c r="I176" s="14">
        <f>F176/E176</f>
        <v/>
      </c>
      <c r="J176" s="14" t="n">
        <v>13.66</v>
      </c>
      <c r="K176" s="14">
        <f>I176/(10*(1/SQRT(H176)-1/SQRT(G176)))</f>
        <v/>
      </c>
      <c r="L176" s="15">
        <f>K176/J176</f>
        <v/>
      </c>
      <c r="M176" s="22" t="n">
        <v>34.1</v>
      </c>
      <c r="N176" s="22" t="n">
        <v>71.59999999999999</v>
      </c>
      <c r="O176" s="14" t="n">
        <v>0.444</v>
      </c>
      <c r="P176" s="12">
        <f>IF(L176&gt;1.40, "INEFFICIENT (Eta&gt;1.4)", IF(L176&lt;1.10, "OVERGRIND / LOW Wi", "OPTIMAL (1.10-1.35)"))</f>
        <v/>
      </c>
    </row>
    <row r="177">
      <c r="A177" s="17" t="inlineStr">
        <is>
          <t>SFT-GR-2176</t>
        </is>
      </c>
      <c r="B177" s="40" t="n">
        <v>45350</v>
      </c>
      <c r="C177" s="17" t="inlineStr">
        <is>
          <t>Shift_B</t>
        </is>
      </c>
      <c r="D177" s="17" t="inlineStr">
        <is>
          <t>Standard Skarn-Magnetite</t>
        </is>
      </c>
      <c r="E177" s="23" t="n">
        <v>256.5</v>
      </c>
      <c r="F177" s="23" t="n">
        <v>3050.3</v>
      </c>
      <c r="G177" s="23" t="n">
        <v>9626.1</v>
      </c>
      <c r="H177" s="23" t="n">
        <v>143.7</v>
      </c>
      <c r="I177" s="19">
        <f>F177/E177</f>
        <v/>
      </c>
      <c r="J177" s="19" t="n">
        <v>14.26</v>
      </c>
      <c r="K177" s="19">
        <f>I177/(10*(1/SQRT(H177)-1/SQRT(G177)))</f>
        <v/>
      </c>
      <c r="L177" s="20">
        <f>K177/J177</f>
        <v/>
      </c>
      <c r="M177" s="23" t="n">
        <v>35.1</v>
      </c>
      <c r="N177" s="23" t="n">
        <v>71</v>
      </c>
      <c r="O177" s="19" t="n">
        <v>0.408</v>
      </c>
      <c r="P177" s="17">
        <f>IF(L177&gt;1.40, "INEFFICIENT (Eta&gt;1.4)", IF(L177&lt;1.10, "OVERGRIND / LOW Wi", "OPTIMAL (1.10-1.35)"))</f>
        <v/>
      </c>
    </row>
    <row r="178">
      <c r="A178" s="12" t="inlineStr">
        <is>
          <t>SFT-GR-2177</t>
        </is>
      </c>
      <c r="B178" s="39" t="n">
        <v>45350</v>
      </c>
      <c r="C178" s="12" t="inlineStr">
        <is>
          <t>Shift_C</t>
        </is>
      </c>
      <c r="D178" s="12" t="inlineStr">
        <is>
          <t>Standard Skarn-Magnetite</t>
        </is>
      </c>
      <c r="E178" s="22" t="n">
        <v>253.3</v>
      </c>
      <c r="F178" s="22" t="n">
        <v>3127.9</v>
      </c>
      <c r="G178" s="22" t="n">
        <v>9459.799999999999</v>
      </c>
      <c r="H178" s="22" t="n">
        <v>150</v>
      </c>
      <c r="I178" s="14">
        <f>F178/E178</f>
        <v/>
      </c>
      <c r="J178" s="14" t="n">
        <v>13.95</v>
      </c>
      <c r="K178" s="14">
        <f>I178/(10*(1/SQRT(H178)-1/SQRT(G178)))</f>
        <v/>
      </c>
      <c r="L178" s="15">
        <f>K178/J178</f>
        <v/>
      </c>
      <c r="M178" s="22" t="n">
        <v>34.5</v>
      </c>
      <c r="N178" s="22" t="n">
        <v>73.09999999999999</v>
      </c>
      <c r="O178" s="14" t="n">
        <v>0.457</v>
      </c>
      <c r="P178" s="12">
        <f>IF(L178&gt;1.40, "INEFFICIENT (Eta&gt;1.4)", IF(L178&lt;1.10, "OVERGRIND / LOW Wi", "OPTIMAL (1.10-1.35)"))</f>
        <v/>
      </c>
    </row>
    <row r="179">
      <c r="A179" s="17" t="inlineStr">
        <is>
          <t>SFT-GR-2178</t>
        </is>
      </c>
      <c r="B179" s="40" t="n">
        <v>45351</v>
      </c>
      <c r="C179" s="17" t="inlineStr">
        <is>
          <t>Shift_A</t>
        </is>
      </c>
      <c r="D179" s="17" t="inlineStr">
        <is>
          <t>Standard Skarn-Magnetite</t>
        </is>
      </c>
      <c r="E179" s="23" t="n">
        <v>253.9</v>
      </c>
      <c r="F179" s="23" t="n">
        <v>3159.1</v>
      </c>
      <c r="G179" s="23" t="n">
        <v>9644.299999999999</v>
      </c>
      <c r="H179" s="23" t="n">
        <v>147</v>
      </c>
      <c r="I179" s="19">
        <f>F179/E179</f>
        <v/>
      </c>
      <c r="J179" s="19" t="n">
        <v>13.53</v>
      </c>
      <c r="K179" s="19">
        <f>I179/(10*(1/SQRT(H179)-1/SQRT(G179)))</f>
        <v/>
      </c>
      <c r="L179" s="20">
        <f>K179/J179</f>
        <v/>
      </c>
      <c r="M179" s="23" t="n">
        <v>34.5</v>
      </c>
      <c r="N179" s="23" t="n">
        <v>72.8</v>
      </c>
      <c r="O179" s="19" t="n">
        <v>0.423</v>
      </c>
      <c r="P179" s="17">
        <f>IF(L179&gt;1.40, "INEFFICIENT (Eta&gt;1.4)", IF(L179&lt;1.10, "OVERGRIND / LOW Wi", "OPTIMAL (1.10-1.35)"))</f>
        <v/>
      </c>
    </row>
    <row r="180">
      <c r="A180" s="12" t="inlineStr">
        <is>
          <t>SFT-GR-2179</t>
        </is>
      </c>
      <c r="B180" s="39" t="n">
        <v>45351</v>
      </c>
      <c r="C180" s="12" t="inlineStr">
        <is>
          <t>Shift_B</t>
        </is>
      </c>
      <c r="D180" s="12" t="inlineStr">
        <is>
          <t>Standard Skarn-Magnetite</t>
        </is>
      </c>
      <c r="E180" s="22" t="n">
        <v>241.3</v>
      </c>
      <c r="F180" s="22" t="n">
        <v>3077.8</v>
      </c>
      <c r="G180" s="22" t="n">
        <v>9854.5</v>
      </c>
      <c r="H180" s="22" t="n">
        <v>146.6</v>
      </c>
      <c r="I180" s="14">
        <f>F180/E180</f>
        <v/>
      </c>
      <c r="J180" s="14" t="n">
        <v>14.12</v>
      </c>
      <c r="K180" s="14">
        <f>I180/(10*(1/SQRT(H180)-1/SQRT(G180)))</f>
        <v/>
      </c>
      <c r="L180" s="15">
        <f>K180/J180</f>
        <v/>
      </c>
      <c r="M180" s="22" t="n">
        <v>34.7</v>
      </c>
      <c r="N180" s="22" t="n">
        <v>71.40000000000001</v>
      </c>
      <c r="O180" s="14" t="n">
        <v>0.439</v>
      </c>
      <c r="P180" s="12">
        <f>IF(L180&gt;1.40, "INEFFICIENT (Eta&gt;1.4)", IF(L180&lt;1.10, "OVERGRIND / LOW Wi", "OPTIMAL (1.10-1.35)"))</f>
        <v/>
      </c>
    </row>
    <row r="181">
      <c r="A181" s="17" t="inlineStr">
        <is>
          <t>SFT-GR-2180</t>
        </is>
      </c>
      <c r="B181" s="40" t="n">
        <v>45351</v>
      </c>
      <c r="C181" s="17" t="inlineStr">
        <is>
          <t>Shift_C</t>
        </is>
      </c>
      <c r="D181" s="17" t="inlineStr">
        <is>
          <t>Standard Skarn-Magnetite</t>
        </is>
      </c>
      <c r="E181" s="23" t="n">
        <v>256.6</v>
      </c>
      <c r="F181" s="23" t="n">
        <v>3154.5</v>
      </c>
      <c r="G181" s="23" t="n">
        <v>9361.1</v>
      </c>
      <c r="H181" s="23" t="n">
        <v>147.3</v>
      </c>
      <c r="I181" s="19">
        <f>F181/E181</f>
        <v/>
      </c>
      <c r="J181" s="19" t="n">
        <v>14.64</v>
      </c>
      <c r="K181" s="19">
        <f>I181/(10*(1/SQRT(H181)-1/SQRT(G181)))</f>
        <v/>
      </c>
      <c r="L181" s="20">
        <f>K181/J181</f>
        <v/>
      </c>
      <c r="M181" s="23" t="n">
        <v>33.6</v>
      </c>
      <c r="N181" s="23" t="n">
        <v>71.59999999999999</v>
      </c>
      <c r="O181" s="19" t="n">
        <v>0.5</v>
      </c>
      <c r="P181" s="17">
        <f>IF(L181&gt;1.40, "INEFFICIENT (Eta&gt;1.4)", IF(L181&lt;1.10, "OVERGRIND / LOW Wi", "OPTIMAL (1.10-1.35)"))</f>
        <v/>
      </c>
    </row>
  </sheetData>
  <autoFilter ref="A1:P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25" customWidth="1" min="4" max="4"/>
    <col width="28" customWidth="1" min="5" max="5"/>
    <col width="22" customWidth="1" min="6" max="6"/>
    <col width="29" customWidth="1" min="7" max="7"/>
    <col width="30" customWidth="1" min="8" max="8"/>
    <col width="26" customWidth="1" min="9" max="9"/>
    <col width="26" customWidth="1" min="10" max="10"/>
  </cols>
  <sheetData>
    <row r="1">
      <c r="A1" s="1" t="inlineStr">
        <is>
          <t>Hydrocyclone Sieve Sizing Analysis &amp; Tromp Partition Curve Calculations</t>
        </is>
      </c>
    </row>
    <row r="2">
      <c r="A2" s="2" t="inlineStr">
        <is>
          <t>Mass Balance Verification across Sieve Sizes, Corrected Tromp Recovery, d50c, Bypass (Rf) &amp; Imperfection (I)</t>
        </is>
      </c>
    </row>
    <row r="4">
      <c r="A4" s="3" t="inlineStr">
        <is>
          <t>Campaign 01: Baseline Optimal Operation (Benchmark Audit - Feed 250 tph, C = 190%)</t>
        </is>
      </c>
    </row>
    <row r="5">
      <c r="A5" s="11" t="inlineStr">
        <is>
          <t>Sieve_Mesh_um</t>
        </is>
      </c>
      <c r="B5" s="11" t="inlineStr">
        <is>
          <t>Sieve_Aperture_di_um</t>
        </is>
      </c>
      <c r="C5" s="11" t="inlineStr">
        <is>
          <t>Overflow_Cum_Pass_pct (oi)</t>
        </is>
      </c>
      <c r="D5" s="11" t="inlineStr">
        <is>
          <t>Underflow_Cum_Pass_pct (ui)</t>
        </is>
      </c>
      <c r="E5" s="11" t="inlineStr">
        <is>
          <t>CycloneFeed_Cum_Pass_pct (cfi)</t>
        </is>
      </c>
      <c r="F5" s="11" t="inlineStr">
        <is>
          <t>Calculated_CLR_Ci</t>
        </is>
      </c>
      <c r="G5" s="11" t="inlineStr">
        <is>
          <t>Overflow_Indiv_Ret_pct (Oi)</t>
        </is>
      </c>
      <c r="H5" s="11" t="inlineStr">
        <is>
          <t>Underflow_Indiv_Ret_pct (Ui)</t>
        </is>
      </c>
      <c r="I5" s="11" t="inlineStr">
        <is>
          <t>Actual_Partition_to_UF_pct (Ti)</t>
        </is>
      </c>
      <c r="J5" s="11" t="inlineStr">
        <is>
          <t>Corrected_Partition_Tci_pct</t>
        </is>
      </c>
    </row>
    <row r="6">
      <c r="A6" s="12" t="n">
        <v>600</v>
      </c>
      <c r="B6" s="22" t="n">
        <v>600</v>
      </c>
      <c r="C6" s="22" t="n">
        <v>100</v>
      </c>
      <c r="D6" s="22" t="n">
        <v>100</v>
      </c>
      <c r="E6" s="22" t="n">
        <v>100</v>
      </c>
      <c r="F6" s="22" t="inlineStr">
        <is>
          <t>N/A</t>
        </is>
      </c>
      <c r="G6" s="22" t="n">
        <v>0</v>
      </c>
      <c r="H6" s="22" t="n">
        <v>0</v>
      </c>
      <c r="I6" s="22" t="n">
        <v>100</v>
      </c>
      <c r="J6" s="22" t="n">
        <v>100</v>
      </c>
    </row>
    <row r="7">
      <c r="A7" s="12" t="n">
        <v>300</v>
      </c>
      <c r="B7" s="22" t="n">
        <v>450</v>
      </c>
      <c r="C7" s="22" t="n">
        <v>100</v>
      </c>
      <c r="D7" s="22" t="n">
        <v>62</v>
      </c>
      <c r="E7" s="22" t="n">
        <v>75.09999999999999</v>
      </c>
      <c r="F7" s="22">
        <f>(C7-E7)/(E7-D7)</f>
        <v/>
      </c>
      <c r="G7" s="22">
        <f>C6-C7</f>
        <v/>
      </c>
      <c r="H7" s="22">
        <f>D6-D7</f>
        <v/>
      </c>
      <c r="I7" s="22">
        <f>(H7*1.90)/(G7+H7*1.90)*100</f>
        <v/>
      </c>
      <c r="J7" s="22">
        <f>MAX(0, (I7-17.86)/(100-17.86)*100)</f>
        <v/>
      </c>
    </row>
    <row r="8">
      <c r="A8" s="12" t="n">
        <v>212</v>
      </c>
      <c r="B8" s="22" t="n">
        <v>256</v>
      </c>
      <c r="C8" s="22" t="n">
        <v>96</v>
      </c>
      <c r="D8" s="22" t="n">
        <v>40</v>
      </c>
      <c r="E8" s="22" t="n">
        <v>59.3</v>
      </c>
      <c r="F8" s="22">
        <f>(C8-E8)/(E8-D8)</f>
        <v/>
      </c>
      <c r="G8" s="22">
        <f>C7-C8</f>
        <v/>
      </c>
      <c r="H8" s="22">
        <f>D7-D8</f>
        <v/>
      </c>
      <c r="I8" s="22">
        <f>(H8*1.90)/(G8+H8*1.90)*100</f>
        <v/>
      </c>
      <c r="J8" s="22">
        <f>MAX(0, (I8-17.86)/(100-17.86)*100)</f>
        <v/>
      </c>
    </row>
    <row r="9">
      <c r="A9" s="12" t="n">
        <v>150</v>
      </c>
      <c r="B9" s="22" t="n">
        <v>181</v>
      </c>
      <c r="C9" s="22" t="n">
        <v>80</v>
      </c>
      <c r="D9" s="22" t="n">
        <v>24</v>
      </c>
      <c r="E9" s="22" t="n">
        <v>43.3</v>
      </c>
      <c r="F9" s="22">
        <f>(C9-E9)/(E9-D9)</f>
        <v/>
      </c>
      <c r="G9" s="22">
        <f>C8-C9</f>
        <v/>
      </c>
      <c r="H9" s="22">
        <f>D8-D9</f>
        <v/>
      </c>
      <c r="I9" s="22">
        <f>(H9*1.90)/(G9+H9*1.90)*100</f>
        <v/>
      </c>
      <c r="J9" s="22">
        <f>MAX(0, (I9-17.86)/(100-17.86)*100)</f>
        <v/>
      </c>
    </row>
    <row r="10">
      <c r="A10" s="12" t="n">
        <v>106</v>
      </c>
      <c r="B10" s="22" t="n">
        <v>128</v>
      </c>
      <c r="C10" s="22" t="n">
        <v>66</v>
      </c>
      <c r="D10" s="22" t="n">
        <v>16</v>
      </c>
      <c r="E10" s="22" t="n">
        <v>33.2</v>
      </c>
      <c r="F10" s="22">
        <f>(C10-E10)/(E10-D10)</f>
        <v/>
      </c>
      <c r="G10" s="22">
        <f>C9-C10</f>
        <v/>
      </c>
      <c r="H10" s="22">
        <f>D9-D10</f>
        <v/>
      </c>
      <c r="I10" s="22">
        <f>(H10*1.90)/(G10+H10*1.90)*100</f>
        <v/>
      </c>
      <c r="J10" s="22">
        <f>MAX(0, (I10-17.86)/(100-17.86)*100)</f>
        <v/>
      </c>
    </row>
    <row r="11">
      <c r="A11" s="12" t="n">
        <v>75</v>
      </c>
      <c r="B11" s="22" t="n">
        <v>90.5</v>
      </c>
      <c r="C11" s="22" t="n">
        <v>52</v>
      </c>
      <c r="D11" s="22" t="n">
        <v>11</v>
      </c>
      <c r="E11" s="22" t="n">
        <v>25.1</v>
      </c>
      <c r="F11" s="22">
        <f>(C11-E11)/(E11-D11)</f>
        <v/>
      </c>
      <c r="G11" s="22">
        <f>C10-C11</f>
        <v/>
      </c>
      <c r="H11" s="22">
        <f>D10-D11</f>
        <v/>
      </c>
      <c r="I11" s="22">
        <f>(H11*1.90)/(G11+H11*1.90)*100</f>
        <v/>
      </c>
      <c r="J11" s="22">
        <f>MAX(0, (I11-17.86)/(100-17.86)*100)</f>
        <v/>
      </c>
    </row>
    <row r="12">
      <c r="A12" s="12" t="n">
        <v>45</v>
      </c>
      <c r="B12" s="22" t="n">
        <v>60</v>
      </c>
      <c r="C12" s="22" t="n">
        <v>36</v>
      </c>
      <c r="D12" s="22" t="n">
        <v>7</v>
      </c>
      <c r="E12" s="22" t="n">
        <v>17</v>
      </c>
      <c r="F12" s="22">
        <f>(C12-E12)/(E12-D12)</f>
        <v/>
      </c>
      <c r="G12" s="22">
        <f>C11-C12</f>
        <v/>
      </c>
      <c r="H12" s="22">
        <f>D11-D12</f>
        <v/>
      </c>
      <c r="I12" s="22">
        <f>(H12*1.90)/(G12+H12*1.90)*100</f>
        <v/>
      </c>
      <c r="J12" s="22">
        <f>MAX(0, (I12-17.86)/(100-17.86)*100)</f>
        <v/>
      </c>
    </row>
    <row r="13">
      <c r="A13" s="12" t="n">
        <v>25</v>
      </c>
      <c r="B13" s="22" t="n">
        <v>35</v>
      </c>
      <c r="C13" s="22" t="n">
        <v>22</v>
      </c>
      <c r="D13" s="22" t="n">
        <v>4</v>
      </c>
      <c r="E13" s="22" t="n">
        <v>10.2</v>
      </c>
      <c r="F13" s="22">
        <f>(C13-E13)/(E13-D13)</f>
        <v/>
      </c>
      <c r="G13" s="22">
        <f>C12-C13</f>
        <v/>
      </c>
      <c r="H13" s="22">
        <f>D12-D13</f>
        <v/>
      </c>
      <c r="I13" s="22">
        <f>(H13*1.90)/(G13+H13*1.90)*100</f>
        <v/>
      </c>
      <c r="J13" s="22">
        <f>MAX(0, (I13-17.86)/(100-17.86)*100)</f>
        <v/>
      </c>
    </row>
    <row r="14">
      <c r="A14" s="12" t="n">
        <v>15</v>
      </c>
      <c r="B14" s="22" t="n">
        <v>20</v>
      </c>
      <c r="C14" s="22" t="n">
        <v>12</v>
      </c>
      <c r="D14" s="22" t="n">
        <v>2</v>
      </c>
      <c r="E14" s="22" t="n">
        <v>5.4</v>
      </c>
      <c r="F14" s="22">
        <f>(C14-E14)/(E14-D14)</f>
        <v/>
      </c>
      <c r="G14" s="22">
        <f>C13-C14</f>
        <v/>
      </c>
      <c r="H14" s="22">
        <f>D13-D14</f>
        <v/>
      </c>
      <c r="I14" s="22">
        <f>(H14*1.90)/(G14+H14*1.90)*100</f>
        <v/>
      </c>
      <c r="J14" s="22">
        <f>MAX(0, (I14-17.86)/(100-17.86)*100)</f>
        <v/>
      </c>
    </row>
    <row r="15">
      <c r="A15" s="12" t="inlineStr">
        <is>
          <t>Pan (&lt;15)</t>
        </is>
      </c>
      <c r="B15" s="22" t="n">
        <v>7.5</v>
      </c>
      <c r="C15" s="22" t="n">
        <v>0</v>
      </c>
      <c r="D15" s="22" t="n">
        <v>0</v>
      </c>
      <c r="E15" s="22" t="n">
        <v>0</v>
      </c>
      <c r="F15" s="22" t="inlineStr">
        <is>
          <t>N/A</t>
        </is>
      </c>
      <c r="G15" s="22">
        <f>C14-C15</f>
        <v/>
      </c>
      <c r="H15" s="22">
        <f>D14-D15</f>
        <v/>
      </c>
      <c r="I15" s="22">
        <f>(H15*1.90)/(G15+H15*1.90)*100</f>
        <v/>
      </c>
      <c r="J15" s="22">
        <f>MAX(0, (I15-17.86)/(100-17.86)*100)</f>
        <v/>
      </c>
    </row>
    <row r="17">
      <c r="A17" s="3" t="inlineStr">
        <is>
          <t>Campaign 1 Performance Summary:</t>
        </is>
      </c>
    </row>
    <row r="18">
      <c r="A18" s="24" t="inlineStr">
        <is>
          <t>Water Bypass Rf (%):</t>
        </is>
      </c>
      <c r="B18" s="3" t="n">
        <v>17.86</v>
      </c>
    </row>
    <row r="19">
      <c r="A19" s="24" t="inlineStr">
        <is>
          <t>d50c (μm), log-interpolated:</t>
        </is>
      </c>
      <c r="B19" s="41" t="n">
        <v>150.5101651139423</v>
      </c>
    </row>
    <row r="20">
      <c r="A20" s="24" t="inlineStr">
        <is>
          <t>d25c (μm), log-interpolated:</t>
        </is>
      </c>
      <c r="B20" s="42" t="n">
        <v>80.21168968053578</v>
      </c>
    </row>
    <row r="21">
      <c r="A21" s="24" t="inlineStr">
        <is>
          <t>d75c (μm), log-interpolated:</t>
        </is>
      </c>
      <c r="B21" s="42" t="n">
        <v>215.1514784582111</v>
      </c>
    </row>
    <row r="22">
      <c r="A22" s="24" t="inlineStr">
        <is>
          <t>Imperfection I = (d75c-d25c)/(2*d50c):</t>
        </is>
      </c>
      <c r="B22" s="25">
        <f>(B21-B20)/(2*B19)</f>
        <v/>
      </c>
    </row>
    <row r="23">
      <c r="A23" t="inlineStr">
        <is>
          <t>Method note:</t>
        </is>
      </c>
      <c r="B23" s="43" t="inlineStr">
        <is>
          <t>Corrected class partition = water-bypass corrected UF recovery; d25/d50/d75 use log-diameter interpolation across sieve classes.</t>
        </is>
      </c>
    </row>
    <row r="24">
      <c r="A24" t="inlineStr">
        <is>
          <t>Educational note:</t>
        </is>
      </c>
      <c r="B24" s="43" t="inlineStr">
        <is>
          <t>Campaign 01 is the chapter benchmark PSD; class-by-class Tromp values are derived from sieve retained fractions and CLR=1.90.</t>
        </is>
      </c>
    </row>
    <row r="25">
      <c r="A25" s="3" t="inlineStr">
        <is>
          <t>Campaign 02: High Density Overload / Pre-Roping (Feed Sol = 52%, Apex Overloaded)</t>
        </is>
      </c>
    </row>
    <row r="26">
      <c r="A26" s="26" t="inlineStr">
        <is>
          <t>Sieve_Mesh_um</t>
        </is>
      </c>
      <c r="B26" s="26" t="inlineStr">
        <is>
          <t>Sieve_Aperture_di_um</t>
        </is>
      </c>
      <c r="C26" s="26" t="inlineStr">
        <is>
          <t>Overflow_Cum_Pass_pct (oi)</t>
        </is>
      </c>
      <c r="D26" s="26" t="inlineStr">
        <is>
          <t>Underflow_Cum_Pass_pct (ui)</t>
        </is>
      </c>
      <c r="E26" s="26" t="inlineStr">
        <is>
          <t>CycloneFeed_Cum_Pass_pct (cfi)</t>
        </is>
      </c>
      <c r="F26" s="26" t="inlineStr">
        <is>
          <t>Calculated_CLR_Ci</t>
        </is>
      </c>
      <c r="G26" s="26" t="inlineStr">
        <is>
          <t>Overflow_Indiv_Ret_pct (Oi)</t>
        </is>
      </c>
      <c r="H26" s="26" t="inlineStr">
        <is>
          <t>Underflow_Indiv_Ret_pct (Ui)</t>
        </is>
      </c>
      <c r="I26" s="26" t="inlineStr">
        <is>
          <t>Actual_Partition_to_UF_pct (Ti)</t>
        </is>
      </c>
      <c r="J26" s="26" t="inlineStr">
        <is>
          <t>Corrected_Partition_Tci_pct</t>
        </is>
      </c>
    </row>
    <row r="27">
      <c r="A27" s="12" t="n">
        <v>600</v>
      </c>
      <c r="B27" s="22" t="n">
        <v>600</v>
      </c>
      <c r="C27" s="22" t="n">
        <v>100</v>
      </c>
      <c r="D27" s="22" t="n">
        <v>100</v>
      </c>
      <c r="E27" s="22" t="n">
        <v>100</v>
      </c>
      <c r="F27" s="22" t="inlineStr">
        <is>
          <t>N/A</t>
        </is>
      </c>
      <c r="G27" s="22" t="n">
        <v>0</v>
      </c>
      <c r="H27" s="22" t="n">
        <v>0</v>
      </c>
      <c r="I27" s="22" t="n">
        <v>100</v>
      </c>
      <c r="J27" s="22" t="n">
        <v>100</v>
      </c>
    </row>
    <row r="28">
      <c r="A28" s="12" t="n">
        <v>300</v>
      </c>
      <c r="B28" s="22" t="n">
        <v>450</v>
      </c>
      <c r="C28" s="22" t="n">
        <v>99.5</v>
      </c>
      <c r="D28" s="22" t="n">
        <v>78</v>
      </c>
      <c r="E28" s="22" t="n">
        <v>84.8</v>
      </c>
      <c r="F28" s="22">
        <f>(C28-E28)/(E28-D28)</f>
        <v/>
      </c>
      <c r="G28" s="22">
        <f>C27-C28</f>
        <v/>
      </c>
      <c r="H28" s="22">
        <f>D27-D28</f>
        <v/>
      </c>
      <c r="I28" s="22">
        <f>(H28*2.50)/(G28+H28*2.50)*100</f>
        <v/>
      </c>
      <c r="J28" s="22">
        <f>MAX(0, (I28-28.5)/(100-28.5)*100)</f>
        <v/>
      </c>
    </row>
    <row r="29">
      <c r="A29" s="12" t="n">
        <v>212</v>
      </c>
      <c r="B29" s="22" t="n">
        <v>256</v>
      </c>
      <c r="C29" s="22" t="n">
        <v>92</v>
      </c>
      <c r="D29" s="22" t="n">
        <v>58</v>
      </c>
      <c r="E29" s="22" t="n">
        <v>68.7</v>
      </c>
      <c r="F29" s="22">
        <f>(C29-E29)/(E29-D29)</f>
        <v/>
      </c>
      <c r="G29" s="22">
        <f>C28-C29</f>
        <v/>
      </c>
      <c r="H29" s="22">
        <f>D28-D29</f>
        <v/>
      </c>
      <c r="I29" s="22">
        <f>(H29*2.50)/(G29+H29*2.50)*100</f>
        <v/>
      </c>
      <c r="J29" s="22">
        <f>MAX(0, (I29-28.5)/(100-28.5)*100)</f>
        <v/>
      </c>
    </row>
    <row r="30">
      <c r="A30" s="12" t="n">
        <v>150</v>
      </c>
      <c r="B30" s="22" t="n">
        <v>181</v>
      </c>
      <c r="C30" s="22" t="n">
        <v>72</v>
      </c>
      <c r="D30" s="22" t="n">
        <v>42</v>
      </c>
      <c r="E30" s="22" t="n">
        <v>51.5</v>
      </c>
      <c r="F30" s="22">
        <f>(C30-E30)/(E30-D30)</f>
        <v/>
      </c>
      <c r="G30" s="22">
        <f>C29-C30</f>
        <v/>
      </c>
      <c r="H30" s="22">
        <f>D29-D30</f>
        <v/>
      </c>
      <c r="I30" s="22">
        <f>(H30*2.50)/(G30+H30*2.50)*100</f>
        <v/>
      </c>
      <c r="J30" s="22">
        <f>MAX(0, (I30-28.5)/(100-28.5)*100)</f>
        <v/>
      </c>
    </row>
    <row r="31">
      <c r="A31" s="12" t="n">
        <v>106</v>
      </c>
      <c r="B31" s="22" t="n">
        <v>128</v>
      </c>
      <c r="C31" s="22" t="n">
        <v>55</v>
      </c>
      <c r="D31" s="22" t="n">
        <v>30</v>
      </c>
      <c r="E31" s="22" t="n">
        <v>37.9</v>
      </c>
      <c r="F31" s="22">
        <f>(C31-E31)/(E31-D31)</f>
        <v/>
      </c>
      <c r="G31" s="22">
        <f>C30-C31</f>
        <v/>
      </c>
      <c r="H31" s="22">
        <f>D30-D31</f>
        <v/>
      </c>
      <c r="I31" s="22">
        <f>(H31*2.50)/(G31+H31*2.50)*100</f>
        <v/>
      </c>
      <c r="J31" s="22">
        <f>MAX(0, (I31-28.5)/(100-28.5)*100)</f>
        <v/>
      </c>
    </row>
    <row r="32">
      <c r="A32" s="12" t="n">
        <v>75</v>
      </c>
      <c r="B32" s="22" t="n">
        <v>90.5</v>
      </c>
      <c r="C32" s="22" t="n">
        <v>41</v>
      </c>
      <c r="D32" s="22" t="n">
        <v>22</v>
      </c>
      <c r="E32" s="22" t="n">
        <v>28</v>
      </c>
      <c r="F32" s="22">
        <f>(C32-E32)/(E32-D32)</f>
        <v/>
      </c>
      <c r="G32" s="22">
        <f>C31-C32</f>
        <v/>
      </c>
      <c r="H32" s="22">
        <f>D31-D32</f>
        <v/>
      </c>
      <c r="I32" s="22">
        <f>(H32*2.50)/(G32+H32*2.50)*100</f>
        <v/>
      </c>
      <c r="J32" s="22">
        <f>MAX(0, (I32-28.5)/(100-28.5)*100)</f>
        <v/>
      </c>
    </row>
    <row r="33">
      <c r="A33" s="12" t="n">
        <v>45</v>
      </c>
      <c r="B33" s="22" t="n">
        <v>60</v>
      </c>
      <c r="C33" s="22" t="n">
        <v>27</v>
      </c>
      <c r="D33" s="22" t="n">
        <v>14</v>
      </c>
      <c r="E33" s="22" t="n">
        <v>18.1</v>
      </c>
      <c r="F33" s="22">
        <f>(C33-E33)/(E33-D33)</f>
        <v/>
      </c>
      <c r="G33" s="22">
        <f>C32-C33</f>
        <v/>
      </c>
      <c r="H33" s="22">
        <f>D32-D33</f>
        <v/>
      </c>
      <c r="I33" s="22">
        <f>(H33*2.50)/(G33+H33*2.50)*100</f>
        <v/>
      </c>
      <c r="J33" s="22">
        <f>MAX(0, (I33-28.5)/(100-28.5)*100)</f>
        <v/>
      </c>
    </row>
    <row r="34">
      <c r="A34" s="12" t="n">
        <v>25</v>
      </c>
      <c r="B34" s="22" t="n">
        <v>35</v>
      </c>
      <c r="C34" s="22" t="n">
        <v>16</v>
      </c>
      <c r="D34" s="22" t="n">
        <v>9</v>
      </c>
      <c r="E34" s="22" t="n">
        <v>11.2</v>
      </c>
      <c r="F34" s="22">
        <f>(C34-E34)/(E34-D34)</f>
        <v/>
      </c>
      <c r="G34" s="22">
        <f>C33-C34</f>
        <v/>
      </c>
      <c r="H34" s="22">
        <f>D33-D34</f>
        <v/>
      </c>
      <c r="I34" s="22">
        <f>(H34*2.50)/(G34+H34*2.50)*100</f>
        <v/>
      </c>
      <c r="J34" s="22">
        <f>MAX(0, (I34-28.5)/(100-28.5)*100)</f>
        <v/>
      </c>
    </row>
    <row r="35">
      <c r="A35" s="12" t="n">
        <v>15</v>
      </c>
      <c r="B35" s="22" t="n">
        <v>20</v>
      </c>
      <c r="C35" s="22" t="n">
        <v>8</v>
      </c>
      <c r="D35" s="22" t="n">
        <v>5</v>
      </c>
      <c r="E35" s="22" t="n">
        <v>6</v>
      </c>
      <c r="F35" s="22">
        <f>(C35-E35)/(E35-D35)</f>
        <v/>
      </c>
      <c r="G35" s="22">
        <f>C34-C35</f>
        <v/>
      </c>
      <c r="H35" s="22">
        <f>D34-D35</f>
        <v/>
      </c>
      <c r="I35" s="22">
        <f>(H35*2.50)/(G35+H35*2.50)*100</f>
        <v/>
      </c>
      <c r="J35" s="22">
        <f>MAX(0, (I35-28.5)/(100-28.5)*100)</f>
        <v/>
      </c>
    </row>
    <row r="36">
      <c r="A36" s="12" t="inlineStr">
        <is>
          <t>Pan (&lt;15)</t>
        </is>
      </c>
      <c r="B36" s="22" t="n">
        <v>7.5</v>
      </c>
      <c r="C36" s="22" t="n">
        <v>0</v>
      </c>
      <c r="D36" s="22" t="n">
        <v>0</v>
      </c>
      <c r="E36" s="22" t="n">
        <v>0</v>
      </c>
      <c r="F36" s="22" t="inlineStr">
        <is>
          <t>N/A</t>
        </is>
      </c>
      <c r="G36" s="22">
        <f>C35-C36</f>
        <v/>
      </c>
      <c r="H36" s="22">
        <f>D35-D36</f>
        <v/>
      </c>
      <c r="I36" s="22">
        <f>(H36*2.50)/(G36+H36*2.50)*100</f>
        <v/>
      </c>
      <c r="J36" s="22">
        <f>MAX(0, (I36-28.5)/(100-28.5)*100)</f>
        <v/>
      </c>
    </row>
  </sheetData>
  <mergeCells count="2">
    <mergeCell ref="B23:J23"/>
    <mergeCell ref="B24:J2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20" customWidth="1" min="4" max="4"/>
    <col width="16" customWidth="1" min="5" max="5"/>
    <col width="24" customWidth="1" min="6" max="6"/>
    <col width="22" customWidth="1" min="7" max="7"/>
    <col width="23" customWidth="1" min="8" max="8"/>
    <col width="24" customWidth="1" min="9" max="9"/>
    <col width="28" customWidth="1" min="10" max="10"/>
    <col width="18" customWidth="1" min="11" max="11"/>
    <col width="19" customWidth="1" min="12" max="12"/>
    <col width="21" customWidth="1" min="13" max="13"/>
    <col width="32" customWidth="1" min="14" max="14"/>
    <col width="28" customWidth="1" min="15" max="15"/>
    <col width="27" customWidth="1" min="16" max="16"/>
    <col width="30" customWidth="1" min="17" max="17"/>
    <col width="45" customWidth="1" min="18" max="18"/>
  </cols>
  <sheetData>
    <row r="1">
      <c r="A1" s="11" t="inlineStr">
        <is>
          <t>Log_ID</t>
        </is>
      </c>
      <c r="B1" s="11" t="inlineStr">
        <is>
          <t>Timestamp</t>
        </is>
      </c>
      <c r="C1" s="11" t="inlineStr">
        <is>
          <t>Shift</t>
        </is>
      </c>
      <c r="D1" s="11" t="inlineStr">
        <is>
          <t>Feed_Rate_Dry_tph</t>
        </is>
      </c>
      <c r="E1" s="11" t="inlineStr">
        <is>
          <t>Mill_Power_kW</t>
        </is>
      </c>
      <c r="F1" s="11" t="inlineStr">
        <is>
          <t>Mill_Discharge_Cw_pct</t>
        </is>
      </c>
      <c r="G1" s="11" t="inlineStr">
        <is>
          <t>Cyclone_Feed_Cw_pct</t>
        </is>
      </c>
      <c r="H1" s="11" t="inlineStr">
        <is>
          <t>Cluster_Pressure_kPa</t>
        </is>
      </c>
      <c r="I1" s="11" t="inlineStr">
        <is>
          <t>Active_Cyclones_Count</t>
        </is>
      </c>
      <c r="J1" s="11" t="inlineStr">
        <is>
          <t>Underflow_Discharge_Pattern</t>
        </is>
      </c>
      <c r="K1" s="11" t="inlineStr">
        <is>
          <t>Overflow_P80_um</t>
        </is>
      </c>
      <c r="L1" s="11" t="inlineStr">
        <is>
          <t>Passing_45um_pct</t>
        </is>
      </c>
      <c r="M1" s="11" t="inlineStr">
        <is>
          <t>Sub_10um_Slime_pct</t>
        </is>
      </c>
      <c r="N1" s="11" t="inlineStr">
        <is>
          <t>Blaine_Specific_Surface_cm2_g</t>
        </is>
      </c>
      <c r="O1" s="11" t="inlineStr">
        <is>
          <t>Pellet_Drop_Number_Impact</t>
        </is>
      </c>
      <c r="P1" s="11" t="inlineStr">
        <is>
          <t>Filter_Cake_Moisture_pct</t>
        </is>
      </c>
      <c r="Q1" s="11" t="inlineStr">
        <is>
          <t>SPC_Quality_Alert</t>
        </is>
      </c>
      <c r="R1" s="11" t="inlineStr">
        <is>
          <t>Field_Corrective_Action</t>
        </is>
      </c>
    </row>
    <row r="2">
      <c r="A2" s="12" t="inlineStr">
        <is>
          <t>LOG-SPC-5001</t>
        </is>
      </c>
      <c r="B2" s="44" t="n">
        <v>45323.25</v>
      </c>
      <c r="C2" s="12" t="inlineStr">
        <is>
          <t>Shift_A</t>
        </is>
      </c>
      <c r="D2" s="22" t="n">
        <v>257.8</v>
      </c>
      <c r="E2" s="22" t="n">
        <v>3061.2</v>
      </c>
      <c r="F2" s="22" t="n">
        <v>71.59999999999999</v>
      </c>
      <c r="G2" s="22" t="n">
        <v>44.7</v>
      </c>
      <c r="H2" s="22" t="n">
        <v>98</v>
      </c>
      <c r="I2" s="28" t="n">
        <v>6</v>
      </c>
      <c r="J2" s="12" t="inlineStr">
        <is>
          <t>Free Flare Spray (Optimal)</t>
        </is>
      </c>
      <c r="K2" s="22" t="n">
        <v>147.1</v>
      </c>
      <c r="L2" s="22" t="n">
        <v>67.40000000000001</v>
      </c>
      <c r="M2" s="22" t="n">
        <v>12.3</v>
      </c>
      <c r="N2" s="29" t="n">
        <v>1704</v>
      </c>
      <c r="O2" s="22" t="n">
        <v>4.6</v>
      </c>
      <c r="P2" s="14" t="n">
        <v>8.6</v>
      </c>
      <c r="Q2" s="12" t="inlineStr">
        <is>
          <t>IN CONTROL (Stable)</t>
        </is>
      </c>
      <c r="R2" s="16" t="inlineStr">
        <is>
          <t>Routine inspection; normal parameters.</t>
        </is>
      </c>
    </row>
    <row r="3">
      <c r="A3" s="17" t="inlineStr">
        <is>
          <t>LOG-SPC-5002</t>
        </is>
      </c>
      <c r="B3" s="45" t="n">
        <v>45323.33333333334</v>
      </c>
      <c r="C3" s="17" t="inlineStr">
        <is>
          <t>Shift_A</t>
        </is>
      </c>
      <c r="D3" s="23" t="n">
        <v>248.7</v>
      </c>
      <c r="E3" s="23" t="n">
        <v>3087</v>
      </c>
      <c r="F3" s="23" t="n">
        <v>71.40000000000001</v>
      </c>
      <c r="G3" s="23" t="n">
        <v>45.1</v>
      </c>
      <c r="H3" s="23" t="n">
        <v>113.3</v>
      </c>
      <c r="I3" s="31" t="n">
        <v>6</v>
      </c>
      <c r="J3" s="17" t="inlineStr">
        <is>
          <t>Free Flare Spray (Optimal)</t>
        </is>
      </c>
      <c r="K3" s="23" t="n">
        <v>145.5</v>
      </c>
      <c r="L3" s="23" t="n">
        <v>70</v>
      </c>
      <c r="M3" s="23" t="n">
        <v>11.4</v>
      </c>
      <c r="N3" s="32" t="n">
        <v>1725</v>
      </c>
      <c r="O3" s="23" t="n">
        <v>4.5</v>
      </c>
      <c r="P3" s="19" t="n">
        <v>8.300000000000001</v>
      </c>
      <c r="Q3" s="17" t="inlineStr">
        <is>
          <t>IN CONTROL (Stable)</t>
        </is>
      </c>
      <c r="R3" s="21" t="inlineStr">
        <is>
          <t>Routine inspection; normal parameters.</t>
        </is>
      </c>
    </row>
    <row r="4">
      <c r="A4" s="12" t="inlineStr">
        <is>
          <t>LOG-SPC-5003</t>
        </is>
      </c>
      <c r="B4" s="44" t="n">
        <v>45323.41666666666</v>
      </c>
      <c r="C4" s="12" t="inlineStr">
        <is>
          <t>Shift_A</t>
        </is>
      </c>
      <c r="D4" s="22" t="n">
        <v>245.6</v>
      </c>
      <c r="E4" s="22" t="n">
        <v>3141.7</v>
      </c>
      <c r="F4" s="22" t="n">
        <v>72.40000000000001</v>
      </c>
      <c r="G4" s="22" t="n">
        <v>45</v>
      </c>
      <c r="H4" s="22" t="n">
        <v>97.3</v>
      </c>
      <c r="I4" s="28" t="n">
        <v>6</v>
      </c>
      <c r="J4" s="12" t="inlineStr">
        <is>
          <t>Free Flare Spray (Optimal)</t>
        </is>
      </c>
      <c r="K4" s="22" t="n">
        <v>144.3</v>
      </c>
      <c r="L4" s="22" t="n">
        <v>69</v>
      </c>
      <c r="M4" s="22" t="n">
        <v>12.6</v>
      </c>
      <c r="N4" s="29" t="n">
        <v>1655</v>
      </c>
      <c r="O4" s="22" t="n">
        <v>4.5</v>
      </c>
      <c r="P4" s="14" t="n">
        <v>8.59</v>
      </c>
      <c r="Q4" s="12" t="inlineStr">
        <is>
          <t>IN CONTROL (Stable)</t>
        </is>
      </c>
      <c r="R4" s="16" t="inlineStr">
        <is>
          <t>Routine inspection; normal parameters.</t>
        </is>
      </c>
    </row>
    <row r="5">
      <c r="A5" s="17" t="inlineStr">
        <is>
          <t>LOG-SPC-5004</t>
        </is>
      </c>
      <c r="B5" s="45" t="n">
        <v>45323.5</v>
      </c>
      <c r="C5" s="17" t="inlineStr">
        <is>
          <t>Shift_A</t>
        </is>
      </c>
      <c r="D5" s="23" t="n">
        <v>253.2</v>
      </c>
      <c r="E5" s="23" t="n">
        <v>3023.1</v>
      </c>
      <c r="F5" s="23" t="n">
        <v>71.7</v>
      </c>
      <c r="G5" s="23" t="n">
        <v>44.9</v>
      </c>
      <c r="H5" s="23" t="n">
        <v>109.2</v>
      </c>
      <c r="I5" s="31" t="n">
        <v>6</v>
      </c>
      <c r="J5" s="17" t="inlineStr">
        <is>
          <t>Free Flare Spray (Optimal)</t>
        </is>
      </c>
      <c r="K5" s="23" t="n">
        <v>147.4</v>
      </c>
      <c r="L5" s="23" t="n">
        <v>69.40000000000001</v>
      </c>
      <c r="M5" s="23" t="n">
        <v>11.9</v>
      </c>
      <c r="N5" s="32" t="n">
        <v>1653</v>
      </c>
      <c r="O5" s="23" t="n">
        <v>4.7</v>
      </c>
      <c r="P5" s="19" t="n">
        <v>8.800000000000001</v>
      </c>
      <c r="Q5" s="17" t="inlineStr">
        <is>
          <t>IN CONTROL (Stable)</t>
        </is>
      </c>
      <c r="R5" s="21" t="inlineStr">
        <is>
          <t>Routine inspection; normal parameters.</t>
        </is>
      </c>
    </row>
    <row r="6">
      <c r="A6" s="12" t="inlineStr">
        <is>
          <t>LOG-SPC-5005</t>
        </is>
      </c>
      <c r="B6" s="44" t="n">
        <v>45323.58333333334</v>
      </c>
      <c r="C6" s="12" t="inlineStr">
        <is>
          <t>Shift_B</t>
        </is>
      </c>
      <c r="D6" s="22" t="n">
        <v>258.4</v>
      </c>
      <c r="E6" s="22" t="n">
        <v>3124.9</v>
      </c>
      <c r="F6" s="22" t="n">
        <v>72.09999999999999</v>
      </c>
      <c r="G6" s="22" t="n">
        <v>45.1</v>
      </c>
      <c r="H6" s="22" t="n">
        <v>102.2</v>
      </c>
      <c r="I6" s="28" t="n">
        <v>6</v>
      </c>
      <c r="J6" s="12" t="inlineStr">
        <is>
          <t>Free Flare Spray (Optimal)</t>
        </is>
      </c>
      <c r="K6" s="22" t="n">
        <v>144.5</v>
      </c>
      <c r="L6" s="22" t="n">
        <v>71</v>
      </c>
      <c r="M6" s="22" t="n">
        <v>11.7</v>
      </c>
      <c r="N6" s="29" t="n">
        <v>1776</v>
      </c>
      <c r="O6" s="22" t="n">
        <v>4.7</v>
      </c>
      <c r="P6" s="14" t="n">
        <v>8.869999999999999</v>
      </c>
      <c r="Q6" s="12" t="inlineStr">
        <is>
          <t>IN CONTROL (Stable)</t>
        </is>
      </c>
      <c r="R6" s="16" t="inlineStr">
        <is>
          <t>Routine inspection; normal parameters.</t>
        </is>
      </c>
    </row>
    <row r="7">
      <c r="A7" s="17" t="inlineStr">
        <is>
          <t>LOG-SPC-5006</t>
        </is>
      </c>
      <c r="B7" s="45" t="n">
        <v>45323.66666666666</v>
      </c>
      <c r="C7" s="17" t="inlineStr">
        <is>
          <t>Shift_B</t>
        </is>
      </c>
      <c r="D7" s="23" t="n">
        <v>241.6</v>
      </c>
      <c r="E7" s="23" t="n">
        <v>3120.5</v>
      </c>
      <c r="F7" s="23" t="n">
        <v>71.40000000000001</v>
      </c>
      <c r="G7" s="23" t="n">
        <v>43.7</v>
      </c>
      <c r="H7" s="23" t="n">
        <v>106.1</v>
      </c>
      <c r="I7" s="31" t="n">
        <v>6</v>
      </c>
      <c r="J7" s="17" t="inlineStr">
        <is>
          <t>Free Flare Spray (Optimal)</t>
        </is>
      </c>
      <c r="K7" s="23" t="n">
        <v>148.5</v>
      </c>
      <c r="L7" s="23" t="n">
        <v>67.2</v>
      </c>
      <c r="M7" s="23" t="n">
        <v>11.3</v>
      </c>
      <c r="N7" s="32" t="n">
        <v>1716</v>
      </c>
      <c r="O7" s="23" t="n">
        <v>4.8</v>
      </c>
      <c r="P7" s="19" t="n">
        <v>8.710000000000001</v>
      </c>
      <c r="Q7" s="17" t="inlineStr">
        <is>
          <t>IN CONTROL (Stable)</t>
        </is>
      </c>
      <c r="R7" s="21" t="inlineStr">
        <is>
          <t>Routine inspection; normal parameters.</t>
        </is>
      </c>
    </row>
    <row r="8">
      <c r="A8" s="12" t="inlineStr">
        <is>
          <t>LOG-SPC-5007</t>
        </is>
      </c>
      <c r="B8" s="44" t="n">
        <v>45323.75</v>
      </c>
      <c r="C8" s="12" t="inlineStr">
        <is>
          <t>Shift_B</t>
        </is>
      </c>
      <c r="D8" s="22" t="n">
        <v>255.7</v>
      </c>
      <c r="E8" s="22" t="n">
        <v>3097.9</v>
      </c>
      <c r="F8" s="22" t="n">
        <v>72.90000000000001</v>
      </c>
      <c r="G8" s="22" t="n">
        <v>45</v>
      </c>
      <c r="H8" s="22" t="n">
        <v>103.3</v>
      </c>
      <c r="I8" s="28" t="n">
        <v>6</v>
      </c>
      <c r="J8" s="12" t="inlineStr">
        <is>
          <t>Free Flare Spray (Optimal)</t>
        </is>
      </c>
      <c r="K8" s="22" t="n">
        <v>139.4</v>
      </c>
      <c r="L8" s="22" t="n">
        <v>68.09999999999999</v>
      </c>
      <c r="M8" s="22" t="n">
        <v>12.2</v>
      </c>
      <c r="N8" s="29" t="n">
        <v>1753</v>
      </c>
      <c r="O8" s="22" t="n">
        <v>4.9</v>
      </c>
      <c r="P8" s="14" t="n">
        <v>8.359999999999999</v>
      </c>
      <c r="Q8" s="12" t="inlineStr">
        <is>
          <t>IN CONTROL (Stable)</t>
        </is>
      </c>
      <c r="R8" s="16" t="inlineStr">
        <is>
          <t>Routine inspection; normal parameters.</t>
        </is>
      </c>
    </row>
    <row r="9">
      <c r="A9" s="17" t="inlineStr">
        <is>
          <t>LOG-SPC-5008</t>
        </is>
      </c>
      <c r="B9" s="45" t="n">
        <v>45323.83333333334</v>
      </c>
      <c r="C9" s="17" t="inlineStr">
        <is>
          <t>Shift_B</t>
        </is>
      </c>
      <c r="D9" s="23" t="n">
        <v>251</v>
      </c>
      <c r="E9" s="23" t="n">
        <v>3123.5</v>
      </c>
      <c r="F9" s="23" t="n">
        <v>72.7</v>
      </c>
      <c r="G9" s="23" t="n">
        <v>45.5</v>
      </c>
      <c r="H9" s="23" t="n">
        <v>108.8</v>
      </c>
      <c r="I9" s="31" t="n">
        <v>6</v>
      </c>
      <c r="J9" s="17" t="inlineStr">
        <is>
          <t>Free Flare Spray (Optimal)</t>
        </is>
      </c>
      <c r="K9" s="23" t="n">
        <v>145.2</v>
      </c>
      <c r="L9" s="23" t="n">
        <v>69.09999999999999</v>
      </c>
      <c r="M9" s="23" t="n">
        <v>13.5</v>
      </c>
      <c r="N9" s="32" t="n">
        <v>1673</v>
      </c>
      <c r="O9" s="23" t="n">
        <v>4.7</v>
      </c>
      <c r="P9" s="19" t="n">
        <v>8.449999999999999</v>
      </c>
      <c r="Q9" s="17" t="inlineStr">
        <is>
          <t>IN CONTROL (Stable)</t>
        </is>
      </c>
      <c r="R9" s="21" t="inlineStr">
        <is>
          <t>Routine inspection; normal parameters.</t>
        </is>
      </c>
    </row>
    <row r="10">
      <c r="A10" s="12" t="inlineStr">
        <is>
          <t>LOG-SPC-5009</t>
        </is>
      </c>
      <c r="B10" s="44" t="n">
        <v>45323.91666666666</v>
      </c>
      <c r="C10" s="12" t="inlineStr">
        <is>
          <t>Shift_C</t>
        </is>
      </c>
      <c r="D10" s="22" t="n">
        <v>252.3</v>
      </c>
      <c r="E10" s="22" t="n">
        <v>3143.1</v>
      </c>
      <c r="F10" s="22" t="n">
        <v>71.40000000000001</v>
      </c>
      <c r="G10" s="22" t="n">
        <v>42.9</v>
      </c>
      <c r="H10" s="22" t="n">
        <v>102.9</v>
      </c>
      <c r="I10" s="28" t="n">
        <v>6</v>
      </c>
      <c r="J10" s="12" t="inlineStr">
        <is>
          <t>Free Flare Spray (Optimal)</t>
        </is>
      </c>
      <c r="K10" s="22" t="n">
        <v>148.2</v>
      </c>
      <c r="L10" s="22" t="n">
        <v>69.3</v>
      </c>
      <c r="M10" s="22" t="n">
        <v>12.8</v>
      </c>
      <c r="N10" s="29" t="n">
        <v>1710</v>
      </c>
      <c r="O10" s="22" t="n">
        <v>4.4</v>
      </c>
      <c r="P10" s="14" t="n">
        <v>8.699999999999999</v>
      </c>
      <c r="Q10" s="12" t="inlineStr">
        <is>
          <t>IN CONTROL (Stable)</t>
        </is>
      </c>
      <c r="R10" s="16" t="inlineStr">
        <is>
          <t>Routine inspection; normal parameters.</t>
        </is>
      </c>
    </row>
    <row r="11">
      <c r="A11" s="17" t="inlineStr">
        <is>
          <t>LOG-SPC-5010</t>
        </is>
      </c>
      <c r="B11" s="45" t="n">
        <v>45324</v>
      </c>
      <c r="C11" s="17" t="inlineStr">
        <is>
          <t>Shift_C</t>
        </is>
      </c>
      <c r="D11" s="23" t="n">
        <v>245</v>
      </c>
      <c r="E11" s="23" t="n">
        <v>3176.4</v>
      </c>
      <c r="F11" s="23" t="n">
        <v>72.09999999999999</v>
      </c>
      <c r="G11" s="23" t="n">
        <v>44.3</v>
      </c>
      <c r="H11" s="23" t="n">
        <v>101.9</v>
      </c>
      <c r="I11" s="31" t="n">
        <v>6</v>
      </c>
      <c r="J11" s="17" t="inlineStr">
        <is>
          <t>Free Flare Spray (Optimal)</t>
        </is>
      </c>
      <c r="K11" s="23" t="n">
        <v>144.7</v>
      </c>
      <c r="L11" s="23" t="n">
        <v>68.09999999999999</v>
      </c>
      <c r="M11" s="23" t="n">
        <v>13.4</v>
      </c>
      <c r="N11" s="32" t="n">
        <v>1726</v>
      </c>
      <c r="O11" s="23" t="n">
        <v>4.6</v>
      </c>
      <c r="P11" s="19" t="n">
        <v>8.98</v>
      </c>
      <c r="Q11" s="17" t="inlineStr">
        <is>
          <t>IN CONTROL (Stable)</t>
        </is>
      </c>
      <c r="R11" s="21" t="inlineStr">
        <is>
          <t>Routine inspection; normal parameters.</t>
        </is>
      </c>
    </row>
    <row r="12">
      <c r="A12" s="12" t="inlineStr">
        <is>
          <t>LOG-SPC-5011</t>
        </is>
      </c>
      <c r="B12" s="44" t="n">
        <v>45324.08333333334</v>
      </c>
      <c r="C12" s="12" t="inlineStr">
        <is>
          <t>Shift_C</t>
        </is>
      </c>
      <c r="D12" s="22" t="n">
        <v>250.3</v>
      </c>
      <c r="E12" s="22" t="n">
        <v>3126.9</v>
      </c>
      <c r="F12" s="22" t="n">
        <v>71.40000000000001</v>
      </c>
      <c r="G12" s="22" t="n">
        <v>45.1</v>
      </c>
      <c r="H12" s="22" t="n">
        <v>106.6</v>
      </c>
      <c r="I12" s="28" t="n">
        <v>6</v>
      </c>
      <c r="J12" s="12" t="inlineStr">
        <is>
          <t>Free Flare Spray (Optimal)</t>
        </is>
      </c>
      <c r="K12" s="22" t="n">
        <v>138.4</v>
      </c>
      <c r="L12" s="22" t="n">
        <v>71.5</v>
      </c>
      <c r="M12" s="22" t="n">
        <v>13.5</v>
      </c>
      <c r="N12" s="29" t="n">
        <v>1706</v>
      </c>
      <c r="O12" s="22" t="n">
        <v>4.5</v>
      </c>
      <c r="P12" s="14" t="n">
        <v>8.67</v>
      </c>
      <c r="Q12" s="12" t="inlineStr">
        <is>
          <t>IN CONTROL (Stable)</t>
        </is>
      </c>
      <c r="R12" s="16" t="inlineStr">
        <is>
          <t>Routine inspection; normal parameters.</t>
        </is>
      </c>
    </row>
    <row r="13">
      <c r="A13" s="17" t="inlineStr">
        <is>
          <t>LOG-SPC-5012</t>
        </is>
      </c>
      <c r="B13" s="45" t="n">
        <v>45324.16666666666</v>
      </c>
      <c r="C13" s="17" t="inlineStr">
        <is>
          <t>Shift_C</t>
        </is>
      </c>
      <c r="D13" s="23" t="n">
        <v>250.5</v>
      </c>
      <c r="E13" s="23" t="n">
        <v>3112.4</v>
      </c>
      <c r="F13" s="23" t="n">
        <v>71.90000000000001</v>
      </c>
      <c r="G13" s="23" t="n">
        <v>45.2</v>
      </c>
      <c r="H13" s="23" t="n">
        <v>112.2</v>
      </c>
      <c r="I13" s="31" t="n">
        <v>6</v>
      </c>
      <c r="J13" s="17" t="inlineStr">
        <is>
          <t>Free Flare Spray (Optimal)</t>
        </is>
      </c>
      <c r="K13" s="23" t="n">
        <v>147</v>
      </c>
      <c r="L13" s="23" t="n">
        <v>66.90000000000001</v>
      </c>
      <c r="M13" s="23" t="n">
        <v>13.6</v>
      </c>
      <c r="N13" s="32" t="n">
        <v>1777</v>
      </c>
      <c r="O13" s="23" t="n">
        <v>5.7</v>
      </c>
      <c r="P13" s="19" t="n">
        <v>8.380000000000001</v>
      </c>
      <c r="Q13" s="17" t="inlineStr">
        <is>
          <t>IN CONTROL (Stable)</t>
        </is>
      </c>
      <c r="R13" s="21" t="inlineStr">
        <is>
          <t>Routine inspection; normal parameters.</t>
        </is>
      </c>
    </row>
    <row r="14">
      <c r="A14" s="12" t="inlineStr">
        <is>
          <t>LOG-SPC-5013</t>
        </is>
      </c>
      <c r="B14" s="44" t="n">
        <v>45324.25</v>
      </c>
      <c r="C14" s="12" t="inlineStr">
        <is>
          <t>Shift_A</t>
        </is>
      </c>
      <c r="D14" s="22" t="n">
        <v>251.5</v>
      </c>
      <c r="E14" s="22" t="n">
        <v>3027.1</v>
      </c>
      <c r="F14" s="22" t="n">
        <v>72.09999999999999</v>
      </c>
      <c r="G14" s="22" t="n">
        <v>44.4</v>
      </c>
      <c r="H14" s="22" t="n">
        <v>114.6</v>
      </c>
      <c r="I14" s="28" t="n">
        <v>6</v>
      </c>
      <c r="J14" s="12" t="inlineStr">
        <is>
          <t>Free Flare Spray (Optimal)</t>
        </is>
      </c>
      <c r="K14" s="22" t="n">
        <v>142.3</v>
      </c>
      <c r="L14" s="22" t="n">
        <v>66</v>
      </c>
      <c r="M14" s="22" t="n">
        <v>12.1</v>
      </c>
      <c r="N14" s="29" t="n">
        <v>1650</v>
      </c>
      <c r="O14" s="22" t="n">
        <v>5</v>
      </c>
      <c r="P14" s="14" t="n">
        <v>8.19</v>
      </c>
      <c r="Q14" s="12" t="inlineStr">
        <is>
          <t>IN CONTROL (Stable)</t>
        </is>
      </c>
      <c r="R14" s="16" t="inlineStr">
        <is>
          <t>Routine inspection; normal parameters.</t>
        </is>
      </c>
    </row>
    <row r="15">
      <c r="A15" s="17" t="inlineStr">
        <is>
          <t>LOG-SPC-5014</t>
        </is>
      </c>
      <c r="B15" s="45" t="n">
        <v>45324.33333333334</v>
      </c>
      <c r="C15" s="17" t="inlineStr">
        <is>
          <t>Shift_A</t>
        </is>
      </c>
      <c r="D15" s="23" t="n">
        <v>250.2</v>
      </c>
      <c r="E15" s="23" t="n">
        <v>3027.3</v>
      </c>
      <c r="F15" s="23" t="n">
        <v>71.59999999999999</v>
      </c>
      <c r="G15" s="23" t="n">
        <v>46.1</v>
      </c>
      <c r="H15" s="23" t="n">
        <v>106.8</v>
      </c>
      <c r="I15" s="31" t="n">
        <v>6</v>
      </c>
      <c r="J15" s="17" t="inlineStr">
        <is>
          <t>Free Flare Spray (Optimal)</t>
        </is>
      </c>
      <c r="K15" s="23" t="n">
        <v>142</v>
      </c>
      <c r="L15" s="23" t="n">
        <v>68.5</v>
      </c>
      <c r="M15" s="23" t="n">
        <v>12.5</v>
      </c>
      <c r="N15" s="32" t="n">
        <v>1736</v>
      </c>
      <c r="O15" s="23" t="n">
        <v>4.4</v>
      </c>
      <c r="P15" s="19" t="n">
        <v>8.720000000000001</v>
      </c>
      <c r="Q15" s="17" t="inlineStr">
        <is>
          <t>IN CONTROL (Stable)</t>
        </is>
      </c>
      <c r="R15" s="21" t="inlineStr">
        <is>
          <t>Routine inspection; normal parameters.</t>
        </is>
      </c>
    </row>
    <row r="16">
      <c r="A16" s="12" t="inlineStr">
        <is>
          <t>LOG-SPC-5015</t>
        </is>
      </c>
      <c r="B16" s="44" t="n">
        <v>45324.41666666666</v>
      </c>
      <c r="C16" s="12" t="inlineStr">
        <is>
          <t>Shift_A</t>
        </is>
      </c>
      <c r="D16" s="22" t="n">
        <v>233.8</v>
      </c>
      <c r="E16" s="22" t="n">
        <v>3078</v>
      </c>
      <c r="F16" s="22" t="n">
        <v>71.5</v>
      </c>
      <c r="G16" s="22" t="n">
        <v>45.3</v>
      </c>
      <c r="H16" s="22" t="n">
        <v>105.1</v>
      </c>
      <c r="I16" s="28" t="n">
        <v>6</v>
      </c>
      <c r="J16" s="12" t="inlineStr">
        <is>
          <t>Free Flare Spray (Optimal)</t>
        </is>
      </c>
      <c r="K16" s="22" t="n">
        <v>140.1</v>
      </c>
      <c r="L16" s="22" t="n">
        <v>67</v>
      </c>
      <c r="M16" s="22" t="n">
        <v>12.7</v>
      </c>
      <c r="N16" s="29" t="n">
        <v>1717</v>
      </c>
      <c r="O16" s="22" t="n">
        <v>4.6</v>
      </c>
      <c r="P16" s="14" t="n">
        <v>8.5</v>
      </c>
      <c r="Q16" s="12" t="inlineStr">
        <is>
          <t>IN CONTROL (Stable)</t>
        </is>
      </c>
      <c r="R16" s="16" t="inlineStr">
        <is>
          <t>Routine inspection; normal parameters.</t>
        </is>
      </c>
    </row>
    <row r="17">
      <c r="A17" s="17" t="inlineStr">
        <is>
          <t>LOG-SPC-5016</t>
        </is>
      </c>
      <c r="B17" s="45" t="n">
        <v>45324.5</v>
      </c>
      <c r="C17" s="17" t="inlineStr">
        <is>
          <t>Shift_A</t>
        </is>
      </c>
      <c r="D17" s="23" t="n">
        <v>254.2</v>
      </c>
      <c r="E17" s="23" t="n">
        <v>3081.9</v>
      </c>
      <c r="F17" s="23" t="n">
        <v>71.7</v>
      </c>
      <c r="G17" s="23" t="n">
        <v>46.5</v>
      </c>
      <c r="H17" s="23" t="n">
        <v>97.90000000000001</v>
      </c>
      <c r="I17" s="31" t="n">
        <v>6</v>
      </c>
      <c r="J17" s="17" t="inlineStr">
        <is>
          <t>Free Flare Spray (Optimal)</t>
        </is>
      </c>
      <c r="K17" s="23" t="n">
        <v>138.5</v>
      </c>
      <c r="L17" s="23" t="n">
        <v>69.7</v>
      </c>
      <c r="M17" s="23" t="n">
        <v>12</v>
      </c>
      <c r="N17" s="32" t="n">
        <v>1708</v>
      </c>
      <c r="O17" s="23" t="n">
        <v>4.6</v>
      </c>
      <c r="P17" s="19" t="n">
        <v>8.550000000000001</v>
      </c>
      <c r="Q17" s="17" t="inlineStr">
        <is>
          <t>IN CONTROL (Stable)</t>
        </is>
      </c>
      <c r="R17" s="21" t="inlineStr">
        <is>
          <t>Routine inspection; normal parameters.</t>
        </is>
      </c>
    </row>
    <row r="18">
      <c r="A18" s="12" t="inlineStr">
        <is>
          <t>LOG-SPC-5017</t>
        </is>
      </c>
      <c r="B18" s="44" t="n">
        <v>45324.58333333334</v>
      </c>
      <c r="C18" s="12" t="inlineStr">
        <is>
          <t>Shift_B</t>
        </is>
      </c>
      <c r="D18" s="22" t="n">
        <v>259.6</v>
      </c>
      <c r="E18" s="22" t="n">
        <v>3128.1</v>
      </c>
      <c r="F18" s="22" t="n">
        <v>72.3</v>
      </c>
      <c r="G18" s="22" t="n">
        <v>43.7</v>
      </c>
      <c r="H18" s="22" t="n">
        <v>99.2</v>
      </c>
      <c r="I18" s="28" t="n">
        <v>6</v>
      </c>
      <c r="J18" s="12" t="inlineStr">
        <is>
          <t>Free Flare Spray (Optimal)</t>
        </is>
      </c>
      <c r="K18" s="22" t="n">
        <v>135.1</v>
      </c>
      <c r="L18" s="22" t="n">
        <v>67.3</v>
      </c>
      <c r="M18" s="22" t="n">
        <v>13.3</v>
      </c>
      <c r="N18" s="29" t="n">
        <v>1738</v>
      </c>
      <c r="O18" s="22" t="n">
        <v>4.7</v>
      </c>
      <c r="P18" s="14" t="n">
        <v>8.6</v>
      </c>
      <c r="Q18" s="12" t="inlineStr">
        <is>
          <t>IN CONTROL (Stable)</t>
        </is>
      </c>
      <c r="R18" s="16" t="inlineStr">
        <is>
          <t>Routine inspection; normal parameters.</t>
        </is>
      </c>
    </row>
    <row r="19">
      <c r="A19" s="17" t="inlineStr">
        <is>
          <t>LOG-SPC-5018</t>
        </is>
      </c>
      <c r="B19" s="45" t="n">
        <v>45324.66666666666</v>
      </c>
      <c r="C19" s="17" t="inlineStr">
        <is>
          <t>Shift_B</t>
        </is>
      </c>
      <c r="D19" s="23" t="n">
        <v>245.9</v>
      </c>
      <c r="E19" s="23" t="n">
        <v>3107.2</v>
      </c>
      <c r="F19" s="23" t="n">
        <v>72.3</v>
      </c>
      <c r="G19" s="23" t="n">
        <v>43.5</v>
      </c>
      <c r="H19" s="23" t="n">
        <v>106.5</v>
      </c>
      <c r="I19" s="31" t="n">
        <v>6</v>
      </c>
      <c r="J19" s="17" t="inlineStr">
        <is>
          <t>Free Flare Spray (Optimal)</t>
        </is>
      </c>
      <c r="K19" s="23" t="n">
        <v>148.3</v>
      </c>
      <c r="L19" s="23" t="n">
        <v>67.90000000000001</v>
      </c>
      <c r="M19" s="23" t="n">
        <v>13.1</v>
      </c>
      <c r="N19" s="32" t="n">
        <v>1818</v>
      </c>
      <c r="O19" s="23" t="n">
        <v>4.8</v>
      </c>
      <c r="P19" s="19" t="n">
        <v>8.68</v>
      </c>
      <c r="Q19" s="17" t="inlineStr">
        <is>
          <t>IN CONTROL (Stable)</t>
        </is>
      </c>
      <c r="R19" s="21" t="inlineStr">
        <is>
          <t>Routine inspection; normal parameters.</t>
        </is>
      </c>
    </row>
    <row r="20">
      <c r="A20" s="12" t="inlineStr">
        <is>
          <t>LOG-SPC-5019</t>
        </is>
      </c>
      <c r="B20" s="44" t="n">
        <v>45324.75</v>
      </c>
      <c r="C20" s="12" t="inlineStr">
        <is>
          <t>Shift_B</t>
        </is>
      </c>
      <c r="D20" s="22" t="n">
        <v>245.6</v>
      </c>
      <c r="E20" s="22" t="n">
        <v>3106.3</v>
      </c>
      <c r="F20" s="22" t="n">
        <v>72.09999999999999</v>
      </c>
      <c r="G20" s="22" t="n">
        <v>45</v>
      </c>
      <c r="H20" s="22" t="n">
        <v>99.90000000000001</v>
      </c>
      <c r="I20" s="28" t="n">
        <v>6</v>
      </c>
      <c r="J20" s="12" t="inlineStr">
        <is>
          <t>Free Flare Spray (Optimal)</t>
        </is>
      </c>
      <c r="K20" s="22" t="n">
        <v>145.7</v>
      </c>
      <c r="L20" s="22" t="n">
        <v>70.7</v>
      </c>
      <c r="M20" s="22" t="n">
        <v>12.9</v>
      </c>
      <c r="N20" s="29" t="n">
        <v>1753</v>
      </c>
      <c r="O20" s="22" t="n">
        <v>4.7</v>
      </c>
      <c r="P20" s="14" t="n">
        <v>8.75</v>
      </c>
      <c r="Q20" s="12" t="inlineStr">
        <is>
          <t>IN CONTROL (Stable)</t>
        </is>
      </c>
      <c r="R20" s="16" t="inlineStr">
        <is>
          <t>Routine inspection; normal parameters.</t>
        </is>
      </c>
    </row>
    <row r="21">
      <c r="A21" s="17" t="inlineStr">
        <is>
          <t>LOG-SPC-5020</t>
        </is>
      </c>
      <c r="B21" s="45" t="n">
        <v>45324.83333333334</v>
      </c>
      <c r="C21" s="17" t="inlineStr">
        <is>
          <t>Shift_B</t>
        </is>
      </c>
      <c r="D21" s="23" t="n">
        <v>251.7</v>
      </c>
      <c r="E21" s="23" t="n">
        <v>3066.7</v>
      </c>
      <c r="F21" s="23" t="n">
        <v>72</v>
      </c>
      <c r="G21" s="23" t="n">
        <v>44</v>
      </c>
      <c r="H21" s="23" t="n">
        <v>101.8</v>
      </c>
      <c r="I21" s="31" t="n">
        <v>6</v>
      </c>
      <c r="J21" s="17" t="inlineStr">
        <is>
          <t>Free Flare Spray (Optimal)</t>
        </is>
      </c>
      <c r="K21" s="23" t="n">
        <v>145.7</v>
      </c>
      <c r="L21" s="23" t="n">
        <v>68.90000000000001</v>
      </c>
      <c r="M21" s="23" t="n">
        <v>11.5</v>
      </c>
      <c r="N21" s="32" t="n">
        <v>1756</v>
      </c>
      <c r="O21" s="23" t="n">
        <v>5</v>
      </c>
      <c r="P21" s="19" t="n">
        <v>8.460000000000001</v>
      </c>
      <c r="Q21" s="17" t="inlineStr">
        <is>
          <t>IN CONTROL (Stable)</t>
        </is>
      </c>
      <c r="R21" s="21" t="inlineStr">
        <is>
          <t>Routine inspection; normal parameters.</t>
        </is>
      </c>
    </row>
    <row r="22">
      <c r="A22" s="12" t="inlineStr">
        <is>
          <t>LOG-SPC-5021</t>
        </is>
      </c>
      <c r="B22" s="44" t="n">
        <v>45324.91666666666</v>
      </c>
      <c r="C22" s="12" t="inlineStr">
        <is>
          <t>Shift_C</t>
        </is>
      </c>
      <c r="D22" s="22" t="n">
        <v>240.8</v>
      </c>
      <c r="E22" s="22" t="n">
        <v>3094.9</v>
      </c>
      <c r="F22" s="22" t="n">
        <v>71.5</v>
      </c>
      <c r="G22" s="22" t="n">
        <v>44.9</v>
      </c>
      <c r="H22" s="22" t="n">
        <v>103.2</v>
      </c>
      <c r="I22" s="28" t="n">
        <v>6</v>
      </c>
      <c r="J22" s="12" t="inlineStr">
        <is>
          <t>Free Flare Spray (Optimal)</t>
        </is>
      </c>
      <c r="K22" s="22" t="n">
        <v>138</v>
      </c>
      <c r="L22" s="22" t="n">
        <v>67.90000000000001</v>
      </c>
      <c r="M22" s="22" t="n">
        <v>12.3</v>
      </c>
      <c r="N22" s="29" t="n">
        <v>1742</v>
      </c>
      <c r="O22" s="22" t="n">
        <v>4.6</v>
      </c>
      <c r="P22" s="14" t="n">
        <v>8.94</v>
      </c>
      <c r="Q22" s="12" t="inlineStr">
        <is>
          <t>IN CONTROL (Stable)</t>
        </is>
      </c>
      <c r="R22" s="16" t="inlineStr">
        <is>
          <t>Routine inspection; normal parameters.</t>
        </is>
      </c>
    </row>
    <row r="23">
      <c r="A23" s="17" t="inlineStr">
        <is>
          <t>LOG-SPC-5022</t>
        </is>
      </c>
      <c r="B23" s="45" t="n">
        <v>45325</v>
      </c>
      <c r="C23" s="17" t="inlineStr">
        <is>
          <t>Shift_C</t>
        </is>
      </c>
      <c r="D23" s="23" t="n">
        <v>238.5</v>
      </c>
      <c r="E23" s="23" t="n">
        <v>3145.9</v>
      </c>
      <c r="F23" s="23" t="n">
        <v>71.7</v>
      </c>
      <c r="G23" s="23" t="n">
        <v>45.5</v>
      </c>
      <c r="H23" s="23" t="n">
        <v>105.4</v>
      </c>
      <c r="I23" s="31" t="n">
        <v>6</v>
      </c>
      <c r="J23" s="17" t="inlineStr">
        <is>
          <t>Free Flare Spray (Optimal)</t>
        </is>
      </c>
      <c r="K23" s="23" t="n">
        <v>149</v>
      </c>
      <c r="L23" s="23" t="n">
        <v>67.90000000000001</v>
      </c>
      <c r="M23" s="23" t="n">
        <v>11.6</v>
      </c>
      <c r="N23" s="32" t="n">
        <v>1769</v>
      </c>
      <c r="O23" s="23" t="n">
        <v>4.8</v>
      </c>
      <c r="P23" s="19" t="n">
        <v>8.640000000000001</v>
      </c>
      <c r="Q23" s="17" t="inlineStr">
        <is>
          <t>IN CONTROL (Stable)</t>
        </is>
      </c>
      <c r="R23" s="21" t="inlineStr">
        <is>
          <t>Routine inspection; normal parameters.</t>
        </is>
      </c>
    </row>
    <row r="24">
      <c r="A24" s="12" t="inlineStr">
        <is>
          <t>LOG-SPC-5023</t>
        </is>
      </c>
      <c r="B24" s="44" t="n">
        <v>45325.08333333334</v>
      </c>
      <c r="C24" s="12" t="inlineStr">
        <is>
          <t>Shift_C</t>
        </is>
      </c>
      <c r="D24" s="22" t="n">
        <v>257.4</v>
      </c>
      <c r="E24" s="22" t="n">
        <v>3063.9</v>
      </c>
      <c r="F24" s="22" t="n">
        <v>72.2</v>
      </c>
      <c r="G24" s="22" t="n">
        <v>44.3</v>
      </c>
      <c r="H24" s="22" t="n">
        <v>104.3</v>
      </c>
      <c r="I24" s="28" t="n">
        <v>6</v>
      </c>
      <c r="J24" s="12" t="inlineStr">
        <is>
          <t>Free Flare Spray (Optimal)</t>
        </is>
      </c>
      <c r="K24" s="22" t="n">
        <v>145.3</v>
      </c>
      <c r="L24" s="22" t="n">
        <v>66.2</v>
      </c>
      <c r="M24" s="22" t="n">
        <v>11.9</v>
      </c>
      <c r="N24" s="29" t="n">
        <v>1767</v>
      </c>
      <c r="O24" s="22" t="n">
        <v>5.1</v>
      </c>
      <c r="P24" s="14" t="n">
        <v>8.59</v>
      </c>
      <c r="Q24" s="12" t="inlineStr">
        <is>
          <t>IN CONTROL (Stable)</t>
        </is>
      </c>
      <c r="R24" s="16" t="inlineStr">
        <is>
          <t>Routine inspection; normal parameters.</t>
        </is>
      </c>
    </row>
    <row r="25">
      <c r="A25" s="17" t="inlineStr">
        <is>
          <t>LOG-SPC-5024</t>
        </is>
      </c>
      <c r="B25" s="45" t="n">
        <v>45325.16666666666</v>
      </c>
      <c r="C25" s="17" t="inlineStr">
        <is>
          <t>Shift_C</t>
        </is>
      </c>
      <c r="D25" s="23" t="n">
        <v>251.5</v>
      </c>
      <c r="E25" s="23" t="n">
        <v>3089.7</v>
      </c>
      <c r="F25" s="23" t="n">
        <v>72.59999999999999</v>
      </c>
      <c r="G25" s="23" t="n">
        <v>44.6</v>
      </c>
      <c r="H25" s="23" t="n">
        <v>106.2</v>
      </c>
      <c r="I25" s="31" t="n">
        <v>6</v>
      </c>
      <c r="J25" s="17" t="inlineStr">
        <is>
          <t>Free Flare Spray (Optimal)</t>
        </is>
      </c>
      <c r="K25" s="23" t="n">
        <v>149</v>
      </c>
      <c r="L25" s="23" t="n">
        <v>67.3</v>
      </c>
      <c r="M25" s="23" t="n">
        <v>13.7</v>
      </c>
      <c r="N25" s="32" t="n">
        <v>1666</v>
      </c>
      <c r="O25" s="23" t="n">
        <v>5.3</v>
      </c>
      <c r="P25" s="19" t="n">
        <v>8.529999999999999</v>
      </c>
      <c r="Q25" s="17" t="inlineStr">
        <is>
          <t>IN CONTROL (Stable)</t>
        </is>
      </c>
      <c r="R25" s="21" t="inlineStr">
        <is>
          <t>Routine inspection; normal parameters.</t>
        </is>
      </c>
    </row>
    <row r="26">
      <c r="A26" s="12" t="inlineStr">
        <is>
          <t>LOG-SPC-5025</t>
        </is>
      </c>
      <c r="B26" s="44" t="n">
        <v>45325.25</v>
      </c>
      <c r="C26" s="12" t="inlineStr">
        <is>
          <t>Shift_A</t>
        </is>
      </c>
      <c r="D26" s="22" t="n">
        <v>248.5</v>
      </c>
      <c r="E26" s="22" t="n">
        <v>3033.8</v>
      </c>
      <c r="F26" s="22" t="n">
        <v>71.5</v>
      </c>
      <c r="G26" s="22" t="n">
        <v>44</v>
      </c>
      <c r="H26" s="22" t="n">
        <v>102</v>
      </c>
      <c r="I26" s="28" t="n">
        <v>6</v>
      </c>
      <c r="J26" s="12" t="inlineStr">
        <is>
          <t>Free Flare Spray (Optimal)</t>
        </is>
      </c>
      <c r="K26" s="22" t="n">
        <v>144.5</v>
      </c>
      <c r="L26" s="22" t="n">
        <v>69.90000000000001</v>
      </c>
      <c r="M26" s="22" t="n">
        <v>12.7</v>
      </c>
      <c r="N26" s="29" t="n">
        <v>1730</v>
      </c>
      <c r="O26" s="22" t="n">
        <v>4.5</v>
      </c>
      <c r="P26" s="14" t="n">
        <v>8.42</v>
      </c>
      <c r="Q26" s="12" t="inlineStr">
        <is>
          <t>IN CONTROL (Stable)</t>
        </is>
      </c>
      <c r="R26" s="16" t="inlineStr">
        <is>
          <t>Routine inspection; normal parameters.</t>
        </is>
      </c>
    </row>
    <row r="27">
      <c r="A27" s="17" t="inlineStr">
        <is>
          <t>LOG-SPC-5026</t>
        </is>
      </c>
      <c r="B27" s="45" t="n">
        <v>45325.33333333334</v>
      </c>
      <c r="C27" s="17" t="inlineStr">
        <is>
          <t>Shift_A</t>
        </is>
      </c>
      <c r="D27" s="23" t="n">
        <v>260.8</v>
      </c>
      <c r="E27" s="23" t="n">
        <v>3074.3</v>
      </c>
      <c r="F27" s="23" t="n">
        <v>72.8</v>
      </c>
      <c r="G27" s="23" t="n">
        <v>44.6</v>
      </c>
      <c r="H27" s="23" t="n">
        <v>105</v>
      </c>
      <c r="I27" s="31" t="n">
        <v>6</v>
      </c>
      <c r="J27" s="17" t="inlineStr">
        <is>
          <t>Free Flare Spray (Optimal)</t>
        </is>
      </c>
      <c r="K27" s="23" t="n">
        <v>148.7</v>
      </c>
      <c r="L27" s="23" t="n">
        <v>70.40000000000001</v>
      </c>
      <c r="M27" s="23" t="n">
        <v>12.4</v>
      </c>
      <c r="N27" s="32" t="n">
        <v>1706</v>
      </c>
      <c r="O27" s="23" t="n">
        <v>4.8</v>
      </c>
      <c r="P27" s="19" t="n">
        <v>8.67</v>
      </c>
      <c r="Q27" s="17" t="inlineStr">
        <is>
          <t>IN CONTROL (Stable)</t>
        </is>
      </c>
      <c r="R27" s="21" t="inlineStr">
        <is>
          <t>Routine inspection; normal parameters.</t>
        </is>
      </c>
    </row>
    <row r="28">
      <c r="A28" s="12" t="inlineStr">
        <is>
          <t>LOG-SPC-5027</t>
        </is>
      </c>
      <c r="B28" s="44" t="n">
        <v>45325.41666666666</v>
      </c>
      <c r="C28" s="12" t="inlineStr">
        <is>
          <t>Shift_A</t>
        </is>
      </c>
      <c r="D28" s="22" t="n">
        <v>255.3</v>
      </c>
      <c r="E28" s="22" t="n">
        <v>3100.1</v>
      </c>
      <c r="F28" s="22" t="n">
        <v>72.2</v>
      </c>
      <c r="G28" s="22" t="n">
        <v>46.1</v>
      </c>
      <c r="H28" s="22" t="n">
        <v>106.9</v>
      </c>
      <c r="I28" s="28" t="n">
        <v>6</v>
      </c>
      <c r="J28" s="12" t="inlineStr">
        <is>
          <t>Free Flare Spray (Optimal)</t>
        </is>
      </c>
      <c r="K28" s="22" t="n">
        <v>146.1</v>
      </c>
      <c r="L28" s="22" t="n">
        <v>66.2</v>
      </c>
      <c r="M28" s="22" t="n">
        <v>10.4</v>
      </c>
      <c r="N28" s="29" t="n">
        <v>1733</v>
      </c>
      <c r="O28" s="22" t="n">
        <v>4.8</v>
      </c>
      <c r="P28" s="14" t="n">
        <v>8.5</v>
      </c>
      <c r="Q28" s="12" t="inlineStr">
        <is>
          <t>IN CONTROL (Stable)</t>
        </is>
      </c>
      <c r="R28" s="16" t="inlineStr">
        <is>
          <t>Routine inspection; normal parameters.</t>
        </is>
      </c>
    </row>
    <row r="29">
      <c r="A29" s="17" t="inlineStr">
        <is>
          <t>LOG-SPC-5028</t>
        </is>
      </c>
      <c r="B29" s="45" t="n">
        <v>45325.5</v>
      </c>
      <c r="C29" s="17" t="inlineStr">
        <is>
          <t>Shift_A</t>
        </is>
      </c>
      <c r="D29" s="23" t="n">
        <v>251.5</v>
      </c>
      <c r="E29" s="23" t="n">
        <v>3097.9</v>
      </c>
      <c r="F29" s="23" t="n">
        <v>72.5</v>
      </c>
      <c r="G29" s="23" t="n">
        <v>44.9</v>
      </c>
      <c r="H29" s="23" t="n">
        <v>101.3</v>
      </c>
      <c r="I29" s="31" t="n">
        <v>6</v>
      </c>
      <c r="J29" s="17" t="inlineStr">
        <is>
          <t>Free Flare Spray (Optimal)</t>
        </is>
      </c>
      <c r="K29" s="23" t="n">
        <v>148.5</v>
      </c>
      <c r="L29" s="23" t="n">
        <v>68.2</v>
      </c>
      <c r="M29" s="23" t="n">
        <v>12.9</v>
      </c>
      <c r="N29" s="32" t="n">
        <v>1703</v>
      </c>
      <c r="O29" s="23" t="n">
        <v>4.6</v>
      </c>
      <c r="P29" s="19" t="n">
        <v>8.619999999999999</v>
      </c>
      <c r="Q29" s="17" t="inlineStr">
        <is>
          <t>IN CONTROL (Stable)</t>
        </is>
      </c>
      <c r="R29" s="21" t="inlineStr">
        <is>
          <t>Routine inspection; normal parameters.</t>
        </is>
      </c>
    </row>
    <row r="30">
      <c r="A30" s="12" t="inlineStr">
        <is>
          <t>LOG-SPC-5029</t>
        </is>
      </c>
      <c r="B30" s="44" t="n">
        <v>45325.58333333334</v>
      </c>
      <c r="C30" s="12" t="inlineStr">
        <is>
          <t>Shift_B</t>
        </is>
      </c>
      <c r="D30" s="22" t="n">
        <v>250.1</v>
      </c>
      <c r="E30" s="22" t="n">
        <v>3116.8</v>
      </c>
      <c r="F30" s="22" t="n">
        <v>71.59999999999999</v>
      </c>
      <c r="G30" s="22" t="n">
        <v>43.3</v>
      </c>
      <c r="H30" s="22" t="n">
        <v>102.8</v>
      </c>
      <c r="I30" s="28" t="n">
        <v>6</v>
      </c>
      <c r="J30" s="12" t="inlineStr">
        <is>
          <t>Free Flare Spray (Optimal)</t>
        </is>
      </c>
      <c r="K30" s="22" t="n">
        <v>147.8</v>
      </c>
      <c r="L30" s="22" t="n">
        <v>68.09999999999999</v>
      </c>
      <c r="M30" s="22" t="n">
        <v>12.3</v>
      </c>
      <c r="N30" s="29" t="n">
        <v>1754</v>
      </c>
      <c r="O30" s="22" t="n">
        <v>4.6</v>
      </c>
      <c r="P30" s="14" t="n">
        <v>8.289999999999999</v>
      </c>
      <c r="Q30" s="12" t="inlineStr">
        <is>
          <t>IN CONTROL (Stable)</t>
        </is>
      </c>
      <c r="R30" s="16" t="inlineStr">
        <is>
          <t>Routine inspection; normal parameters.</t>
        </is>
      </c>
    </row>
    <row r="31">
      <c r="A31" s="17" t="inlineStr">
        <is>
          <t>LOG-SPC-5030</t>
        </is>
      </c>
      <c r="B31" s="45" t="n">
        <v>45325.66666666666</v>
      </c>
      <c r="C31" s="17" t="inlineStr">
        <is>
          <t>Shift_B</t>
        </is>
      </c>
      <c r="D31" s="23" t="n">
        <v>249</v>
      </c>
      <c r="E31" s="23" t="n">
        <v>3083.1</v>
      </c>
      <c r="F31" s="23" t="n">
        <v>71.2</v>
      </c>
      <c r="G31" s="23" t="n">
        <v>44.7</v>
      </c>
      <c r="H31" s="23" t="n">
        <v>107.5</v>
      </c>
      <c r="I31" s="31" t="n">
        <v>6</v>
      </c>
      <c r="J31" s="17" t="inlineStr">
        <is>
          <t>Free Flare Spray (Optimal)</t>
        </is>
      </c>
      <c r="K31" s="23" t="n">
        <v>145</v>
      </c>
      <c r="L31" s="23" t="n">
        <v>69</v>
      </c>
      <c r="M31" s="23" t="n">
        <v>14</v>
      </c>
      <c r="N31" s="32" t="n">
        <v>1707</v>
      </c>
      <c r="O31" s="23" t="n">
        <v>4.9</v>
      </c>
      <c r="P31" s="19" t="n">
        <v>8.5</v>
      </c>
      <c r="Q31" s="17" t="inlineStr">
        <is>
          <t>IN CONTROL (Stable)</t>
        </is>
      </c>
      <c r="R31" s="21" t="inlineStr">
        <is>
          <t>Routine inspection; normal parameters.</t>
        </is>
      </c>
    </row>
    <row r="32">
      <c r="A32" s="12" t="inlineStr">
        <is>
          <t>LOG-SPC-5031</t>
        </is>
      </c>
      <c r="B32" s="44" t="n">
        <v>45325.75</v>
      </c>
      <c r="C32" s="12" t="inlineStr">
        <is>
          <t>Shift_B</t>
        </is>
      </c>
      <c r="D32" s="22" t="n">
        <v>244.9</v>
      </c>
      <c r="E32" s="22" t="n">
        <v>3079.5</v>
      </c>
      <c r="F32" s="22" t="n">
        <v>71.5</v>
      </c>
      <c r="G32" s="22" t="n">
        <v>45.1</v>
      </c>
      <c r="H32" s="22" t="n">
        <v>116.7</v>
      </c>
      <c r="I32" s="28" t="n">
        <v>6</v>
      </c>
      <c r="J32" s="12" t="inlineStr">
        <is>
          <t>Free Flare Spray (Optimal)</t>
        </is>
      </c>
      <c r="K32" s="22" t="n">
        <v>142.5</v>
      </c>
      <c r="L32" s="22" t="n">
        <v>67.90000000000001</v>
      </c>
      <c r="M32" s="22" t="n">
        <v>12.4</v>
      </c>
      <c r="N32" s="29" t="n">
        <v>1733</v>
      </c>
      <c r="O32" s="22" t="n">
        <v>4.9</v>
      </c>
      <c r="P32" s="14" t="n">
        <v>8.859999999999999</v>
      </c>
      <c r="Q32" s="12" t="inlineStr">
        <is>
          <t>IN CONTROL (Stable)</t>
        </is>
      </c>
      <c r="R32" s="16" t="inlineStr">
        <is>
          <t>Routine inspection; normal parameters.</t>
        </is>
      </c>
    </row>
    <row r="33">
      <c r="A33" s="17" t="inlineStr">
        <is>
          <t>LOG-SPC-5032</t>
        </is>
      </c>
      <c r="B33" s="45" t="n">
        <v>45325.83333333334</v>
      </c>
      <c r="C33" s="17" t="inlineStr">
        <is>
          <t>Shift_B</t>
        </is>
      </c>
      <c r="D33" s="23" t="n">
        <v>235.4</v>
      </c>
      <c r="E33" s="23" t="n">
        <v>3016.5</v>
      </c>
      <c r="F33" s="23" t="n">
        <v>71.5</v>
      </c>
      <c r="G33" s="23" t="n">
        <v>45.7</v>
      </c>
      <c r="H33" s="23" t="n">
        <v>97.2</v>
      </c>
      <c r="I33" s="31" t="n">
        <v>6</v>
      </c>
      <c r="J33" s="17" t="inlineStr">
        <is>
          <t>Free Flare Spray (Optimal)</t>
        </is>
      </c>
      <c r="K33" s="23" t="n">
        <v>134.5</v>
      </c>
      <c r="L33" s="23" t="n">
        <v>69.40000000000001</v>
      </c>
      <c r="M33" s="23" t="n">
        <v>12.7</v>
      </c>
      <c r="N33" s="32" t="n">
        <v>1681</v>
      </c>
      <c r="O33" s="23" t="n">
        <v>4.5</v>
      </c>
      <c r="P33" s="19" t="n">
        <v>8.41</v>
      </c>
      <c r="Q33" s="17" t="inlineStr">
        <is>
          <t>IN CONTROL (Stable)</t>
        </is>
      </c>
      <c r="R33" s="21" t="inlineStr">
        <is>
          <t>Routine inspection; normal parameters.</t>
        </is>
      </c>
    </row>
    <row r="34">
      <c r="A34" s="12" t="inlineStr">
        <is>
          <t>LOG-SPC-5033</t>
        </is>
      </c>
      <c r="B34" s="44" t="n">
        <v>45325.91666666666</v>
      </c>
      <c r="C34" s="12" t="inlineStr">
        <is>
          <t>Shift_C</t>
        </is>
      </c>
      <c r="D34" s="22" t="n">
        <v>250.7</v>
      </c>
      <c r="E34" s="22" t="n">
        <v>3078.1</v>
      </c>
      <c r="F34" s="22" t="n">
        <v>72.09999999999999</v>
      </c>
      <c r="G34" s="22" t="n">
        <v>42.5</v>
      </c>
      <c r="H34" s="22" t="n">
        <v>100.7</v>
      </c>
      <c r="I34" s="28" t="n">
        <v>6</v>
      </c>
      <c r="J34" s="12" t="inlineStr">
        <is>
          <t>Free Flare Spray (Optimal)</t>
        </is>
      </c>
      <c r="K34" s="22" t="n">
        <v>141.1</v>
      </c>
      <c r="L34" s="22" t="n">
        <v>68.09999999999999</v>
      </c>
      <c r="M34" s="22" t="n">
        <v>12.1</v>
      </c>
      <c r="N34" s="29" t="n">
        <v>1747</v>
      </c>
      <c r="O34" s="22" t="n">
        <v>4.2</v>
      </c>
      <c r="P34" s="14" t="n">
        <v>8.609999999999999</v>
      </c>
      <c r="Q34" s="12" t="inlineStr">
        <is>
          <t>IN CONTROL (Stable)</t>
        </is>
      </c>
      <c r="R34" s="16" t="inlineStr">
        <is>
          <t>Routine inspection; normal parameters.</t>
        </is>
      </c>
    </row>
    <row r="35">
      <c r="A35" s="17" t="inlineStr">
        <is>
          <t>LOG-SPC-5034</t>
        </is>
      </c>
      <c r="B35" s="45" t="n">
        <v>45326</v>
      </c>
      <c r="C35" s="17" t="inlineStr">
        <is>
          <t>Shift_C</t>
        </is>
      </c>
      <c r="D35" s="23" t="n">
        <v>253.4</v>
      </c>
      <c r="E35" s="23" t="n">
        <v>3165</v>
      </c>
      <c r="F35" s="23" t="n">
        <v>71.5</v>
      </c>
      <c r="G35" s="23" t="n">
        <v>45.1</v>
      </c>
      <c r="H35" s="23" t="n">
        <v>96</v>
      </c>
      <c r="I35" s="31" t="n">
        <v>6</v>
      </c>
      <c r="J35" s="17" t="inlineStr">
        <is>
          <t>Free Flare Spray (Optimal)</t>
        </is>
      </c>
      <c r="K35" s="23" t="n">
        <v>136.6</v>
      </c>
      <c r="L35" s="23" t="n">
        <v>69.8</v>
      </c>
      <c r="M35" s="23" t="n">
        <v>12.5</v>
      </c>
      <c r="N35" s="32" t="n">
        <v>1761</v>
      </c>
      <c r="O35" s="23" t="n">
        <v>4.4</v>
      </c>
      <c r="P35" s="19" t="n">
        <v>8.699999999999999</v>
      </c>
      <c r="Q35" s="17" t="inlineStr">
        <is>
          <t>IN CONTROL (Stable)</t>
        </is>
      </c>
      <c r="R35" s="21" t="inlineStr">
        <is>
          <t>Routine inspection; normal parameters.</t>
        </is>
      </c>
    </row>
    <row r="36">
      <c r="A36" s="12" t="inlineStr">
        <is>
          <t>LOG-SPC-5035</t>
        </is>
      </c>
      <c r="B36" s="44" t="n">
        <v>45326.08333333334</v>
      </c>
      <c r="C36" s="12" t="inlineStr">
        <is>
          <t>Shift_C</t>
        </is>
      </c>
      <c r="D36" s="22" t="n">
        <v>261.2</v>
      </c>
      <c r="E36" s="22" t="n">
        <v>3114.7</v>
      </c>
      <c r="F36" s="22" t="n">
        <v>72</v>
      </c>
      <c r="G36" s="22" t="n">
        <v>44.8</v>
      </c>
      <c r="H36" s="22" t="n">
        <v>97.09999999999999</v>
      </c>
      <c r="I36" s="28" t="n">
        <v>6</v>
      </c>
      <c r="J36" s="12" t="inlineStr">
        <is>
          <t>Free Flare Spray (Optimal)</t>
        </is>
      </c>
      <c r="K36" s="22" t="n">
        <v>149.7</v>
      </c>
      <c r="L36" s="22" t="n">
        <v>67.59999999999999</v>
      </c>
      <c r="M36" s="22" t="n">
        <v>12.9</v>
      </c>
      <c r="N36" s="29" t="n">
        <v>1665</v>
      </c>
      <c r="O36" s="22" t="n">
        <v>4.4</v>
      </c>
      <c r="P36" s="14" t="n">
        <v>8.890000000000001</v>
      </c>
      <c r="Q36" s="12" t="inlineStr">
        <is>
          <t>IN CONTROL (Stable)</t>
        </is>
      </c>
      <c r="R36" s="16" t="inlineStr">
        <is>
          <t>Routine inspection; normal parameters.</t>
        </is>
      </c>
    </row>
    <row r="37">
      <c r="A37" s="17" t="inlineStr">
        <is>
          <t>LOG-SPC-5036</t>
        </is>
      </c>
      <c r="B37" s="45" t="n">
        <v>45326.16666666666</v>
      </c>
      <c r="C37" s="17" t="inlineStr">
        <is>
          <t>Shift_C</t>
        </is>
      </c>
      <c r="D37" s="23" t="n">
        <v>247.9</v>
      </c>
      <c r="E37" s="23" t="n">
        <v>3150.9</v>
      </c>
      <c r="F37" s="23" t="n">
        <v>71.8</v>
      </c>
      <c r="G37" s="23" t="n">
        <v>43.3</v>
      </c>
      <c r="H37" s="23" t="n">
        <v>109.5</v>
      </c>
      <c r="I37" s="31" t="n">
        <v>6</v>
      </c>
      <c r="J37" s="17" t="inlineStr">
        <is>
          <t>Free Flare Spray (Optimal)</t>
        </is>
      </c>
      <c r="K37" s="23" t="n">
        <v>142.9</v>
      </c>
      <c r="L37" s="23" t="n">
        <v>69.5</v>
      </c>
      <c r="M37" s="23" t="n">
        <v>12.5</v>
      </c>
      <c r="N37" s="32" t="n">
        <v>1665</v>
      </c>
      <c r="O37" s="23" t="n">
        <v>4.8</v>
      </c>
      <c r="P37" s="19" t="n">
        <v>9.039999999999999</v>
      </c>
      <c r="Q37" s="17" t="inlineStr">
        <is>
          <t>IN CONTROL (Stable)</t>
        </is>
      </c>
      <c r="R37" s="21" t="inlineStr">
        <is>
          <t>Routine inspection; normal parameters.</t>
        </is>
      </c>
    </row>
    <row r="38">
      <c r="A38" s="12" t="inlineStr">
        <is>
          <t>LOG-SPC-5037</t>
        </is>
      </c>
      <c r="B38" s="44" t="n">
        <v>45326.25</v>
      </c>
      <c r="C38" s="12" t="inlineStr">
        <is>
          <t>Shift_A</t>
        </is>
      </c>
      <c r="D38" s="22" t="n">
        <v>253</v>
      </c>
      <c r="E38" s="22" t="n">
        <v>3098</v>
      </c>
      <c r="F38" s="22" t="n">
        <v>72.40000000000001</v>
      </c>
      <c r="G38" s="22" t="n">
        <v>45</v>
      </c>
      <c r="H38" s="22" t="n">
        <v>106</v>
      </c>
      <c r="I38" s="28" t="n">
        <v>6</v>
      </c>
      <c r="J38" s="12" t="inlineStr">
        <is>
          <t>Free Flare Spray (Optimal)</t>
        </is>
      </c>
      <c r="K38" s="22" t="n">
        <v>141.2</v>
      </c>
      <c r="L38" s="22" t="n">
        <v>68.90000000000001</v>
      </c>
      <c r="M38" s="22" t="n">
        <v>13.3</v>
      </c>
      <c r="N38" s="29" t="n">
        <v>1690</v>
      </c>
      <c r="O38" s="22" t="n">
        <v>5.2</v>
      </c>
      <c r="P38" s="14" t="n">
        <v>8.58</v>
      </c>
      <c r="Q38" s="12" t="inlineStr">
        <is>
          <t>IN CONTROL (Stable)</t>
        </is>
      </c>
      <c r="R38" s="16" t="inlineStr">
        <is>
          <t>Routine inspection; normal parameters.</t>
        </is>
      </c>
    </row>
    <row r="39">
      <c r="A39" s="17" t="inlineStr">
        <is>
          <t>LOG-SPC-5038</t>
        </is>
      </c>
      <c r="B39" s="45" t="n">
        <v>45326.33333333334</v>
      </c>
      <c r="C39" s="17" t="inlineStr">
        <is>
          <t>Shift_A</t>
        </is>
      </c>
      <c r="D39" s="23" t="n">
        <v>244.7</v>
      </c>
      <c r="E39" s="23" t="n">
        <v>3134.9</v>
      </c>
      <c r="F39" s="23" t="n">
        <v>71.59999999999999</v>
      </c>
      <c r="G39" s="23" t="n">
        <v>45.4</v>
      </c>
      <c r="H39" s="23" t="n">
        <v>103.5</v>
      </c>
      <c r="I39" s="31" t="n">
        <v>6</v>
      </c>
      <c r="J39" s="17" t="inlineStr">
        <is>
          <t>Free Flare Spray (Optimal)</t>
        </is>
      </c>
      <c r="K39" s="23" t="n">
        <v>144.8</v>
      </c>
      <c r="L39" s="23" t="n">
        <v>69.2</v>
      </c>
      <c r="M39" s="23" t="n">
        <v>12.7</v>
      </c>
      <c r="N39" s="32" t="n">
        <v>1650</v>
      </c>
      <c r="O39" s="23" t="n">
        <v>4.5</v>
      </c>
      <c r="P39" s="19" t="n">
        <v>8.789999999999999</v>
      </c>
      <c r="Q39" s="17" t="inlineStr">
        <is>
          <t>IN CONTROL (Stable)</t>
        </is>
      </c>
      <c r="R39" s="21" t="inlineStr">
        <is>
          <t>Routine inspection; normal parameters.</t>
        </is>
      </c>
    </row>
    <row r="40">
      <c r="A40" s="12" t="inlineStr">
        <is>
          <t>LOG-SPC-5039</t>
        </is>
      </c>
      <c r="B40" s="44" t="n">
        <v>45326.41666666666</v>
      </c>
      <c r="C40" s="12" t="inlineStr">
        <is>
          <t>Shift_A</t>
        </is>
      </c>
      <c r="D40" s="22" t="n">
        <v>249.2</v>
      </c>
      <c r="E40" s="22" t="n">
        <v>3081.7</v>
      </c>
      <c r="F40" s="22" t="n">
        <v>71</v>
      </c>
      <c r="G40" s="22" t="n">
        <v>43.9</v>
      </c>
      <c r="H40" s="22" t="n">
        <v>94.90000000000001</v>
      </c>
      <c r="I40" s="28" t="n">
        <v>6</v>
      </c>
      <c r="J40" s="12" t="inlineStr">
        <is>
          <t>Free Flare Spray (Optimal)</t>
        </is>
      </c>
      <c r="K40" s="22" t="n">
        <v>144.6</v>
      </c>
      <c r="L40" s="22" t="n">
        <v>67.59999999999999</v>
      </c>
      <c r="M40" s="22" t="n">
        <v>11.7</v>
      </c>
      <c r="N40" s="29" t="n">
        <v>1717</v>
      </c>
      <c r="O40" s="22" t="n">
        <v>4.9</v>
      </c>
      <c r="P40" s="14" t="n">
        <v>9.02</v>
      </c>
      <c r="Q40" s="12" t="inlineStr">
        <is>
          <t>IN CONTROL (Stable)</t>
        </is>
      </c>
      <c r="R40" s="16" t="inlineStr">
        <is>
          <t>Routine inspection; normal parameters.</t>
        </is>
      </c>
    </row>
    <row r="41">
      <c r="A41" s="17" t="inlineStr">
        <is>
          <t>LOG-SPC-5040</t>
        </is>
      </c>
      <c r="B41" s="45" t="n">
        <v>45326.5</v>
      </c>
      <c r="C41" s="17" t="inlineStr">
        <is>
          <t>Shift_A</t>
        </is>
      </c>
      <c r="D41" s="23" t="n">
        <v>240.9</v>
      </c>
      <c r="E41" s="23" t="n">
        <v>3140.6</v>
      </c>
      <c r="F41" s="23" t="n">
        <v>72.40000000000001</v>
      </c>
      <c r="G41" s="23" t="n">
        <v>44.2</v>
      </c>
      <c r="H41" s="23" t="n">
        <v>106</v>
      </c>
      <c r="I41" s="31" t="n">
        <v>6</v>
      </c>
      <c r="J41" s="17" t="inlineStr">
        <is>
          <t>Free Flare Spray (Optimal)</t>
        </is>
      </c>
      <c r="K41" s="23" t="n">
        <v>143.4</v>
      </c>
      <c r="L41" s="23" t="n">
        <v>68.8</v>
      </c>
      <c r="M41" s="23" t="n">
        <v>13.7</v>
      </c>
      <c r="N41" s="32" t="n">
        <v>1741</v>
      </c>
      <c r="O41" s="23" t="n">
        <v>5</v>
      </c>
      <c r="P41" s="19" t="n">
        <v>8.51</v>
      </c>
      <c r="Q41" s="17" t="inlineStr">
        <is>
          <t>IN CONTROL (Stable)</t>
        </is>
      </c>
      <c r="R41" s="21" t="inlineStr">
        <is>
          <t>Routine inspection; normal parameters.</t>
        </is>
      </c>
    </row>
    <row r="42">
      <c r="A42" s="12" t="inlineStr">
        <is>
          <t>LOG-SPC-5041</t>
        </is>
      </c>
      <c r="B42" s="44" t="n">
        <v>45326.58333333334</v>
      </c>
      <c r="C42" s="12" t="inlineStr">
        <is>
          <t>Shift_B</t>
        </is>
      </c>
      <c r="D42" s="22" t="n">
        <v>241.1</v>
      </c>
      <c r="E42" s="22" t="n">
        <v>3092.7</v>
      </c>
      <c r="F42" s="22" t="n">
        <v>72.5</v>
      </c>
      <c r="G42" s="22" t="n">
        <v>43.6</v>
      </c>
      <c r="H42" s="22" t="n">
        <v>99.7</v>
      </c>
      <c r="I42" s="28" t="n">
        <v>6</v>
      </c>
      <c r="J42" s="12" t="inlineStr">
        <is>
          <t>Free Flare Spray (Optimal)</t>
        </is>
      </c>
      <c r="K42" s="22" t="n">
        <v>145.4</v>
      </c>
      <c r="L42" s="22" t="n">
        <v>67</v>
      </c>
      <c r="M42" s="22" t="n">
        <v>11.9</v>
      </c>
      <c r="N42" s="29" t="n">
        <v>1705</v>
      </c>
      <c r="O42" s="22" t="n">
        <v>4.4</v>
      </c>
      <c r="P42" s="14" t="n">
        <v>8.41</v>
      </c>
      <c r="Q42" s="12" t="inlineStr">
        <is>
          <t>IN CONTROL (Stable)</t>
        </is>
      </c>
      <c r="R42" s="16" t="inlineStr">
        <is>
          <t>Routine inspection; normal parameters.</t>
        </is>
      </c>
    </row>
    <row r="43">
      <c r="A43" s="17" t="inlineStr">
        <is>
          <t>LOG-SPC-5042</t>
        </is>
      </c>
      <c r="B43" s="45" t="n">
        <v>45326.66666666666</v>
      </c>
      <c r="C43" s="17" t="inlineStr">
        <is>
          <t>Shift_B</t>
        </is>
      </c>
      <c r="D43" s="23" t="n">
        <v>254.2</v>
      </c>
      <c r="E43" s="23" t="n">
        <v>3054.2</v>
      </c>
      <c r="F43" s="23" t="n">
        <v>70.8</v>
      </c>
      <c r="G43" s="23" t="n">
        <v>44.3</v>
      </c>
      <c r="H43" s="23" t="n">
        <v>108.7</v>
      </c>
      <c r="I43" s="31" t="n">
        <v>6</v>
      </c>
      <c r="J43" s="17" t="inlineStr">
        <is>
          <t>Free Flare Spray (Optimal)</t>
        </is>
      </c>
      <c r="K43" s="23" t="n">
        <v>144.3</v>
      </c>
      <c r="L43" s="23" t="n">
        <v>67.8</v>
      </c>
      <c r="M43" s="23" t="n">
        <v>12.5</v>
      </c>
      <c r="N43" s="32" t="n">
        <v>1658</v>
      </c>
      <c r="O43" s="23" t="n">
        <v>4.9</v>
      </c>
      <c r="P43" s="19" t="n">
        <v>8.68</v>
      </c>
      <c r="Q43" s="17" t="inlineStr">
        <is>
          <t>IN CONTROL (Stable)</t>
        </is>
      </c>
      <c r="R43" s="21" t="inlineStr">
        <is>
          <t>Routine inspection; normal parameters.</t>
        </is>
      </c>
    </row>
    <row r="44">
      <c r="A44" s="12" t="inlineStr">
        <is>
          <t>LOG-SPC-5043</t>
        </is>
      </c>
      <c r="B44" s="44" t="n">
        <v>45326.75</v>
      </c>
      <c r="C44" s="12" t="inlineStr">
        <is>
          <t>Shift_B</t>
        </is>
      </c>
      <c r="D44" s="22" t="n">
        <v>247.5</v>
      </c>
      <c r="E44" s="22" t="n">
        <v>3135.2</v>
      </c>
      <c r="F44" s="22" t="n">
        <v>71.09999999999999</v>
      </c>
      <c r="G44" s="22" t="n">
        <v>45.7</v>
      </c>
      <c r="H44" s="22" t="n">
        <v>105.8</v>
      </c>
      <c r="I44" s="28" t="n">
        <v>6</v>
      </c>
      <c r="J44" s="12" t="inlineStr">
        <is>
          <t>Free Flare Spray (Optimal)</t>
        </is>
      </c>
      <c r="K44" s="22" t="n">
        <v>143.8</v>
      </c>
      <c r="L44" s="22" t="n">
        <v>68.5</v>
      </c>
      <c r="M44" s="22" t="n">
        <v>12.4</v>
      </c>
      <c r="N44" s="29" t="n">
        <v>1762</v>
      </c>
      <c r="O44" s="22" t="n">
        <v>4.5</v>
      </c>
      <c r="P44" s="14" t="n">
        <v>8.449999999999999</v>
      </c>
      <c r="Q44" s="12" t="inlineStr">
        <is>
          <t>IN CONTROL (Stable)</t>
        </is>
      </c>
      <c r="R44" s="16" t="inlineStr">
        <is>
          <t>Routine inspection; normal parameters.</t>
        </is>
      </c>
    </row>
    <row r="45">
      <c r="A45" s="17" t="inlineStr">
        <is>
          <t>LOG-SPC-5044</t>
        </is>
      </c>
      <c r="B45" s="45" t="n">
        <v>45326.83333333334</v>
      </c>
      <c r="C45" s="17" t="inlineStr">
        <is>
          <t>Shift_B</t>
        </is>
      </c>
      <c r="D45" s="23" t="n">
        <v>256.2</v>
      </c>
      <c r="E45" s="23" t="n">
        <v>3079.2</v>
      </c>
      <c r="F45" s="23" t="n">
        <v>72.3</v>
      </c>
      <c r="G45" s="23" t="n">
        <v>46.2</v>
      </c>
      <c r="H45" s="23" t="n">
        <v>103</v>
      </c>
      <c r="I45" s="31" t="n">
        <v>6</v>
      </c>
      <c r="J45" s="17" t="inlineStr">
        <is>
          <t>Free Flare Spray (Optimal)</t>
        </is>
      </c>
      <c r="K45" s="23" t="n">
        <v>147.4</v>
      </c>
      <c r="L45" s="23" t="n">
        <v>66.8</v>
      </c>
      <c r="M45" s="23" t="n">
        <v>13.1</v>
      </c>
      <c r="N45" s="32" t="n">
        <v>1726</v>
      </c>
      <c r="O45" s="23" t="n">
        <v>4.9</v>
      </c>
      <c r="P45" s="19" t="n">
        <v>8.470000000000001</v>
      </c>
      <c r="Q45" s="17" t="inlineStr">
        <is>
          <t>IN CONTROL (Stable)</t>
        </is>
      </c>
      <c r="R45" s="21" t="inlineStr">
        <is>
          <t>Routine inspection; normal parameters.</t>
        </is>
      </c>
    </row>
    <row r="46">
      <c r="A46" s="12" t="inlineStr">
        <is>
          <t>LOG-SPC-5045</t>
        </is>
      </c>
      <c r="B46" s="44" t="n">
        <v>45326.91666666666</v>
      </c>
      <c r="C46" s="12" t="inlineStr">
        <is>
          <t>Shift_C</t>
        </is>
      </c>
      <c r="D46" s="22" t="n">
        <v>240</v>
      </c>
      <c r="E46" s="22" t="n">
        <v>3117.6</v>
      </c>
      <c r="F46" s="22" t="n">
        <v>70.59999999999999</v>
      </c>
      <c r="G46" s="22" t="n">
        <v>44.5</v>
      </c>
      <c r="H46" s="22" t="n">
        <v>109.7</v>
      </c>
      <c r="I46" s="28" t="n">
        <v>6</v>
      </c>
      <c r="J46" s="12" t="inlineStr">
        <is>
          <t>Free Flare Spray (Optimal)</t>
        </is>
      </c>
      <c r="K46" s="22" t="n">
        <v>145.7</v>
      </c>
      <c r="L46" s="22" t="n">
        <v>71.40000000000001</v>
      </c>
      <c r="M46" s="22" t="n">
        <v>13.3</v>
      </c>
      <c r="N46" s="29" t="n">
        <v>1697</v>
      </c>
      <c r="O46" s="22" t="n">
        <v>4.8</v>
      </c>
      <c r="P46" s="14" t="n">
        <v>8.59</v>
      </c>
      <c r="Q46" s="12" t="inlineStr">
        <is>
          <t>IN CONTROL (Stable)</t>
        </is>
      </c>
      <c r="R46" s="16" t="inlineStr">
        <is>
          <t>Routine inspection; normal parameters.</t>
        </is>
      </c>
    </row>
    <row r="47">
      <c r="A47" s="17" t="inlineStr">
        <is>
          <t>LOG-SPC-5046</t>
        </is>
      </c>
      <c r="B47" s="45" t="n">
        <v>45327</v>
      </c>
      <c r="C47" s="17" t="inlineStr">
        <is>
          <t>Shift_C</t>
        </is>
      </c>
      <c r="D47" s="23" t="n">
        <v>240.5</v>
      </c>
      <c r="E47" s="23" t="n">
        <v>3067.1</v>
      </c>
      <c r="F47" s="23" t="n">
        <v>71.5</v>
      </c>
      <c r="G47" s="23" t="n">
        <v>43.2</v>
      </c>
      <c r="H47" s="23" t="n">
        <v>105.2</v>
      </c>
      <c r="I47" s="31" t="n">
        <v>6</v>
      </c>
      <c r="J47" s="17" t="inlineStr">
        <is>
          <t>Free Flare Spray (Optimal)</t>
        </is>
      </c>
      <c r="K47" s="23" t="n">
        <v>144.1</v>
      </c>
      <c r="L47" s="23" t="n">
        <v>66</v>
      </c>
      <c r="M47" s="23" t="n">
        <v>12.8</v>
      </c>
      <c r="N47" s="32" t="n">
        <v>1745</v>
      </c>
      <c r="O47" s="23" t="n">
        <v>4.9</v>
      </c>
      <c r="P47" s="19" t="n">
        <v>8.539999999999999</v>
      </c>
      <c r="Q47" s="17" t="inlineStr">
        <is>
          <t>IN CONTROL (Stable)</t>
        </is>
      </c>
      <c r="R47" s="21" t="inlineStr">
        <is>
          <t>Routine inspection; normal parameters.</t>
        </is>
      </c>
    </row>
    <row r="48">
      <c r="A48" s="12" t="inlineStr">
        <is>
          <t>LOG-SPC-5047</t>
        </is>
      </c>
      <c r="B48" s="44" t="n">
        <v>45327.08333333334</v>
      </c>
      <c r="C48" s="12" t="inlineStr">
        <is>
          <t>Shift_C</t>
        </is>
      </c>
      <c r="D48" s="22" t="n">
        <v>253.5</v>
      </c>
      <c r="E48" s="22" t="n">
        <v>3123.8</v>
      </c>
      <c r="F48" s="22" t="n">
        <v>72</v>
      </c>
      <c r="G48" s="22" t="n">
        <v>44.1</v>
      </c>
      <c r="H48" s="22" t="n">
        <v>106.4</v>
      </c>
      <c r="I48" s="28" t="n">
        <v>6</v>
      </c>
      <c r="J48" s="12" t="inlineStr">
        <is>
          <t>Free Flare Spray (Optimal)</t>
        </is>
      </c>
      <c r="K48" s="22" t="n">
        <v>149.2</v>
      </c>
      <c r="L48" s="22" t="n">
        <v>67.59999999999999</v>
      </c>
      <c r="M48" s="22" t="n">
        <v>14.2</v>
      </c>
      <c r="N48" s="29" t="n">
        <v>1701</v>
      </c>
      <c r="O48" s="22" t="n">
        <v>4.8</v>
      </c>
      <c r="P48" s="14" t="n">
        <v>8.470000000000001</v>
      </c>
      <c r="Q48" s="12" t="inlineStr">
        <is>
          <t>IN CONTROL (Stable)</t>
        </is>
      </c>
      <c r="R48" s="16" t="inlineStr">
        <is>
          <t>Routine inspection; normal parameters.</t>
        </is>
      </c>
    </row>
    <row r="49">
      <c r="A49" s="17" t="inlineStr">
        <is>
          <t>LOG-SPC-5048</t>
        </is>
      </c>
      <c r="B49" s="45" t="n">
        <v>45327.16666666666</v>
      </c>
      <c r="C49" s="17" t="inlineStr">
        <is>
          <t>Shift_C</t>
        </is>
      </c>
      <c r="D49" s="23" t="n">
        <v>251.3</v>
      </c>
      <c r="E49" s="23" t="n">
        <v>3039</v>
      </c>
      <c r="F49" s="23" t="n">
        <v>71.5</v>
      </c>
      <c r="G49" s="23" t="n">
        <v>43.9</v>
      </c>
      <c r="H49" s="23" t="n">
        <v>105.7</v>
      </c>
      <c r="I49" s="31" t="n">
        <v>6</v>
      </c>
      <c r="J49" s="17" t="inlineStr">
        <is>
          <t>Free Flare Spray (Optimal)</t>
        </is>
      </c>
      <c r="K49" s="23" t="n">
        <v>148.5</v>
      </c>
      <c r="L49" s="23" t="n">
        <v>69.5</v>
      </c>
      <c r="M49" s="23" t="n">
        <v>10.6</v>
      </c>
      <c r="N49" s="32" t="n">
        <v>1791</v>
      </c>
      <c r="O49" s="23" t="n">
        <v>4.9</v>
      </c>
      <c r="P49" s="19" t="n">
        <v>8.44</v>
      </c>
      <c r="Q49" s="17" t="inlineStr">
        <is>
          <t>IN CONTROL (Stable)</t>
        </is>
      </c>
      <c r="R49" s="21" t="inlineStr">
        <is>
          <t>Routine inspection; normal parameters.</t>
        </is>
      </c>
    </row>
    <row r="50">
      <c r="A50" s="12" t="inlineStr">
        <is>
          <t>LOG-SPC-5049</t>
        </is>
      </c>
      <c r="B50" s="44" t="n">
        <v>45327.25</v>
      </c>
      <c r="C50" s="12" t="inlineStr">
        <is>
          <t>Shift_A</t>
        </is>
      </c>
      <c r="D50" s="22" t="n">
        <v>250.9</v>
      </c>
      <c r="E50" s="22" t="n">
        <v>3106.2</v>
      </c>
      <c r="F50" s="22" t="n">
        <v>71.40000000000001</v>
      </c>
      <c r="G50" s="22" t="n">
        <v>45</v>
      </c>
      <c r="H50" s="22" t="n">
        <v>102</v>
      </c>
      <c r="I50" s="28" t="n">
        <v>6</v>
      </c>
      <c r="J50" s="12" t="inlineStr">
        <is>
          <t>Free Flare Spray (Optimal)</t>
        </is>
      </c>
      <c r="K50" s="22" t="n">
        <v>143.6</v>
      </c>
      <c r="L50" s="22" t="n">
        <v>67.5</v>
      </c>
      <c r="M50" s="22" t="n">
        <v>11.4</v>
      </c>
      <c r="N50" s="29" t="n">
        <v>1725</v>
      </c>
      <c r="O50" s="22" t="n">
        <v>5</v>
      </c>
      <c r="P50" s="14" t="n">
        <v>8.699999999999999</v>
      </c>
      <c r="Q50" s="12" t="inlineStr">
        <is>
          <t>IN CONTROL (Stable)</t>
        </is>
      </c>
      <c r="R50" s="16" t="inlineStr">
        <is>
          <t>Routine inspection; normal parameters.</t>
        </is>
      </c>
    </row>
    <row r="51">
      <c r="A51" s="17" t="inlineStr">
        <is>
          <t>LOG-SPC-5050</t>
        </is>
      </c>
      <c r="B51" s="45" t="n">
        <v>45327.33333333334</v>
      </c>
      <c r="C51" s="17" t="inlineStr">
        <is>
          <t>Shift_A</t>
        </is>
      </c>
      <c r="D51" s="23" t="n">
        <v>254.9</v>
      </c>
      <c r="E51" s="23" t="n">
        <v>3111.4</v>
      </c>
      <c r="F51" s="23" t="n">
        <v>71.5</v>
      </c>
      <c r="G51" s="23" t="n">
        <v>45.5</v>
      </c>
      <c r="H51" s="23" t="n">
        <v>98.2</v>
      </c>
      <c r="I51" s="31" t="n">
        <v>6</v>
      </c>
      <c r="J51" s="17" t="inlineStr">
        <is>
          <t>Free Flare Spray (Optimal)</t>
        </is>
      </c>
      <c r="K51" s="23" t="n">
        <v>141.8</v>
      </c>
      <c r="L51" s="23" t="n">
        <v>67.09999999999999</v>
      </c>
      <c r="M51" s="23" t="n">
        <v>13.4</v>
      </c>
      <c r="N51" s="32" t="n">
        <v>1752</v>
      </c>
      <c r="O51" s="23" t="n">
        <v>4.9</v>
      </c>
      <c r="P51" s="19" t="n">
        <v>8.81</v>
      </c>
      <c r="Q51" s="17" t="inlineStr">
        <is>
          <t>IN CONTROL (Stable)</t>
        </is>
      </c>
      <c r="R51" s="21" t="inlineStr">
        <is>
          <t>Routine inspection; normal parameters.</t>
        </is>
      </c>
    </row>
    <row r="52">
      <c r="A52" s="12" t="inlineStr">
        <is>
          <t>LOG-SPC-5051</t>
        </is>
      </c>
      <c r="B52" s="44" t="n">
        <v>45327.41666666666</v>
      </c>
      <c r="C52" s="12" t="inlineStr">
        <is>
          <t>Shift_A</t>
        </is>
      </c>
      <c r="D52" s="22" t="n">
        <v>210</v>
      </c>
      <c r="E52" s="22" t="n">
        <v>3112.2</v>
      </c>
      <c r="F52" s="22" t="n">
        <v>71.7</v>
      </c>
      <c r="G52" s="22" t="n">
        <v>45.5</v>
      </c>
      <c r="H52" s="22" t="n">
        <v>104.4</v>
      </c>
      <c r="I52" s="28" t="n">
        <v>6</v>
      </c>
      <c r="J52" s="33" t="inlineStr">
        <is>
          <t>Over-diluted Spray</t>
        </is>
      </c>
      <c r="K52" s="34" t="n">
        <v>122</v>
      </c>
      <c r="L52" s="22" t="n">
        <v>78</v>
      </c>
      <c r="M52" s="22" t="n">
        <v>19.5</v>
      </c>
      <c r="N52" s="35" t="n">
        <v>2050</v>
      </c>
      <c r="O52" s="22" t="n">
        <v>4.8</v>
      </c>
      <c r="P52" s="14" t="n">
        <v>10.4</v>
      </c>
      <c r="Q52" s="33" t="inlineStr">
        <is>
          <t>RULE 2: RUN BELOW LOWER SPEC (Over-grind)</t>
        </is>
      </c>
      <c r="R52" s="16" t="inlineStr">
        <is>
          <t>Increase fresh feed tonnage to 250 tph; adjust ball charge addition rate.</t>
        </is>
      </c>
    </row>
    <row r="53">
      <c r="A53" s="17" t="inlineStr">
        <is>
          <t>LOG-SPC-5052</t>
        </is>
      </c>
      <c r="B53" s="45" t="n">
        <v>45327.5</v>
      </c>
      <c r="C53" s="17" t="inlineStr">
        <is>
          <t>Shift_A</t>
        </is>
      </c>
      <c r="D53" s="23" t="n">
        <v>211.5</v>
      </c>
      <c r="E53" s="23" t="n">
        <v>3107</v>
      </c>
      <c r="F53" s="23" t="n">
        <v>72.2</v>
      </c>
      <c r="G53" s="23" t="n">
        <v>45</v>
      </c>
      <c r="H53" s="23" t="n">
        <v>95.3</v>
      </c>
      <c r="I53" s="31" t="n">
        <v>6</v>
      </c>
      <c r="J53" s="33" t="inlineStr">
        <is>
          <t>Over-diluted Spray</t>
        </is>
      </c>
      <c r="K53" s="34" t="n">
        <v>120.8</v>
      </c>
      <c r="L53" s="23" t="n">
        <v>78.5</v>
      </c>
      <c r="M53" s="23" t="n">
        <v>19.9</v>
      </c>
      <c r="N53" s="35" t="n">
        <v>2075</v>
      </c>
      <c r="O53" s="23" t="n">
        <v>5.2</v>
      </c>
      <c r="P53" s="19" t="n">
        <v>10.5</v>
      </c>
      <c r="Q53" s="33" t="inlineStr">
        <is>
          <t>RULE 2: RUN BELOW LOWER SPEC (Over-grind)</t>
        </is>
      </c>
      <c r="R53" s="21" t="inlineStr">
        <is>
          <t>Increase fresh feed tonnage to 250 tph; adjust ball charge addition rate.</t>
        </is>
      </c>
    </row>
    <row r="54">
      <c r="A54" s="12" t="inlineStr">
        <is>
          <t>LOG-SPC-5053</t>
        </is>
      </c>
      <c r="B54" s="44" t="n">
        <v>45327.58333333334</v>
      </c>
      <c r="C54" s="12" t="inlineStr">
        <is>
          <t>Shift_B</t>
        </is>
      </c>
      <c r="D54" s="22" t="n">
        <v>213</v>
      </c>
      <c r="E54" s="22" t="n">
        <v>3060.4</v>
      </c>
      <c r="F54" s="22" t="n">
        <v>72</v>
      </c>
      <c r="G54" s="22" t="n">
        <v>44.1</v>
      </c>
      <c r="H54" s="22" t="n">
        <v>105.5</v>
      </c>
      <c r="I54" s="28" t="n">
        <v>6</v>
      </c>
      <c r="J54" s="33" t="inlineStr">
        <is>
          <t>Over-diluted Spray</t>
        </is>
      </c>
      <c r="K54" s="34" t="n">
        <v>119.6</v>
      </c>
      <c r="L54" s="22" t="n">
        <v>79</v>
      </c>
      <c r="M54" s="22" t="n">
        <v>20.3</v>
      </c>
      <c r="N54" s="35" t="n">
        <v>2100</v>
      </c>
      <c r="O54" s="22" t="n">
        <v>4.6</v>
      </c>
      <c r="P54" s="14" t="n">
        <v>10.6</v>
      </c>
      <c r="Q54" s="33" t="inlineStr">
        <is>
          <t>RULE 2: RUN BELOW LOWER SPEC (Over-grind)</t>
        </is>
      </c>
      <c r="R54" s="16" t="inlineStr">
        <is>
          <t>Increase fresh feed tonnage to 250 tph; adjust ball charge addition rate.</t>
        </is>
      </c>
    </row>
    <row r="55">
      <c r="A55" s="17" t="inlineStr">
        <is>
          <t>LOG-SPC-5054</t>
        </is>
      </c>
      <c r="B55" s="45" t="n">
        <v>45327.66666666666</v>
      </c>
      <c r="C55" s="17" t="inlineStr">
        <is>
          <t>Shift_B</t>
        </is>
      </c>
      <c r="D55" s="23" t="n">
        <v>214.5</v>
      </c>
      <c r="E55" s="23" t="n">
        <v>3141.1</v>
      </c>
      <c r="F55" s="23" t="n">
        <v>71.59999999999999</v>
      </c>
      <c r="G55" s="23" t="n">
        <v>44.5</v>
      </c>
      <c r="H55" s="23" t="n">
        <v>107.5</v>
      </c>
      <c r="I55" s="31" t="n">
        <v>6</v>
      </c>
      <c r="J55" s="33" t="inlineStr">
        <is>
          <t>Over-diluted Spray</t>
        </is>
      </c>
      <c r="K55" s="34" t="n">
        <v>118.4</v>
      </c>
      <c r="L55" s="23" t="n">
        <v>79.5</v>
      </c>
      <c r="M55" s="23" t="n">
        <v>20.7</v>
      </c>
      <c r="N55" s="35" t="n">
        <v>2125</v>
      </c>
      <c r="O55" s="23" t="n">
        <v>4.2</v>
      </c>
      <c r="P55" s="19" t="n">
        <v>10.7</v>
      </c>
      <c r="Q55" s="33" t="inlineStr">
        <is>
          <t>RULE 2: RUN BELOW LOWER SPEC (Over-grind)</t>
        </is>
      </c>
      <c r="R55" s="21" t="inlineStr">
        <is>
          <t>Increase fresh feed tonnage to 250 tph; adjust ball charge addition rate.</t>
        </is>
      </c>
    </row>
    <row r="56">
      <c r="A56" s="12" t="inlineStr">
        <is>
          <t>LOG-SPC-5055</t>
        </is>
      </c>
      <c r="B56" s="44" t="n">
        <v>45327.75</v>
      </c>
      <c r="C56" s="12" t="inlineStr">
        <is>
          <t>Shift_B</t>
        </is>
      </c>
      <c r="D56" s="22" t="n">
        <v>216</v>
      </c>
      <c r="E56" s="22" t="n">
        <v>3103.5</v>
      </c>
      <c r="F56" s="22" t="n">
        <v>72.09999999999999</v>
      </c>
      <c r="G56" s="22" t="n">
        <v>46</v>
      </c>
      <c r="H56" s="22" t="n">
        <v>102.5</v>
      </c>
      <c r="I56" s="28" t="n">
        <v>6</v>
      </c>
      <c r="J56" s="33" t="inlineStr">
        <is>
          <t>Over-diluted Spray</t>
        </is>
      </c>
      <c r="K56" s="34" t="n">
        <v>117.2</v>
      </c>
      <c r="L56" s="22" t="n">
        <v>80</v>
      </c>
      <c r="M56" s="22" t="n">
        <v>21.1</v>
      </c>
      <c r="N56" s="35" t="n">
        <v>2150</v>
      </c>
      <c r="O56" s="22" t="n">
        <v>4.9</v>
      </c>
      <c r="P56" s="14" t="n">
        <v>10.8</v>
      </c>
      <c r="Q56" s="33" t="inlineStr">
        <is>
          <t>RULE 2: RUN BELOW LOWER SPEC (Over-grind)</t>
        </is>
      </c>
      <c r="R56" s="16" t="inlineStr">
        <is>
          <t>Increase fresh feed tonnage to 250 tph; adjust ball charge addition rate.</t>
        </is>
      </c>
    </row>
    <row r="57">
      <c r="A57" s="17" t="inlineStr">
        <is>
          <t>LOG-SPC-5056</t>
        </is>
      </c>
      <c r="B57" s="45" t="n">
        <v>45327.83333333334</v>
      </c>
      <c r="C57" s="17" t="inlineStr">
        <is>
          <t>Shift_B</t>
        </is>
      </c>
      <c r="D57" s="23" t="n">
        <v>217.5</v>
      </c>
      <c r="E57" s="23" t="n">
        <v>3045.7</v>
      </c>
      <c r="F57" s="23" t="n">
        <v>72.2</v>
      </c>
      <c r="G57" s="23" t="n">
        <v>45.8</v>
      </c>
      <c r="H57" s="23" t="n">
        <v>114.2</v>
      </c>
      <c r="I57" s="31" t="n">
        <v>6</v>
      </c>
      <c r="J57" s="33" t="inlineStr">
        <is>
          <t>Over-diluted Spray</t>
        </is>
      </c>
      <c r="K57" s="34" t="n">
        <v>116</v>
      </c>
      <c r="L57" s="23" t="n">
        <v>80.5</v>
      </c>
      <c r="M57" s="23" t="n">
        <v>21.5</v>
      </c>
      <c r="N57" s="35" t="n">
        <v>2175</v>
      </c>
      <c r="O57" s="23" t="n">
        <v>5.1</v>
      </c>
      <c r="P57" s="19" t="n">
        <v>10.9</v>
      </c>
      <c r="Q57" s="33" t="inlineStr">
        <is>
          <t>RULE 2: RUN BELOW LOWER SPEC (Over-grind)</t>
        </is>
      </c>
      <c r="R57" s="21" t="inlineStr">
        <is>
          <t>Increase fresh feed tonnage to 250 tph; adjust ball charge addition rate.</t>
        </is>
      </c>
    </row>
    <row r="58">
      <c r="A58" s="12" t="inlineStr">
        <is>
          <t>LOG-SPC-5057</t>
        </is>
      </c>
      <c r="B58" s="44" t="n">
        <v>45327.91666666666</v>
      </c>
      <c r="C58" s="12" t="inlineStr">
        <is>
          <t>Shift_C</t>
        </is>
      </c>
      <c r="D58" s="22" t="n">
        <v>219</v>
      </c>
      <c r="E58" s="22" t="n">
        <v>3113.6</v>
      </c>
      <c r="F58" s="22" t="n">
        <v>72</v>
      </c>
      <c r="G58" s="22" t="n">
        <v>45.8</v>
      </c>
      <c r="H58" s="22" t="n">
        <v>111.5</v>
      </c>
      <c r="I58" s="28" t="n">
        <v>6</v>
      </c>
      <c r="J58" s="33" t="inlineStr">
        <is>
          <t>Over-diluted Spray</t>
        </is>
      </c>
      <c r="K58" s="34" t="n">
        <v>114.8</v>
      </c>
      <c r="L58" s="22" t="n">
        <v>81</v>
      </c>
      <c r="M58" s="22" t="n">
        <v>21.9</v>
      </c>
      <c r="N58" s="35" t="n">
        <v>2200</v>
      </c>
      <c r="O58" s="22" t="n">
        <v>5</v>
      </c>
      <c r="P58" s="14" t="n">
        <v>11</v>
      </c>
      <c r="Q58" s="33" t="inlineStr">
        <is>
          <t>RULE 2: RUN BELOW LOWER SPEC (Over-grind)</t>
        </is>
      </c>
      <c r="R58" s="16" t="inlineStr">
        <is>
          <t>Increase fresh feed tonnage to 250 tph; adjust ball charge addition rate.</t>
        </is>
      </c>
    </row>
    <row r="59">
      <c r="A59" s="17" t="inlineStr">
        <is>
          <t>LOG-SPC-5058</t>
        </is>
      </c>
      <c r="B59" s="45" t="n">
        <v>45328</v>
      </c>
      <c r="C59" s="17" t="inlineStr">
        <is>
          <t>Shift_C</t>
        </is>
      </c>
      <c r="D59" s="23" t="n">
        <v>220.5</v>
      </c>
      <c r="E59" s="23" t="n">
        <v>3058.2</v>
      </c>
      <c r="F59" s="23" t="n">
        <v>72</v>
      </c>
      <c r="G59" s="23" t="n">
        <v>44.1</v>
      </c>
      <c r="H59" s="23" t="n">
        <v>107.8</v>
      </c>
      <c r="I59" s="31" t="n">
        <v>6</v>
      </c>
      <c r="J59" s="33" t="inlineStr">
        <is>
          <t>Over-diluted Spray</t>
        </is>
      </c>
      <c r="K59" s="34" t="n">
        <v>113.6</v>
      </c>
      <c r="L59" s="23" t="n">
        <v>81.5</v>
      </c>
      <c r="M59" s="23" t="n">
        <v>22.3</v>
      </c>
      <c r="N59" s="35" t="n">
        <v>2225</v>
      </c>
      <c r="O59" s="23" t="n">
        <v>5.1</v>
      </c>
      <c r="P59" s="19" t="n">
        <v>11.1</v>
      </c>
      <c r="Q59" s="33" t="inlineStr">
        <is>
          <t>RULE 2: RUN BELOW LOWER SPEC (Over-grind)</t>
        </is>
      </c>
      <c r="R59" s="21" t="inlineStr">
        <is>
          <t>Increase fresh feed tonnage to 250 tph; adjust ball charge addition rate.</t>
        </is>
      </c>
    </row>
    <row r="60">
      <c r="A60" s="12" t="inlineStr">
        <is>
          <t>LOG-SPC-5059</t>
        </is>
      </c>
      <c r="B60" s="44" t="n">
        <v>45328.08333333334</v>
      </c>
      <c r="C60" s="12" t="inlineStr">
        <is>
          <t>Shift_C</t>
        </is>
      </c>
      <c r="D60" s="22" t="n">
        <v>222</v>
      </c>
      <c r="E60" s="22" t="n">
        <v>3066.5</v>
      </c>
      <c r="F60" s="22" t="n">
        <v>71.40000000000001</v>
      </c>
      <c r="G60" s="22" t="n">
        <v>44.4</v>
      </c>
      <c r="H60" s="22" t="n">
        <v>109.3</v>
      </c>
      <c r="I60" s="28" t="n">
        <v>6</v>
      </c>
      <c r="J60" s="33" t="inlineStr">
        <is>
          <t>Over-diluted Spray</t>
        </is>
      </c>
      <c r="K60" s="34" t="n">
        <v>112.4</v>
      </c>
      <c r="L60" s="22" t="n">
        <v>82</v>
      </c>
      <c r="M60" s="22" t="n">
        <v>22.7</v>
      </c>
      <c r="N60" s="35" t="n">
        <v>2250</v>
      </c>
      <c r="O60" s="22" t="n">
        <v>4.4</v>
      </c>
      <c r="P60" s="14" t="n">
        <v>11.2</v>
      </c>
      <c r="Q60" s="33" t="inlineStr">
        <is>
          <t>RULE 2: RUN BELOW LOWER SPEC (Over-grind)</t>
        </is>
      </c>
      <c r="R60" s="16" t="inlineStr">
        <is>
          <t>Increase fresh feed tonnage to 250 tph; adjust ball charge addition rate.</t>
        </is>
      </c>
    </row>
    <row r="61">
      <c r="A61" s="17" t="inlineStr">
        <is>
          <t>LOG-SPC-5060</t>
        </is>
      </c>
      <c r="B61" s="45" t="n">
        <v>45328.16666666666</v>
      </c>
      <c r="C61" s="17" t="inlineStr">
        <is>
          <t>Shift_C</t>
        </is>
      </c>
      <c r="D61" s="23" t="n">
        <v>223.5</v>
      </c>
      <c r="E61" s="23" t="n">
        <v>3044.6</v>
      </c>
      <c r="F61" s="23" t="n">
        <v>72</v>
      </c>
      <c r="G61" s="23" t="n">
        <v>44.6</v>
      </c>
      <c r="H61" s="23" t="n">
        <v>106.9</v>
      </c>
      <c r="I61" s="31" t="n">
        <v>6</v>
      </c>
      <c r="J61" s="33" t="inlineStr">
        <is>
          <t>Over-diluted Spray</t>
        </is>
      </c>
      <c r="K61" s="34" t="n">
        <v>111.2</v>
      </c>
      <c r="L61" s="23" t="n">
        <v>82.5</v>
      </c>
      <c r="M61" s="23" t="n">
        <v>23.1</v>
      </c>
      <c r="N61" s="35" t="n">
        <v>2275</v>
      </c>
      <c r="O61" s="23" t="n">
        <v>4.4</v>
      </c>
      <c r="P61" s="19" t="n">
        <v>11.3</v>
      </c>
      <c r="Q61" s="33" t="inlineStr">
        <is>
          <t>RULE 2: RUN BELOW LOWER SPEC (Over-grind)</t>
        </is>
      </c>
      <c r="R61" s="21" t="inlineStr">
        <is>
          <t>Increase fresh feed tonnage to 250 tph; adjust ball charge addition rate.</t>
        </is>
      </c>
    </row>
    <row r="62">
      <c r="A62" s="12" t="inlineStr">
        <is>
          <t>LOG-SPC-5061</t>
        </is>
      </c>
      <c r="B62" s="44" t="n">
        <v>45328.25</v>
      </c>
      <c r="C62" s="12" t="inlineStr">
        <is>
          <t>Shift_A</t>
        </is>
      </c>
      <c r="D62" s="22" t="n">
        <v>225</v>
      </c>
      <c r="E62" s="22" t="n">
        <v>3067.3</v>
      </c>
      <c r="F62" s="22" t="n">
        <v>71.7</v>
      </c>
      <c r="G62" s="22" t="n">
        <v>44.1</v>
      </c>
      <c r="H62" s="22" t="n">
        <v>102.9</v>
      </c>
      <c r="I62" s="28" t="n">
        <v>6</v>
      </c>
      <c r="J62" s="33" t="inlineStr">
        <is>
          <t>Over-diluted Spray</t>
        </is>
      </c>
      <c r="K62" s="34" t="n">
        <v>110</v>
      </c>
      <c r="L62" s="22" t="n">
        <v>83</v>
      </c>
      <c r="M62" s="22" t="n">
        <v>23.5</v>
      </c>
      <c r="N62" s="35" t="n">
        <v>2300</v>
      </c>
      <c r="O62" s="22" t="n">
        <v>5.1</v>
      </c>
      <c r="P62" s="14" t="n">
        <v>11.4</v>
      </c>
      <c r="Q62" s="33" t="inlineStr">
        <is>
          <t>RULE 2: RUN BELOW LOWER SPEC (Over-grind)</t>
        </is>
      </c>
      <c r="R62" s="16" t="inlineStr">
        <is>
          <t>Increase fresh feed tonnage to 250 tph; adjust ball charge addition rate.</t>
        </is>
      </c>
    </row>
    <row r="63">
      <c r="A63" s="17" t="inlineStr">
        <is>
          <t>LOG-SPC-5062</t>
        </is>
      </c>
      <c r="B63" s="45" t="n">
        <v>45328.33333333334</v>
      </c>
      <c r="C63" s="17" t="inlineStr">
        <is>
          <t>Shift_A</t>
        </is>
      </c>
      <c r="D63" s="23" t="n">
        <v>226.5</v>
      </c>
      <c r="E63" s="23" t="n">
        <v>3141.3</v>
      </c>
      <c r="F63" s="23" t="n">
        <v>72.5</v>
      </c>
      <c r="G63" s="23" t="n">
        <v>43.7</v>
      </c>
      <c r="H63" s="23" t="n">
        <v>108.8</v>
      </c>
      <c r="I63" s="31" t="n">
        <v>6</v>
      </c>
      <c r="J63" s="33" t="inlineStr">
        <is>
          <t>Over-diluted Spray</t>
        </is>
      </c>
      <c r="K63" s="34" t="n">
        <v>108.8</v>
      </c>
      <c r="L63" s="23" t="n">
        <v>83.5</v>
      </c>
      <c r="M63" s="23" t="n">
        <v>23.9</v>
      </c>
      <c r="N63" s="35" t="n">
        <v>2325</v>
      </c>
      <c r="O63" s="23" t="n">
        <v>5</v>
      </c>
      <c r="P63" s="19" t="n">
        <v>11.5</v>
      </c>
      <c r="Q63" s="33" t="inlineStr">
        <is>
          <t>RULE 2: RUN BELOW LOWER SPEC (Over-grind)</t>
        </is>
      </c>
      <c r="R63" s="21" t="inlineStr">
        <is>
          <t>Increase fresh feed tonnage to 250 tph; adjust ball charge addition rate.</t>
        </is>
      </c>
    </row>
    <row r="64">
      <c r="A64" s="12" t="inlineStr">
        <is>
          <t>LOG-SPC-5063</t>
        </is>
      </c>
      <c r="B64" s="44" t="n">
        <v>45328.41666666666</v>
      </c>
      <c r="C64" s="12" t="inlineStr">
        <is>
          <t>Shift_A</t>
        </is>
      </c>
      <c r="D64" s="22" t="n">
        <v>228</v>
      </c>
      <c r="E64" s="22" t="n">
        <v>3077.7</v>
      </c>
      <c r="F64" s="22" t="n">
        <v>71.90000000000001</v>
      </c>
      <c r="G64" s="22" t="n">
        <v>44.6</v>
      </c>
      <c r="H64" s="22" t="n">
        <v>103.9</v>
      </c>
      <c r="I64" s="28" t="n">
        <v>6</v>
      </c>
      <c r="J64" s="33" t="inlineStr">
        <is>
          <t>Over-diluted Spray</t>
        </is>
      </c>
      <c r="K64" s="34" t="n">
        <v>107.6</v>
      </c>
      <c r="L64" s="22" t="n">
        <v>84</v>
      </c>
      <c r="M64" s="22" t="n">
        <v>24.3</v>
      </c>
      <c r="N64" s="35" t="n">
        <v>2350</v>
      </c>
      <c r="O64" s="22" t="n">
        <v>4.6</v>
      </c>
      <c r="P64" s="14" t="n">
        <v>11.6</v>
      </c>
      <c r="Q64" s="33" t="inlineStr">
        <is>
          <t>RULE 2: RUN BELOW LOWER SPEC (Over-grind)</t>
        </is>
      </c>
      <c r="R64" s="16" t="inlineStr">
        <is>
          <t>Increase fresh feed tonnage to 250 tph; adjust ball charge addition rate.</t>
        </is>
      </c>
    </row>
    <row r="65">
      <c r="A65" s="17" t="inlineStr">
        <is>
          <t>LOG-SPC-5064</t>
        </is>
      </c>
      <c r="B65" s="45" t="n">
        <v>45328.5</v>
      </c>
      <c r="C65" s="17" t="inlineStr">
        <is>
          <t>Shift_A</t>
        </is>
      </c>
      <c r="D65" s="23" t="n">
        <v>229.5</v>
      </c>
      <c r="E65" s="23" t="n">
        <v>3096.5</v>
      </c>
      <c r="F65" s="23" t="n">
        <v>71.8</v>
      </c>
      <c r="G65" s="23" t="n">
        <v>45.1</v>
      </c>
      <c r="H65" s="23" t="n">
        <v>103.8</v>
      </c>
      <c r="I65" s="31" t="n">
        <v>6</v>
      </c>
      <c r="J65" s="33" t="inlineStr">
        <is>
          <t>Over-diluted Spray</t>
        </is>
      </c>
      <c r="K65" s="34" t="n">
        <v>106.4</v>
      </c>
      <c r="L65" s="23" t="n">
        <v>84.5</v>
      </c>
      <c r="M65" s="23" t="n">
        <v>24.7</v>
      </c>
      <c r="N65" s="35" t="n">
        <v>2375</v>
      </c>
      <c r="O65" s="23" t="n">
        <v>4.8</v>
      </c>
      <c r="P65" s="19" t="n">
        <v>11.7</v>
      </c>
      <c r="Q65" s="33" t="inlineStr">
        <is>
          <t>RULE 2: RUN BELOW LOWER SPEC (Over-grind)</t>
        </is>
      </c>
      <c r="R65" s="21" t="inlineStr">
        <is>
          <t>Increase fresh feed tonnage to 250 tph; adjust ball charge addition rate.</t>
        </is>
      </c>
    </row>
    <row r="66">
      <c r="A66" s="12" t="inlineStr">
        <is>
          <t>LOG-SPC-5065</t>
        </is>
      </c>
      <c r="B66" s="44" t="n">
        <v>45328.58333333334</v>
      </c>
      <c r="C66" s="12" t="inlineStr">
        <is>
          <t>Shift_B</t>
        </is>
      </c>
      <c r="D66" s="22" t="n">
        <v>231</v>
      </c>
      <c r="E66" s="22" t="n">
        <v>3112.6</v>
      </c>
      <c r="F66" s="22" t="n">
        <v>71.5</v>
      </c>
      <c r="G66" s="22" t="n">
        <v>45.3</v>
      </c>
      <c r="H66" s="22" t="n">
        <v>99.59999999999999</v>
      </c>
      <c r="I66" s="28" t="n">
        <v>6</v>
      </c>
      <c r="J66" s="33" t="inlineStr">
        <is>
          <t>Over-diluted Spray</t>
        </is>
      </c>
      <c r="K66" s="34" t="n">
        <v>105.2</v>
      </c>
      <c r="L66" s="22" t="n">
        <v>85</v>
      </c>
      <c r="M66" s="22" t="n">
        <v>25.1</v>
      </c>
      <c r="N66" s="35" t="n">
        <v>2400</v>
      </c>
      <c r="O66" s="22" t="n">
        <v>4.6</v>
      </c>
      <c r="P66" s="14" t="n">
        <v>11.8</v>
      </c>
      <c r="Q66" s="33" t="inlineStr">
        <is>
          <t>RULE 2: RUN BELOW LOWER SPEC (Over-grind)</t>
        </is>
      </c>
      <c r="R66" s="16" t="inlineStr">
        <is>
          <t>Increase fresh feed tonnage to 250 tph; adjust ball charge addition rate.</t>
        </is>
      </c>
    </row>
    <row r="67">
      <c r="A67" s="17" t="inlineStr">
        <is>
          <t>LOG-SPC-5066</t>
        </is>
      </c>
      <c r="B67" s="45" t="n">
        <v>45328.66666666666</v>
      </c>
      <c r="C67" s="17" t="inlineStr">
        <is>
          <t>Shift_B</t>
        </is>
      </c>
      <c r="D67" s="23" t="n">
        <v>232.5</v>
      </c>
      <c r="E67" s="23" t="n">
        <v>3150.8</v>
      </c>
      <c r="F67" s="23" t="n">
        <v>71.8</v>
      </c>
      <c r="G67" s="23" t="n">
        <v>44.3</v>
      </c>
      <c r="H67" s="23" t="n">
        <v>103.5</v>
      </c>
      <c r="I67" s="31" t="n">
        <v>6</v>
      </c>
      <c r="J67" s="33" t="inlineStr">
        <is>
          <t>Over-diluted Spray</t>
        </is>
      </c>
      <c r="K67" s="34" t="n">
        <v>104</v>
      </c>
      <c r="L67" s="23" t="n">
        <v>85.5</v>
      </c>
      <c r="M67" s="23" t="n">
        <v>25.5</v>
      </c>
      <c r="N67" s="35" t="n">
        <v>2425</v>
      </c>
      <c r="O67" s="23" t="n">
        <v>4.4</v>
      </c>
      <c r="P67" s="19" t="n">
        <v>11.9</v>
      </c>
      <c r="Q67" s="33" t="inlineStr">
        <is>
          <t>RULE 2: RUN BELOW LOWER SPEC (Over-grind)</t>
        </is>
      </c>
      <c r="R67" s="21" t="inlineStr">
        <is>
          <t>Increase fresh feed tonnage to 250 tph; adjust ball charge addition rate.</t>
        </is>
      </c>
    </row>
    <row r="68">
      <c r="A68" s="12" t="inlineStr">
        <is>
          <t>LOG-SPC-5067</t>
        </is>
      </c>
      <c r="B68" s="44" t="n">
        <v>45328.75</v>
      </c>
      <c r="C68" s="12" t="inlineStr">
        <is>
          <t>Shift_B</t>
        </is>
      </c>
      <c r="D68" s="22" t="n">
        <v>246.6</v>
      </c>
      <c r="E68" s="22" t="n">
        <v>3129.1</v>
      </c>
      <c r="F68" s="22" t="n">
        <v>71.90000000000001</v>
      </c>
      <c r="G68" s="22" t="n">
        <v>44</v>
      </c>
      <c r="H68" s="22" t="n">
        <v>105</v>
      </c>
      <c r="I68" s="28" t="n">
        <v>6</v>
      </c>
      <c r="J68" s="12" t="inlineStr">
        <is>
          <t>Free Flare Spray (Optimal)</t>
        </is>
      </c>
      <c r="K68" s="22" t="n">
        <v>147.7</v>
      </c>
      <c r="L68" s="22" t="n">
        <v>68.2</v>
      </c>
      <c r="M68" s="22" t="n">
        <v>13.5</v>
      </c>
      <c r="N68" s="29" t="n">
        <v>1755</v>
      </c>
      <c r="O68" s="22" t="n">
        <v>5.1</v>
      </c>
      <c r="P68" s="14" t="n">
        <v>8.51</v>
      </c>
      <c r="Q68" s="12" t="inlineStr">
        <is>
          <t>IN CONTROL (Stable)</t>
        </is>
      </c>
      <c r="R68" s="16" t="inlineStr">
        <is>
          <t>Routine inspection; normal parameters.</t>
        </is>
      </c>
    </row>
    <row r="69">
      <c r="A69" s="17" t="inlineStr">
        <is>
          <t>LOG-SPC-5068</t>
        </is>
      </c>
      <c r="B69" s="45" t="n">
        <v>45328.83333333334</v>
      </c>
      <c r="C69" s="17" t="inlineStr">
        <is>
          <t>Shift_B</t>
        </is>
      </c>
      <c r="D69" s="23" t="n">
        <v>243.5</v>
      </c>
      <c r="E69" s="23" t="n">
        <v>3078.5</v>
      </c>
      <c r="F69" s="23" t="n">
        <v>71.90000000000001</v>
      </c>
      <c r="G69" s="23" t="n">
        <v>45.2</v>
      </c>
      <c r="H69" s="23" t="n">
        <v>94.09999999999999</v>
      </c>
      <c r="I69" s="31" t="n">
        <v>6</v>
      </c>
      <c r="J69" s="17" t="inlineStr">
        <is>
          <t>Free Flare Spray (Optimal)</t>
        </is>
      </c>
      <c r="K69" s="23" t="n">
        <v>145</v>
      </c>
      <c r="L69" s="23" t="n">
        <v>68.7</v>
      </c>
      <c r="M69" s="23" t="n">
        <v>12.3</v>
      </c>
      <c r="N69" s="32" t="n">
        <v>1765</v>
      </c>
      <c r="O69" s="23" t="n">
        <v>4.9</v>
      </c>
      <c r="P69" s="19" t="n">
        <v>8.859999999999999</v>
      </c>
      <c r="Q69" s="17" t="inlineStr">
        <is>
          <t>IN CONTROL (Stable)</t>
        </is>
      </c>
      <c r="R69" s="21" t="inlineStr">
        <is>
          <t>Routine inspection; normal parameters.</t>
        </is>
      </c>
    </row>
    <row r="70">
      <c r="A70" s="12" t="inlineStr">
        <is>
          <t>LOG-SPC-5069</t>
        </is>
      </c>
      <c r="B70" s="44" t="n">
        <v>45328.91666666666</v>
      </c>
      <c r="C70" s="12" t="inlineStr">
        <is>
          <t>Shift_C</t>
        </is>
      </c>
      <c r="D70" s="22" t="n">
        <v>248.7</v>
      </c>
      <c r="E70" s="22" t="n">
        <v>3132.8</v>
      </c>
      <c r="F70" s="22" t="n">
        <v>72.8</v>
      </c>
      <c r="G70" s="22" t="n">
        <v>45.8</v>
      </c>
      <c r="H70" s="22" t="n">
        <v>99.5</v>
      </c>
      <c r="I70" s="28" t="n">
        <v>6</v>
      </c>
      <c r="J70" s="12" t="inlineStr">
        <is>
          <t>Free Flare Spray (Optimal)</t>
        </is>
      </c>
      <c r="K70" s="22" t="n">
        <v>144.1</v>
      </c>
      <c r="L70" s="22" t="n">
        <v>68</v>
      </c>
      <c r="M70" s="22" t="n">
        <v>12.9</v>
      </c>
      <c r="N70" s="29" t="n">
        <v>1744</v>
      </c>
      <c r="O70" s="22" t="n">
        <v>4.5</v>
      </c>
      <c r="P70" s="14" t="n">
        <v>8.609999999999999</v>
      </c>
      <c r="Q70" s="12" t="inlineStr">
        <is>
          <t>IN CONTROL (Stable)</t>
        </is>
      </c>
      <c r="R70" s="16" t="inlineStr">
        <is>
          <t>Routine inspection; normal parameters.</t>
        </is>
      </c>
    </row>
    <row r="71">
      <c r="A71" s="17" t="inlineStr">
        <is>
          <t>LOG-SPC-5070</t>
        </is>
      </c>
      <c r="B71" s="45" t="n">
        <v>45329</v>
      </c>
      <c r="C71" s="17" t="inlineStr">
        <is>
          <t>Shift_C</t>
        </is>
      </c>
      <c r="D71" s="23" t="n">
        <v>237.9</v>
      </c>
      <c r="E71" s="23" t="n">
        <v>3150.5</v>
      </c>
      <c r="F71" s="23" t="n">
        <v>71.5</v>
      </c>
      <c r="G71" s="23" t="n">
        <v>44.8</v>
      </c>
      <c r="H71" s="23" t="n">
        <v>103.5</v>
      </c>
      <c r="I71" s="31" t="n">
        <v>6</v>
      </c>
      <c r="J71" s="17" t="inlineStr">
        <is>
          <t>Free Flare Spray (Optimal)</t>
        </is>
      </c>
      <c r="K71" s="23" t="n">
        <v>149</v>
      </c>
      <c r="L71" s="23" t="n">
        <v>64.2</v>
      </c>
      <c r="M71" s="23" t="n">
        <v>12.5</v>
      </c>
      <c r="N71" s="32" t="n">
        <v>1716</v>
      </c>
      <c r="O71" s="23" t="n">
        <v>4.7</v>
      </c>
      <c r="P71" s="19" t="n">
        <v>8.949999999999999</v>
      </c>
      <c r="Q71" s="17" t="inlineStr">
        <is>
          <t>IN CONTROL (Stable)</t>
        </is>
      </c>
      <c r="R71" s="21" t="inlineStr">
        <is>
          <t>Routine inspection; normal parameters.</t>
        </is>
      </c>
    </row>
    <row r="72">
      <c r="A72" s="12" t="inlineStr">
        <is>
          <t>LOG-SPC-5071</t>
        </is>
      </c>
      <c r="B72" s="44" t="n">
        <v>45329.08333333334</v>
      </c>
      <c r="C72" s="12" t="inlineStr">
        <is>
          <t>Shift_C</t>
        </is>
      </c>
      <c r="D72" s="22" t="n">
        <v>244.7</v>
      </c>
      <c r="E72" s="22" t="n">
        <v>3127</v>
      </c>
      <c r="F72" s="22" t="n">
        <v>72</v>
      </c>
      <c r="G72" s="22" t="n">
        <v>45.8</v>
      </c>
      <c r="H72" s="22" t="n">
        <v>101.7</v>
      </c>
      <c r="I72" s="28" t="n">
        <v>6</v>
      </c>
      <c r="J72" s="12" t="inlineStr">
        <is>
          <t>Free Flare Spray (Optimal)</t>
        </is>
      </c>
      <c r="K72" s="22" t="n">
        <v>142.4</v>
      </c>
      <c r="L72" s="22" t="n">
        <v>70.09999999999999</v>
      </c>
      <c r="M72" s="22" t="n">
        <v>12.8</v>
      </c>
      <c r="N72" s="29" t="n">
        <v>1665</v>
      </c>
      <c r="O72" s="22" t="n">
        <v>4.6</v>
      </c>
      <c r="P72" s="14" t="n">
        <v>8.68</v>
      </c>
      <c r="Q72" s="12" t="inlineStr">
        <is>
          <t>IN CONTROL (Stable)</t>
        </is>
      </c>
      <c r="R72" s="16" t="inlineStr">
        <is>
          <t>Routine inspection; normal parameters.</t>
        </is>
      </c>
    </row>
    <row r="73">
      <c r="A73" s="17" t="inlineStr">
        <is>
          <t>LOG-SPC-5072</t>
        </is>
      </c>
      <c r="B73" s="45" t="n">
        <v>45329.16666666666</v>
      </c>
      <c r="C73" s="17" t="inlineStr">
        <is>
          <t>Shift_C</t>
        </is>
      </c>
      <c r="D73" s="23" t="n">
        <v>255</v>
      </c>
      <c r="E73" s="23" t="n">
        <v>3076.2</v>
      </c>
      <c r="F73" s="23" t="n">
        <v>70.09999999999999</v>
      </c>
      <c r="G73" s="23" t="n">
        <v>45.2</v>
      </c>
      <c r="H73" s="23" t="n">
        <v>98.90000000000001</v>
      </c>
      <c r="I73" s="31" t="n">
        <v>6</v>
      </c>
      <c r="J73" s="17" t="inlineStr">
        <is>
          <t>Free Flare Spray (Optimal)</t>
        </is>
      </c>
      <c r="K73" s="23" t="n">
        <v>137.9</v>
      </c>
      <c r="L73" s="23" t="n">
        <v>64.3</v>
      </c>
      <c r="M73" s="23" t="n">
        <v>13.2</v>
      </c>
      <c r="N73" s="32" t="n">
        <v>1724</v>
      </c>
      <c r="O73" s="23" t="n">
        <v>4.7</v>
      </c>
      <c r="P73" s="19" t="n">
        <v>8.880000000000001</v>
      </c>
      <c r="Q73" s="17" t="inlineStr">
        <is>
          <t>IN CONTROL (Stable)</t>
        </is>
      </c>
      <c r="R73" s="21" t="inlineStr">
        <is>
          <t>Routine inspection; normal parameters.</t>
        </is>
      </c>
    </row>
    <row r="74">
      <c r="A74" s="12" t="inlineStr">
        <is>
          <t>LOG-SPC-5073</t>
        </is>
      </c>
      <c r="B74" s="44" t="n">
        <v>45329.25</v>
      </c>
      <c r="C74" s="12" t="inlineStr">
        <is>
          <t>Shift_A</t>
        </is>
      </c>
      <c r="D74" s="22" t="n">
        <v>253.8</v>
      </c>
      <c r="E74" s="22" t="n">
        <v>3156.6</v>
      </c>
      <c r="F74" s="22" t="n">
        <v>71</v>
      </c>
      <c r="G74" s="22" t="n">
        <v>44.8</v>
      </c>
      <c r="H74" s="22" t="n">
        <v>96.90000000000001</v>
      </c>
      <c r="I74" s="28" t="n">
        <v>6</v>
      </c>
      <c r="J74" s="12" t="inlineStr">
        <is>
          <t>Free Flare Spray (Optimal)</t>
        </is>
      </c>
      <c r="K74" s="22" t="n">
        <v>144.2</v>
      </c>
      <c r="L74" s="22" t="n">
        <v>68.09999999999999</v>
      </c>
      <c r="M74" s="22" t="n">
        <v>13</v>
      </c>
      <c r="N74" s="29" t="n">
        <v>1721</v>
      </c>
      <c r="O74" s="22" t="n">
        <v>5</v>
      </c>
      <c r="P74" s="14" t="n">
        <v>8.74</v>
      </c>
      <c r="Q74" s="12" t="inlineStr">
        <is>
          <t>IN CONTROL (Stable)</t>
        </is>
      </c>
      <c r="R74" s="16" t="inlineStr">
        <is>
          <t>Routine inspection; normal parameters.</t>
        </is>
      </c>
    </row>
    <row r="75">
      <c r="A75" s="17" t="inlineStr">
        <is>
          <t>LOG-SPC-5074</t>
        </is>
      </c>
      <c r="B75" s="45" t="n">
        <v>45329.33333333334</v>
      </c>
      <c r="C75" s="17" t="inlineStr">
        <is>
          <t>Shift_A</t>
        </is>
      </c>
      <c r="D75" s="23" t="n">
        <v>262.9</v>
      </c>
      <c r="E75" s="23" t="n">
        <v>3089</v>
      </c>
      <c r="F75" s="23" t="n">
        <v>71.2</v>
      </c>
      <c r="G75" s="23" t="n">
        <v>45</v>
      </c>
      <c r="H75" s="23" t="n">
        <v>101</v>
      </c>
      <c r="I75" s="31" t="n">
        <v>6</v>
      </c>
      <c r="J75" s="17" t="inlineStr">
        <is>
          <t>Free Flare Spray (Optimal)</t>
        </is>
      </c>
      <c r="K75" s="23" t="n">
        <v>150.2</v>
      </c>
      <c r="L75" s="23" t="n">
        <v>68.09999999999999</v>
      </c>
      <c r="M75" s="23" t="n">
        <v>12</v>
      </c>
      <c r="N75" s="32" t="n">
        <v>1703</v>
      </c>
      <c r="O75" s="23" t="n">
        <v>5</v>
      </c>
      <c r="P75" s="19" t="n">
        <v>8.57</v>
      </c>
      <c r="Q75" s="17" t="inlineStr">
        <is>
          <t>IN CONTROL (Stable)</t>
        </is>
      </c>
      <c r="R75" s="21" t="inlineStr">
        <is>
          <t>Routine inspection; normal parameters.</t>
        </is>
      </c>
    </row>
    <row r="76">
      <c r="A76" s="12" t="inlineStr">
        <is>
          <t>LOG-SPC-5075</t>
        </is>
      </c>
      <c r="B76" s="44" t="n">
        <v>45329.41666666666</v>
      </c>
      <c r="C76" s="12" t="inlineStr">
        <is>
          <t>Shift_A</t>
        </is>
      </c>
      <c r="D76" s="22" t="n">
        <v>246.1</v>
      </c>
      <c r="E76" s="22" t="n">
        <v>3158.3</v>
      </c>
      <c r="F76" s="22" t="n">
        <v>71.3</v>
      </c>
      <c r="G76" s="22" t="n">
        <v>44.8</v>
      </c>
      <c r="H76" s="22" t="n">
        <v>108.3</v>
      </c>
      <c r="I76" s="28" t="n">
        <v>6</v>
      </c>
      <c r="J76" s="12" t="inlineStr">
        <is>
          <t>Free Flare Spray (Optimal)</t>
        </is>
      </c>
      <c r="K76" s="22" t="n">
        <v>139.3</v>
      </c>
      <c r="L76" s="22" t="n">
        <v>69.2</v>
      </c>
      <c r="M76" s="22" t="n">
        <v>11.7</v>
      </c>
      <c r="N76" s="29" t="n">
        <v>1748</v>
      </c>
      <c r="O76" s="22" t="n">
        <v>4.5</v>
      </c>
      <c r="P76" s="14" t="n">
        <v>8.74</v>
      </c>
      <c r="Q76" s="12" t="inlineStr">
        <is>
          <t>IN CONTROL (Stable)</t>
        </is>
      </c>
      <c r="R76" s="16" t="inlineStr">
        <is>
          <t>Routine inspection; normal parameters.</t>
        </is>
      </c>
    </row>
    <row r="77">
      <c r="A77" s="17" t="inlineStr">
        <is>
          <t>LOG-SPC-5076</t>
        </is>
      </c>
      <c r="B77" s="45" t="n">
        <v>45329.5</v>
      </c>
      <c r="C77" s="17" t="inlineStr">
        <is>
          <t>Shift_A</t>
        </is>
      </c>
      <c r="D77" s="23" t="n">
        <v>256.6</v>
      </c>
      <c r="E77" s="23" t="n">
        <v>3130.2</v>
      </c>
      <c r="F77" s="23" t="n">
        <v>72</v>
      </c>
      <c r="G77" s="23" t="n">
        <v>44.6</v>
      </c>
      <c r="H77" s="23" t="n">
        <v>102.1</v>
      </c>
      <c r="I77" s="31" t="n">
        <v>6</v>
      </c>
      <c r="J77" s="17" t="inlineStr">
        <is>
          <t>Free Flare Spray (Optimal)</t>
        </is>
      </c>
      <c r="K77" s="23" t="n">
        <v>150.1</v>
      </c>
      <c r="L77" s="23" t="n">
        <v>67.5</v>
      </c>
      <c r="M77" s="23" t="n">
        <v>11.7</v>
      </c>
      <c r="N77" s="32" t="n">
        <v>1743</v>
      </c>
      <c r="O77" s="23" t="n">
        <v>4.6</v>
      </c>
      <c r="P77" s="19" t="n">
        <v>8.41</v>
      </c>
      <c r="Q77" s="17" t="inlineStr">
        <is>
          <t>IN CONTROL (Stable)</t>
        </is>
      </c>
      <c r="R77" s="21" t="inlineStr">
        <is>
          <t>Routine inspection; normal parameters.</t>
        </is>
      </c>
    </row>
    <row r="78">
      <c r="A78" s="12" t="inlineStr">
        <is>
          <t>LOG-SPC-5077</t>
        </is>
      </c>
      <c r="B78" s="44" t="n">
        <v>45329.58333333334</v>
      </c>
      <c r="C78" s="12" t="inlineStr">
        <is>
          <t>Shift_B</t>
        </is>
      </c>
      <c r="D78" s="22" t="n">
        <v>241.3</v>
      </c>
      <c r="E78" s="22" t="n">
        <v>3083.1</v>
      </c>
      <c r="F78" s="22" t="n">
        <v>71.8</v>
      </c>
      <c r="G78" s="22" t="n">
        <v>45</v>
      </c>
      <c r="H78" s="22" t="n">
        <v>109.8</v>
      </c>
      <c r="I78" s="28" t="n">
        <v>6</v>
      </c>
      <c r="J78" s="12" t="inlineStr">
        <is>
          <t>Free Flare Spray (Optimal)</t>
        </is>
      </c>
      <c r="K78" s="22" t="n">
        <v>146.8</v>
      </c>
      <c r="L78" s="22" t="n">
        <v>68.2</v>
      </c>
      <c r="M78" s="22" t="n">
        <v>12.3</v>
      </c>
      <c r="N78" s="29" t="n">
        <v>1737</v>
      </c>
      <c r="O78" s="22" t="n">
        <v>5.2</v>
      </c>
      <c r="P78" s="14" t="n">
        <v>8.630000000000001</v>
      </c>
      <c r="Q78" s="12" t="inlineStr">
        <is>
          <t>IN CONTROL (Stable)</t>
        </is>
      </c>
      <c r="R78" s="16" t="inlineStr">
        <is>
          <t>Routine inspection; normal parameters.</t>
        </is>
      </c>
    </row>
    <row r="79">
      <c r="A79" s="17" t="inlineStr">
        <is>
          <t>LOG-SPC-5078</t>
        </is>
      </c>
      <c r="B79" s="45" t="n">
        <v>45329.66666666666</v>
      </c>
      <c r="C79" s="17" t="inlineStr">
        <is>
          <t>Shift_B</t>
        </is>
      </c>
      <c r="D79" s="23" t="n">
        <v>247.2</v>
      </c>
      <c r="E79" s="23" t="n">
        <v>3065.2</v>
      </c>
      <c r="F79" s="23" t="n">
        <v>70.90000000000001</v>
      </c>
      <c r="G79" s="23" t="n">
        <v>45.3</v>
      </c>
      <c r="H79" s="23" t="n">
        <v>107.9</v>
      </c>
      <c r="I79" s="31" t="n">
        <v>6</v>
      </c>
      <c r="J79" s="17" t="inlineStr">
        <is>
          <t>Free Flare Spray (Optimal)</t>
        </is>
      </c>
      <c r="K79" s="23" t="n">
        <v>147</v>
      </c>
      <c r="L79" s="23" t="n">
        <v>68.3</v>
      </c>
      <c r="M79" s="23" t="n">
        <v>13.6</v>
      </c>
      <c r="N79" s="32" t="n">
        <v>1703</v>
      </c>
      <c r="O79" s="23" t="n">
        <v>5.1</v>
      </c>
      <c r="P79" s="19" t="n">
        <v>8.59</v>
      </c>
      <c r="Q79" s="17" t="inlineStr">
        <is>
          <t>IN CONTROL (Stable)</t>
        </is>
      </c>
      <c r="R79" s="21" t="inlineStr">
        <is>
          <t>Routine inspection; normal parameters.</t>
        </is>
      </c>
    </row>
    <row r="80">
      <c r="A80" s="12" t="inlineStr">
        <is>
          <t>LOG-SPC-5079</t>
        </is>
      </c>
      <c r="B80" s="44" t="n">
        <v>45329.75</v>
      </c>
      <c r="C80" s="12" t="inlineStr">
        <is>
          <t>Shift_B</t>
        </is>
      </c>
      <c r="D80" s="22" t="n">
        <v>246.3</v>
      </c>
      <c r="E80" s="22" t="n">
        <v>3120.7</v>
      </c>
      <c r="F80" s="22" t="n">
        <v>72</v>
      </c>
      <c r="G80" s="22" t="n">
        <v>45.1</v>
      </c>
      <c r="H80" s="22" t="n">
        <v>105.4</v>
      </c>
      <c r="I80" s="28" t="n">
        <v>6</v>
      </c>
      <c r="J80" s="12" t="inlineStr">
        <is>
          <t>Free Flare Spray (Optimal)</t>
        </is>
      </c>
      <c r="K80" s="22" t="n">
        <v>144.9</v>
      </c>
      <c r="L80" s="22" t="n">
        <v>72.09999999999999</v>
      </c>
      <c r="M80" s="22" t="n">
        <v>13.4</v>
      </c>
      <c r="N80" s="29" t="n">
        <v>1745</v>
      </c>
      <c r="O80" s="22" t="n">
        <v>4.8</v>
      </c>
      <c r="P80" s="14" t="n">
        <v>8.800000000000001</v>
      </c>
      <c r="Q80" s="12" t="inlineStr">
        <is>
          <t>IN CONTROL (Stable)</t>
        </is>
      </c>
      <c r="R80" s="16" t="inlineStr">
        <is>
          <t>Routine inspection; normal parameters.</t>
        </is>
      </c>
    </row>
    <row r="81">
      <c r="A81" s="17" t="inlineStr">
        <is>
          <t>LOG-SPC-5080</t>
        </is>
      </c>
      <c r="B81" s="45" t="n">
        <v>45329.83333333334</v>
      </c>
      <c r="C81" s="17" t="inlineStr">
        <is>
          <t>Shift_B</t>
        </is>
      </c>
      <c r="D81" s="23" t="n">
        <v>253.1</v>
      </c>
      <c r="E81" s="23" t="n">
        <v>3100.9</v>
      </c>
      <c r="F81" s="23" t="n">
        <v>71.59999999999999</v>
      </c>
      <c r="G81" s="23" t="n">
        <v>44.7</v>
      </c>
      <c r="H81" s="23" t="n">
        <v>89.09999999999999</v>
      </c>
      <c r="I81" s="31" t="n">
        <v>6</v>
      </c>
      <c r="J81" s="17" t="inlineStr">
        <is>
          <t>Free Flare Spray (Optimal)</t>
        </is>
      </c>
      <c r="K81" s="23" t="n">
        <v>145.7</v>
      </c>
      <c r="L81" s="23" t="n">
        <v>67.8</v>
      </c>
      <c r="M81" s="23" t="n">
        <v>13.8</v>
      </c>
      <c r="N81" s="32" t="n">
        <v>1720</v>
      </c>
      <c r="O81" s="23" t="n">
        <v>4.4</v>
      </c>
      <c r="P81" s="19" t="n">
        <v>8.59</v>
      </c>
      <c r="Q81" s="17" t="inlineStr">
        <is>
          <t>IN CONTROL (Stable)</t>
        </is>
      </c>
      <c r="R81" s="21" t="inlineStr">
        <is>
          <t>Routine inspection; normal parameters.</t>
        </is>
      </c>
    </row>
    <row r="82">
      <c r="A82" s="12" t="inlineStr">
        <is>
          <t>LOG-SPC-5081</t>
        </is>
      </c>
      <c r="B82" s="44" t="n">
        <v>45329.91666666666</v>
      </c>
      <c r="C82" s="12" t="inlineStr">
        <is>
          <t>Shift_C</t>
        </is>
      </c>
      <c r="D82" s="22" t="n">
        <v>243.7</v>
      </c>
      <c r="E82" s="22" t="n">
        <v>3116.6</v>
      </c>
      <c r="F82" s="22" t="n">
        <v>72</v>
      </c>
      <c r="G82" s="22" t="n">
        <v>45.6</v>
      </c>
      <c r="H82" s="22" t="n">
        <v>101</v>
      </c>
      <c r="I82" s="28" t="n">
        <v>6</v>
      </c>
      <c r="J82" s="12" t="inlineStr">
        <is>
          <t>Free Flare Spray (Optimal)</t>
        </is>
      </c>
      <c r="K82" s="22" t="n">
        <v>145.1</v>
      </c>
      <c r="L82" s="22" t="n">
        <v>66.5</v>
      </c>
      <c r="M82" s="22" t="n">
        <v>13.1</v>
      </c>
      <c r="N82" s="29" t="n">
        <v>1738</v>
      </c>
      <c r="O82" s="22" t="n">
        <v>4.9</v>
      </c>
      <c r="P82" s="14" t="n">
        <v>8.6</v>
      </c>
      <c r="Q82" s="12" t="inlineStr">
        <is>
          <t>IN CONTROL (Stable)</t>
        </is>
      </c>
      <c r="R82" s="16" t="inlineStr">
        <is>
          <t>Routine inspection; normal parameters.</t>
        </is>
      </c>
    </row>
    <row r="83">
      <c r="A83" s="17" t="inlineStr">
        <is>
          <t>LOG-SPC-5082</t>
        </is>
      </c>
      <c r="B83" s="45" t="n">
        <v>45330</v>
      </c>
      <c r="C83" s="17" t="inlineStr">
        <is>
          <t>Shift_C</t>
        </is>
      </c>
      <c r="D83" s="23" t="n">
        <v>252.5</v>
      </c>
      <c r="E83" s="23" t="n">
        <v>3156.2</v>
      </c>
      <c r="F83" s="23" t="n">
        <v>71.59999999999999</v>
      </c>
      <c r="G83" s="23" t="n">
        <v>44.9</v>
      </c>
      <c r="H83" s="23" t="n">
        <v>99.59999999999999</v>
      </c>
      <c r="I83" s="31" t="n">
        <v>6</v>
      </c>
      <c r="J83" s="17" t="inlineStr">
        <is>
          <t>Free Flare Spray (Optimal)</t>
        </is>
      </c>
      <c r="K83" s="23" t="n">
        <v>142</v>
      </c>
      <c r="L83" s="23" t="n">
        <v>68.59999999999999</v>
      </c>
      <c r="M83" s="23" t="n">
        <v>13.4</v>
      </c>
      <c r="N83" s="32" t="n">
        <v>1711</v>
      </c>
      <c r="O83" s="23" t="n">
        <v>4.7</v>
      </c>
      <c r="P83" s="19" t="n">
        <v>8.52</v>
      </c>
      <c r="Q83" s="17" t="inlineStr">
        <is>
          <t>IN CONTROL (Stable)</t>
        </is>
      </c>
      <c r="R83" s="21" t="inlineStr">
        <is>
          <t>Routine inspection; normal parameters.</t>
        </is>
      </c>
    </row>
    <row r="84">
      <c r="A84" s="12" t="inlineStr">
        <is>
          <t>LOG-SPC-5083</t>
        </is>
      </c>
      <c r="B84" s="44" t="n">
        <v>45330.08333333334</v>
      </c>
      <c r="C84" s="12" t="inlineStr">
        <is>
          <t>Shift_C</t>
        </is>
      </c>
      <c r="D84" s="22" t="n">
        <v>246.8</v>
      </c>
      <c r="E84" s="22" t="n">
        <v>3110.3</v>
      </c>
      <c r="F84" s="22" t="n">
        <v>70.90000000000001</v>
      </c>
      <c r="G84" s="22" t="n">
        <v>45.8</v>
      </c>
      <c r="H84" s="22" t="n">
        <v>101.7</v>
      </c>
      <c r="I84" s="28" t="n">
        <v>6</v>
      </c>
      <c r="J84" s="12" t="inlineStr">
        <is>
          <t>Free Flare Spray (Optimal)</t>
        </is>
      </c>
      <c r="K84" s="22" t="n">
        <v>147.5</v>
      </c>
      <c r="L84" s="22" t="n">
        <v>66.59999999999999</v>
      </c>
      <c r="M84" s="22" t="n">
        <v>13</v>
      </c>
      <c r="N84" s="29" t="n">
        <v>1743</v>
      </c>
      <c r="O84" s="22" t="n">
        <v>4.9</v>
      </c>
      <c r="P84" s="14" t="n">
        <v>8.4</v>
      </c>
      <c r="Q84" s="12" t="inlineStr">
        <is>
          <t>IN CONTROL (Stable)</t>
        </is>
      </c>
      <c r="R84" s="16" t="inlineStr">
        <is>
          <t>Routine inspection; normal parameters.</t>
        </is>
      </c>
    </row>
    <row r="85">
      <c r="A85" s="17" t="inlineStr">
        <is>
          <t>LOG-SPC-5084</t>
        </is>
      </c>
      <c r="B85" s="45" t="n">
        <v>45330.16666666666</v>
      </c>
      <c r="C85" s="17" t="inlineStr">
        <is>
          <t>Shift_C</t>
        </is>
      </c>
      <c r="D85" s="23" t="n">
        <v>251.5</v>
      </c>
      <c r="E85" s="23" t="n">
        <v>3058.6</v>
      </c>
      <c r="F85" s="23" t="n">
        <v>71.59999999999999</v>
      </c>
      <c r="G85" s="23" t="n">
        <v>45.6</v>
      </c>
      <c r="H85" s="23" t="n">
        <v>109</v>
      </c>
      <c r="I85" s="31" t="n">
        <v>6</v>
      </c>
      <c r="J85" s="17" t="inlineStr">
        <is>
          <t>Free Flare Spray (Optimal)</t>
        </is>
      </c>
      <c r="K85" s="23" t="n">
        <v>145.1</v>
      </c>
      <c r="L85" s="23" t="n">
        <v>67</v>
      </c>
      <c r="M85" s="23" t="n">
        <v>13</v>
      </c>
      <c r="N85" s="32" t="n">
        <v>1720</v>
      </c>
      <c r="O85" s="23" t="n">
        <v>4.1</v>
      </c>
      <c r="P85" s="19" t="n">
        <v>8.76</v>
      </c>
      <c r="Q85" s="17" t="inlineStr">
        <is>
          <t>IN CONTROL (Stable)</t>
        </is>
      </c>
      <c r="R85" s="21" t="inlineStr">
        <is>
          <t>Routine inspection; normal parameters.</t>
        </is>
      </c>
    </row>
    <row r="86">
      <c r="A86" s="12" t="inlineStr">
        <is>
          <t>LOG-SPC-5085</t>
        </is>
      </c>
      <c r="B86" s="44" t="n">
        <v>45330.25</v>
      </c>
      <c r="C86" s="12" t="inlineStr">
        <is>
          <t>Shift_A</t>
        </is>
      </c>
      <c r="D86" s="22" t="n">
        <v>249.9</v>
      </c>
      <c r="E86" s="22" t="n">
        <v>3142.1</v>
      </c>
      <c r="F86" s="22" t="n">
        <v>71.09999999999999</v>
      </c>
      <c r="G86" s="22" t="n">
        <v>42.3</v>
      </c>
      <c r="H86" s="22" t="n">
        <v>106.4</v>
      </c>
      <c r="I86" s="28" t="n">
        <v>6</v>
      </c>
      <c r="J86" s="12" t="inlineStr">
        <is>
          <t>Free Flare Spray (Optimal)</t>
        </is>
      </c>
      <c r="K86" s="22" t="n">
        <v>146</v>
      </c>
      <c r="L86" s="22" t="n">
        <v>66</v>
      </c>
      <c r="M86" s="22" t="n">
        <v>11.7</v>
      </c>
      <c r="N86" s="29" t="n">
        <v>1816</v>
      </c>
      <c r="O86" s="22" t="n">
        <v>4.7</v>
      </c>
      <c r="P86" s="14" t="n">
        <v>8.75</v>
      </c>
      <c r="Q86" s="12" t="inlineStr">
        <is>
          <t>IN CONTROL (Stable)</t>
        </is>
      </c>
      <c r="R86" s="16" t="inlineStr">
        <is>
          <t>Routine inspection; normal parameters.</t>
        </is>
      </c>
    </row>
    <row r="87">
      <c r="A87" s="17" t="inlineStr">
        <is>
          <t>LOG-SPC-5086</t>
        </is>
      </c>
      <c r="B87" s="45" t="n">
        <v>45330.33333333334</v>
      </c>
      <c r="C87" s="17" t="inlineStr">
        <is>
          <t>Shift_A</t>
        </is>
      </c>
      <c r="D87" s="23" t="n">
        <v>246.1</v>
      </c>
      <c r="E87" s="23" t="n">
        <v>3026.8</v>
      </c>
      <c r="F87" s="23" t="n">
        <v>71.7</v>
      </c>
      <c r="G87" s="23" t="n">
        <v>44.6</v>
      </c>
      <c r="H87" s="23" t="n">
        <v>103</v>
      </c>
      <c r="I87" s="31" t="n">
        <v>6</v>
      </c>
      <c r="J87" s="17" t="inlineStr">
        <is>
          <t>Free Flare Spray (Optimal)</t>
        </is>
      </c>
      <c r="K87" s="23" t="n">
        <v>144.6</v>
      </c>
      <c r="L87" s="23" t="n">
        <v>68.90000000000001</v>
      </c>
      <c r="M87" s="23" t="n">
        <v>12.4</v>
      </c>
      <c r="N87" s="32" t="n">
        <v>1675</v>
      </c>
      <c r="O87" s="23" t="n">
        <v>4.9</v>
      </c>
      <c r="P87" s="19" t="n">
        <v>8.210000000000001</v>
      </c>
      <c r="Q87" s="17" t="inlineStr">
        <is>
          <t>IN CONTROL (Stable)</t>
        </is>
      </c>
      <c r="R87" s="21" t="inlineStr">
        <is>
          <t>Routine inspection; normal parameters.</t>
        </is>
      </c>
    </row>
    <row r="88">
      <c r="A88" s="12" t="inlineStr">
        <is>
          <t>LOG-SPC-5087</t>
        </is>
      </c>
      <c r="B88" s="44" t="n">
        <v>45330.41666666666</v>
      </c>
      <c r="C88" s="12" t="inlineStr">
        <is>
          <t>Shift_A</t>
        </is>
      </c>
      <c r="D88" s="22" t="n">
        <v>237.7</v>
      </c>
      <c r="E88" s="22" t="n">
        <v>3125.9</v>
      </c>
      <c r="F88" s="22" t="n">
        <v>72.09999999999999</v>
      </c>
      <c r="G88" s="22" t="n">
        <v>44.8</v>
      </c>
      <c r="H88" s="22" t="n">
        <v>98</v>
      </c>
      <c r="I88" s="28" t="n">
        <v>6</v>
      </c>
      <c r="J88" s="12" t="inlineStr">
        <is>
          <t>Free Flare Spray (Optimal)</t>
        </is>
      </c>
      <c r="K88" s="22" t="n">
        <v>142.5</v>
      </c>
      <c r="L88" s="22" t="n">
        <v>68.09999999999999</v>
      </c>
      <c r="M88" s="22" t="n">
        <v>11.2</v>
      </c>
      <c r="N88" s="29" t="n">
        <v>1694</v>
      </c>
      <c r="O88" s="22" t="n">
        <v>5</v>
      </c>
      <c r="P88" s="14" t="n">
        <v>8.890000000000001</v>
      </c>
      <c r="Q88" s="12" t="inlineStr">
        <is>
          <t>IN CONTROL (Stable)</t>
        </is>
      </c>
      <c r="R88" s="16" t="inlineStr">
        <is>
          <t>Routine inspection; normal parameters.</t>
        </is>
      </c>
    </row>
    <row r="89">
      <c r="A89" s="17" t="inlineStr">
        <is>
          <t>LOG-SPC-5088</t>
        </is>
      </c>
      <c r="B89" s="45" t="n">
        <v>45330.5</v>
      </c>
      <c r="C89" s="17" t="inlineStr">
        <is>
          <t>Shift_A</t>
        </is>
      </c>
      <c r="D89" s="23" t="n">
        <v>247.5</v>
      </c>
      <c r="E89" s="23" t="n">
        <v>3126.5</v>
      </c>
      <c r="F89" s="23" t="n">
        <v>70.7</v>
      </c>
      <c r="G89" s="23" t="n">
        <v>45.3</v>
      </c>
      <c r="H89" s="23" t="n">
        <v>101</v>
      </c>
      <c r="I89" s="31" t="n">
        <v>6</v>
      </c>
      <c r="J89" s="17" t="inlineStr">
        <is>
          <t>Free Flare Spray (Optimal)</t>
        </is>
      </c>
      <c r="K89" s="23" t="n">
        <v>146.1</v>
      </c>
      <c r="L89" s="23" t="n">
        <v>68.09999999999999</v>
      </c>
      <c r="M89" s="23" t="n">
        <v>13.6</v>
      </c>
      <c r="N89" s="32" t="n">
        <v>1689</v>
      </c>
      <c r="O89" s="23" t="n">
        <v>5</v>
      </c>
      <c r="P89" s="19" t="n">
        <v>8.539999999999999</v>
      </c>
      <c r="Q89" s="17" t="inlineStr">
        <is>
          <t>IN CONTROL (Stable)</t>
        </is>
      </c>
      <c r="R89" s="21" t="inlineStr">
        <is>
          <t>Routine inspection; normal parameters.</t>
        </is>
      </c>
    </row>
    <row r="90">
      <c r="A90" s="12" t="inlineStr">
        <is>
          <t>LOG-SPC-5089</t>
        </is>
      </c>
      <c r="B90" s="44" t="n">
        <v>45330.58333333334</v>
      </c>
      <c r="C90" s="12" t="inlineStr">
        <is>
          <t>Shift_B</t>
        </is>
      </c>
      <c r="D90" s="22" t="n">
        <v>249.1</v>
      </c>
      <c r="E90" s="22" t="n">
        <v>3093.6</v>
      </c>
      <c r="F90" s="22" t="n">
        <v>71.3</v>
      </c>
      <c r="G90" s="22" t="n">
        <v>44.8</v>
      </c>
      <c r="H90" s="22" t="n">
        <v>104.7</v>
      </c>
      <c r="I90" s="28" t="n">
        <v>6</v>
      </c>
      <c r="J90" s="12" t="inlineStr">
        <is>
          <t>Free Flare Spray (Optimal)</t>
        </is>
      </c>
      <c r="K90" s="22" t="n">
        <v>145.8</v>
      </c>
      <c r="L90" s="22" t="n">
        <v>68.59999999999999</v>
      </c>
      <c r="M90" s="22" t="n">
        <v>13.1</v>
      </c>
      <c r="N90" s="29" t="n">
        <v>1752</v>
      </c>
      <c r="O90" s="22" t="n">
        <v>4.5</v>
      </c>
      <c r="P90" s="14" t="n">
        <v>8.77</v>
      </c>
      <c r="Q90" s="12" t="inlineStr">
        <is>
          <t>IN CONTROL (Stable)</t>
        </is>
      </c>
      <c r="R90" s="16" t="inlineStr">
        <is>
          <t>Routine inspection; normal parameters.</t>
        </is>
      </c>
    </row>
    <row r="91">
      <c r="A91" s="17" t="inlineStr">
        <is>
          <t>LOG-SPC-5090</t>
        </is>
      </c>
      <c r="B91" s="45" t="n">
        <v>45330.66666666666</v>
      </c>
      <c r="C91" s="17" t="inlineStr">
        <is>
          <t>Shift_B</t>
        </is>
      </c>
      <c r="D91" s="23" t="n">
        <v>242.9</v>
      </c>
      <c r="E91" s="23" t="n">
        <v>3120.6</v>
      </c>
      <c r="F91" s="23" t="n">
        <v>72.2</v>
      </c>
      <c r="G91" s="23" t="n">
        <v>43.3</v>
      </c>
      <c r="H91" s="23" t="n">
        <v>105.5</v>
      </c>
      <c r="I91" s="31" t="n">
        <v>6</v>
      </c>
      <c r="J91" s="17" t="inlineStr">
        <is>
          <t>Free Flare Spray (Optimal)</t>
        </is>
      </c>
      <c r="K91" s="23" t="n">
        <v>143.4</v>
      </c>
      <c r="L91" s="23" t="n">
        <v>67.40000000000001</v>
      </c>
      <c r="M91" s="23" t="n">
        <v>13.6</v>
      </c>
      <c r="N91" s="32" t="n">
        <v>1697</v>
      </c>
      <c r="O91" s="23" t="n">
        <v>4.6</v>
      </c>
      <c r="P91" s="19" t="n">
        <v>8.619999999999999</v>
      </c>
      <c r="Q91" s="17" t="inlineStr">
        <is>
          <t>IN CONTROL (Stable)</t>
        </is>
      </c>
      <c r="R91" s="21" t="inlineStr">
        <is>
          <t>Routine inspection; normal parameters.</t>
        </is>
      </c>
    </row>
    <row r="92">
      <c r="A92" s="12" t="inlineStr">
        <is>
          <t>LOG-SPC-5091</t>
        </is>
      </c>
      <c r="B92" s="44" t="n">
        <v>45330.75</v>
      </c>
      <c r="C92" s="12" t="inlineStr">
        <is>
          <t>Shift_B</t>
        </is>
      </c>
      <c r="D92" s="22" t="n">
        <v>254.1</v>
      </c>
      <c r="E92" s="22" t="n">
        <v>3095</v>
      </c>
      <c r="F92" s="22" t="n">
        <v>72.5</v>
      </c>
      <c r="G92" s="22" t="n">
        <v>45.2</v>
      </c>
      <c r="H92" s="22" t="n">
        <v>94.09999999999999</v>
      </c>
      <c r="I92" s="28" t="n">
        <v>6</v>
      </c>
      <c r="J92" s="12" t="inlineStr">
        <is>
          <t>Free Flare Spray (Optimal)</t>
        </is>
      </c>
      <c r="K92" s="22" t="n">
        <v>143.1</v>
      </c>
      <c r="L92" s="22" t="n">
        <v>67.7</v>
      </c>
      <c r="M92" s="22" t="n">
        <v>12.9</v>
      </c>
      <c r="N92" s="29" t="n">
        <v>1628</v>
      </c>
      <c r="O92" s="22" t="n">
        <v>5.6</v>
      </c>
      <c r="P92" s="14" t="n">
        <v>8.710000000000001</v>
      </c>
      <c r="Q92" s="12" t="inlineStr">
        <is>
          <t>IN CONTROL (Stable)</t>
        </is>
      </c>
      <c r="R92" s="16" t="inlineStr">
        <is>
          <t>Routine inspection; normal parameters.</t>
        </is>
      </c>
    </row>
    <row r="93">
      <c r="A93" s="17" t="inlineStr">
        <is>
          <t>LOG-SPC-5092</t>
        </is>
      </c>
      <c r="B93" s="45" t="n">
        <v>45330.83333333334</v>
      </c>
      <c r="C93" s="17" t="inlineStr">
        <is>
          <t>Shift_B</t>
        </is>
      </c>
      <c r="D93" s="23" t="n">
        <v>250.9</v>
      </c>
      <c r="E93" s="23" t="n">
        <v>3141.4</v>
      </c>
      <c r="F93" s="23" t="n">
        <v>73.2</v>
      </c>
      <c r="G93" s="23" t="n">
        <v>45.5</v>
      </c>
      <c r="H93" s="23" t="n">
        <v>109.7</v>
      </c>
      <c r="I93" s="31" t="n">
        <v>6</v>
      </c>
      <c r="J93" s="17" t="inlineStr">
        <is>
          <t>Free Flare Spray (Optimal)</t>
        </is>
      </c>
      <c r="K93" s="23" t="n">
        <v>145.5</v>
      </c>
      <c r="L93" s="23" t="n">
        <v>68.3</v>
      </c>
      <c r="M93" s="23" t="n">
        <v>12.1</v>
      </c>
      <c r="N93" s="32" t="n">
        <v>1691</v>
      </c>
      <c r="O93" s="23" t="n">
        <v>4.6</v>
      </c>
      <c r="P93" s="19" t="n">
        <v>8.33</v>
      </c>
      <c r="Q93" s="17" t="inlineStr">
        <is>
          <t>IN CONTROL (Stable)</t>
        </is>
      </c>
      <c r="R93" s="21" t="inlineStr">
        <is>
          <t>Routine inspection; normal parameters.</t>
        </is>
      </c>
    </row>
    <row r="94">
      <c r="A94" s="12" t="inlineStr">
        <is>
          <t>LOG-SPC-5093</t>
        </is>
      </c>
      <c r="B94" s="44" t="n">
        <v>45330.91666666666</v>
      </c>
      <c r="C94" s="12" t="inlineStr">
        <is>
          <t>Shift_C</t>
        </is>
      </c>
      <c r="D94" s="22" t="n">
        <v>249.5</v>
      </c>
      <c r="E94" s="22" t="n">
        <v>3041</v>
      </c>
      <c r="F94" s="22" t="n">
        <v>71.90000000000001</v>
      </c>
      <c r="G94" s="22" t="n">
        <v>44.8</v>
      </c>
      <c r="H94" s="22" t="n">
        <v>105.7</v>
      </c>
      <c r="I94" s="28" t="n">
        <v>6</v>
      </c>
      <c r="J94" s="12" t="inlineStr">
        <is>
          <t>Free Flare Spray (Optimal)</t>
        </is>
      </c>
      <c r="K94" s="22" t="n">
        <v>143.2</v>
      </c>
      <c r="L94" s="22" t="n">
        <v>73.09999999999999</v>
      </c>
      <c r="M94" s="22" t="n">
        <v>13.6</v>
      </c>
      <c r="N94" s="29" t="n">
        <v>1676</v>
      </c>
      <c r="O94" s="22" t="n">
        <v>4.9</v>
      </c>
      <c r="P94" s="14" t="n">
        <v>8.48</v>
      </c>
      <c r="Q94" s="12" t="inlineStr">
        <is>
          <t>IN CONTROL (Stable)</t>
        </is>
      </c>
      <c r="R94" s="16" t="inlineStr">
        <is>
          <t>Routine inspection; normal parameters.</t>
        </is>
      </c>
    </row>
    <row r="95">
      <c r="A95" s="17" t="inlineStr">
        <is>
          <t>LOG-SPC-5094</t>
        </is>
      </c>
      <c r="B95" s="45" t="n">
        <v>45331</v>
      </c>
      <c r="C95" s="17" t="inlineStr">
        <is>
          <t>Shift_C</t>
        </is>
      </c>
      <c r="D95" s="23" t="n">
        <v>243.9</v>
      </c>
      <c r="E95" s="23" t="n">
        <v>3053.1</v>
      </c>
      <c r="F95" s="23" t="n">
        <v>72.09999999999999</v>
      </c>
      <c r="G95" s="23" t="n">
        <v>44.3</v>
      </c>
      <c r="H95" s="23" t="n">
        <v>109.8</v>
      </c>
      <c r="I95" s="31" t="n">
        <v>6</v>
      </c>
      <c r="J95" s="17" t="inlineStr">
        <is>
          <t>Free Flare Spray (Optimal)</t>
        </is>
      </c>
      <c r="K95" s="23" t="n">
        <v>148.5</v>
      </c>
      <c r="L95" s="23" t="n">
        <v>70.59999999999999</v>
      </c>
      <c r="M95" s="23" t="n">
        <v>11.8</v>
      </c>
      <c r="N95" s="32" t="n">
        <v>1736</v>
      </c>
      <c r="O95" s="23" t="n">
        <v>5</v>
      </c>
      <c r="P95" s="19" t="n">
        <v>8.51</v>
      </c>
      <c r="Q95" s="17" t="inlineStr">
        <is>
          <t>IN CONTROL (Stable)</t>
        </is>
      </c>
      <c r="R95" s="21" t="inlineStr">
        <is>
          <t>Routine inspection; normal parameters.</t>
        </is>
      </c>
    </row>
    <row r="96">
      <c r="A96" s="12" t="inlineStr">
        <is>
          <t>LOG-SPC-5095</t>
        </is>
      </c>
      <c r="B96" s="44" t="n">
        <v>45331.08333333334</v>
      </c>
      <c r="C96" s="12" t="inlineStr">
        <is>
          <t>Shift_C</t>
        </is>
      </c>
      <c r="D96" s="22" t="n">
        <v>245.4</v>
      </c>
      <c r="E96" s="22" t="n">
        <v>3156.3</v>
      </c>
      <c r="F96" s="22" t="n">
        <v>71.90000000000001</v>
      </c>
      <c r="G96" s="22" t="n">
        <v>45.3</v>
      </c>
      <c r="H96" s="22" t="n">
        <v>100.9</v>
      </c>
      <c r="I96" s="28" t="n">
        <v>6</v>
      </c>
      <c r="J96" s="12" t="inlineStr">
        <is>
          <t>Free Flare Spray (Optimal)</t>
        </is>
      </c>
      <c r="K96" s="22" t="n">
        <v>140.7</v>
      </c>
      <c r="L96" s="22" t="n">
        <v>67.59999999999999</v>
      </c>
      <c r="M96" s="22" t="n">
        <v>12.4</v>
      </c>
      <c r="N96" s="29" t="n">
        <v>1682</v>
      </c>
      <c r="O96" s="22" t="n">
        <v>4.8</v>
      </c>
      <c r="P96" s="14" t="n">
        <v>8.26</v>
      </c>
      <c r="Q96" s="12" t="inlineStr">
        <is>
          <t>IN CONTROL (Stable)</t>
        </is>
      </c>
      <c r="R96" s="16" t="inlineStr">
        <is>
          <t>Routine inspection; normal parameters.</t>
        </is>
      </c>
    </row>
    <row r="97">
      <c r="A97" s="17" t="inlineStr">
        <is>
          <t>LOG-SPC-5096</t>
        </is>
      </c>
      <c r="B97" s="45" t="n">
        <v>45331.16666666666</v>
      </c>
      <c r="C97" s="17" t="inlineStr">
        <is>
          <t>Shift_C</t>
        </is>
      </c>
      <c r="D97" s="23" t="n">
        <v>243.3</v>
      </c>
      <c r="E97" s="23" t="n">
        <v>3123.5</v>
      </c>
      <c r="F97" s="23" t="n">
        <v>72.2</v>
      </c>
      <c r="G97" s="23" t="n">
        <v>44.5</v>
      </c>
      <c r="H97" s="23" t="n">
        <v>99.90000000000001</v>
      </c>
      <c r="I97" s="31" t="n">
        <v>6</v>
      </c>
      <c r="J97" s="17" t="inlineStr">
        <is>
          <t>Free Flare Spray (Optimal)</t>
        </is>
      </c>
      <c r="K97" s="23" t="n">
        <v>141.4</v>
      </c>
      <c r="L97" s="23" t="n">
        <v>67.90000000000001</v>
      </c>
      <c r="M97" s="23" t="n">
        <v>13</v>
      </c>
      <c r="N97" s="32" t="n">
        <v>1752</v>
      </c>
      <c r="O97" s="23" t="n">
        <v>4.7</v>
      </c>
      <c r="P97" s="19" t="n">
        <v>8.369999999999999</v>
      </c>
      <c r="Q97" s="17" t="inlineStr">
        <is>
          <t>IN CONTROL (Stable)</t>
        </is>
      </c>
      <c r="R97" s="21" t="inlineStr">
        <is>
          <t>Routine inspection; normal parameters.</t>
        </is>
      </c>
    </row>
    <row r="98">
      <c r="A98" s="12" t="inlineStr">
        <is>
          <t>LOG-SPC-5097</t>
        </is>
      </c>
      <c r="B98" s="44" t="n">
        <v>45331.25</v>
      </c>
      <c r="C98" s="12" t="inlineStr">
        <is>
          <t>Shift_A</t>
        </is>
      </c>
      <c r="D98" s="22" t="n">
        <v>251.6</v>
      </c>
      <c r="E98" s="22" t="n">
        <v>3071.2</v>
      </c>
      <c r="F98" s="22" t="n">
        <v>71.5</v>
      </c>
      <c r="G98" s="22" t="n">
        <v>45.9</v>
      </c>
      <c r="H98" s="22" t="n">
        <v>109.1</v>
      </c>
      <c r="I98" s="28" t="n">
        <v>6</v>
      </c>
      <c r="J98" s="12" t="inlineStr">
        <is>
          <t>Free Flare Spray (Optimal)</t>
        </is>
      </c>
      <c r="K98" s="22" t="n">
        <v>145.6</v>
      </c>
      <c r="L98" s="22" t="n">
        <v>66.59999999999999</v>
      </c>
      <c r="M98" s="22" t="n">
        <v>12.7</v>
      </c>
      <c r="N98" s="29" t="n">
        <v>1757</v>
      </c>
      <c r="O98" s="22" t="n">
        <v>4.7</v>
      </c>
      <c r="P98" s="14" t="n">
        <v>8.869999999999999</v>
      </c>
      <c r="Q98" s="12" t="inlineStr">
        <is>
          <t>IN CONTROL (Stable)</t>
        </is>
      </c>
      <c r="R98" s="16" t="inlineStr">
        <is>
          <t>Routine inspection; normal parameters.</t>
        </is>
      </c>
    </row>
    <row r="99">
      <c r="A99" s="17" t="inlineStr">
        <is>
          <t>LOG-SPC-5098</t>
        </is>
      </c>
      <c r="B99" s="45" t="n">
        <v>45331.33333333334</v>
      </c>
      <c r="C99" s="17" t="inlineStr">
        <is>
          <t>Shift_A</t>
        </is>
      </c>
      <c r="D99" s="23" t="n">
        <v>257.8</v>
      </c>
      <c r="E99" s="23" t="n">
        <v>3158.2</v>
      </c>
      <c r="F99" s="23" t="n">
        <v>72</v>
      </c>
      <c r="G99" s="23" t="n">
        <v>45.3</v>
      </c>
      <c r="H99" s="23" t="n">
        <v>112.1</v>
      </c>
      <c r="I99" s="31" t="n">
        <v>6</v>
      </c>
      <c r="J99" s="17" t="inlineStr">
        <is>
          <t>Free Flare Spray (Optimal)</t>
        </is>
      </c>
      <c r="K99" s="23" t="n">
        <v>146.6</v>
      </c>
      <c r="L99" s="23" t="n">
        <v>67.7</v>
      </c>
      <c r="M99" s="23" t="n">
        <v>12.1</v>
      </c>
      <c r="N99" s="32" t="n">
        <v>1728</v>
      </c>
      <c r="O99" s="23" t="n">
        <v>4.4</v>
      </c>
      <c r="P99" s="19" t="n">
        <v>8.57</v>
      </c>
      <c r="Q99" s="17" t="inlineStr">
        <is>
          <t>IN CONTROL (Stable)</t>
        </is>
      </c>
      <c r="R99" s="21" t="inlineStr">
        <is>
          <t>Routine inspection; normal parameters.</t>
        </is>
      </c>
    </row>
    <row r="100">
      <c r="A100" s="12" t="inlineStr">
        <is>
          <t>LOG-SPC-5099</t>
        </is>
      </c>
      <c r="B100" s="44" t="n">
        <v>45331.41666666666</v>
      </c>
      <c r="C100" s="12" t="inlineStr">
        <is>
          <t>Shift_A</t>
        </is>
      </c>
      <c r="D100" s="22" t="n">
        <v>256.6</v>
      </c>
      <c r="E100" s="22" t="n">
        <v>3023.3</v>
      </c>
      <c r="F100" s="22" t="n">
        <v>72.7</v>
      </c>
      <c r="G100" s="22" t="n">
        <v>45.7</v>
      </c>
      <c r="H100" s="22" t="n">
        <v>102.7</v>
      </c>
      <c r="I100" s="28" t="n">
        <v>6</v>
      </c>
      <c r="J100" s="12" t="inlineStr">
        <is>
          <t>Free Flare Spray (Optimal)</t>
        </is>
      </c>
      <c r="K100" s="22" t="n">
        <v>146.9</v>
      </c>
      <c r="L100" s="22" t="n">
        <v>68.5</v>
      </c>
      <c r="M100" s="22" t="n">
        <v>13.5</v>
      </c>
      <c r="N100" s="29" t="n">
        <v>1754</v>
      </c>
      <c r="O100" s="22" t="n">
        <v>4.4</v>
      </c>
      <c r="P100" s="14" t="n">
        <v>8.720000000000001</v>
      </c>
      <c r="Q100" s="12" t="inlineStr">
        <is>
          <t>IN CONTROL (Stable)</t>
        </is>
      </c>
      <c r="R100" s="16" t="inlineStr">
        <is>
          <t>Routine inspection; normal parameters.</t>
        </is>
      </c>
    </row>
    <row r="101">
      <c r="A101" s="17" t="inlineStr">
        <is>
          <t>LOG-SPC-5100</t>
        </is>
      </c>
      <c r="B101" s="45" t="n">
        <v>45331.5</v>
      </c>
      <c r="C101" s="17" t="inlineStr">
        <is>
          <t>Shift_A</t>
        </is>
      </c>
      <c r="D101" s="23" t="n">
        <v>248.8</v>
      </c>
      <c r="E101" s="23" t="n">
        <v>3102.9</v>
      </c>
      <c r="F101" s="23" t="n">
        <v>71.40000000000001</v>
      </c>
      <c r="G101" s="23" t="n">
        <v>46.2</v>
      </c>
      <c r="H101" s="23" t="n">
        <v>110.2</v>
      </c>
      <c r="I101" s="31" t="n">
        <v>6</v>
      </c>
      <c r="J101" s="17" t="inlineStr">
        <is>
          <t>Free Flare Spray (Optimal)</t>
        </is>
      </c>
      <c r="K101" s="23" t="n">
        <v>142.4</v>
      </c>
      <c r="L101" s="23" t="n">
        <v>66.5</v>
      </c>
      <c r="M101" s="23" t="n">
        <v>12.2</v>
      </c>
      <c r="N101" s="32" t="n">
        <v>1735</v>
      </c>
      <c r="O101" s="23" t="n">
        <v>4.9</v>
      </c>
      <c r="P101" s="19" t="n">
        <v>8.85</v>
      </c>
      <c r="Q101" s="17" t="inlineStr">
        <is>
          <t>IN CONTROL (Stable)</t>
        </is>
      </c>
      <c r="R101" s="21" t="inlineStr">
        <is>
          <t>Routine inspection; normal parameters.</t>
        </is>
      </c>
    </row>
    <row r="102">
      <c r="A102" s="12" t="inlineStr">
        <is>
          <t>LOG-SPC-5101</t>
        </is>
      </c>
      <c r="B102" s="44" t="n">
        <v>45331.58333333334</v>
      </c>
      <c r="C102" s="12" t="inlineStr">
        <is>
          <t>Shift_B</t>
        </is>
      </c>
      <c r="D102" s="22" t="n">
        <v>254.7</v>
      </c>
      <c r="E102" s="22" t="n">
        <v>3133.9</v>
      </c>
      <c r="F102" s="22" t="n">
        <v>72</v>
      </c>
      <c r="G102" s="22" t="n">
        <v>43.7</v>
      </c>
      <c r="H102" s="22" t="n">
        <v>104</v>
      </c>
      <c r="I102" s="28" t="n">
        <v>6</v>
      </c>
      <c r="J102" s="12" t="inlineStr">
        <is>
          <t>Free Flare Spray (Optimal)</t>
        </is>
      </c>
      <c r="K102" s="22" t="n">
        <v>148.7</v>
      </c>
      <c r="L102" s="22" t="n">
        <v>68.40000000000001</v>
      </c>
      <c r="M102" s="22" t="n">
        <v>12.9</v>
      </c>
      <c r="N102" s="29" t="n">
        <v>1708</v>
      </c>
      <c r="O102" s="22" t="n">
        <v>4.5</v>
      </c>
      <c r="P102" s="14" t="n">
        <v>8.58</v>
      </c>
      <c r="Q102" s="12" t="inlineStr">
        <is>
          <t>IN CONTROL (Stable)</t>
        </is>
      </c>
      <c r="R102" s="16" t="inlineStr">
        <is>
          <t>Routine inspection; normal parameters.</t>
        </is>
      </c>
    </row>
    <row r="103">
      <c r="A103" s="17" t="inlineStr">
        <is>
          <t>LOG-SPC-5102</t>
        </is>
      </c>
      <c r="B103" s="45" t="n">
        <v>45331.66666666666</v>
      </c>
      <c r="C103" s="17" t="inlineStr">
        <is>
          <t>Shift_B</t>
        </is>
      </c>
      <c r="D103" s="23" t="n">
        <v>251.9</v>
      </c>
      <c r="E103" s="23" t="n">
        <v>3077.1</v>
      </c>
      <c r="F103" s="23" t="n">
        <v>71.7</v>
      </c>
      <c r="G103" s="23" t="n">
        <v>44</v>
      </c>
      <c r="H103" s="23" t="n">
        <v>110.6</v>
      </c>
      <c r="I103" s="31" t="n">
        <v>6</v>
      </c>
      <c r="J103" s="17" t="inlineStr">
        <is>
          <t>Free Flare Spray (Optimal)</t>
        </is>
      </c>
      <c r="K103" s="23" t="n">
        <v>144</v>
      </c>
      <c r="L103" s="23" t="n">
        <v>70.7</v>
      </c>
      <c r="M103" s="23" t="n">
        <v>13.7</v>
      </c>
      <c r="N103" s="32" t="n">
        <v>1717</v>
      </c>
      <c r="O103" s="23" t="n">
        <v>4.5</v>
      </c>
      <c r="P103" s="19" t="n">
        <v>8.18</v>
      </c>
      <c r="Q103" s="17" t="inlineStr">
        <is>
          <t>IN CONTROL (Stable)</t>
        </is>
      </c>
      <c r="R103" s="21" t="inlineStr">
        <is>
          <t>Routine inspection; normal parameters.</t>
        </is>
      </c>
    </row>
    <row r="104">
      <c r="A104" s="12" t="inlineStr">
        <is>
          <t>LOG-SPC-5103</t>
        </is>
      </c>
      <c r="B104" s="44" t="n">
        <v>45331.75</v>
      </c>
      <c r="C104" s="12" t="inlineStr">
        <is>
          <t>Shift_B</t>
        </is>
      </c>
      <c r="D104" s="22" t="n">
        <v>241.2</v>
      </c>
      <c r="E104" s="22" t="n">
        <v>3051.9</v>
      </c>
      <c r="F104" s="22" t="n">
        <v>72.59999999999999</v>
      </c>
      <c r="G104" s="22" t="n">
        <v>44.9</v>
      </c>
      <c r="H104" s="22" t="n">
        <v>106.9</v>
      </c>
      <c r="I104" s="28" t="n">
        <v>6</v>
      </c>
      <c r="J104" s="12" t="inlineStr">
        <is>
          <t>Free Flare Spray (Optimal)</t>
        </is>
      </c>
      <c r="K104" s="22" t="n">
        <v>137.2</v>
      </c>
      <c r="L104" s="22" t="n">
        <v>66.7</v>
      </c>
      <c r="M104" s="22" t="n">
        <v>13.2</v>
      </c>
      <c r="N104" s="29" t="n">
        <v>1730</v>
      </c>
      <c r="O104" s="22" t="n">
        <v>4.8</v>
      </c>
      <c r="P104" s="14" t="n">
        <v>8.710000000000001</v>
      </c>
      <c r="Q104" s="12" t="inlineStr">
        <is>
          <t>IN CONTROL (Stable)</t>
        </is>
      </c>
      <c r="R104" s="16" t="inlineStr">
        <is>
          <t>Routine inspection; normal parameters.</t>
        </is>
      </c>
    </row>
    <row r="105">
      <c r="A105" s="17" t="inlineStr">
        <is>
          <t>LOG-SPC-5104</t>
        </is>
      </c>
      <c r="B105" s="45" t="n">
        <v>45331.83333333334</v>
      </c>
      <c r="C105" s="17" t="inlineStr">
        <is>
          <t>Shift_B</t>
        </is>
      </c>
      <c r="D105" s="23" t="n">
        <v>259.8</v>
      </c>
      <c r="E105" s="23" t="n">
        <v>3092.3</v>
      </c>
      <c r="F105" s="23" t="n">
        <v>71.8</v>
      </c>
      <c r="G105" s="23" t="n">
        <v>45</v>
      </c>
      <c r="H105" s="23" t="n">
        <v>117</v>
      </c>
      <c r="I105" s="31" t="n">
        <v>6</v>
      </c>
      <c r="J105" s="17" t="inlineStr">
        <is>
          <t>Free Flare Spray (Optimal)</t>
        </is>
      </c>
      <c r="K105" s="23" t="n">
        <v>137.7</v>
      </c>
      <c r="L105" s="23" t="n">
        <v>69.5</v>
      </c>
      <c r="M105" s="23" t="n">
        <v>12.4</v>
      </c>
      <c r="N105" s="32" t="n">
        <v>1739</v>
      </c>
      <c r="O105" s="23" t="n">
        <v>4.6</v>
      </c>
      <c r="P105" s="19" t="n">
        <v>8.59</v>
      </c>
      <c r="Q105" s="17" t="inlineStr">
        <is>
          <t>IN CONTROL (Stable)</t>
        </is>
      </c>
      <c r="R105" s="21" t="inlineStr">
        <is>
          <t>Routine inspection; normal parameters.</t>
        </is>
      </c>
    </row>
    <row r="106">
      <c r="A106" s="12" t="inlineStr">
        <is>
          <t>LOG-SPC-5105</t>
        </is>
      </c>
      <c r="B106" s="44" t="n">
        <v>45331.91666666666</v>
      </c>
      <c r="C106" s="12" t="inlineStr">
        <is>
          <t>Shift_C</t>
        </is>
      </c>
      <c r="D106" s="22" t="n">
        <v>254.3</v>
      </c>
      <c r="E106" s="22" t="n">
        <v>3209</v>
      </c>
      <c r="F106" s="22" t="n">
        <v>72.3</v>
      </c>
      <c r="G106" s="22" t="n">
        <v>44.1</v>
      </c>
      <c r="H106" s="22" t="n">
        <v>102.9</v>
      </c>
      <c r="I106" s="28" t="n">
        <v>6</v>
      </c>
      <c r="J106" s="12" t="inlineStr">
        <is>
          <t>Free Flare Spray (Optimal)</t>
        </is>
      </c>
      <c r="K106" s="22" t="n">
        <v>143.4</v>
      </c>
      <c r="L106" s="22" t="n">
        <v>65.8</v>
      </c>
      <c r="M106" s="22" t="n">
        <v>12.2</v>
      </c>
      <c r="N106" s="29" t="n">
        <v>1745</v>
      </c>
      <c r="O106" s="22" t="n">
        <v>4.4</v>
      </c>
      <c r="P106" s="14" t="n">
        <v>8.81</v>
      </c>
      <c r="Q106" s="12" t="inlineStr">
        <is>
          <t>IN CONTROL (Stable)</t>
        </is>
      </c>
      <c r="R106" s="16" t="inlineStr">
        <is>
          <t>Routine inspection; normal parameters.</t>
        </is>
      </c>
    </row>
    <row r="107">
      <c r="A107" s="17" t="inlineStr">
        <is>
          <t>LOG-SPC-5106</t>
        </is>
      </c>
      <c r="B107" s="45" t="n">
        <v>45332</v>
      </c>
      <c r="C107" s="17" t="inlineStr">
        <is>
          <t>Shift_C</t>
        </is>
      </c>
      <c r="D107" s="23" t="n">
        <v>252.9</v>
      </c>
      <c r="E107" s="23" t="n">
        <v>3074.3</v>
      </c>
      <c r="F107" s="23" t="n">
        <v>71.7</v>
      </c>
      <c r="G107" s="23" t="n">
        <v>46.1</v>
      </c>
      <c r="H107" s="23" t="n">
        <v>108.7</v>
      </c>
      <c r="I107" s="31" t="n">
        <v>6</v>
      </c>
      <c r="J107" s="17" t="inlineStr">
        <is>
          <t>Free Flare Spray (Optimal)</t>
        </is>
      </c>
      <c r="K107" s="23" t="n">
        <v>145</v>
      </c>
      <c r="L107" s="23" t="n">
        <v>68.09999999999999</v>
      </c>
      <c r="M107" s="23" t="n">
        <v>12.6</v>
      </c>
      <c r="N107" s="32" t="n">
        <v>1702</v>
      </c>
      <c r="O107" s="23" t="n">
        <v>4.2</v>
      </c>
      <c r="P107" s="19" t="n">
        <v>9.01</v>
      </c>
      <c r="Q107" s="17" t="inlineStr">
        <is>
          <t>IN CONTROL (Stable)</t>
        </is>
      </c>
      <c r="R107" s="21" t="inlineStr">
        <is>
          <t>Routine inspection; normal parameters.</t>
        </is>
      </c>
    </row>
    <row r="108">
      <c r="A108" s="12" t="inlineStr">
        <is>
          <t>LOG-SPC-5107</t>
        </is>
      </c>
      <c r="B108" s="44" t="n">
        <v>45332.08333333334</v>
      </c>
      <c r="C108" s="12" t="inlineStr">
        <is>
          <t>Shift_C</t>
        </is>
      </c>
      <c r="D108" s="22" t="n">
        <v>250.9</v>
      </c>
      <c r="E108" s="22" t="n">
        <v>3113.9</v>
      </c>
      <c r="F108" s="22" t="n">
        <v>71.8</v>
      </c>
      <c r="G108" s="22" t="n">
        <v>44.2</v>
      </c>
      <c r="H108" s="22" t="n">
        <v>104.1</v>
      </c>
      <c r="I108" s="28" t="n">
        <v>6</v>
      </c>
      <c r="J108" s="12" t="inlineStr">
        <is>
          <t>Free Flare Spray (Optimal)</t>
        </is>
      </c>
      <c r="K108" s="22" t="n">
        <v>139.4</v>
      </c>
      <c r="L108" s="22" t="n">
        <v>71.90000000000001</v>
      </c>
      <c r="M108" s="22" t="n">
        <v>11.5</v>
      </c>
      <c r="N108" s="29" t="n">
        <v>1683</v>
      </c>
      <c r="O108" s="22" t="n">
        <v>4.7</v>
      </c>
      <c r="P108" s="14" t="n">
        <v>8.859999999999999</v>
      </c>
      <c r="Q108" s="12" t="inlineStr">
        <is>
          <t>IN CONTROL (Stable)</t>
        </is>
      </c>
      <c r="R108" s="16" t="inlineStr">
        <is>
          <t>Routine inspection; normal parameters.</t>
        </is>
      </c>
    </row>
    <row r="109">
      <c r="A109" s="17" t="inlineStr">
        <is>
          <t>LOG-SPC-5108</t>
        </is>
      </c>
      <c r="B109" s="45" t="n">
        <v>45332.16666666666</v>
      </c>
      <c r="C109" s="17" t="inlineStr">
        <is>
          <t>Shift_C</t>
        </is>
      </c>
      <c r="D109" s="23" t="n">
        <v>250.1</v>
      </c>
      <c r="E109" s="23" t="n">
        <v>3056.7</v>
      </c>
      <c r="F109" s="23" t="n">
        <v>72.59999999999999</v>
      </c>
      <c r="G109" s="23" t="n">
        <v>45.4</v>
      </c>
      <c r="H109" s="23" t="n">
        <v>107.7</v>
      </c>
      <c r="I109" s="31" t="n">
        <v>6</v>
      </c>
      <c r="J109" s="17" t="inlineStr">
        <is>
          <t>Free Flare Spray (Optimal)</t>
        </is>
      </c>
      <c r="K109" s="23" t="n">
        <v>147.5</v>
      </c>
      <c r="L109" s="23" t="n">
        <v>72.09999999999999</v>
      </c>
      <c r="M109" s="23" t="n">
        <v>14.2</v>
      </c>
      <c r="N109" s="32" t="n">
        <v>1695</v>
      </c>
      <c r="O109" s="23" t="n">
        <v>5.3</v>
      </c>
      <c r="P109" s="19" t="n">
        <v>8.68</v>
      </c>
      <c r="Q109" s="17" t="inlineStr">
        <is>
          <t>IN CONTROL (Stable)</t>
        </is>
      </c>
      <c r="R109" s="21" t="inlineStr">
        <is>
          <t>Routine inspection; normal parameters.</t>
        </is>
      </c>
    </row>
    <row r="110">
      <c r="A110" s="12" t="inlineStr">
        <is>
          <t>LOG-SPC-5109</t>
        </is>
      </c>
      <c r="B110" s="44" t="n">
        <v>45332.25</v>
      </c>
      <c r="C110" s="12" t="inlineStr">
        <is>
          <t>Shift_A</t>
        </is>
      </c>
      <c r="D110" s="22" t="n">
        <v>253</v>
      </c>
      <c r="E110" s="22" t="n">
        <v>3040.8</v>
      </c>
      <c r="F110" s="22" t="n">
        <v>71.7</v>
      </c>
      <c r="G110" s="22" t="n">
        <v>44.1</v>
      </c>
      <c r="H110" s="22" t="n">
        <v>109.1</v>
      </c>
      <c r="I110" s="28" t="n">
        <v>6</v>
      </c>
      <c r="J110" s="12" t="inlineStr">
        <is>
          <t>Free Flare Spray (Optimal)</t>
        </is>
      </c>
      <c r="K110" s="22" t="n">
        <v>148.7</v>
      </c>
      <c r="L110" s="22" t="n">
        <v>65.40000000000001</v>
      </c>
      <c r="M110" s="22" t="n">
        <v>12.5</v>
      </c>
      <c r="N110" s="29" t="n">
        <v>1759</v>
      </c>
      <c r="O110" s="22" t="n">
        <v>4.7</v>
      </c>
      <c r="P110" s="14" t="n">
        <v>8.75</v>
      </c>
      <c r="Q110" s="12" t="inlineStr">
        <is>
          <t>IN CONTROL (Stable)</t>
        </is>
      </c>
      <c r="R110" s="16" t="inlineStr">
        <is>
          <t>Routine inspection; normal parameters.</t>
        </is>
      </c>
    </row>
    <row r="111">
      <c r="A111" s="17" t="inlineStr">
        <is>
          <t>LOG-SPC-5110</t>
        </is>
      </c>
      <c r="B111" s="45" t="n">
        <v>45332.33333333334</v>
      </c>
      <c r="C111" s="17" t="inlineStr">
        <is>
          <t>Shift_A</t>
        </is>
      </c>
      <c r="D111" s="23" t="n">
        <v>252.1</v>
      </c>
      <c r="E111" s="23" t="n">
        <v>3112</v>
      </c>
      <c r="F111" s="23" t="n">
        <v>71.59999999999999</v>
      </c>
      <c r="G111" s="23" t="n">
        <v>43.8</v>
      </c>
      <c r="H111" s="23" t="n">
        <v>99.40000000000001</v>
      </c>
      <c r="I111" s="31" t="n">
        <v>6</v>
      </c>
      <c r="J111" s="17" t="inlineStr">
        <is>
          <t>Free Flare Spray (Optimal)</t>
        </is>
      </c>
      <c r="K111" s="23" t="n">
        <v>147.5</v>
      </c>
      <c r="L111" s="23" t="n">
        <v>68.5</v>
      </c>
      <c r="M111" s="23" t="n">
        <v>12.4</v>
      </c>
      <c r="N111" s="32" t="n">
        <v>1705</v>
      </c>
      <c r="O111" s="23" t="n">
        <v>4.7</v>
      </c>
      <c r="P111" s="19" t="n">
        <v>8.81</v>
      </c>
      <c r="Q111" s="17" t="inlineStr">
        <is>
          <t>IN CONTROL (Stable)</t>
        </is>
      </c>
      <c r="R111" s="21" t="inlineStr">
        <is>
          <t>Routine inspection; normal parameters.</t>
        </is>
      </c>
    </row>
    <row r="112">
      <c r="A112" s="12" t="inlineStr">
        <is>
          <t>LOG-SPC-5111</t>
        </is>
      </c>
      <c r="B112" s="44" t="n">
        <v>45332.41666666666</v>
      </c>
      <c r="C112" s="12" t="inlineStr">
        <is>
          <t>Shift_A</t>
        </is>
      </c>
      <c r="D112" s="22" t="n">
        <v>248</v>
      </c>
      <c r="E112" s="22" t="n">
        <v>3053.1</v>
      </c>
      <c r="F112" s="22" t="n">
        <v>72.2</v>
      </c>
      <c r="G112" s="22" t="n">
        <v>53.5</v>
      </c>
      <c r="H112" s="22" t="n">
        <v>135</v>
      </c>
      <c r="I112" s="28" t="n">
        <v>6</v>
      </c>
      <c r="J112" s="36" t="inlineStr">
        <is>
          <t>ROPING DISCHARGE (Severe Overload)</t>
        </is>
      </c>
      <c r="K112" s="37" t="n">
        <v>178</v>
      </c>
      <c r="L112" s="22" t="n">
        <v>52</v>
      </c>
      <c r="M112" s="22" t="n">
        <v>12.7</v>
      </c>
      <c r="N112" s="38" t="n">
        <v>1420</v>
      </c>
      <c r="O112" s="22" t="n">
        <v>2.8</v>
      </c>
      <c r="P112" s="14" t="n">
        <v>8.720000000000001</v>
      </c>
      <c r="Q112" s="36" t="inlineStr">
        <is>
          <t>OUT OF CONTROL: ROPING DISCHARGE</t>
        </is>
      </c>
      <c r="R112" s="16" t="inlineStr">
        <is>
          <t>URGENT: Open sump dilution water valve; bring feed solids back to 44%; inspect apex.</t>
        </is>
      </c>
    </row>
    <row r="113">
      <c r="A113" s="17" t="inlineStr">
        <is>
          <t>LOG-SPC-5112</t>
        </is>
      </c>
      <c r="B113" s="45" t="n">
        <v>45332.5</v>
      </c>
      <c r="C113" s="17" t="inlineStr">
        <is>
          <t>Shift_A</t>
        </is>
      </c>
      <c r="D113" s="23" t="n">
        <v>240.7</v>
      </c>
      <c r="E113" s="23" t="n">
        <v>3107</v>
      </c>
      <c r="F113" s="23" t="n">
        <v>71.90000000000001</v>
      </c>
      <c r="G113" s="23" t="n">
        <v>54</v>
      </c>
      <c r="H113" s="23" t="n">
        <v>137</v>
      </c>
      <c r="I113" s="31" t="n">
        <v>6</v>
      </c>
      <c r="J113" s="36" t="inlineStr">
        <is>
          <t>ROPING DISCHARGE (Severe Overload)</t>
        </is>
      </c>
      <c r="K113" s="37" t="n">
        <v>180.5</v>
      </c>
      <c r="L113" s="23" t="n">
        <v>51</v>
      </c>
      <c r="M113" s="23" t="n">
        <v>11.7</v>
      </c>
      <c r="N113" s="38" t="n">
        <v>1400</v>
      </c>
      <c r="O113" s="23" t="n">
        <v>2.7</v>
      </c>
      <c r="P113" s="19" t="n">
        <v>8.390000000000001</v>
      </c>
      <c r="Q113" s="36" t="inlineStr">
        <is>
          <t>OUT OF CONTROL: ROPING DISCHARGE</t>
        </is>
      </c>
      <c r="R113" s="21" t="inlineStr">
        <is>
          <t>URGENT: Open sump dilution water valve; bring feed solids back to 44%; inspect apex.</t>
        </is>
      </c>
    </row>
    <row r="114">
      <c r="A114" s="12" t="inlineStr">
        <is>
          <t>LOG-SPC-5113</t>
        </is>
      </c>
      <c r="B114" s="44" t="n">
        <v>45332.58333333334</v>
      </c>
      <c r="C114" s="12" t="inlineStr">
        <is>
          <t>Shift_B</t>
        </is>
      </c>
      <c r="D114" s="22" t="n">
        <v>255.7</v>
      </c>
      <c r="E114" s="22" t="n">
        <v>3181.4</v>
      </c>
      <c r="F114" s="22" t="n">
        <v>71.8</v>
      </c>
      <c r="G114" s="22" t="n">
        <v>54.5</v>
      </c>
      <c r="H114" s="22" t="n">
        <v>139</v>
      </c>
      <c r="I114" s="28" t="n">
        <v>6</v>
      </c>
      <c r="J114" s="36" t="inlineStr">
        <is>
          <t>ROPING DISCHARGE (Severe Overload)</t>
        </is>
      </c>
      <c r="K114" s="37" t="n">
        <v>183</v>
      </c>
      <c r="L114" s="22" t="n">
        <v>50</v>
      </c>
      <c r="M114" s="22" t="n">
        <v>11.9</v>
      </c>
      <c r="N114" s="38" t="n">
        <v>1380</v>
      </c>
      <c r="O114" s="22" t="n">
        <v>2.6</v>
      </c>
      <c r="P114" s="14" t="n">
        <v>8.58</v>
      </c>
      <c r="Q114" s="36" t="inlineStr">
        <is>
          <t>OUT OF CONTROL: ROPING DISCHARGE</t>
        </is>
      </c>
      <c r="R114" s="16" t="inlineStr">
        <is>
          <t>URGENT: Open sump dilution water valve; bring feed solids back to 44%; inspect apex.</t>
        </is>
      </c>
    </row>
    <row r="115">
      <c r="A115" s="17" t="inlineStr">
        <is>
          <t>LOG-SPC-5114</t>
        </is>
      </c>
      <c r="B115" s="45" t="n">
        <v>45332.66666666666</v>
      </c>
      <c r="C115" s="17" t="inlineStr">
        <is>
          <t>Shift_B</t>
        </is>
      </c>
      <c r="D115" s="23" t="n">
        <v>247.9</v>
      </c>
      <c r="E115" s="23" t="n">
        <v>3131.1</v>
      </c>
      <c r="F115" s="23" t="n">
        <v>71.09999999999999</v>
      </c>
      <c r="G115" s="23" t="n">
        <v>55</v>
      </c>
      <c r="H115" s="23" t="n">
        <v>141</v>
      </c>
      <c r="I115" s="31" t="n">
        <v>6</v>
      </c>
      <c r="J115" s="36" t="inlineStr">
        <is>
          <t>ROPING DISCHARGE (Severe Overload)</t>
        </is>
      </c>
      <c r="K115" s="37" t="n">
        <v>185.5</v>
      </c>
      <c r="L115" s="23" t="n">
        <v>49</v>
      </c>
      <c r="M115" s="23" t="n">
        <v>12.7</v>
      </c>
      <c r="N115" s="38" t="n">
        <v>1360</v>
      </c>
      <c r="O115" s="23" t="n">
        <v>2.5</v>
      </c>
      <c r="P115" s="19" t="n">
        <v>8.640000000000001</v>
      </c>
      <c r="Q115" s="36" t="inlineStr">
        <is>
          <t>OUT OF CONTROL: ROPING DISCHARGE</t>
        </is>
      </c>
      <c r="R115" s="21" t="inlineStr">
        <is>
          <t>URGENT: Open sump dilution water valve; bring feed solids back to 44%; inspect apex.</t>
        </is>
      </c>
    </row>
    <row r="116">
      <c r="A116" s="12" t="inlineStr">
        <is>
          <t>LOG-SPC-5115</t>
        </is>
      </c>
      <c r="B116" s="44" t="n">
        <v>45332.75</v>
      </c>
      <c r="C116" s="12" t="inlineStr">
        <is>
          <t>Shift_B</t>
        </is>
      </c>
      <c r="D116" s="22" t="n">
        <v>243.8</v>
      </c>
      <c r="E116" s="22" t="n">
        <v>3101.6</v>
      </c>
      <c r="F116" s="22" t="n">
        <v>71.2</v>
      </c>
      <c r="G116" s="22" t="n">
        <v>55.5</v>
      </c>
      <c r="H116" s="22" t="n">
        <v>143</v>
      </c>
      <c r="I116" s="28" t="n">
        <v>6</v>
      </c>
      <c r="J116" s="36" t="inlineStr">
        <is>
          <t>ROPING DISCHARGE (Severe Overload)</t>
        </is>
      </c>
      <c r="K116" s="37" t="n">
        <v>188</v>
      </c>
      <c r="L116" s="22" t="n">
        <v>48</v>
      </c>
      <c r="M116" s="22" t="n">
        <v>11.4</v>
      </c>
      <c r="N116" s="38" t="n">
        <v>1340</v>
      </c>
      <c r="O116" s="22" t="n">
        <v>2.4</v>
      </c>
      <c r="P116" s="14" t="n">
        <v>8.93</v>
      </c>
      <c r="Q116" s="36" t="inlineStr">
        <is>
          <t>OUT OF CONTROL: ROPING DISCHARGE</t>
        </is>
      </c>
      <c r="R116" s="16" t="inlineStr">
        <is>
          <t>URGENT: Open sump dilution water valve; bring feed solids back to 44%; inspect apex.</t>
        </is>
      </c>
    </row>
    <row r="117">
      <c r="A117" s="17" t="inlineStr">
        <is>
          <t>LOG-SPC-5116</t>
        </is>
      </c>
      <c r="B117" s="45" t="n">
        <v>45332.83333333334</v>
      </c>
      <c r="C117" s="17" t="inlineStr">
        <is>
          <t>Shift_B</t>
        </is>
      </c>
      <c r="D117" s="23" t="n">
        <v>246.5</v>
      </c>
      <c r="E117" s="23" t="n">
        <v>3044.6</v>
      </c>
      <c r="F117" s="23" t="n">
        <v>72.3</v>
      </c>
      <c r="G117" s="23" t="n">
        <v>56</v>
      </c>
      <c r="H117" s="23" t="n">
        <v>145</v>
      </c>
      <c r="I117" s="31" t="n">
        <v>6</v>
      </c>
      <c r="J117" s="36" t="inlineStr">
        <is>
          <t>ROPING DISCHARGE (Severe Overload)</t>
        </is>
      </c>
      <c r="K117" s="37" t="n">
        <v>190.5</v>
      </c>
      <c r="L117" s="23" t="n">
        <v>47</v>
      </c>
      <c r="M117" s="23" t="n">
        <v>13.1</v>
      </c>
      <c r="N117" s="38" t="n">
        <v>1320</v>
      </c>
      <c r="O117" s="23" t="n">
        <v>2.3</v>
      </c>
      <c r="P117" s="19" t="n">
        <v>8.6</v>
      </c>
      <c r="Q117" s="36" t="inlineStr">
        <is>
          <t>OUT OF CONTROL: ROPING DISCHARGE</t>
        </is>
      </c>
      <c r="R117" s="21" t="inlineStr">
        <is>
          <t>URGENT: Open sump dilution water valve; bring feed solids back to 44%; inspect apex.</t>
        </is>
      </c>
    </row>
    <row r="118">
      <c r="A118" s="12" t="inlineStr">
        <is>
          <t>LOG-SPC-5117</t>
        </is>
      </c>
      <c r="B118" s="44" t="n">
        <v>45332.91666666666</v>
      </c>
      <c r="C118" s="12" t="inlineStr">
        <is>
          <t>Shift_C</t>
        </is>
      </c>
      <c r="D118" s="22" t="n">
        <v>250.9</v>
      </c>
      <c r="E118" s="22" t="n">
        <v>3103.4</v>
      </c>
      <c r="F118" s="22" t="n">
        <v>72.09999999999999</v>
      </c>
      <c r="G118" s="22" t="n">
        <v>56.5</v>
      </c>
      <c r="H118" s="22" t="n">
        <v>147</v>
      </c>
      <c r="I118" s="28" t="n">
        <v>6</v>
      </c>
      <c r="J118" s="36" t="inlineStr">
        <is>
          <t>ROPING DISCHARGE (Severe Overload)</t>
        </is>
      </c>
      <c r="K118" s="37" t="n">
        <v>193</v>
      </c>
      <c r="L118" s="22" t="n">
        <v>46</v>
      </c>
      <c r="M118" s="22" t="n">
        <v>12.5</v>
      </c>
      <c r="N118" s="38" t="n">
        <v>1300</v>
      </c>
      <c r="O118" s="22" t="n">
        <v>2.2</v>
      </c>
      <c r="P118" s="14" t="n">
        <v>8.460000000000001</v>
      </c>
      <c r="Q118" s="36" t="inlineStr">
        <is>
          <t>OUT OF CONTROL: ROPING DISCHARGE</t>
        </is>
      </c>
      <c r="R118" s="16" t="inlineStr">
        <is>
          <t>URGENT: Open sump dilution water valve; bring feed solids back to 44%; inspect apex.</t>
        </is>
      </c>
    </row>
    <row r="119">
      <c r="A119" s="17" t="inlineStr">
        <is>
          <t>LOG-SPC-5118</t>
        </is>
      </c>
      <c r="B119" s="45" t="n">
        <v>45333</v>
      </c>
      <c r="C119" s="17" t="inlineStr">
        <is>
          <t>Shift_C</t>
        </is>
      </c>
      <c r="D119" s="23" t="n">
        <v>246</v>
      </c>
      <c r="E119" s="23" t="n">
        <v>3079.9</v>
      </c>
      <c r="F119" s="23" t="n">
        <v>72.09999999999999</v>
      </c>
      <c r="G119" s="23" t="n">
        <v>57</v>
      </c>
      <c r="H119" s="23" t="n">
        <v>149</v>
      </c>
      <c r="I119" s="31" t="n">
        <v>6</v>
      </c>
      <c r="J119" s="36" t="inlineStr">
        <is>
          <t>ROPING DISCHARGE (Severe Overload)</t>
        </is>
      </c>
      <c r="K119" s="37" t="n">
        <v>195.5</v>
      </c>
      <c r="L119" s="23" t="n">
        <v>45</v>
      </c>
      <c r="M119" s="23" t="n">
        <v>12.4</v>
      </c>
      <c r="N119" s="38" t="n">
        <v>1280</v>
      </c>
      <c r="O119" s="23" t="n">
        <v>2.1</v>
      </c>
      <c r="P119" s="19" t="n">
        <v>8.67</v>
      </c>
      <c r="Q119" s="36" t="inlineStr">
        <is>
          <t>OUT OF CONTROL: ROPING DISCHARGE</t>
        </is>
      </c>
      <c r="R119" s="21" t="inlineStr">
        <is>
          <t>URGENT: Open sump dilution water valve; bring feed solids back to 44%; inspect apex.</t>
        </is>
      </c>
    </row>
    <row r="120">
      <c r="A120" s="12" t="inlineStr">
        <is>
          <t>LOG-SPC-5119</t>
        </is>
      </c>
      <c r="B120" s="44" t="n">
        <v>45333.08333333334</v>
      </c>
      <c r="C120" s="12" t="inlineStr">
        <is>
          <t>Shift_C</t>
        </is>
      </c>
      <c r="D120" s="22" t="n">
        <v>263.7</v>
      </c>
      <c r="E120" s="22" t="n">
        <v>3070.2</v>
      </c>
      <c r="F120" s="22" t="n">
        <v>72.09999999999999</v>
      </c>
      <c r="G120" s="22" t="n">
        <v>57.5</v>
      </c>
      <c r="H120" s="22" t="n">
        <v>151</v>
      </c>
      <c r="I120" s="28" t="n">
        <v>6</v>
      </c>
      <c r="J120" s="36" t="inlineStr">
        <is>
          <t>ROPING DISCHARGE (Severe Overload)</t>
        </is>
      </c>
      <c r="K120" s="37" t="n">
        <v>198</v>
      </c>
      <c r="L120" s="22" t="n">
        <v>44</v>
      </c>
      <c r="M120" s="22" t="n">
        <v>14.8</v>
      </c>
      <c r="N120" s="38" t="n">
        <v>1260</v>
      </c>
      <c r="O120" s="22" t="n">
        <v>2</v>
      </c>
      <c r="P120" s="14" t="n">
        <v>8.65</v>
      </c>
      <c r="Q120" s="36" t="inlineStr">
        <is>
          <t>OUT OF CONTROL: ROPING DISCHARGE</t>
        </is>
      </c>
      <c r="R120" s="16" t="inlineStr">
        <is>
          <t>URGENT: Open sump dilution water valve; bring feed solids back to 44%; inspect apex.</t>
        </is>
      </c>
    </row>
    <row r="121">
      <c r="A121" s="17" t="inlineStr">
        <is>
          <t>LOG-SPC-5120</t>
        </is>
      </c>
      <c r="B121" s="45" t="n">
        <v>45333.16666666666</v>
      </c>
      <c r="C121" s="17" t="inlineStr">
        <is>
          <t>Shift_C</t>
        </is>
      </c>
      <c r="D121" s="23" t="n">
        <v>237.6</v>
      </c>
      <c r="E121" s="23" t="n">
        <v>3096.8</v>
      </c>
      <c r="F121" s="23" t="n">
        <v>71.8</v>
      </c>
      <c r="G121" s="23" t="n">
        <v>45.4</v>
      </c>
      <c r="H121" s="23" t="n">
        <v>109.9</v>
      </c>
      <c r="I121" s="31" t="n">
        <v>6</v>
      </c>
      <c r="J121" s="17" t="inlineStr">
        <is>
          <t>Free Flare Spray (Optimal)</t>
        </is>
      </c>
      <c r="K121" s="23" t="n">
        <v>143.2</v>
      </c>
      <c r="L121" s="23" t="n">
        <v>68.3</v>
      </c>
      <c r="M121" s="23" t="n">
        <v>11.9</v>
      </c>
      <c r="N121" s="32" t="n">
        <v>1680</v>
      </c>
      <c r="O121" s="23" t="n">
        <v>4.9</v>
      </c>
      <c r="P121" s="19" t="n">
        <v>8.35</v>
      </c>
      <c r="Q121" s="17" t="inlineStr">
        <is>
          <t>IN CONTROL (Stable)</t>
        </is>
      </c>
      <c r="R121" s="21" t="inlineStr">
        <is>
          <t>Routine inspection; normal parameters.</t>
        </is>
      </c>
    </row>
    <row r="122">
      <c r="A122" s="12" t="inlineStr">
        <is>
          <t>LOG-SPC-5121</t>
        </is>
      </c>
      <c r="B122" s="44" t="n">
        <v>45333.25</v>
      </c>
      <c r="C122" s="12" t="inlineStr">
        <is>
          <t>Shift_A</t>
        </is>
      </c>
      <c r="D122" s="22" t="n">
        <v>247.5</v>
      </c>
      <c r="E122" s="22" t="n">
        <v>3065.2</v>
      </c>
      <c r="F122" s="22" t="n">
        <v>72.09999999999999</v>
      </c>
      <c r="G122" s="22" t="n">
        <v>46.2</v>
      </c>
      <c r="H122" s="22" t="n">
        <v>98.5</v>
      </c>
      <c r="I122" s="28" t="n">
        <v>6</v>
      </c>
      <c r="J122" s="12" t="inlineStr">
        <is>
          <t>Free Flare Spray (Optimal)</t>
        </is>
      </c>
      <c r="K122" s="22" t="n">
        <v>138.5</v>
      </c>
      <c r="L122" s="22" t="n">
        <v>68.3</v>
      </c>
      <c r="M122" s="22" t="n">
        <v>12.5</v>
      </c>
      <c r="N122" s="29" t="n">
        <v>1727</v>
      </c>
      <c r="O122" s="22" t="n">
        <v>4.7</v>
      </c>
      <c r="P122" s="14" t="n">
        <v>8.56</v>
      </c>
      <c r="Q122" s="12" t="inlineStr">
        <is>
          <t>IN CONTROL (Stable)</t>
        </is>
      </c>
      <c r="R122" s="16" t="inlineStr">
        <is>
          <t>Routine inspection; normal parameters.</t>
        </is>
      </c>
    </row>
    <row r="123">
      <c r="A123" s="17" t="inlineStr">
        <is>
          <t>LOG-SPC-5122</t>
        </is>
      </c>
      <c r="B123" s="45" t="n">
        <v>45333.33333333334</v>
      </c>
      <c r="C123" s="17" t="inlineStr">
        <is>
          <t>Shift_A</t>
        </is>
      </c>
      <c r="D123" s="23" t="n">
        <v>252.2</v>
      </c>
      <c r="E123" s="23" t="n">
        <v>3136.4</v>
      </c>
      <c r="F123" s="23" t="n">
        <v>70.59999999999999</v>
      </c>
      <c r="G123" s="23" t="n">
        <v>44.5</v>
      </c>
      <c r="H123" s="23" t="n">
        <v>106.1</v>
      </c>
      <c r="I123" s="31" t="n">
        <v>6</v>
      </c>
      <c r="J123" s="17" t="inlineStr">
        <is>
          <t>Free Flare Spray (Optimal)</t>
        </is>
      </c>
      <c r="K123" s="23" t="n">
        <v>141.8</v>
      </c>
      <c r="L123" s="23" t="n">
        <v>71.09999999999999</v>
      </c>
      <c r="M123" s="23" t="n">
        <v>12</v>
      </c>
      <c r="N123" s="32" t="n">
        <v>1718</v>
      </c>
      <c r="O123" s="23" t="n">
        <v>5</v>
      </c>
      <c r="P123" s="19" t="n">
        <v>8.48</v>
      </c>
      <c r="Q123" s="17" t="inlineStr">
        <is>
          <t>IN CONTROL (Stable)</t>
        </is>
      </c>
      <c r="R123" s="21" t="inlineStr">
        <is>
          <t>Routine inspection; normal parameters.</t>
        </is>
      </c>
    </row>
    <row r="124">
      <c r="A124" s="12" t="inlineStr">
        <is>
          <t>LOG-SPC-5123</t>
        </is>
      </c>
      <c r="B124" s="44" t="n">
        <v>45333.41666666666</v>
      </c>
      <c r="C124" s="12" t="inlineStr">
        <is>
          <t>Shift_A</t>
        </is>
      </c>
      <c r="D124" s="22" t="n">
        <v>238.9</v>
      </c>
      <c r="E124" s="22" t="n">
        <v>3085</v>
      </c>
      <c r="F124" s="22" t="n">
        <v>72.40000000000001</v>
      </c>
      <c r="G124" s="22" t="n">
        <v>44.5</v>
      </c>
      <c r="H124" s="22" t="n">
        <v>100.8</v>
      </c>
      <c r="I124" s="28" t="n">
        <v>6</v>
      </c>
      <c r="J124" s="12" t="inlineStr">
        <is>
          <t>Free Flare Spray (Optimal)</t>
        </is>
      </c>
      <c r="K124" s="22" t="n">
        <v>148.2</v>
      </c>
      <c r="L124" s="22" t="n">
        <v>68</v>
      </c>
      <c r="M124" s="22" t="n">
        <v>12.1</v>
      </c>
      <c r="N124" s="29" t="n">
        <v>1725</v>
      </c>
      <c r="O124" s="22" t="n">
        <v>5</v>
      </c>
      <c r="P124" s="14" t="n">
        <v>9.08</v>
      </c>
      <c r="Q124" s="12" t="inlineStr">
        <is>
          <t>IN CONTROL (Stable)</t>
        </is>
      </c>
      <c r="R124" s="16" t="inlineStr">
        <is>
          <t>Routine inspection; normal parameters.</t>
        </is>
      </c>
    </row>
    <row r="125">
      <c r="A125" s="17" t="inlineStr">
        <is>
          <t>LOG-SPC-5124</t>
        </is>
      </c>
      <c r="B125" s="45" t="n">
        <v>45333.5</v>
      </c>
      <c r="C125" s="17" t="inlineStr">
        <is>
          <t>Shift_A</t>
        </is>
      </c>
      <c r="D125" s="23" t="n">
        <v>255</v>
      </c>
      <c r="E125" s="23" t="n">
        <v>3140.6</v>
      </c>
      <c r="F125" s="23" t="n">
        <v>71.5</v>
      </c>
      <c r="G125" s="23" t="n">
        <v>44</v>
      </c>
      <c r="H125" s="23" t="n">
        <v>105.3</v>
      </c>
      <c r="I125" s="31" t="n">
        <v>6</v>
      </c>
      <c r="J125" s="17" t="inlineStr">
        <is>
          <t>Free Flare Spray (Optimal)</t>
        </is>
      </c>
      <c r="K125" s="23" t="n">
        <v>145.4</v>
      </c>
      <c r="L125" s="23" t="n">
        <v>66.90000000000001</v>
      </c>
      <c r="M125" s="23" t="n">
        <v>12.4</v>
      </c>
      <c r="N125" s="32" t="n">
        <v>1733</v>
      </c>
      <c r="O125" s="23" t="n">
        <v>4.9</v>
      </c>
      <c r="P125" s="19" t="n">
        <v>8.699999999999999</v>
      </c>
      <c r="Q125" s="17" t="inlineStr">
        <is>
          <t>IN CONTROL (Stable)</t>
        </is>
      </c>
      <c r="R125" s="21" t="inlineStr">
        <is>
          <t>Routine inspection; normal parameters.</t>
        </is>
      </c>
    </row>
    <row r="126">
      <c r="A126" s="12" t="inlineStr">
        <is>
          <t>LOG-SPC-5125</t>
        </is>
      </c>
      <c r="B126" s="44" t="n">
        <v>45333.58333333334</v>
      </c>
      <c r="C126" s="12" t="inlineStr">
        <is>
          <t>Shift_B</t>
        </is>
      </c>
      <c r="D126" s="22" t="n">
        <v>251.7</v>
      </c>
      <c r="E126" s="22" t="n">
        <v>3082.3</v>
      </c>
      <c r="F126" s="22" t="n">
        <v>71.5</v>
      </c>
      <c r="G126" s="22" t="n">
        <v>43.8</v>
      </c>
      <c r="H126" s="22" t="n">
        <v>113.9</v>
      </c>
      <c r="I126" s="28" t="n">
        <v>6</v>
      </c>
      <c r="J126" s="12" t="inlineStr">
        <is>
          <t>Free Flare Spray (Optimal)</t>
        </is>
      </c>
      <c r="K126" s="22" t="n">
        <v>145</v>
      </c>
      <c r="L126" s="22" t="n">
        <v>68.2</v>
      </c>
      <c r="M126" s="22" t="n">
        <v>11.8</v>
      </c>
      <c r="N126" s="29" t="n">
        <v>1822</v>
      </c>
      <c r="O126" s="22" t="n">
        <v>4.5</v>
      </c>
      <c r="P126" s="14" t="n">
        <v>8.51</v>
      </c>
      <c r="Q126" s="12" t="inlineStr">
        <is>
          <t>IN CONTROL (Stable)</t>
        </is>
      </c>
      <c r="R126" s="16" t="inlineStr">
        <is>
          <t>Routine inspection; normal parameters.</t>
        </is>
      </c>
    </row>
    <row r="127">
      <c r="A127" s="17" t="inlineStr">
        <is>
          <t>LOG-SPC-5126</t>
        </is>
      </c>
      <c r="B127" s="45" t="n">
        <v>45333.66666666666</v>
      </c>
      <c r="C127" s="17" t="inlineStr">
        <is>
          <t>Shift_B</t>
        </is>
      </c>
      <c r="D127" s="23" t="n">
        <v>252.5</v>
      </c>
      <c r="E127" s="23" t="n">
        <v>3121</v>
      </c>
      <c r="F127" s="23" t="n">
        <v>72.40000000000001</v>
      </c>
      <c r="G127" s="23" t="n">
        <v>46.2</v>
      </c>
      <c r="H127" s="23" t="n">
        <v>107.5</v>
      </c>
      <c r="I127" s="31" t="n">
        <v>6</v>
      </c>
      <c r="J127" s="17" t="inlineStr">
        <is>
          <t>Free Flare Spray (Optimal)</t>
        </is>
      </c>
      <c r="K127" s="23" t="n">
        <v>141.3</v>
      </c>
      <c r="L127" s="23" t="n">
        <v>68.09999999999999</v>
      </c>
      <c r="M127" s="23" t="n">
        <v>12.7</v>
      </c>
      <c r="N127" s="32" t="n">
        <v>1792</v>
      </c>
      <c r="O127" s="23" t="n">
        <v>4.4</v>
      </c>
      <c r="P127" s="19" t="n">
        <v>8.84</v>
      </c>
      <c r="Q127" s="17" t="inlineStr">
        <is>
          <t>IN CONTROL (Stable)</t>
        </is>
      </c>
      <c r="R127" s="21" t="inlineStr">
        <is>
          <t>Routine inspection; normal parameters.</t>
        </is>
      </c>
    </row>
    <row r="128">
      <c r="A128" s="12" t="inlineStr">
        <is>
          <t>LOG-SPC-5127</t>
        </is>
      </c>
      <c r="B128" s="44" t="n">
        <v>45333.75</v>
      </c>
      <c r="C128" s="12" t="inlineStr">
        <is>
          <t>Shift_B</t>
        </is>
      </c>
      <c r="D128" s="22" t="n">
        <v>251.1</v>
      </c>
      <c r="E128" s="22" t="n">
        <v>3129.3</v>
      </c>
      <c r="F128" s="22" t="n">
        <v>71.7</v>
      </c>
      <c r="G128" s="22" t="n">
        <v>44.1</v>
      </c>
      <c r="H128" s="22" t="n">
        <v>108.8</v>
      </c>
      <c r="I128" s="28" t="n">
        <v>6</v>
      </c>
      <c r="J128" s="12" t="inlineStr">
        <is>
          <t>Free Flare Spray (Optimal)</t>
        </is>
      </c>
      <c r="K128" s="22" t="n">
        <v>147.3</v>
      </c>
      <c r="L128" s="22" t="n">
        <v>70</v>
      </c>
      <c r="M128" s="22" t="n">
        <v>12.5</v>
      </c>
      <c r="N128" s="29" t="n">
        <v>1699</v>
      </c>
      <c r="O128" s="22" t="n">
        <v>4.3</v>
      </c>
      <c r="P128" s="14" t="n">
        <v>8.76</v>
      </c>
      <c r="Q128" s="12" t="inlineStr">
        <is>
          <t>IN CONTROL (Stable)</t>
        </is>
      </c>
      <c r="R128" s="16" t="inlineStr">
        <is>
          <t>Routine inspection; normal parameters.</t>
        </is>
      </c>
    </row>
    <row r="129">
      <c r="A129" s="17" t="inlineStr">
        <is>
          <t>LOG-SPC-5128</t>
        </is>
      </c>
      <c r="B129" s="45" t="n">
        <v>45333.83333333334</v>
      </c>
      <c r="C129" s="17" t="inlineStr">
        <is>
          <t>Shift_B</t>
        </is>
      </c>
      <c r="D129" s="23" t="n">
        <v>252.5</v>
      </c>
      <c r="E129" s="23" t="n">
        <v>3066.2</v>
      </c>
      <c r="F129" s="23" t="n">
        <v>71.5</v>
      </c>
      <c r="G129" s="23" t="n">
        <v>44.4</v>
      </c>
      <c r="H129" s="23" t="n">
        <v>97.59999999999999</v>
      </c>
      <c r="I129" s="31" t="n">
        <v>6</v>
      </c>
      <c r="J129" s="17" t="inlineStr">
        <is>
          <t>Free Flare Spray (Optimal)</t>
        </is>
      </c>
      <c r="K129" s="23" t="n">
        <v>142.1</v>
      </c>
      <c r="L129" s="23" t="n">
        <v>66.8</v>
      </c>
      <c r="M129" s="23" t="n">
        <v>12.2</v>
      </c>
      <c r="N129" s="32" t="n">
        <v>1694</v>
      </c>
      <c r="O129" s="23" t="n">
        <v>4.3</v>
      </c>
      <c r="P129" s="19" t="n">
        <v>9</v>
      </c>
      <c r="Q129" s="17" t="inlineStr">
        <is>
          <t>IN CONTROL (Stable)</t>
        </is>
      </c>
      <c r="R129" s="21" t="inlineStr">
        <is>
          <t>Routine inspection; normal parameters.</t>
        </is>
      </c>
    </row>
    <row r="130">
      <c r="A130" s="12" t="inlineStr">
        <is>
          <t>LOG-SPC-5129</t>
        </is>
      </c>
      <c r="B130" s="44" t="n">
        <v>45333.91666666666</v>
      </c>
      <c r="C130" s="12" t="inlineStr">
        <is>
          <t>Shift_C</t>
        </is>
      </c>
      <c r="D130" s="22" t="n">
        <v>257.5</v>
      </c>
      <c r="E130" s="22" t="n">
        <v>3072.7</v>
      </c>
      <c r="F130" s="22" t="n">
        <v>72</v>
      </c>
      <c r="G130" s="22" t="n">
        <v>45.1</v>
      </c>
      <c r="H130" s="22" t="n">
        <v>111</v>
      </c>
      <c r="I130" s="28" t="n">
        <v>6</v>
      </c>
      <c r="J130" s="12" t="inlineStr">
        <is>
          <t>Free Flare Spray (Optimal)</t>
        </is>
      </c>
      <c r="K130" s="22" t="n">
        <v>142.1</v>
      </c>
      <c r="L130" s="22" t="n">
        <v>70.09999999999999</v>
      </c>
      <c r="M130" s="22" t="n">
        <v>12.1</v>
      </c>
      <c r="N130" s="29" t="n">
        <v>1673</v>
      </c>
      <c r="O130" s="22" t="n">
        <v>5</v>
      </c>
      <c r="P130" s="14" t="n">
        <v>8.859999999999999</v>
      </c>
      <c r="Q130" s="12" t="inlineStr">
        <is>
          <t>IN CONTROL (Stable)</t>
        </is>
      </c>
      <c r="R130" s="16" t="inlineStr">
        <is>
          <t>Routine inspection; normal parameters.</t>
        </is>
      </c>
    </row>
    <row r="131">
      <c r="A131" s="17" t="inlineStr">
        <is>
          <t>LOG-SPC-5130</t>
        </is>
      </c>
      <c r="B131" s="45" t="n">
        <v>45334</v>
      </c>
      <c r="C131" s="17" t="inlineStr">
        <is>
          <t>Shift_C</t>
        </is>
      </c>
      <c r="D131" s="23" t="n">
        <v>265.5</v>
      </c>
      <c r="E131" s="23" t="n">
        <v>3058</v>
      </c>
      <c r="F131" s="23" t="n">
        <v>72.2</v>
      </c>
      <c r="G131" s="23" t="n">
        <v>44.5</v>
      </c>
      <c r="H131" s="23" t="n">
        <v>108.9</v>
      </c>
      <c r="I131" s="31" t="n">
        <v>6</v>
      </c>
      <c r="J131" s="17" t="inlineStr">
        <is>
          <t>Free Flare Spray (Optimal)</t>
        </is>
      </c>
      <c r="K131" s="23" t="n">
        <v>139.9</v>
      </c>
      <c r="L131" s="23" t="n">
        <v>66.59999999999999</v>
      </c>
      <c r="M131" s="23" t="n">
        <v>11.9</v>
      </c>
      <c r="N131" s="32" t="n">
        <v>1722</v>
      </c>
      <c r="O131" s="23" t="n">
        <v>4.6</v>
      </c>
      <c r="P131" s="19" t="n">
        <v>8.73</v>
      </c>
      <c r="Q131" s="17" t="inlineStr">
        <is>
          <t>IN CONTROL (Stable)</t>
        </is>
      </c>
      <c r="R131" s="21" t="inlineStr">
        <is>
          <t>Routine inspection; normal parameters.</t>
        </is>
      </c>
    </row>
    <row r="132">
      <c r="A132" s="12" t="inlineStr">
        <is>
          <t>LOG-SPC-5131</t>
        </is>
      </c>
      <c r="B132" s="44" t="n">
        <v>45334.08333333334</v>
      </c>
      <c r="C132" s="12" t="inlineStr">
        <is>
          <t>Shift_C</t>
        </is>
      </c>
      <c r="D132" s="22" t="n">
        <v>256.2</v>
      </c>
      <c r="E132" s="22" t="n">
        <v>3121</v>
      </c>
      <c r="F132" s="22" t="n">
        <v>72.8</v>
      </c>
      <c r="G132" s="22" t="n">
        <v>45.1</v>
      </c>
      <c r="H132" s="22" t="n">
        <v>98.90000000000001</v>
      </c>
      <c r="I132" s="28" t="n">
        <v>6</v>
      </c>
      <c r="J132" s="12" t="inlineStr">
        <is>
          <t>Free Flare Spray (Optimal)</t>
        </is>
      </c>
      <c r="K132" s="22" t="n">
        <v>149.8</v>
      </c>
      <c r="L132" s="22" t="n">
        <v>67.59999999999999</v>
      </c>
      <c r="M132" s="22" t="n">
        <v>13.2</v>
      </c>
      <c r="N132" s="29" t="n">
        <v>1775</v>
      </c>
      <c r="O132" s="22" t="n">
        <v>4.9</v>
      </c>
      <c r="P132" s="14" t="n">
        <v>8.300000000000001</v>
      </c>
      <c r="Q132" s="12" t="inlineStr">
        <is>
          <t>IN CONTROL (Stable)</t>
        </is>
      </c>
      <c r="R132" s="16" t="inlineStr">
        <is>
          <t>Routine inspection; normal parameters.</t>
        </is>
      </c>
    </row>
    <row r="133">
      <c r="A133" s="17" t="inlineStr">
        <is>
          <t>LOG-SPC-5132</t>
        </is>
      </c>
      <c r="B133" s="45" t="n">
        <v>45334.16666666666</v>
      </c>
      <c r="C133" s="17" t="inlineStr">
        <is>
          <t>Shift_C</t>
        </is>
      </c>
      <c r="D133" s="23" t="n">
        <v>244.5</v>
      </c>
      <c r="E133" s="23" t="n">
        <v>3146.3</v>
      </c>
      <c r="F133" s="23" t="n">
        <v>71.7</v>
      </c>
      <c r="G133" s="23" t="n">
        <v>44.9</v>
      </c>
      <c r="H133" s="23" t="n">
        <v>108.8</v>
      </c>
      <c r="I133" s="31" t="n">
        <v>6</v>
      </c>
      <c r="J133" s="17" t="inlineStr">
        <is>
          <t>Free Flare Spray (Optimal)</t>
        </is>
      </c>
      <c r="K133" s="23" t="n">
        <v>147.4</v>
      </c>
      <c r="L133" s="23" t="n">
        <v>68.90000000000001</v>
      </c>
      <c r="M133" s="23" t="n">
        <v>12.3</v>
      </c>
      <c r="N133" s="32" t="n">
        <v>1709</v>
      </c>
      <c r="O133" s="23" t="n">
        <v>5.1</v>
      </c>
      <c r="P133" s="19" t="n">
        <v>8.710000000000001</v>
      </c>
      <c r="Q133" s="17" t="inlineStr">
        <is>
          <t>IN CONTROL (Stable)</t>
        </is>
      </c>
      <c r="R133" s="21" t="inlineStr">
        <is>
          <t>Routine inspection; normal parameters.</t>
        </is>
      </c>
    </row>
    <row r="134">
      <c r="A134" s="12" t="inlineStr">
        <is>
          <t>LOG-SPC-5133</t>
        </is>
      </c>
      <c r="B134" s="44" t="n">
        <v>45334.25</v>
      </c>
      <c r="C134" s="12" t="inlineStr">
        <is>
          <t>Shift_A</t>
        </is>
      </c>
      <c r="D134" s="22" t="n">
        <v>248.5</v>
      </c>
      <c r="E134" s="22" t="n">
        <v>3137.9</v>
      </c>
      <c r="F134" s="22" t="n">
        <v>71.7</v>
      </c>
      <c r="G134" s="22" t="n">
        <v>44.1</v>
      </c>
      <c r="H134" s="22" t="n">
        <v>101.2</v>
      </c>
      <c r="I134" s="28" t="n">
        <v>6</v>
      </c>
      <c r="J134" s="12" t="inlineStr">
        <is>
          <t>Free Flare Spray (Optimal)</t>
        </is>
      </c>
      <c r="K134" s="22" t="n">
        <v>141.6</v>
      </c>
      <c r="L134" s="22" t="n">
        <v>68.09999999999999</v>
      </c>
      <c r="M134" s="22" t="n">
        <v>13.5</v>
      </c>
      <c r="N134" s="29" t="n">
        <v>1691</v>
      </c>
      <c r="O134" s="22" t="n">
        <v>4.9</v>
      </c>
      <c r="P134" s="14" t="n">
        <v>8.470000000000001</v>
      </c>
      <c r="Q134" s="12" t="inlineStr">
        <is>
          <t>IN CONTROL (Stable)</t>
        </is>
      </c>
      <c r="R134" s="16" t="inlineStr">
        <is>
          <t>Routine inspection; normal parameters.</t>
        </is>
      </c>
    </row>
    <row r="135">
      <c r="A135" s="17" t="inlineStr">
        <is>
          <t>LOG-SPC-5134</t>
        </is>
      </c>
      <c r="B135" s="45" t="n">
        <v>45334.33333333334</v>
      </c>
      <c r="C135" s="17" t="inlineStr">
        <is>
          <t>Shift_A</t>
        </is>
      </c>
      <c r="D135" s="23" t="n">
        <v>248.4</v>
      </c>
      <c r="E135" s="23" t="n">
        <v>3047.1</v>
      </c>
      <c r="F135" s="23" t="n">
        <v>71.7</v>
      </c>
      <c r="G135" s="23" t="n">
        <v>44.6</v>
      </c>
      <c r="H135" s="23" t="n">
        <v>107.7</v>
      </c>
      <c r="I135" s="31" t="n">
        <v>6</v>
      </c>
      <c r="J135" s="17" t="inlineStr">
        <is>
          <t>Free Flare Spray (Optimal)</t>
        </is>
      </c>
      <c r="K135" s="23" t="n">
        <v>145.8</v>
      </c>
      <c r="L135" s="23" t="n">
        <v>66.7</v>
      </c>
      <c r="M135" s="23" t="n">
        <v>13.4</v>
      </c>
      <c r="N135" s="32" t="n">
        <v>1727</v>
      </c>
      <c r="O135" s="23" t="n">
        <v>4.9</v>
      </c>
      <c r="P135" s="19" t="n">
        <v>8.6</v>
      </c>
      <c r="Q135" s="17" t="inlineStr">
        <is>
          <t>IN CONTROL (Stable)</t>
        </is>
      </c>
      <c r="R135" s="21" t="inlineStr">
        <is>
          <t>Routine inspection; normal parameters.</t>
        </is>
      </c>
    </row>
    <row r="136">
      <c r="A136" s="12" t="inlineStr">
        <is>
          <t>LOG-SPC-5135</t>
        </is>
      </c>
      <c r="B136" s="44" t="n">
        <v>45334.41666666666</v>
      </c>
      <c r="C136" s="12" t="inlineStr">
        <is>
          <t>Shift_A</t>
        </is>
      </c>
      <c r="D136" s="22" t="n">
        <v>246.9</v>
      </c>
      <c r="E136" s="22" t="n">
        <v>3107.6</v>
      </c>
      <c r="F136" s="22" t="n">
        <v>72.09999999999999</v>
      </c>
      <c r="G136" s="22" t="n">
        <v>43.4</v>
      </c>
      <c r="H136" s="22" t="n">
        <v>102.3</v>
      </c>
      <c r="I136" s="28" t="n">
        <v>6</v>
      </c>
      <c r="J136" s="12" t="inlineStr">
        <is>
          <t>Free Flare Spray (Optimal)</t>
        </is>
      </c>
      <c r="K136" s="22" t="n">
        <v>144.1</v>
      </c>
      <c r="L136" s="22" t="n">
        <v>68.90000000000001</v>
      </c>
      <c r="M136" s="22" t="n">
        <v>13.5</v>
      </c>
      <c r="N136" s="29" t="n">
        <v>1692</v>
      </c>
      <c r="O136" s="22" t="n">
        <v>4.7</v>
      </c>
      <c r="P136" s="14" t="n">
        <v>8.5</v>
      </c>
      <c r="Q136" s="12" t="inlineStr">
        <is>
          <t>IN CONTROL (Stable)</t>
        </is>
      </c>
      <c r="R136" s="16" t="inlineStr">
        <is>
          <t>Routine inspection; normal parameters.</t>
        </is>
      </c>
    </row>
    <row r="137">
      <c r="A137" s="17" t="inlineStr">
        <is>
          <t>LOG-SPC-5136</t>
        </is>
      </c>
      <c r="B137" s="45" t="n">
        <v>45334.5</v>
      </c>
      <c r="C137" s="17" t="inlineStr">
        <is>
          <t>Shift_A</t>
        </is>
      </c>
      <c r="D137" s="23" t="n">
        <v>245.2</v>
      </c>
      <c r="E137" s="23" t="n">
        <v>3087.8</v>
      </c>
      <c r="F137" s="23" t="n">
        <v>72.3</v>
      </c>
      <c r="G137" s="23" t="n">
        <v>44</v>
      </c>
      <c r="H137" s="23" t="n">
        <v>107.1</v>
      </c>
      <c r="I137" s="31" t="n">
        <v>6</v>
      </c>
      <c r="J137" s="17" t="inlineStr">
        <is>
          <t>Free Flare Spray (Optimal)</t>
        </is>
      </c>
      <c r="K137" s="23" t="n">
        <v>139</v>
      </c>
      <c r="L137" s="23" t="n">
        <v>67.7</v>
      </c>
      <c r="M137" s="23" t="n">
        <v>12.2</v>
      </c>
      <c r="N137" s="32" t="n">
        <v>1778</v>
      </c>
      <c r="O137" s="23" t="n">
        <v>4.7</v>
      </c>
      <c r="P137" s="19" t="n">
        <v>8.16</v>
      </c>
      <c r="Q137" s="17" t="inlineStr">
        <is>
          <t>IN CONTROL (Stable)</t>
        </is>
      </c>
      <c r="R137" s="21" t="inlineStr">
        <is>
          <t>Routine inspection; normal parameters.</t>
        </is>
      </c>
    </row>
    <row r="138">
      <c r="A138" s="12" t="inlineStr">
        <is>
          <t>LOG-SPC-5137</t>
        </is>
      </c>
      <c r="B138" s="44" t="n">
        <v>45334.58333333334</v>
      </c>
      <c r="C138" s="12" t="inlineStr">
        <is>
          <t>Shift_B</t>
        </is>
      </c>
      <c r="D138" s="22" t="n">
        <v>238</v>
      </c>
      <c r="E138" s="22" t="n">
        <v>3101.2</v>
      </c>
      <c r="F138" s="22" t="n">
        <v>72.2</v>
      </c>
      <c r="G138" s="22" t="n">
        <v>45.1</v>
      </c>
      <c r="H138" s="22" t="n">
        <v>105.8</v>
      </c>
      <c r="I138" s="28" t="n">
        <v>6</v>
      </c>
      <c r="J138" s="12" t="inlineStr">
        <is>
          <t>Free Flare Spray (Optimal)</t>
        </is>
      </c>
      <c r="K138" s="22" t="n">
        <v>149.1</v>
      </c>
      <c r="L138" s="22" t="n">
        <v>67.7</v>
      </c>
      <c r="M138" s="22" t="n">
        <v>13.2</v>
      </c>
      <c r="N138" s="29" t="n">
        <v>1662</v>
      </c>
      <c r="O138" s="22" t="n">
        <v>4.5</v>
      </c>
      <c r="P138" s="14" t="n">
        <v>8.24</v>
      </c>
      <c r="Q138" s="12" t="inlineStr">
        <is>
          <t>IN CONTROL (Stable)</t>
        </is>
      </c>
      <c r="R138" s="16" t="inlineStr">
        <is>
          <t>Routine inspection; normal parameters.</t>
        </is>
      </c>
    </row>
    <row r="139">
      <c r="A139" s="17" t="inlineStr">
        <is>
          <t>LOG-SPC-5138</t>
        </is>
      </c>
      <c r="B139" s="45" t="n">
        <v>45334.66666666666</v>
      </c>
      <c r="C139" s="17" t="inlineStr">
        <is>
          <t>Shift_B</t>
        </is>
      </c>
      <c r="D139" s="23" t="n">
        <v>248.4</v>
      </c>
      <c r="E139" s="23" t="n">
        <v>3098.4</v>
      </c>
      <c r="F139" s="23" t="n">
        <v>71.90000000000001</v>
      </c>
      <c r="G139" s="23" t="n">
        <v>44.8</v>
      </c>
      <c r="H139" s="23" t="n">
        <v>100.4</v>
      </c>
      <c r="I139" s="31" t="n">
        <v>6</v>
      </c>
      <c r="J139" s="17" t="inlineStr">
        <is>
          <t>Free Flare Spray (Optimal)</t>
        </is>
      </c>
      <c r="K139" s="23" t="n">
        <v>144.3</v>
      </c>
      <c r="L139" s="23" t="n">
        <v>66.3</v>
      </c>
      <c r="M139" s="23" t="n">
        <v>13.6</v>
      </c>
      <c r="N139" s="32" t="n">
        <v>1709</v>
      </c>
      <c r="O139" s="23" t="n">
        <v>4.7</v>
      </c>
      <c r="P139" s="19" t="n">
        <v>8.92</v>
      </c>
      <c r="Q139" s="17" t="inlineStr">
        <is>
          <t>IN CONTROL (Stable)</t>
        </is>
      </c>
      <c r="R139" s="21" t="inlineStr">
        <is>
          <t>Routine inspection; normal parameters.</t>
        </is>
      </c>
    </row>
    <row r="140">
      <c r="A140" s="12" t="inlineStr">
        <is>
          <t>LOG-SPC-5139</t>
        </is>
      </c>
      <c r="B140" s="44" t="n">
        <v>45334.75</v>
      </c>
      <c r="C140" s="12" t="inlineStr">
        <is>
          <t>Shift_B</t>
        </is>
      </c>
      <c r="D140" s="22" t="n">
        <v>242.5</v>
      </c>
      <c r="E140" s="22" t="n">
        <v>3060.6</v>
      </c>
      <c r="F140" s="22" t="n">
        <v>71.09999999999999</v>
      </c>
      <c r="G140" s="22" t="n">
        <v>44.7</v>
      </c>
      <c r="H140" s="22" t="n">
        <v>107.2</v>
      </c>
      <c r="I140" s="28" t="n">
        <v>6</v>
      </c>
      <c r="J140" s="12" t="inlineStr">
        <is>
          <t>Free Flare Spray (Optimal)</t>
        </is>
      </c>
      <c r="K140" s="22" t="n">
        <v>147.6</v>
      </c>
      <c r="L140" s="22" t="n">
        <v>72.40000000000001</v>
      </c>
      <c r="M140" s="22" t="n">
        <v>10.7</v>
      </c>
      <c r="N140" s="29" t="n">
        <v>1741</v>
      </c>
      <c r="O140" s="22" t="n">
        <v>4.6</v>
      </c>
      <c r="P140" s="14" t="n">
        <v>8.48</v>
      </c>
      <c r="Q140" s="12" t="inlineStr">
        <is>
          <t>IN CONTROL (Stable)</t>
        </is>
      </c>
      <c r="R140" s="16" t="inlineStr">
        <is>
          <t>Routine inspection; normal parameters.</t>
        </is>
      </c>
    </row>
    <row r="141">
      <c r="A141" s="17" t="inlineStr">
        <is>
          <t>LOG-SPC-5140</t>
        </is>
      </c>
      <c r="B141" s="45" t="n">
        <v>45334.83333333334</v>
      </c>
      <c r="C141" s="17" t="inlineStr">
        <is>
          <t>Shift_B</t>
        </is>
      </c>
      <c r="D141" s="23" t="n">
        <v>246.3</v>
      </c>
      <c r="E141" s="23" t="n">
        <v>3068.2</v>
      </c>
      <c r="F141" s="23" t="n">
        <v>72.8</v>
      </c>
      <c r="G141" s="23" t="n">
        <v>45.5</v>
      </c>
      <c r="H141" s="23" t="n">
        <v>105.1</v>
      </c>
      <c r="I141" s="31" t="n">
        <v>6</v>
      </c>
      <c r="J141" s="17" t="inlineStr">
        <is>
          <t>Free Flare Spray (Optimal)</t>
        </is>
      </c>
      <c r="K141" s="23" t="n">
        <v>149.7</v>
      </c>
      <c r="L141" s="23" t="n">
        <v>66.2</v>
      </c>
      <c r="M141" s="23" t="n">
        <v>11.4</v>
      </c>
      <c r="N141" s="32" t="n">
        <v>1643</v>
      </c>
      <c r="O141" s="23" t="n">
        <v>4.6</v>
      </c>
      <c r="P141" s="19" t="n">
        <v>8.630000000000001</v>
      </c>
      <c r="Q141" s="17" t="inlineStr">
        <is>
          <t>IN CONTROL (Stable)</t>
        </is>
      </c>
      <c r="R141" s="21" t="inlineStr">
        <is>
          <t>Routine inspection; normal parameters.</t>
        </is>
      </c>
    </row>
    <row r="142">
      <c r="A142" s="12" t="inlineStr">
        <is>
          <t>LOG-SPC-5141</t>
        </is>
      </c>
      <c r="B142" s="44" t="n">
        <v>45334.91666666666</v>
      </c>
      <c r="C142" s="12" t="inlineStr">
        <is>
          <t>Shift_C</t>
        </is>
      </c>
      <c r="D142" s="22" t="n">
        <v>250.6</v>
      </c>
      <c r="E142" s="22" t="n">
        <v>3105.2</v>
      </c>
      <c r="F142" s="22" t="n">
        <v>71</v>
      </c>
      <c r="G142" s="22" t="n">
        <v>45.4</v>
      </c>
      <c r="H142" s="22" t="n">
        <v>106.2</v>
      </c>
      <c r="I142" s="28" t="n">
        <v>6</v>
      </c>
      <c r="J142" s="12" t="inlineStr">
        <is>
          <t>Free Flare Spray (Optimal)</t>
        </is>
      </c>
      <c r="K142" s="22" t="n">
        <v>147.6</v>
      </c>
      <c r="L142" s="22" t="n">
        <v>65.7</v>
      </c>
      <c r="M142" s="22" t="n">
        <v>12.7</v>
      </c>
      <c r="N142" s="29" t="n">
        <v>1678</v>
      </c>
      <c r="O142" s="22" t="n">
        <v>4.7</v>
      </c>
      <c r="P142" s="14" t="n">
        <v>8.710000000000001</v>
      </c>
      <c r="Q142" s="12" t="inlineStr">
        <is>
          <t>IN CONTROL (Stable)</t>
        </is>
      </c>
      <c r="R142" s="16" t="inlineStr">
        <is>
          <t>Routine inspection; normal parameters.</t>
        </is>
      </c>
    </row>
    <row r="143">
      <c r="A143" s="17" t="inlineStr">
        <is>
          <t>LOG-SPC-5142</t>
        </is>
      </c>
      <c r="B143" s="45" t="n">
        <v>45335</v>
      </c>
      <c r="C143" s="17" t="inlineStr">
        <is>
          <t>Shift_C</t>
        </is>
      </c>
      <c r="D143" s="23" t="n">
        <v>250.5</v>
      </c>
      <c r="E143" s="23" t="n">
        <v>3070.2</v>
      </c>
      <c r="F143" s="23" t="n">
        <v>71.8</v>
      </c>
      <c r="G143" s="23" t="n">
        <v>43.6</v>
      </c>
      <c r="H143" s="23" t="n">
        <v>110.8</v>
      </c>
      <c r="I143" s="31" t="n">
        <v>6</v>
      </c>
      <c r="J143" s="17" t="inlineStr">
        <is>
          <t>Free Flare Spray (Optimal)</t>
        </is>
      </c>
      <c r="K143" s="23" t="n">
        <v>144.3</v>
      </c>
      <c r="L143" s="23" t="n">
        <v>70.2</v>
      </c>
      <c r="M143" s="23" t="n">
        <v>12.1</v>
      </c>
      <c r="N143" s="32" t="n">
        <v>1701</v>
      </c>
      <c r="O143" s="23" t="n">
        <v>4.6</v>
      </c>
      <c r="P143" s="19" t="n">
        <v>8.779999999999999</v>
      </c>
      <c r="Q143" s="17" t="inlineStr">
        <is>
          <t>IN CONTROL (Stable)</t>
        </is>
      </c>
      <c r="R143" s="21" t="inlineStr">
        <is>
          <t>Routine inspection; normal parameters.</t>
        </is>
      </c>
    </row>
    <row r="144">
      <c r="A144" s="12" t="inlineStr">
        <is>
          <t>LOG-SPC-5143</t>
        </is>
      </c>
      <c r="B144" s="44" t="n">
        <v>45335.08333333334</v>
      </c>
      <c r="C144" s="12" t="inlineStr">
        <is>
          <t>Shift_C</t>
        </is>
      </c>
      <c r="D144" s="22" t="n">
        <v>245.7</v>
      </c>
      <c r="E144" s="22" t="n">
        <v>3122.6</v>
      </c>
      <c r="F144" s="22" t="n">
        <v>71.59999999999999</v>
      </c>
      <c r="G144" s="22" t="n">
        <v>43.2</v>
      </c>
      <c r="H144" s="22" t="n">
        <v>102.1</v>
      </c>
      <c r="I144" s="28" t="n">
        <v>6</v>
      </c>
      <c r="J144" s="12" t="inlineStr">
        <is>
          <t>Free Flare Spray (Optimal)</t>
        </is>
      </c>
      <c r="K144" s="22" t="n">
        <v>140.9</v>
      </c>
      <c r="L144" s="22" t="n">
        <v>68.59999999999999</v>
      </c>
      <c r="M144" s="22" t="n">
        <v>11.5</v>
      </c>
      <c r="N144" s="29" t="n">
        <v>1752</v>
      </c>
      <c r="O144" s="22" t="n">
        <v>4.8</v>
      </c>
      <c r="P144" s="14" t="n">
        <v>8.56</v>
      </c>
      <c r="Q144" s="12" t="inlineStr">
        <is>
          <t>IN CONTROL (Stable)</t>
        </is>
      </c>
      <c r="R144" s="16" t="inlineStr">
        <is>
          <t>Routine inspection; normal parameters.</t>
        </is>
      </c>
    </row>
    <row r="145">
      <c r="A145" s="17" t="inlineStr">
        <is>
          <t>LOG-SPC-5144</t>
        </is>
      </c>
      <c r="B145" s="45" t="n">
        <v>45335.16666666666</v>
      </c>
      <c r="C145" s="17" t="inlineStr">
        <is>
          <t>Shift_C</t>
        </is>
      </c>
      <c r="D145" s="23" t="n">
        <v>253.9</v>
      </c>
      <c r="E145" s="23" t="n">
        <v>3133.7</v>
      </c>
      <c r="F145" s="23" t="n">
        <v>71.8</v>
      </c>
      <c r="G145" s="23" t="n">
        <v>44.2</v>
      </c>
      <c r="H145" s="23" t="n">
        <v>96.09999999999999</v>
      </c>
      <c r="I145" s="31" t="n">
        <v>6</v>
      </c>
      <c r="J145" s="17" t="inlineStr">
        <is>
          <t>Free Flare Spray (Optimal)</t>
        </is>
      </c>
      <c r="K145" s="23" t="n">
        <v>142.6</v>
      </c>
      <c r="L145" s="23" t="n">
        <v>67.59999999999999</v>
      </c>
      <c r="M145" s="23" t="n">
        <v>12.6</v>
      </c>
      <c r="N145" s="32" t="n">
        <v>1707</v>
      </c>
      <c r="O145" s="23" t="n">
        <v>5</v>
      </c>
      <c r="P145" s="19" t="n">
        <v>8.48</v>
      </c>
      <c r="Q145" s="17" t="inlineStr">
        <is>
          <t>IN CONTROL (Stable)</t>
        </is>
      </c>
      <c r="R145" s="21" t="inlineStr">
        <is>
          <t>Routine inspection; normal parameters.</t>
        </is>
      </c>
    </row>
    <row r="146">
      <c r="A146" s="12" t="inlineStr">
        <is>
          <t>LOG-SPC-5145</t>
        </is>
      </c>
      <c r="B146" s="44" t="n">
        <v>45335.25</v>
      </c>
      <c r="C146" s="12" t="inlineStr">
        <is>
          <t>Shift_A</t>
        </is>
      </c>
      <c r="D146" s="22" t="n">
        <v>249.7</v>
      </c>
      <c r="E146" s="22" t="n">
        <v>3141.4</v>
      </c>
      <c r="F146" s="22" t="n">
        <v>72</v>
      </c>
      <c r="G146" s="22" t="n">
        <v>44.8</v>
      </c>
      <c r="H146" s="22" t="n">
        <v>102</v>
      </c>
      <c r="I146" s="28" t="n">
        <v>6</v>
      </c>
      <c r="J146" s="12" t="inlineStr">
        <is>
          <t>Free Flare Spray (Optimal)</t>
        </is>
      </c>
      <c r="K146" s="22" t="n">
        <v>142.8</v>
      </c>
      <c r="L146" s="22" t="n">
        <v>67.2</v>
      </c>
      <c r="M146" s="22" t="n">
        <v>12.1</v>
      </c>
      <c r="N146" s="29" t="n">
        <v>1746</v>
      </c>
      <c r="O146" s="22" t="n">
        <v>4.7</v>
      </c>
      <c r="P146" s="14" t="n">
        <v>8.33</v>
      </c>
      <c r="Q146" s="12" t="inlineStr">
        <is>
          <t>IN CONTROL (Stable)</t>
        </is>
      </c>
      <c r="R146" s="16" t="inlineStr">
        <is>
          <t>Routine inspection; normal parameters.</t>
        </is>
      </c>
    </row>
    <row r="147">
      <c r="A147" s="17" t="inlineStr">
        <is>
          <t>LOG-SPC-5146</t>
        </is>
      </c>
      <c r="B147" s="45" t="n">
        <v>45335.33333333334</v>
      </c>
      <c r="C147" s="17" t="inlineStr">
        <is>
          <t>Shift_A</t>
        </is>
      </c>
      <c r="D147" s="23" t="n">
        <v>260.6</v>
      </c>
      <c r="E147" s="23" t="n">
        <v>3111.2</v>
      </c>
      <c r="F147" s="23" t="n">
        <v>71</v>
      </c>
      <c r="G147" s="23" t="n">
        <v>44.4</v>
      </c>
      <c r="H147" s="23" t="n">
        <v>105.6</v>
      </c>
      <c r="I147" s="31" t="n">
        <v>6</v>
      </c>
      <c r="J147" s="17" t="inlineStr">
        <is>
          <t>Free Flare Spray (Optimal)</t>
        </is>
      </c>
      <c r="K147" s="23" t="n">
        <v>151</v>
      </c>
      <c r="L147" s="23" t="n">
        <v>66.8</v>
      </c>
      <c r="M147" s="23" t="n">
        <v>13.3</v>
      </c>
      <c r="N147" s="32" t="n">
        <v>1768</v>
      </c>
      <c r="O147" s="23" t="n">
        <v>4.6</v>
      </c>
      <c r="P147" s="19" t="n">
        <v>8.539999999999999</v>
      </c>
      <c r="Q147" s="17" t="inlineStr">
        <is>
          <t>IN CONTROL (Stable)</t>
        </is>
      </c>
      <c r="R147" s="21" t="inlineStr">
        <is>
          <t>Routine inspection; normal parameters.</t>
        </is>
      </c>
    </row>
    <row r="148">
      <c r="A148" s="12" t="inlineStr">
        <is>
          <t>LOG-SPC-5147</t>
        </is>
      </c>
      <c r="B148" s="44" t="n">
        <v>45335.41666666666</v>
      </c>
      <c r="C148" s="12" t="inlineStr">
        <is>
          <t>Shift_A</t>
        </is>
      </c>
      <c r="D148" s="22" t="n">
        <v>243.8</v>
      </c>
      <c r="E148" s="22" t="n">
        <v>3092.9</v>
      </c>
      <c r="F148" s="22" t="n">
        <v>71.8</v>
      </c>
      <c r="G148" s="22" t="n">
        <v>45.3</v>
      </c>
      <c r="H148" s="22" t="n">
        <v>110.5</v>
      </c>
      <c r="I148" s="28" t="n">
        <v>6</v>
      </c>
      <c r="J148" s="12" t="inlineStr">
        <is>
          <t>Free Flare Spray (Optimal)</t>
        </is>
      </c>
      <c r="K148" s="22" t="n">
        <v>142.4</v>
      </c>
      <c r="L148" s="22" t="n">
        <v>65.5</v>
      </c>
      <c r="M148" s="22" t="n">
        <v>12.5</v>
      </c>
      <c r="N148" s="29" t="n">
        <v>1730</v>
      </c>
      <c r="O148" s="22" t="n">
        <v>4.9</v>
      </c>
      <c r="P148" s="14" t="n">
        <v>8.529999999999999</v>
      </c>
      <c r="Q148" s="12" t="inlineStr">
        <is>
          <t>IN CONTROL (Stable)</t>
        </is>
      </c>
      <c r="R148" s="16" t="inlineStr">
        <is>
          <t>Routine inspection; normal parameters.</t>
        </is>
      </c>
    </row>
    <row r="149">
      <c r="A149" s="17" t="inlineStr">
        <is>
          <t>LOG-SPC-5148</t>
        </is>
      </c>
      <c r="B149" s="45" t="n">
        <v>45335.5</v>
      </c>
      <c r="C149" s="17" t="inlineStr">
        <is>
          <t>Shift_A</t>
        </is>
      </c>
      <c r="D149" s="23" t="n">
        <v>250.7</v>
      </c>
      <c r="E149" s="23" t="n">
        <v>3153</v>
      </c>
      <c r="F149" s="23" t="n">
        <v>72</v>
      </c>
      <c r="G149" s="23" t="n">
        <v>44.5</v>
      </c>
      <c r="H149" s="23" t="n">
        <v>102.5</v>
      </c>
      <c r="I149" s="31" t="n">
        <v>6</v>
      </c>
      <c r="J149" s="17" t="inlineStr">
        <is>
          <t>Free Flare Spray (Optimal)</t>
        </is>
      </c>
      <c r="K149" s="23" t="n">
        <v>144.4</v>
      </c>
      <c r="L149" s="23" t="n">
        <v>71</v>
      </c>
      <c r="M149" s="23" t="n">
        <v>12.4</v>
      </c>
      <c r="N149" s="32" t="n">
        <v>1719</v>
      </c>
      <c r="O149" s="23" t="n">
        <v>4.7</v>
      </c>
      <c r="P149" s="19" t="n">
        <v>8.82</v>
      </c>
      <c r="Q149" s="17" t="inlineStr">
        <is>
          <t>IN CONTROL (Stable)</t>
        </is>
      </c>
      <c r="R149" s="21" t="inlineStr">
        <is>
          <t>Routine inspection; normal parameters.</t>
        </is>
      </c>
    </row>
    <row r="150">
      <c r="A150" s="12" t="inlineStr">
        <is>
          <t>LOG-SPC-5149</t>
        </is>
      </c>
      <c r="B150" s="44" t="n">
        <v>45335.58333333334</v>
      </c>
      <c r="C150" s="12" t="inlineStr">
        <is>
          <t>Shift_B</t>
        </is>
      </c>
      <c r="D150" s="22" t="n">
        <v>261.8</v>
      </c>
      <c r="E150" s="22" t="n">
        <v>3115.8</v>
      </c>
      <c r="F150" s="22" t="n">
        <v>71.8</v>
      </c>
      <c r="G150" s="22" t="n">
        <v>44.8</v>
      </c>
      <c r="H150" s="22" t="n">
        <v>93.09999999999999</v>
      </c>
      <c r="I150" s="28" t="n">
        <v>6</v>
      </c>
      <c r="J150" s="12" t="inlineStr">
        <is>
          <t>Free Flare Spray (Optimal)</t>
        </is>
      </c>
      <c r="K150" s="22" t="n">
        <v>147.6</v>
      </c>
      <c r="L150" s="22" t="n">
        <v>68.7</v>
      </c>
      <c r="M150" s="22" t="n">
        <v>12.8</v>
      </c>
      <c r="N150" s="29" t="n">
        <v>1695</v>
      </c>
      <c r="O150" s="22" t="n">
        <v>4.7</v>
      </c>
      <c r="P150" s="14" t="n">
        <v>8.52</v>
      </c>
      <c r="Q150" s="12" t="inlineStr">
        <is>
          <t>IN CONTROL (Stable)</t>
        </is>
      </c>
      <c r="R150" s="16" t="inlineStr">
        <is>
          <t>Routine inspection; normal parameters.</t>
        </is>
      </c>
    </row>
    <row r="151">
      <c r="A151" s="17" t="inlineStr">
        <is>
          <t>LOG-SPC-5150</t>
        </is>
      </c>
      <c r="B151" s="45" t="n">
        <v>45335.66666666666</v>
      </c>
      <c r="C151" s="17" t="inlineStr">
        <is>
          <t>Shift_B</t>
        </is>
      </c>
      <c r="D151" s="23" t="n">
        <v>256.1</v>
      </c>
      <c r="E151" s="23" t="n">
        <v>3086.7</v>
      </c>
      <c r="F151" s="23" t="n">
        <v>73</v>
      </c>
      <c r="G151" s="23" t="n">
        <v>45.1</v>
      </c>
      <c r="H151" s="23" t="n">
        <v>98.59999999999999</v>
      </c>
      <c r="I151" s="31" t="n">
        <v>6</v>
      </c>
      <c r="J151" s="17" t="inlineStr">
        <is>
          <t>Free Flare Spray (Optimal)</t>
        </is>
      </c>
      <c r="K151" s="23" t="n">
        <v>144.6</v>
      </c>
      <c r="L151" s="23" t="n">
        <v>67.5</v>
      </c>
      <c r="M151" s="23" t="n">
        <v>10.7</v>
      </c>
      <c r="N151" s="32" t="n">
        <v>1775</v>
      </c>
      <c r="O151" s="23" t="n">
        <v>5</v>
      </c>
      <c r="P151" s="19" t="n">
        <v>8.710000000000001</v>
      </c>
      <c r="Q151" s="17" t="inlineStr">
        <is>
          <t>IN CONTROL (Stable)</t>
        </is>
      </c>
      <c r="R151" s="21" t="inlineStr">
        <is>
          <t>Routine inspection; normal parameters.</t>
        </is>
      </c>
    </row>
    <row r="152">
      <c r="A152" s="12" t="inlineStr">
        <is>
          <t>LOG-SPC-5151</t>
        </is>
      </c>
      <c r="B152" s="44" t="n">
        <v>45335.75</v>
      </c>
      <c r="C152" s="12" t="inlineStr">
        <is>
          <t>Shift_B</t>
        </is>
      </c>
      <c r="D152" s="22" t="n">
        <v>251</v>
      </c>
      <c r="E152" s="22" t="n">
        <v>3051.6</v>
      </c>
      <c r="F152" s="22" t="n">
        <v>71.5</v>
      </c>
      <c r="G152" s="22" t="n">
        <v>45.5</v>
      </c>
      <c r="H152" s="22" t="n">
        <v>99.7</v>
      </c>
      <c r="I152" s="28" t="n">
        <v>6</v>
      </c>
      <c r="J152" s="12" t="inlineStr">
        <is>
          <t>Free Flare Spray (Optimal)</t>
        </is>
      </c>
      <c r="K152" s="22" t="n">
        <v>136.1</v>
      </c>
      <c r="L152" s="22" t="n">
        <v>68.2</v>
      </c>
      <c r="M152" s="22" t="n">
        <v>12.4</v>
      </c>
      <c r="N152" s="29" t="n">
        <v>1724</v>
      </c>
      <c r="O152" s="22" t="n">
        <v>5</v>
      </c>
      <c r="P152" s="14" t="n">
        <v>8.73</v>
      </c>
      <c r="Q152" s="12" t="inlineStr">
        <is>
          <t>IN CONTROL (Stable)</t>
        </is>
      </c>
      <c r="R152" s="16" t="inlineStr">
        <is>
          <t>Routine inspection; normal parameters.</t>
        </is>
      </c>
    </row>
    <row r="153">
      <c r="A153" s="17" t="inlineStr">
        <is>
          <t>LOG-SPC-5152</t>
        </is>
      </c>
      <c r="B153" s="45" t="n">
        <v>45335.83333333334</v>
      </c>
      <c r="C153" s="17" t="inlineStr">
        <is>
          <t>Shift_B</t>
        </is>
      </c>
      <c r="D153" s="23" t="n">
        <v>251.6</v>
      </c>
      <c r="E153" s="23" t="n">
        <v>3141.8</v>
      </c>
      <c r="F153" s="23" t="n">
        <v>70.90000000000001</v>
      </c>
      <c r="G153" s="23" t="n">
        <v>45.2</v>
      </c>
      <c r="H153" s="23" t="n">
        <v>108.1</v>
      </c>
      <c r="I153" s="31" t="n">
        <v>6</v>
      </c>
      <c r="J153" s="17" t="inlineStr">
        <is>
          <t>Free Flare Spray (Optimal)</t>
        </is>
      </c>
      <c r="K153" s="23" t="n">
        <v>140.7</v>
      </c>
      <c r="L153" s="23" t="n">
        <v>66.2</v>
      </c>
      <c r="M153" s="23" t="n">
        <v>11.9</v>
      </c>
      <c r="N153" s="32" t="n">
        <v>1696</v>
      </c>
      <c r="O153" s="23" t="n">
        <v>5</v>
      </c>
      <c r="P153" s="19" t="n">
        <v>8.48</v>
      </c>
      <c r="Q153" s="17" t="inlineStr">
        <is>
          <t>IN CONTROL (Stable)</t>
        </is>
      </c>
      <c r="R153" s="21" t="inlineStr">
        <is>
          <t>Routine inspection; normal parameters.</t>
        </is>
      </c>
    </row>
    <row r="154">
      <c r="A154" s="12" t="inlineStr">
        <is>
          <t>LOG-SPC-5153</t>
        </is>
      </c>
      <c r="B154" s="44" t="n">
        <v>45335.91666666666</v>
      </c>
      <c r="C154" s="12" t="inlineStr">
        <is>
          <t>Shift_C</t>
        </is>
      </c>
      <c r="D154" s="22" t="n">
        <v>244.9</v>
      </c>
      <c r="E154" s="22" t="n">
        <v>3078.6</v>
      </c>
      <c r="F154" s="22" t="n">
        <v>72.5</v>
      </c>
      <c r="G154" s="22" t="n">
        <v>44.8</v>
      </c>
      <c r="H154" s="22" t="n">
        <v>104.1</v>
      </c>
      <c r="I154" s="28" t="n">
        <v>6</v>
      </c>
      <c r="J154" s="12" t="inlineStr">
        <is>
          <t>Free Flare Spray (Optimal)</t>
        </is>
      </c>
      <c r="K154" s="22" t="n">
        <v>144.6</v>
      </c>
      <c r="L154" s="22" t="n">
        <v>70.40000000000001</v>
      </c>
      <c r="M154" s="22" t="n">
        <v>11.9</v>
      </c>
      <c r="N154" s="29" t="n">
        <v>1766</v>
      </c>
      <c r="O154" s="22" t="n">
        <v>4.9</v>
      </c>
      <c r="P154" s="14" t="n">
        <v>8.57</v>
      </c>
      <c r="Q154" s="12" t="inlineStr">
        <is>
          <t>IN CONTROL (Stable)</t>
        </is>
      </c>
      <c r="R154" s="16" t="inlineStr">
        <is>
          <t>Routine inspection; normal parameters.</t>
        </is>
      </c>
    </row>
    <row r="155">
      <c r="A155" s="17" t="inlineStr">
        <is>
          <t>LOG-SPC-5154</t>
        </is>
      </c>
      <c r="B155" s="45" t="n">
        <v>45336</v>
      </c>
      <c r="C155" s="17" t="inlineStr">
        <is>
          <t>Shift_C</t>
        </is>
      </c>
      <c r="D155" s="23" t="n">
        <v>265</v>
      </c>
      <c r="E155" s="23" t="n">
        <v>3063.1</v>
      </c>
      <c r="F155" s="23" t="n">
        <v>71.59999999999999</v>
      </c>
      <c r="G155" s="23" t="n">
        <v>43.8</v>
      </c>
      <c r="H155" s="23" t="n">
        <v>109.8</v>
      </c>
      <c r="I155" s="31" t="n">
        <v>6</v>
      </c>
      <c r="J155" s="17" t="inlineStr">
        <is>
          <t>Free Flare Spray (Optimal)</t>
        </is>
      </c>
      <c r="K155" s="23" t="n">
        <v>150.9</v>
      </c>
      <c r="L155" s="23" t="n">
        <v>71</v>
      </c>
      <c r="M155" s="23" t="n">
        <v>13.5</v>
      </c>
      <c r="N155" s="32" t="n">
        <v>1713</v>
      </c>
      <c r="O155" s="23" t="n">
        <v>4.7</v>
      </c>
      <c r="P155" s="19" t="n">
        <v>8.27</v>
      </c>
      <c r="Q155" s="17" t="inlineStr">
        <is>
          <t>IN CONTROL (Stable)</t>
        </is>
      </c>
      <c r="R155" s="21" t="inlineStr">
        <is>
          <t>Routine inspection; normal parameters.</t>
        </is>
      </c>
    </row>
    <row r="156">
      <c r="A156" s="12" t="inlineStr">
        <is>
          <t>LOG-SPC-5155</t>
        </is>
      </c>
      <c r="B156" s="44" t="n">
        <v>45336.08333333334</v>
      </c>
      <c r="C156" s="12" t="inlineStr">
        <is>
          <t>Shift_C</t>
        </is>
      </c>
      <c r="D156" s="22" t="n">
        <v>262.2</v>
      </c>
      <c r="E156" s="22" t="n">
        <v>3116.4</v>
      </c>
      <c r="F156" s="22" t="n">
        <v>71.5</v>
      </c>
      <c r="G156" s="22" t="n">
        <v>45.9</v>
      </c>
      <c r="H156" s="22" t="n">
        <v>100.1</v>
      </c>
      <c r="I156" s="28" t="n">
        <v>6</v>
      </c>
      <c r="J156" s="12" t="inlineStr">
        <is>
          <t>Free Flare Spray (Optimal)</t>
        </is>
      </c>
      <c r="K156" s="22" t="n">
        <v>146.4</v>
      </c>
      <c r="L156" s="22" t="n">
        <v>68.2</v>
      </c>
      <c r="M156" s="22" t="n">
        <v>13</v>
      </c>
      <c r="N156" s="29" t="n">
        <v>1717</v>
      </c>
      <c r="O156" s="22" t="n">
        <v>4.4</v>
      </c>
      <c r="P156" s="14" t="n">
        <v>8.619999999999999</v>
      </c>
      <c r="Q156" s="12" t="inlineStr">
        <is>
          <t>IN CONTROL (Stable)</t>
        </is>
      </c>
      <c r="R156" s="16" t="inlineStr">
        <is>
          <t>Routine inspection; normal parameters.</t>
        </is>
      </c>
    </row>
    <row r="157">
      <c r="A157" s="17" t="inlineStr">
        <is>
          <t>LOG-SPC-5156</t>
        </is>
      </c>
      <c r="B157" s="45" t="n">
        <v>45336.16666666666</v>
      </c>
      <c r="C157" s="17" t="inlineStr">
        <is>
          <t>Shift_C</t>
        </is>
      </c>
      <c r="D157" s="23" t="n">
        <v>256.3</v>
      </c>
      <c r="E157" s="23" t="n">
        <v>3099</v>
      </c>
      <c r="F157" s="23" t="n">
        <v>72.3</v>
      </c>
      <c r="G157" s="23" t="n">
        <v>44</v>
      </c>
      <c r="H157" s="23" t="n">
        <v>104.9</v>
      </c>
      <c r="I157" s="31" t="n">
        <v>6</v>
      </c>
      <c r="J157" s="17" t="inlineStr">
        <is>
          <t>Free Flare Spray (Optimal)</t>
        </is>
      </c>
      <c r="K157" s="23" t="n">
        <v>142.8</v>
      </c>
      <c r="L157" s="23" t="n">
        <v>69.59999999999999</v>
      </c>
      <c r="M157" s="23" t="n">
        <v>12.5</v>
      </c>
      <c r="N157" s="32" t="n">
        <v>1744</v>
      </c>
      <c r="O157" s="23" t="n">
        <v>5.1</v>
      </c>
      <c r="P157" s="19" t="n">
        <v>8.74</v>
      </c>
      <c r="Q157" s="17" t="inlineStr">
        <is>
          <t>IN CONTROL (Stable)</t>
        </is>
      </c>
      <c r="R157" s="21" t="inlineStr">
        <is>
          <t>Routine inspection; normal parameters.</t>
        </is>
      </c>
    </row>
    <row r="158">
      <c r="A158" s="12" t="inlineStr">
        <is>
          <t>LOG-SPC-5157</t>
        </is>
      </c>
      <c r="B158" s="44" t="n">
        <v>45336.25</v>
      </c>
      <c r="C158" s="12" t="inlineStr">
        <is>
          <t>Shift_A</t>
        </is>
      </c>
      <c r="D158" s="22" t="n">
        <v>251.6</v>
      </c>
      <c r="E158" s="22" t="n">
        <v>3065.1</v>
      </c>
      <c r="F158" s="22" t="n">
        <v>71.8</v>
      </c>
      <c r="G158" s="22" t="n">
        <v>44.4</v>
      </c>
      <c r="H158" s="22" t="n">
        <v>103.3</v>
      </c>
      <c r="I158" s="28" t="n">
        <v>6</v>
      </c>
      <c r="J158" s="12" t="inlineStr">
        <is>
          <t>Free Flare Spray (Optimal)</t>
        </is>
      </c>
      <c r="K158" s="22" t="n">
        <v>143.7</v>
      </c>
      <c r="L158" s="22" t="n">
        <v>67</v>
      </c>
      <c r="M158" s="22" t="n">
        <v>10.9</v>
      </c>
      <c r="N158" s="29" t="n">
        <v>1696</v>
      </c>
      <c r="O158" s="22" t="n">
        <v>4.9</v>
      </c>
      <c r="P158" s="14" t="n">
        <v>8.33</v>
      </c>
      <c r="Q158" s="12" t="inlineStr">
        <is>
          <t>IN CONTROL (Stable)</t>
        </is>
      </c>
      <c r="R158" s="16" t="inlineStr">
        <is>
          <t>Routine inspection; normal parameters.</t>
        </is>
      </c>
    </row>
    <row r="159">
      <c r="A159" s="17" t="inlineStr">
        <is>
          <t>LOG-SPC-5158</t>
        </is>
      </c>
      <c r="B159" s="45" t="n">
        <v>45336.33333333334</v>
      </c>
      <c r="C159" s="17" t="inlineStr">
        <is>
          <t>Shift_A</t>
        </is>
      </c>
      <c r="D159" s="23" t="n">
        <v>250.1</v>
      </c>
      <c r="E159" s="23" t="n">
        <v>3166.5</v>
      </c>
      <c r="F159" s="23" t="n">
        <v>72.40000000000001</v>
      </c>
      <c r="G159" s="23" t="n">
        <v>46.1</v>
      </c>
      <c r="H159" s="23" t="n">
        <v>107</v>
      </c>
      <c r="I159" s="31" t="n">
        <v>6</v>
      </c>
      <c r="J159" s="17" t="inlineStr">
        <is>
          <t>Free Flare Spray (Optimal)</t>
        </is>
      </c>
      <c r="K159" s="23" t="n">
        <v>149.1</v>
      </c>
      <c r="L159" s="23" t="n">
        <v>67.40000000000001</v>
      </c>
      <c r="M159" s="23" t="n">
        <v>12</v>
      </c>
      <c r="N159" s="32" t="n">
        <v>1624</v>
      </c>
      <c r="O159" s="23" t="n">
        <v>5.2</v>
      </c>
      <c r="P159" s="19" t="n">
        <v>8.91</v>
      </c>
      <c r="Q159" s="17" t="inlineStr">
        <is>
          <t>IN CONTROL (Stable)</t>
        </is>
      </c>
      <c r="R159" s="21" t="inlineStr">
        <is>
          <t>Routine inspection; normal parameters.</t>
        </is>
      </c>
    </row>
    <row r="160">
      <c r="A160" s="12" t="inlineStr">
        <is>
          <t>LOG-SPC-5159</t>
        </is>
      </c>
      <c r="B160" s="44" t="n">
        <v>45336.41666666666</v>
      </c>
      <c r="C160" s="12" t="inlineStr">
        <is>
          <t>Shift_A</t>
        </is>
      </c>
      <c r="D160" s="22" t="n">
        <v>246.7</v>
      </c>
      <c r="E160" s="22" t="n">
        <v>3091.1</v>
      </c>
      <c r="F160" s="22" t="n">
        <v>71.3</v>
      </c>
      <c r="G160" s="22" t="n">
        <v>45.1</v>
      </c>
      <c r="H160" s="22" t="n">
        <v>110.6</v>
      </c>
      <c r="I160" s="28" t="n">
        <v>6</v>
      </c>
      <c r="J160" s="12" t="inlineStr">
        <is>
          <t>Free Flare Spray (Optimal)</t>
        </is>
      </c>
      <c r="K160" s="22" t="n">
        <v>138.9</v>
      </c>
      <c r="L160" s="22" t="n">
        <v>69.09999999999999</v>
      </c>
      <c r="M160" s="22" t="n">
        <v>12.3</v>
      </c>
      <c r="N160" s="29" t="n">
        <v>1723</v>
      </c>
      <c r="O160" s="22" t="n">
        <v>4.9</v>
      </c>
      <c r="P160" s="14" t="n">
        <v>8.56</v>
      </c>
      <c r="Q160" s="12" t="inlineStr">
        <is>
          <t>IN CONTROL (Stable)</t>
        </is>
      </c>
      <c r="R160" s="16" t="inlineStr">
        <is>
          <t>Routine inspection; normal parameters.</t>
        </is>
      </c>
    </row>
    <row r="161">
      <c r="A161" s="17" t="inlineStr">
        <is>
          <t>LOG-SPC-5160</t>
        </is>
      </c>
      <c r="B161" s="45" t="n">
        <v>45336.5</v>
      </c>
      <c r="C161" s="17" t="inlineStr">
        <is>
          <t>Shift_A</t>
        </is>
      </c>
      <c r="D161" s="23" t="n">
        <v>249.4</v>
      </c>
      <c r="E161" s="23" t="n">
        <v>3092.5</v>
      </c>
      <c r="F161" s="23" t="n">
        <v>72.40000000000001</v>
      </c>
      <c r="G161" s="23" t="n">
        <v>45.1</v>
      </c>
      <c r="H161" s="23" t="n">
        <v>106.1</v>
      </c>
      <c r="I161" s="31" t="n">
        <v>6</v>
      </c>
      <c r="J161" s="17" t="inlineStr">
        <is>
          <t>Free Flare Spray (Optimal)</t>
        </is>
      </c>
      <c r="K161" s="23" t="n">
        <v>140.6</v>
      </c>
      <c r="L161" s="23" t="n">
        <v>67.90000000000001</v>
      </c>
      <c r="M161" s="23" t="n">
        <v>13.2</v>
      </c>
      <c r="N161" s="32" t="n">
        <v>1721</v>
      </c>
      <c r="O161" s="23" t="n">
        <v>5</v>
      </c>
      <c r="P161" s="19" t="n">
        <v>8.949999999999999</v>
      </c>
      <c r="Q161" s="17" t="inlineStr">
        <is>
          <t>IN CONTROL (Stable)</t>
        </is>
      </c>
      <c r="R161" s="21" t="inlineStr">
        <is>
          <t>Routine inspection; normal parameters.</t>
        </is>
      </c>
    </row>
    <row r="162">
      <c r="A162" s="12" t="inlineStr">
        <is>
          <t>LOG-SPC-5161</t>
        </is>
      </c>
      <c r="B162" s="44" t="n">
        <v>45336.58333333334</v>
      </c>
      <c r="C162" s="12" t="inlineStr">
        <is>
          <t>Shift_B</t>
        </is>
      </c>
      <c r="D162" s="22" t="n">
        <v>256.2</v>
      </c>
      <c r="E162" s="22" t="n">
        <v>3103.3</v>
      </c>
      <c r="F162" s="22" t="n">
        <v>71.5</v>
      </c>
      <c r="G162" s="22" t="n">
        <v>42.8</v>
      </c>
      <c r="H162" s="22" t="n">
        <v>104.2</v>
      </c>
      <c r="I162" s="28" t="n">
        <v>6</v>
      </c>
      <c r="J162" s="12" t="inlineStr">
        <is>
          <t>Free Flare Spray (Optimal)</t>
        </is>
      </c>
      <c r="K162" s="22" t="n">
        <v>143.9</v>
      </c>
      <c r="L162" s="22" t="n">
        <v>69.09999999999999</v>
      </c>
      <c r="M162" s="22" t="n">
        <v>12.4</v>
      </c>
      <c r="N162" s="29" t="n">
        <v>1708</v>
      </c>
      <c r="O162" s="22" t="n">
        <v>4.3</v>
      </c>
      <c r="P162" s="14" t="n">
        <v>8.41</v>
      </c>
      <c r="Q162" s="12" t="inlineStr">
        <is>
          <t>IN CONTROL (Stable)</t>
        </is>
      </c>
      <c r="R162" s="16" t="inlineStr">
        <is>
          <t>Routine inspection; normal parameters.</t>
        </is>
      </c>
    </row>
    <row r="163">
      <c r="A163" s="17" t="inlineStr">
        <is>
          <t>LOG-SPC-5162</t>
        </is>
      </c>
      <c r="B163" s="45" t="n">
        <v>45336.66666666666</v>
      </c>
      <c r="C163" s="17" t="inlineStr">
        <is>
          <t>Shift_B</t>
        </is>
      </c>
      <c r="D163" s="23" t="n">
        <v>252.9</v>
      </c>
      <c r="E163" s="23" t="n">
        <v>3160.1</v>
      </c>
      <c r="F163" s="23" t="n">
        <v>71.7</v>
      </c>
      <c r="G163" s="23" t="n">
        <v>45.1</v>
      </c>
      <c r="H163" s="23" t="n">
        <v>109.8</v>
      </c>
      <c r="I163" s="31" t="n">
        <v>6</v>
      </c>
      <c r="J163" s="17" t="inlineStr">
        <is>
          <t>Free Flare Spray (Optimal)</t>
        </is>
      </c>
      <c r="K163" s="23" t="n">
        <v>142.2</v>
      </c>
      <c r="L163" s="23" t="n">
        <v>69.09999999999999</v>
      </c>
      <c r="M163" s="23" t="n">
        <v>11.9</v>
      </c>
      <c r="N163" s="32" t="n">
        <v>1750</v>
      </c>
      <c r="O163" s="23" t="n">
        <v>4.8</v>
      </c>
      <c r="P163" s="19" t="n">
        <v>8.66</v>
      </c>
      <c r="Q163" s="17" t="inlineStr">
        <is>
          <t>IN CONTROL (Stable)</t>
        </is>
      </c>
      <c r="R163" s="21" t="inlineStr">
        <is>
          <t>Routine inspection; normal parameters.</t>
        </is>
      </c>
    </row>
    <row r="164">
      <c r="A164" s="12" t="inlineStr">
        <is>
          <t>LOG-SPC-5163</t>
        </is>
      </c>
      <c r="B164" s="44" t="n">
        <v>45336.75</v>
      </c>
      <c r="C164" s="12" t="inlineStr">
        <is>
          <t>Shift_B</t>
        </is>
      </c>
      <c r="D164" s="22" t="n">
        <v>245.3</v>
      </c>
      <c r="E164" s="22" t="n">
        <v>3124.7</v>
      </c>
      <c r="F164" s="22" t="n">
        <v>73.09999999999999</v>
      </c>
      <c r="G164" s="22" t="n">
        <v>44</v>
      </c>
      <c r="H164" s="22" t="n">
        <v>103.3</v>
      </c>
      <c r="I164" s="28" t="n">
        <v>6</v>
      </c>
      <c r="J164" s="12" t="inlineStr">
        <is>
          <t>Free Flare Spray (Optimal)</t>
        </is>
      </c>
      <c r="K164" s="22" t="n">
        <v>145.8</v>
      </c>
      <c r="L164" s="22" t="n">
        <v>69.7</v>
      </c>
      <c r="M164" s="22" t="n">
        <v>12.1</v>
      </c>
      <c r="N164" s="29" t="n">
        <v>1620</v>
      </c>
      <c r="O164" s="22" t="n">
        <v>5.2</v>
      </c>
      <c r="P164" s="14" t="n">
        <v>8.75</v>
      </c>
      <c r="Q164" s="12" t="inlineStr">
        <is>
          <t>IN CONTROL (Stable)</t>
        </is>
      </c>
      <c r="R164" s="16" t="inlineStr">
        <is>
          <t>Routine inspection; normal parameters.</t>
        </is>
      </c>
    </row>
    <row r="165">
      <c r="A165" s="17" t="inlineStr">
        <is>
          <t>LOG-SPC-5164</t>
        </is>
      </c>
      <c r="B165" s="45" t="n">
        <v>45336.83333333334</v>
      </c>
      <c r="C165" s="17" t="inlineStr">
        <is>
          <t>Shift_B</t>
        </is>
      </c>
      <c r="D165" s="23" t="n">
        <v>239.5</v>
      </c>
      <c r="E165" s="23" t="n">
        <v>3078.7</v>
      </c>
      <c r="F165" s="23" t="n">
        <v>72.7</v>
      </c>
      <c r="G165" s="23" t="n">
        <v>46</v>
      </c>
      <c r="H165" s="23" t="n">
        <v>109.7</v>
      </c>
      <c r="I165" s="31" t="n">
        <v>6</v>
      </c>
      <c r="J165" s="17" t="inlineStr">
        <is>
          <t>Free Flare Spray (Optimal)</t>
        </is>
      </c>
      <c r="K165" s="23" t="n">
        <v>144.4</v>
      </c>
      <c r="L165" s="23" t="n">
        <v>68.59999999999999</v>
      </c>
      <c r="M165" s="23" t="n">
        <v>12.4</v>
      </c>
      <c r="N165" s="32" t="n">
        <v>1759</v>
      </c>
      <c r="O165" s="23" t="n">
        <v>4.5</v>
      </c>
      <c r="P165" s="19" t="n">
        <v>8.44</v>
      </c>
      <c r="Q165" s="17" t="inlineStr">
        <is>
          <t>IN CONTROL (Stable)</t>
        </is>
      </c>
      <c r="R165" s="21" t="inlineStr">
        <is>
          <t>Routine inspection; normal parameters.</t>
        </is>
      </c>
    </row>
    <row r="166">
      <c r="A166" s="12" t="inlineStr">
        <is>
          <t>LOG-SPC-5165</t>
        </is>
      </c>
      <c r="B166" s="44" t="n">
        <v>45336.91666666666</v>
      </c>
      <c r="C166" s="12" t="inlineStr">
        <is>
          <t>Shift_C</t>
        </is>
      </c>
      <c r="D166" s="22" t="n">
        <v>256.1</v>
      </c>
      <c r="E166" s="22" t="n">
        <v>3098.4</v>
      </c>
      <c r="F166" s="22" t="n">
        <v>72.59999999999999</v>
      </c>
      <c r="G166" s="22" t="n">
        <v>44.3</v>
      </c>
      <c r="H166" s="22" t="n">
        <v>104.7</v>
      </c>
      <c r="I166" s="28" t="n">
        <v>6</v>
      </c>
      <c r="J166" s="12" t="inlineStr">
        <is>
          <t>Free Flare Spray (Optimal)</t>
        </is>
      </c>
      <c r="K166" s="22" t="n">
        <v>141.8</v>
      </c>
      <c r="L166" s="22" t="n">
        <v>68.5</v>
      </c>
      <c r="M166" s="22" t="n">
        <v>11.3</v>
      </c>
      <c r="N166" s="29" t="n">
        <v>1702</v>
      </c>
      <c r="O166" s="22" t="n">
        <v>4.4</v>
      </c>
      <c r="P166" s="14" t="n">
        <v>8.74</v>
      </c>
      <c r="Q166" s="12" t="inlineStr">
        <is>
          <t>IN CONTROL (Stable)</t>
        </is>
      </c>
      <c r="R166" s="16" t="inlineStr">
        <is>
          <t>Routine inspection; normal parameters.</t>
        </is>
      </c>
    </row>
    <row r="167">
      <c r="A167" s="17" t="inlineStr">
        <is>
          <t>LOG-SPC-5166</t>
        </is>
      </c>
      <c r="B167" s="45" t="n">
        <v>45337</v>
      </c>
      <c r="C167" s="17" t="inlineStr">
        <is>
          <t>Shift_C</t>
        </is>
      </c>
      <c r="D167" s="23" t="n">
        <v>254.3</v>
      </c>
      <c r="E167" s="23" t="n">
        <v>3039.4</v>
      </c>
      <c r="F167" s="23" t="n">
        <v>72.59999999999999</v>
      </c>
      <c r="G167" s="23" t="n">
        <v>46.8</v>
      </c>
      <c r="H167" s="23" t="n">
        <v>105.2</v>
      </c>
      <c r="I167" s="31" t="n">
        <v>6</v>
      </c>
      <c r="J167" s="17" t="inlineStr">
        <is>
          <t>Free Flare Spray (Optimal)</t>
        </is>
      </c>
      <c r="K167" s="23" t="n">
        <v>142.8</v>
      </c>
      <c r="L167" s="23" t="n">
        <v>72.7</v>
      </c>
      <c r="M167" s="23" t="n">
        <v>11.4</v>
      </c>
      <c r="N167" s="32" t="n">
        <v>1720</v>
      </c>
      <c r="O167" s="23" t="n">
        <v>4.9</v>
      </c>
      <c r="P167" s="19" t="n">
        <v>8.869999999999999</v>
      </c>
      <c r="Q167" s="17" t="inlineStr">
        <is>
          <t>IN CONTROL (Stable)</t>
        </is>
      </c>
      <c r="R167" s="21" t="inlineStr">
        <is>
          <t>Routine inspection; normal parameters.</t>
        </is>
      </c>
    </row>
    <row r="168">
      <c r="A168" s="12" t="inlineStr">
        <is>
          <t>LOG-SPC-5167</t>
        </is>
      </c>
      <c r="B168" s="44" t="n">
        <v>45337.08333333334</v>
      </c>
      <c r="C168" s="12" t="inlineStr">
        <is>
          <t>Shift_C</t>
        </is>
      </c>
      <c r="D168" s="22" t="n">
        <v>252.2</v>
      </c>
      <c r="E168" s="22" t="n">
        <v>3082.5</v>
      </c>
      <c r="F168" s="22" t="n">
        <v>71.2</v>
      </c>
      <c r="G168" s="22" t="n">
        <v>44.5</v>
      </c>
      <c r="H168" s="22" t="n">
        <v>100</v>
      </c>
      <c r="I168" s="28" t="n">
        <v>6</v>
      </c>
      <c r="J168" s="12" t="inlineStr">
        <is>
          <t>Free Flare Spray (Optimal)</t>
        </is>
      </c>
      <c r="K168" s="22" t="n">
        <v>145.2</v>
      </c>
      <c r="L168" s="22" t="n">
        <v>67.7</v>
      </c>
      <c r="M168" s="22" t="n">
        <v>11.3</v>
      </c>
      <c r="N168" s="29" t="n">
        <v>1763</v>
      </c>
      <c r="O168" s="22" t="n">
        <v>4.7</v>
      </c>
      <c r="P168" s="14" t="n">
        <v>8.35</v>
      </c>
      <c r="Q168" s="12" t="inlineStr">
        <is>
          <t>IN CONTROL (Stable)</t>
        </is>
      </c>
      <c r="R168" s="16" t="inlineStr">
        <is>
          <t>Routine inspection; normal parameters.</t>
        </is>
      </c>
    </row>
    <row r="169">
      <c r="A169" s="17" t="inlineStr">
        <is>
          <t>LOG-SPC-5168</t>
        </is>
      </c>
      <c r="B169" s="45" t="n">
        <v>45337.16666666666</v>
      </c>
      <c r="C169" s="17" t="inlineStr">
        <is>
          <t>Shift_C</t>
        </is>
      </c>
      <c r="D169" s="23" t="n">
        <v>249</v>
      </c>
      <c r="E169" s="23" t="n">
        <v>3102.4</v>
      </c>
      <c r="F169" s="23" t="n">
        <v>70.8</v>
      </c>
      <c r="G169" s="23" t="n">
        <v>45.1</v>
      </c>
      <c r="H169" s="23" t="n">
        <v>99.8</v>
      </c>
      <c r="I169" s="31" t="n">
        <v>6</v>
      </c>
      <c r="J169" s="17" t="inlineStr">
        <is>
          <t>Free Flare Spray (Optimal)</t>
        </is>
      </c>
      <c r="K169" s="23" t="n">
        <v>151</v>
      </c>
      <c r="L169" s="23" t="n">
        <v>69.3</v>
      </c>
      <c r="M169" s="23" t="n">
        <v>12.2</v>
      </c>
      <c r="N169" s="32" t="n">
        <v>1693</v>
      </c>
      <c r="O169" s="23" t="n">
        <v>4.8</v>
      </c>
      <c r="P169" s="19" t="n">
        <v>8.720000000000001</v>
      </c>
      <c r="Q169" s="17" t="inlineStr">
        <is>
          <t>IN CONTROL (Stable)</t>
        </is>
      </c>
      <c r="R169" s="21" t="inlineStr">
        <is>
          <t>Routine inspection; normal parameters.</t>
        </is>
      </c>
    </row>
    <row r="170">
      <c r="A170" s="12" t="inlineStr">
        <is>
          <t>LOG-SPC-5169</t>
        </is>
      </c>
      <c r="B170" s="44" t="n">
        <v>45337.25</v>
      </c>
      <c r="C170" s="12" t="inlineStr">
        <is>
          <t>Shift_A</t>
        </is>
      </c>
      <c r="D170" s="22" t="n">
        <v>249.8</v>
      </c>
      <c r="E170" s="22" t="n">
        <v>3092.4</v>
      </c>
      <c r="F170" s="22" t="n">
        <v>71.8</v>
      </c>
      <c r="G170" s="22" t="n">
        <v>44.3</v>
      </c>
      <c r="H170" s="22" t="n">
        <v>103.3</v>
      </c>
      <c r="I170" s="28" t="n">
        <v>6</v>
      </c>
      <c r="J170" s="12" t="inlineStr">
        <is>
          <t>Free Flare Spray (Optimal)</t>
        </is>
      </c>
      <c r="K170" s="22" t="n">
        <v>137.7</v>
      </c>
      <c r="L170" s="22" t="n">
        <v>70</v>
      </c>
      <c r="M170" s="22" t="n">
        <v>12.7</v>
      </c>
      <c r="N170" s="29" t="n">
        <v>1692</v>
      </c>
      <c r="O170" s="22" t="n">
        <v>5.4</v>
      </c>
      <c r="P170" s="14" t="n">
        <v>8.619999999999999</v>
      </c>
      <c r="Q170" s="12" t="inlineStr">
        <is>
          <t>IN CONTROL (Stable)</t>
        </is>
      </c>
      <c r="R170" s="16" t="inlineStr">
        <is>
          <t>Routine inspection; normal parameters.</t>
        </is>
      </c>
    </row>
    <row r="171">
      <c r="A171" s="17" t="inlineStr">
        <is>
          <t>LOG-SPC-5170</t>
        </is>
      </c>
      <c r="B171" s="45" t="n">
        <v>45337.33333333334</v>
      </c>
      <c r="C171" s="17" t="inlineStr">
        <is>
          <t>Shift_A</t>
        </is>
      </c>
      <c r="D171" s="23" t="n">
        <v>243.8</v>
      </c>
      <c r="E171" s="23" t="n">
        <v>3130</v>
      </c>
      <c r="F171" s="23" t="n">
        <v>72</v>
      </c>
      <c r="G171" s="23" t="n">
        <v>45.1</v>
      </c>
      <c r="H171" s="23" t="n">
        <v>102.9</v>
      </c>
      <c r="I171" s="31" t="n">
        <v>6</v>
      </c>
      <c r="J171" s="17" t="inlineStr">
        <is>
          <t>Free Flare Spray (Optimal)</t>
        </is>
      </c>
      <c r="K171" s="23" t="n">
        <v>146.6</v>
      </c>
      <c r="L171" s="23" t="n">
        <v>68.09999999999999</v>
      </c>
      <c r="M171" s="23" t="n">
        <v>12.9</v>
      </c>
      <c r="N171" s="32" t="n">
        <v>1653</v>
      </c>
      <c r="O171" s="23" t="n">
        <v>4.7</v>
      </c>
      <c r="P171" s="19" t="n">
        <v>8.94</v>
      </c>
      <c r="Q171" s="17" t="inlineStr">
        <is>
          <t>IN CONTROL (Stable)</t>
        </is>
      </c>
      <c r="R171" s="21" t="inlineStr">
        <is>
          <t>Routine inspection; normal parameters.</t>
        </is>
      </c>
    </row>
    <row r="172">
      <c r="A172" s="12" t="inlineStr">
        <is>
          <t>LOG-SPC-5171</t>
        </is>
      </c>
      <c r="B172" s="44" t="n">
        <v>45337.41666666666</v>
      </c>
      <c r="C172" s="12" t="inlineStr">
        <is>
          <t>Shift_A</t>
        </is>
      </c>
      <c r="D172" s="22" t="n">
        <v>245.4</v>
      </c>
      <c r="E172" s="22" t="n">
        <v>3078.9</v>
      </c>
      <c r="F172" s="22" t="n">
        <v>71.5</v>
      </c>
      <c r="G172" s="22" t="n">
        <v>43.8</v>
      </c>
      <c r="H172" s="22" t="n">
        <v>94</v>
      </c>
      <c r="I172" s="28" t="n">
        <v>6</v>
      </c>
      <c r="J172" s="12" t="inlineStr">
        <is>
          <t>Free Flare Spray (Optimal)</t>
        </is>
      </c>
      <c r="K172" s="22" t="n">
        <v>144.2</v>
      </c>
      <c r="L172" s="22" t="n">
        <v>68.7</v>
      </c>
      <c r="M172" s="22" t="n">
        <v>12.5</v>
      </c>
      <c r="N172" s="29" t="n">
        <v>1714</v>
      </c>
      <c r="O172" s="22" t="n">
        <v>4.8</v>
      </c>
      <c r="P172" s="14" t="n">
        <v>8.800000000000001</v>
      </c>
      <c r="Q172" s="12" t="inlineStr">
        <is>
          <t>IN CONTROL (Stable)</t>
        </is>
      </c>
      <c r="R172" s="16" t="inlineStr">
        <is>
          <t>Routine inspection; normal parameters.</t>
        </is>
      </c>
    </row>
    <row r="173">
      <c r="A173" s="17" t="inlineStr">
        <is>
          <t>LOG-SPC-5172</t>
        </is>
      </c>
      <c r="B173" s="45" t="n">
        <v>45337.5</v>
      </c>
      <c r="C173" s="17" t="inlineStr">
        <is>
          <t>Shift_A</t>
        </is>
      </c>
      <c r="D173" s="23" t="n">
        <v>248.9</v>
      </c>
      <c r="E173" s="23" t="n">
        <v>3079.9</v>
      </c>
      <c r="F173" s="23" t="n">
        <v>71.59999999999999</v>
      </c>
      <c r="G173" s="23" t="n">
        <v>45.3</v>
      </c>
      <c r="H173" s="23" t="n">
        <v>112.1</v>
      </c>
      <c r="I173" s="31" t="n">
        <v>6</v>
      </c>
      <c r="J173" s="17" t="inlineStr">
        <is>
          <t>Free Flare Spray (Optimal)</t>
        </is>
      </c>
      <c r="K173" s="23" t="n">
        <v>142.8</v>
      </c>
      <c r="L173" s="23" t="n">
        <v>68.59999999999999</v>
      </c>
      <c r="M173" s="23" t="n">
        <v>12.8</v>
      </c>
      <c r="N173" s="32" t="n">
        <v>1685</v>
      </c>
      <c r="O173" s="23" t="n">
        <v>4.8</v>
      </c>
      <c r="P173" s="19" t="n">
        <v>8.31</v>
      </c>
      <c r="Q173" s="17" t="inlineStr">
        <is>
          <t>IN CONTROL (Stable)</t>
        </is>
      </c>
      <c r="R173" s="21" t="inlineStr">
        <is>
          <t>Routine inspection; normal parameters.</t>
        </is>
      </c>
    </row>
    <row r="174">
      <c r="A174" s="12" t="inlineStr">
        <is>
          <t>LOG-SPC-5173</t>
        </is>
      </c>
      <c r="B174" s="44" t="n">
        <v>45337.58333333334</v>
      </c>
      <c r="C174" s="12" t="inlineStr">
        <is>
          <t>Shift_B</t>
        </is>
      </c>
      <c r="D174" s="22" t="n">
        <v>239.4</v>
      </c>
      <c r="E174" s="22" t="n">
        <v>3112.8</v>
      </c>
      <c r="F174" s="22" t="n">
        <v>71.59999999999999</v>
      </c>
      <c r="G174" s="22" t="n">
        <v>45</v>
      </c>
      <c r="H174" s="22" t="n">
        <v>104.9</v>
      </c>
      <c r="I174" s="28" t="n">
        <v>6</v>
      </c>
      <c r="J174" s="12" t="inlineStr">
        <is>
          <t>Free Flare Spray (Optimal)</t>
        </is>
      </c>
      <c r="K174" s="22" t="n">
        <v>141.6</v>
      </c>
      <c r="L174" s="22" t="n">
        <v>68.40000000000001</v>
      </c>
      <c r="M174" s="22" t="n">
        <v>11.5</v>
      </c>
      <c r="N174" s="29" t="n">
        <v>1768</v>
      </c>
      <c r="O174" s="22" t="n">
        <v>4.4</v>
      </c>
      <c r="P174" s="14" t="n">
        <v>8.56</v>
      </c>
      <c r="Q174" s="12" t="inlineStr">
        <is>
          <t>IN CONTROL (Stable)</t>
        </is>
      </c>
      <c r="R174" s="16" t="inlineStr">
        <is>
          <t>Routine inspection; normal parameters.</t>
        </is>
      </c>
    </row>
    <row r="175">
      <c r="A175" s="17" t="inlineStr">
        <is>
          <t>LOG-SPC-5174</t>
        </is>
      </c>
      <c r="B175" s="45" t="n">
        <v>45337.66666666666</v>
      </c>
      <c r="C175" s="17" t="inlineStr">
        <is>
          <t>Shift_B</t>
        </is>
      </c>
      <c r="D175" s="23" t="n">
        <v>243.7</v>
      </c>
      <c r="E175" s="23" t="n">
        <v>3120</v>
      </c>
      <c r="F175" s="23" t="n">
        <v>71.59999999999999</v>
      </c>
      <c r="G175" s="23" t="n">
        <v>44.4</v>
      </c>
      <c r="H175" s="23" t="n">
        <v>109.3</v>
      </c>
      <c r="I175" s="31" t="n">
        <v>6</v>
      </c>
      <c r="J175" s="17" t="inlineStr">
        <is>
          <t>Free Flare Spray (Optimal)</t>
        </is>
      </c>
      <c r="K175" s="23" t="n">
        <v>145.1</v>
      </c>
      <c r="L175" s="23" t="n">
        <v>69.3</v>
      </c>
      <c r="M175" s="23" t="n">
        <v>11.7</v>
      </c>
      <c r="N175" s="32" t="n">
        <v>1670</v>
      </c>
      <c r="O175" s="23" t="n">
        <v>4.8</v>
      </c>
      <c r="P175" s="19" t="n">
        <v>8.539999999999999</v>
      </c>
      <c r="Q175" s="17" t="inlineStr">
        <is>
          <t>IN CONTROL (Stable)</t>
        </is>
      </c>
      <c r="R175" s="21" t="inlineStr">
        <is>
          <t>Routine inspection; normal parameters.</t>
        </is>
      </c>
    </row>
    <row r="176">
      <c r="A176" s="12" t="inlineStr">
        <is>
          <t>LOG-SPC-5175</t>
        </is>
      </c>
      <c r="B176" s="44" t="n">
        <v>45337.75</v>
      </c>
      <c r="C176" s="12" t="inlineStr">
        <is>
          <t>Shift_B</t>
        </is>
      </c>
      <c r="D176" s="22" t="n">
        <v>253.8</v>
      </c>
      <c r="E176" s="22" t="n">
        <v>3097.2</v>
      </c>
      <c r="F176" s="22" t="n">
        <v>71.90000000000001</v>
      </c>
      <c r="G176" s="22" t="n">
        <v>43.5</v>
      </c>
      <c r="H176" s="22" t="n">
        <v>114.4</v>
      </c>
      <c r="I176" s="28" t="n">
        <v>6</v>
      </c>
      <c r="J176" s="12" t="inlineStr">
        <is>
          <t>Free Flare Spray (Optimal)</t>
        </is>
      </c>
      <c r="K176" s="22" t="n">
        <v>144.4</v>
      </c>
      <c r="L176" s="22" t="n">
        <v>69.5</v>
      </c>
      <c r="M176" s="22" t="n">
        <v>11.8</v>
      </c>
      <c r="N176" s="29" t="n">
        <v>1730</v>
      </c>
      <c r="O176" s="22" t="n">
        <v>4.4</v>
      </c>
      <c r="P176" s="14" t="n">
        <v>8.69</v>
      </c>
      <c r="Q176" s="12" t="inlineStr">
        <is>
          <t>IN CONTROL (Stable)</t>
        </is>
      </c>
      <c r="R176" s="16" t="inlineStr">
        <is>
          <t>Routine inspection; normal parameters.</t>
        </is>
      </c>
    </row>
    <row r="177">
      <c r="A177" s="17" t="inlineStr">
        <is>
          <t>LOG-SPC-5176</t>
        </is>
      </c>
      <c r="B177" s="45" t="n">
        <v>45337.83333333334</v>
      </c>
      <c r="C177" s="17" t="inlineStr">
        <is>
          <t>Shift_B</t>
        </is>
      </c>
      <c r="D177" s="23" t="n">
        <v>247.9</v>
      </c>
      <c r="E177" s="23" t="n">
        <v>3101</v>
      </c>
      <c r="F177" s="23" t="n">
        <v>72.2</v>
      </c>
      <c r="G177" s="23" t="n">
        <v>43.8</v>
      </c>
      <c r="H177" s="23" t="n">
        <v>101.6</v>
      </c>
      <c r="I177" s="31" t="n">
        <v>6</v>
      </c>
      <c r="J177" s="17" t="inlineStr">
        <is>
          <t>Free Flare Spray (Optimal)</t>
        </is>
      </c>
      <c r="K177" s="23" t="n">
        <v>146.6</v>
      </c>
      <c r="L177" s="23" t="n">
        <v>71.59999999999999</v>
      </c>
      <c r="M177" s="23" t="n">
        <v>12.4</v>
      </c>
      <c r="N177" s="32" t="n">
        <v>1740</v>
      </c>
      <c r="O177" s="23" t="n">
        <v>4.8</v>
      </c>
      <c r="P177" s="19" t="n">
        <v>8.99</v>
      </c>
      <c r="Q177" s="17" t="inlineStr">
        <is>
          <t>IN CONTROL (Stable)</t>
        </is>
      </c>
      <c r="R177" s="21" t="inlineStr">
        <is>
          <t>Routine inspection; normal parameters.</t>
        </is>
      </c>
    </row>
    <row r="178">
      <c r="A178" s="12" t="inlineStr">
        <is>
          <t>LOG-SPC-5177</t>
        </is>
      </c>
      <c r="B178" s="44" t="n">
        <v>45337.91666666666</v>
      </c>
      <c r="C178" s="12" t="inlineStr">
        <is>
          <t>Shift_C</t>
        </is>
      </c>
      <c r="D178" s="22" t="n">
        <v>239.5</v>
      </c>
      <c r="E178" s="22" t="n">
        <v>3103.3</v>
      </c>
      <c r="F178" s="22" t="n">
        <v>70.8</v>
      </c>
      <c r="G178" s="22" t="n">
        <v>42.8</v>
      </c>
      <c r="H178" s="22" t="n">
        <v>106.5</v>
      </c>
      <c r="I178" s="28" t="n">
        <v>6</v>
      </c>
      <c r="J178" s="12" t="inlineStr">
        <is>
          <t>Free Flare Spray (Optimal)</t>
        </is>
      </c>
      <c r="K178" s="22" t="n">
        <v>145.5</v>
      </c>
      <c r="L178" s="22" t="n">
        <v>68.09999999999999</v>
      </c>
      <c r="M178" s="22" t="n">
        <v>12.4</v>
      </c>
      <c r="N178" s="29" t="n">
        <v>1828</v>
      </c>
      <c r="O178" s="22" t="n">
        <v>4.7</v>
      </c>
      <c r="P178" s="14" t="n">
        <v>8.699999999999999</v>
      </c>
      <c r="Q178" s="12" t="inlineStr">
        <is>
          <t>IN CONTROL (Stable)</t>
        </is>
      </c>
      <c r="R178" s="16" t="inlineStr">
        <is>
          <t>Routine inspection; normal parameters.</t>
        </is>
      </c>
    </row>
    <row r="179">
      <c r="A179" s="17" t="inlineStr">
        <is>
          <t>LOG-SPC-5178</t>
        </is>
      </c>
      <c r="B179" s="45" t="n">
        <v>45338</v>
      </c>
      <c r="C179" s="17" t="inlineStr">
        <is>
          <t>Shift_C</t>
        </is>
      </c>
      <c r="D179" s="23" t="n">
        <v>246.1</v>
      </c>
      <c r="E179" s="23" t="n">
        <v>3110.3</v>
      </c>
      <c r="F179" s="23" t="n">
        <v>71.7</v>
      </c>
      <c r="G179" s="23" t="n">
        <v>44.5</v>
      </c>
      <c r="H179" s="23" t="n">
        <v>114.1</v>
      </c>
      <c r="I179" s="31" t="n">
        <v>6</v>
      </c>
      <c r="J179" s="17" t="inlineStr">
        <is>
          <t>Free Flare Spray (Optimal)</t>
        </is>
      </c>
      <c r="K179" s="23" t="n">
        <v>149.1</v>
      </c>
      <c r="L179" s="23" t="n">
        <v>68.7</v>
      </c>
      <c r="M179" s="23" t="n">
        <v>10.7</v>
      </c>
      <c r="N179" s="32" t="n">
        <v>1707</v>
      </c>
      <c r="O179" s="23" t="n">
        <v>5.6</v>
      </c>
      <c r="P179" s="19" t="n">
        <v>8.550000000000001</v>
      </c>
      <c r="Q179" s="17" t="inlineStr">
        <is>
          <t>IN CONTROL (Stable)</t>
        </is>
      </c>
      <c r="R179" s="21" t="inlineStr">
        <is>
          <t>Routine inspection; normal parameters.</t>
        </is>
      </c>
    </row>
    <row r="180">
      <c r="A180" s="12" t="inlineStr">
        <is>
          <t>LOG-SPC-5179</t>
        </is>
      </c>
      <c r="B180" s="44" t="n">
        <v>45338.08333333334</v>
      </c>
      <c r="C180" s="12" t="inlineStr">
        <is>
          <t>Shift_C</t>
        </is>
      </c>
      <c r="D180" s="22" t="n">
        <v>256.6</v>
      </c>
      <c r="E180" s="22" t="n">
        <v>3150.5</v>
      </c>
      <c r="F180" s="22" t="n">
        <v>71.90000000000001</v>
      </c>
      <c r="G180" s="22" t="n">
        <v>44.1</v>
      </c>
      <c r="H180" s="22" t="n">
        <v>92.8</v>
      </c>
      <c r="I180" s="28" t="n">
        <v>6</v>
      </c>
      <c r="J180" s="12" t="inlineStr">
        <is>
          <t>Free Flare Spray (Optimal)</t>
        </is>
      </c>
      <c r="K180" s="22" t="n">
        <v>147.4</v>
      </c>
      <c r="L180" s="22" t="n">
        <v>67.3</v>
      </c>
      <c r="M180" s="22" t="n">
        <v>12.6</v>
      </c>
      <c r="N180" s="29" t="n">
        <v>1676</v>
      </c>
      <c r="O180" s="22" t="n">
        <v>4.7</v>
      </c>
      <c r="P180" s="14" t="n">
        <v>8.609999999999999</v>
      </c>
      <c r="Q180" s="12" t="inlineStr">
        <is>
          <t>IN CONTROL (Stable)</t>
        </is>
      </c>
      <c r="R180" s="16" t="inlineStr">
        <is>
          <t>Routine inspection; normal parameters.</t>
        </is>
      </c>
    </row>
    <row r="181">
      <c r="A181" s="17" t="inlineStr">
        <is>
          <t>LOG-SPC-5180</t>
        </is>
      </c>
      <c r="B181" s="45" t="n">
        <v>45338.16666666666</v>
      </c>
      <c r="C181" s="17" t="inlineStr">
        <is>
          <t>Shift_C</t>
        </is>
      </c>
      <c r="D181" s="23" t="n">
        <v>251.6</v>
      </c>
      <c r="E181" s="23" t="n">
        <v>3061</v>
      </c>
      <c r="F181" s="23" t="n">
        <v>72.5</v>
      </c>
      <c r="G181" s="23" t="n">
        <v>44.3</v>
      </c>
      <c r="H181" s="23" t="n">
        <v>96.59999999999999</v>
      </c>
      <c r="I181" s="31" t="n">
        <v>6</v>
      </c>
      <c r="J181" s="17" t="inlineStr">
        <is>
          <t>Free Flare Spray (Optimal)</t>
        </is>
      </c>
      <c r="K181" s="23" t="n">
        <v>144.6</v>
      </c>
      <c r="L181" s="23" t="n">
        <v>68.59999999999999</v>
      </c>
      <c r="M181" s="23" t="n">
        <v>12.6</v>
      </c>
      <c r="N181" s="32" t="n">
        <v>1767</v>
      </c>
      <c r="O181" s="23" t="n">
        <v>4.7</v>
      </c>
      <c r="P181" s="19" t="n">
        <v>8.58</v>
      </c>
      <c r="Q181" s="17" t="inlineStr">
        <is>
          <t>IN CONTROL (Stable)</t>
        </is>
      </c>
      <c r="R181" s="21" t="inlineStr">
        <is>
          <t>Routine inspection; normal parameters.</t>
        </is>
      </c>
    </row>
    <row r="182">
      <c r="A182" s="12" t="inlineStr">
        <is>
          <t>LOG-SPC-5181</t>
        </is>
      </c>
      <c r="B182" s="44" t="n">
        <v>45338.25</v>
      </c>
      <c r="C182" s="12" t="inlineStr">
        <is>
          <t>Shift_A</t>
        </is>
      </c>
      <c r="D182" s="22" t="n">
        <v>243.4</v>
      </c>
      <c r="E182" s="22" t="n">
        <v>3128.7</v>
      </c>
      <c r="F182" s="22" t="n">
        <v>71.90000000000001</v>
      </c>
      <c r="G182" s="22" t="n">
        <v>44.5</v>
      </c>
      <c r="H182" s="22" t="n">
        <v>95.5</v>
      </c>
      <c r="I182" s="28" t="n">
        <v>6</v>
      </c>
      <c r="J182" s="12" t="inlineStr">
        <is>
          <t>Free Flare Spray (Optimal)</t>
        </is>
      </c>
      <c r="K182" s="22" t="n">
        <v>150.1</v>
      </c>
      <c r="L182" s="22" t="n">
        <v>66.7</v>
      </c>
      <c r="M182" s="22" t="n">
        <v>12</v>
      </c>
      <c r="N182" s="29" t="n">
        <v>1732</v>
      </c>
      <c r="O182" s="22" t="n">
        <v>4.4</v>
      </c>
      <c r="P182" s="14" t="n">
        <v>8.300000000000001</v>
      </c>
      <c r="Q182" s="12" t="inlineStr">
        <is>
          <t>IN CONTROL (Stable)</t>
        </is>
      </c>
      <c r="R182" s="16" t="inlineStr">
        <is>
          <t>Routine inspection; normal parameters.</t>
        </is>
      </c>
    </row>
    <row r="183">
      <c r="A183" s="17" t="inlineStr">
        <is>
          <t>LOG-SPC-5182</t>
        </is>
      </c>
      <c r="B183" s="45" t="n">
        <v>45338.33333333334</v>
      </c>
      <c r="C183" s="17" t="inlineStr">
        <is>
          <t>Shift_A</t>
        </is>
      </c>
      <c r="D183" s="23" t="n">
        <v>237.3</v>
      </c>
      <c r="E183" s="23" t="n">
        <v>3125.2</v>
      </c>
      <c r="F183" s="23" t="n">
        <v>71.5</v>
      </c>
      <c r="G183" s="23" t="n">
        <v>47.1</v>
      </c>
      <c r="H183" s="23" t="n">
        <v>100</v>
      </c>
      <c r="I183" s="31" t="n">
        <v>6</v>
      </c>
      <c r="J183" s="17" t="inlineStr">
        <is>
          <t>Free Flare Spray (Optimal)</t>
        </is>
      </c>
      <c r="K183" s="23" t="n">
        <v>141.8</v>
      </c>
      <c r="L183" s="23" t="n">
        <v>67.7</v>
      </c>
      <c r="M183" s="23" t="n">
        <v>12.7</v>
      </c>
      <c r="N183" s="32" t="n">
        <v>1703</v>
      </c>
      <c r="O183" s="23" t="n">
        <v>5</v>
      </c>
      <c r="P183" s="19" t="n">
        <v>8.4</v>
      </c>
      <c r="Q183" s="17" t="inlineStr">
        <is>
          <t>IN CONTROL (Stable)</t>
        </is>
      </c>
      <c r="R183" s="21" t="inlineStr">
        <is>
          <t>Routine inspection; normal parameters.</t>
        </is>
      </c>
    </row>
    <row r="184">
      <c r="A184" s="12" t="inlineStr">
        <is>
          <t>LOG-SPC-5183</t>
        </is>
      </c>
      <c r="B184" s="44" t="n">
        <v>45338.41666666666</v>
      </c>
      <c r="C184" s="12" t="inlineStr">
        <is>
          <t>Shift_A</t>
        </is>
      </c>
      <c r="D184" s="22" t="n">
        <v>241.7</v>
      </c>
      <c r="E184" s="22" t="n">
        <v>3037.1</v>
      </c>
      <c r="F184" s="22" t="n">
        <v>70.5</v>
      </c>
      <c r="G184" s="22" t="n">
        <v>44.4</v>
      </c>
      <c r="H184" s="22" t="n">
        <v>103.5</v>
      </c>
      <c r="I184" s="28" t="n">
        <v>6</v>
      </c>
      <c r="J184" s="12" t="inlineStr">
        <is>
          <t>Free Flare Spray (Optimal)</t>
        </is>
      </c>
      <c r="K184" s="22" t="n">
        <v>142.8</v>
      </c>
      <c r="L184" s="22" t="n">
        <v>70.40000000000001</v>
      </c>
      <c r="M184" s="22" t="n">
        <v>13.5</v>
      </c>
      <c r="N184" s="29" t="n">
        <v>1708</v>
      </c>
      <c r="O184" s="22" t="n">
        <v>4.3</v>
      </c>
      <c r="P184" s="14" t="n">
        <v>8.49</v>
      </c>
      <c r="Q184" s="12" t="inlineStr">
        <is>
          <t>IN CONTROL (Stable)</t>
        </is>
      </c>
      <c r="R184" s="16" t="inlineStr">
        <is>
          <t>Routine inspection; normal parameters.</t>
        </is>
      </c>
    </row>
    <row r="185">
      <c r="A185" s="17" t="inlineStr">
        <is>
          <t>LOG-SPC-5184</t>
        </is>
      </c>
      <c r="B185" s="45" t="n">
        <v>45338.5</v>
      </c>
      <c r="C185" s="17" t="inlineStr">
        <is>
          <t>Shift_A</t>
        </is>
      </c>
      <c r="D185" s="23" t="n">
        <v>246.4</v>
      </c>
      <c r="E185" s="23" t="n">
        <v>3077</v>
      </c>
      <c r="F185" s="23" t="n">
        <v>71.40000000000001</v>
      </c>
      <c r="G185" s="23" t="n">
        <v>44.3</v>
      </c>
      <c r="H185" s="23" t="n">
        <v>103.1</v>
      </c>
      <c r="I185" s="31" t="n">
        <v>6</v>
      </c>
      <c r="J185" s="17" t="inlineStr">
        <is>
          <t>Free Flare Spray (Optimal)</t>
        </is>
      </c>
      <c r="K185" s="23" t="n">
        <v>142.8</v>
      </c>
      <c r="L185" s="23" t="n">
        <v>68.8</v>
      </c>
      <c r="M185" s="23" t="n">
        <v>12.8</v>
      </c>
      <c r="N185" s="32" t="n">
        <v>1688</v>
      </c>
      <c r="O185" s="23" t="n">
        <v>5.2</v>
      </c>
      <c r="P185" s="19" t="n">
        <v>8.4</v>
      </c>
      <c r="Q185" s="17" t="inlineStr">
        <is>
          <t>IN CONTROL (Stable)</t>
        </is>
      </c>
      <c r="R185" s="21" t="inlineStr">
        <is>
          <t>Routine inspection; normal parameters.</t>
        </is>
      </c>
    </row>
    <row r="186">
      <c r="A186" s="12" t="inlineStr">
        <is>
          <t>LOG-SPC-5185</t>
        </is>
      </c>
      <c r="B186" s="44" t="n">
        <v>45338.58333333334</v>
      </c>
      <c r="C186" s="12" t="inlineStr">
        <is>
          <t>Shift_B</t>
        </is>
      </c>
      <c r="D186" s="22" t="n">
        <v>240.3</v>
      </c>
      <c r="E186" s="22" t="n">
        <v>3113.3</v>
      </c>
      <c r="F186" s="22" t="n">
        <v>71.3</v>
      </c>
      <c r="G186" s="22" t="n">
        <v>45.1</v>
      </c>
      <c r="H186" s="22" t="n">
        <v>93</v>
      </c>
      <c r="I186" s="28" t="n">
        <v>6</v>
      </c>
      <c r="J186" s="12" t="inlineStr">
        <is>
          <t>Free Flare Spray (Optimal)</t>
        </is>
      </c>
      <c r="K186" s="22" t="n">
        <v>149.9</v>
      </c>
      <c r="L186" s="22" t="n">
        <v>69.5</v>
      </c>
      <c r="M186" s="22" t="n">
        <v>11.3</v>
      </c>
      <c r="N186" s="29" t="n">
        <v>1668</v>
      </c>
      <c r="O186" s="22" t="n">
        <v>5.3</v>
      </c>
      <c r="P186" s="14" t="n">
        <v>8.449999999999999</v>
      </c>
      <c r="Q186" s="12" t="inlineStr">
        <is>
          <t>IN CONTROL (Stable)</t>
        </is>
      </c>
      <c r="R186" s="16" t="inlineStr">
        <is>
          <t>Routine inspection; normal parameters.</t>
        </is>
      </c>
    </row>
    <row r="187">
      <c r="A187" s="17" t="inlineStr">
        <is>
          <t>LOG-SPC-5186</t>
        </is>
      </c>
      <c r="B187" s="45" t="n">
        <v>45338.66666666666</v>
      </c>
      <c r="C187" s="17" t="inlineStr">
        <is>
          <t>Shift_B</t>
        </is>
      </c>
      <c r="D187" s="23" t="n">
        <v>245</v>
      </c>
      <c r="E187" s="23" t="n">
        <v>3020.7</v>
      </c>
      <c r="F187" s="23" t="n">
        <v>71.59999999999999</v>
      </c>
      <c r="G187" s="23" t="n">
        <v>44.6</v>
      </c>
      <c r="H187" s="23" t="n">
        <v>148</v>
      </c>
      <c r="I187" s="31" t="n">
        <v>5</v>
      </c>
      <c r="J187" s="36" t="inlineStr">
        <is>
          <t>Asymmetric / Choked Apex</t>
        </is>
      </c>
      <c r="K187" s="37" t="n">
        <v>168</v>
      </c>
      <c r="L187" s="23" t="n">
        <v>66.2</v>
      </c>
      <c r="M187" s="23" t="n">
        <v>12.9</v>
      </c>
      <c r="N187" s="38" t="n">
        <v>1755</v>
      </c>
      <c r="O187" s="23" t="n">
        <v>4.3</v>
      </c>
      <c r="P187" s="19" t="n">
        <v>8.82</v>
      </c>
      <c r="Q187" s="36" t="inlineStr">
        <is>
          <t>SPECIAL CAUSE: 1 CYCLONE CHOKED</t>
        </is>
      </c>
      <c r="R187" s="21" t="inlineStr">
        <is>
          <t>Switch to spare standby cyclone #7; wash and clear apex orifice.</t>
        </is>
      </c>
    </row>
    <row r="188">
      <c r="A188" s="12" t="inlineStr">
        <is>
          <t>LOG-SPC-5187</t>
        </is>
      </c>
      <c r="B188" s="44" t="n">
        <v>45338.75</v>
      </c>
      <c r="C188" s="12" t="inlineStr">
        <is>
          <t>Shift_B</t>
        </is>
      </c>
      <c r="D188" s="22" t="n">
        <v>250.2</v>
      </c>
      <c r="E188" s="22" t="n">
        <v>3138.2</v>
      </c>
      <c r="F188" s="22" t="n">
        <v>71.8</v>
      </c>
      <c r="G188" s="22" t="n">
        <v>42.8</v>
      </c>
      <c r="H188" s="22" t="n">
        <v>104.2</v>
      </c>
      <c r="I188" s="28" t="n">
        <v>6</v>
      </c>
      <c r="J188" s="12" t="inlineStr">
        <is>
          <t>Free Flare Spray (Optimal)</t>
        </is>
      </c>
      <c r="K188" s="22" t="n">
        <v>148.7</v>
      </c>
      <c r="L188" s="22" t="n">
        <v>67.2</v>
      </c>
      <c r="M188" s="22" t="n">
        <v>12.2</v>
      </c>
      <c r="N188" s="29" t="n">
        <v>1713</v>
      </c>
      <c r="O188" s="22" t="n">
        <v>3.9</v>
      </c>
      <c r="P188" s="14" t="n">
        <v>8.93</v>
      </c>
      <c r="Q188" s="12" t="inlineStr">
        <is>
          <t>IN CONTROL (Stable)</t>
        </is>
      </c>
      <c r="R188" s="16" t="inlineStr">
        <is>
          <t>Routine inspection; normal parameters.</t>
        </is>
      </c>
    </row>
    <row r="189">
      <c r="A189" s="17" t="inlineStr">
        <is>
          <t>LOG-SPC-5188</t>
        </is>
      </c>
      <c r="B189" s="45" t="n">
        <v>45338.83333333334</v>
      </c>
      <c r="C189" s="17" t="inlineStr">
        <is>
          <t>Shift_B</t>
        </is>
      </c>
      <c r="D189" s="23" t="n">
        <v>244.6</v>
      </c>
      <c r="E189" s="23" t="n">
        <v>3117.7</v>
      </c>
      <c r="F189" s="23" t="n">
        <v>71.7</v>
      </c>
      <c r="G189" s="23" t="n">
        <v>45.8</v>
      </c>
      <c r="H189" s="23" t="n">
        <v>107</v>
      </c>
      <c r="I189" s="31" t="n">
        <v>6</v>
      </c>
      <c r="J189" s="17" t="inlineStr">
        <is>
          <t>Free Flare Spray (Optimal)</t>
        </is>
      </c>
      <c r="K189" s="23" t="n">
        <v>144.2</v>
      </c>
      <c r="L189" s="23" t="n">
        <v>67.2</v>
      </c>
      <c r="M189" s="23" t="n">
        <v>13.1</v>
      </c>
      <c r="N189" s="32" t="n">
        <v>1654</v>
      </c>
      <c r="O189" s="23" t="n">
        <v>5</v>
      </c>
      <c r="P189" s="19" t="n">
        <v>8.380000000000001</v>
      </c>
      <c r="Q189" s="17" t="inlineStr">
        <is>
          <t>IN CONTROL (Stable)</t>
        </is>
      </c>
      <c r="R189" s="21" t="inlineStr">
        <is>
          <t>Routine inspection; normal parameters.</t>
        </is>
      </c>
    </row>
    <row r="190">
      <c r="A190" s="12" t="inlineStr">
        <is>
          <t>LOG-SPC-5189</t>
        </is>
      </c>
      <c r="B190" s="44" t="n">
        <v>45338.91666666666</v>
      </c>
      <c r="C190" s="12" t="inlineStr">
        <is>
          <t>Shift_C</t>
        </is>
      </c>
      <c r="D190" s="22" t="n">
        <v>257.5</v>
      </c>
      <c r="E190" s="22" t="n">
        <v>3105.6</v>
      </c>
      <c r="F190" s="22" t="n">
        <v>72.2</v>
      </c>
      <c r="G190" s="22" t="n">
        <v>44.9</v>
      </c>
      <c r="H190" s="22" t="n">
        <v>96.2</v>
      </c>
      <c r="I190" s="28" t="n">
        <v>6</v>
      </c>
      <c r="J190" s="12" t="inlineStr">
        <is>
          <t>Free Flare Spray (Optimal)</t>
        </is>
      </c>
      <c r="K190" s="22" t="n">
        <v>142</v>
      </c>
      <c r="L190" s="22" t="n">
        <v>69.5</v>
      </c>
      <c r="M190" s="22" t="n">
        <v>12.6</v>
      </c>
      <c r="N190" s="29" t="n">
        <v>1761</v>
      </c>
      <c r="O190" s="22" t="n">
        <v>4.9</v>
      </c>
      <c r="P190" s="14" t="n">
        <v>8.41</v>
      </c>
      <c r="Q190" s="12" t="inlineStr">
        <is>
          <t>IN CONTROL (Stable)</t>
        </is>
      </c>
      <c r="R190" s="16" t="inlineStr">
        <is>
          <t>Routine inspection; normal parameters.</t>
        </is>
      </c>
    </row>
    <row r="191">
      <c r="A191" s="17" t="inlineStr">
        <is>
          <t>LOG-SPC-5190</t>
        </is>
      </c>
      <c r="B191" s="45" t="n">
        <v>45339</v>
      </c>
      <c r="C191" s="17" t="inlineStr">
        <is>
          <t>Shift_C</t>
        </is>
      </c>
      <c r="D191" s="23" t="n">
        <v>245.2</v>
      </c>
      <c r="E191" s="23" t="n">
        <v>3103.6</v>
      </c>
      <c r="F191" s="23" t="n">
        <v>70.40000000000001</v>
      </c>
      <c r="G191" s="23" t="n">
        <v>46.1</v>
      </c>
      <c r="H191" s="23" t="n">
        <v>107.2</v>
      </c>
      <c r="I191" s="31" t="n">
        <v>6</v>
      </c>
      <c r="J191" s="17" t="inlineStr">
        <is>
          <t>Free Flare Spray (Optimal)</t>
        </is>
      </c>
      <c r="K191" s="23" t="n">
        <v>149.3</v>
      </c>
      <c r="L191" s="23" t="n">
        <v>66.09999999999999</v>
      </c>
      <c r="M191" s="23" t="n">
        <v>13.5</v>
      </c>
      <c r="N191" s="32" t="n">
        <v>1798</v>
      </c>
      <c r="O191" s="23" t="n">
        <v>4.4</v>
      </c>
      <c r="P191" s="19" t="n">
        <v>8.75</v>
      </c>
      <c r="Q191" s="17" t="inlineStr">
        <is>
          <t>IN CONTROL (Stable)</t>
        </is>
      </c>
      <c r="R191" s="21" t="inlineStr">
        <is>
          <t>Routine inspection; normal parameters.</t>
        </is>
      </c>
    </row>
    <row r="192">
      <c r="A192" s="12" t="inlineStr">
        <is>
          <t>LOG-SPC-5191</t>
        </is>
      </c>
      <c r="B192" s="44" t="n">
        <v>45339.08333333334</v>
      </c>
      <c r="C192" s="12" t="inlineStr">
        <is>
          <t>Shift_C</t>
        </is>
      </c>
      <c r="D192" s="22" t="n">
        <v>250</v>
      </c>
      <c r="E192" s="22" t="n">
        <v>3045.9</v>
      </c>
      <c r="F192" s="22" t="n">
        <v>72.09999999999999</v>
      </c>
      <c r="G192" s="22" t="n">
        <v>45.5</v>
      </c>
      <c r="H192" s="22" t="n">
        <v>102</v>
      </c>
      <c r="I192" s="28" t="n">
        <v>6</v>
      </c>
      <c r="J192" s="12" t="inlineStr">
        <is>
          <t>Free Flare Spray (Optimal)</t>
        </is>
      </c>
      <c r="K192" s="22" t="n">
        <v>149.1</v>
      </c>
      <c r="L192" s="22" t="n">
        <v>66</v>
      </c>
      <c r="M192" s="22" t="n">
        <v>11.3</v>
      </c>
      <c r="N192" s="29" t="n">
        <v>1724</v>
      </c>
      <c r="O192" s="22" t="n">
        <v>4.8</v>
      </c>
      <c r="P192" s="14" t="n">
        <v>8.460000000000001</v>
      </c>
      <c r="Q192" s="12" t="inlineStr">
        <is>
          <t>IN CONTROL (Stable)</t>
        </is>
      </c>
      <c r="R192" s="16" t="inlineStr">
        <is>
          <t>Routine inspection; normal parameters.</t>
        </is>
      </c>
    </row>
    <row r="193">
      <c r="A193" s="17" t="inlineStr">
        <is>
          <t>LOG-SPC-5192</t>
        </is>
      </c>
      <c r="B193" s="45" t="n">
        <v>45339.16666666666</v>
      </c>
      <c r="C193" s="17" t="inlineStr">
        <is>
          <t>Shift_C</t>
        </is>
      </c>
      <c r="D193" s="23" t="n">
        <v>254.9</v>
      </c>
      <c r="E193" s="23" t="n">
        <v>3118.6</v>
      </c>
      <c r="F193" s="23" t="n">
        <v>72.3</v>
      </c>
      <c r="G193" s="23" t="n">
        <v>44.7</v>
      </c>
      <c r="H193" s="23" t="n">
        <v>108</v>
      </c>
      <c r="I193" s="31" t="n">
        <v>6</v>
      </c>
      <c r="J193" s="17" t="inlineStr">
        <is>
          <t>Free Flare Spray (Optimal)</t>
        </is>
      </c>
      <c r="K193" s="23" t="n">
        <v>143.4</v>
      </c>
      <c r="L193" s="23" t="n">
        <v>71.59999999999999</v>
      </c>
      <c r="M193" s="23" t="n">
        <v>11.8</v>
      </c>
      <c r="N193" s="32" t="n">
        <v>1793</v>
      </c>
      <c r="O193" s="23" t="n">
        <v>4.8</v>
      </c>
      <c r="P193" s="19" t="n">
        <v>8.32</v>
      </c>
      <c r="Q193" s="17" t="inlineStr">
        <is>
          <t>IN CONTROL (Stable)</t>
        </is>
      </c>
      <c r="R193" s="21" t="inlineStr">
        <is>
          <t>Routine inspection; normal parameters.</t>
        </is>
      </c>
    </row>
    <row r="194">
      <c r="A194" s="12" t="inlineStr">
        <is>
          <t>LOG-SPC-5193</t>
        </is>
      </c>
      <c r="B194" s="44" t="n">
        <v>45339.25</v>
      </c>
      <c r="C194" s="12" t="inlineStr">
        <is>
          <t>Shift_A</t>
        </is>
      </c>
      <c r="D194" s="22" t="n">
        <v>258.2</v>
      </c>
      <c r="E194" s="22" t="n">
        <v>3104.4</v>
      </c>
      <c r="F194" s="22" t="n">
        <v>72.3</v>
      </c>
      <c r="G194" s="22" t="n">
        <v>45.8</v>
      </c>
      <c r="H194" s="22" t="n">
        <v>106.7</v>
      </c>
      <c r="I194" s="28" t="n">
        <v>6</v>
      </c>
      <c r="J194" s="12" t="inlineStr">
        <is>
          <t>Free Flare Spray (Optimal)</t>
        </is>
      </c>
      <c r="K194" s="22" t="n">
        <v>142.9</v>
      </c>
      <c r="L194" s="22" t="n">
        <v>70</v>
      </c>
      <c r="M194" s="22" t="n">
        <v>12.5</v>
      </c>
      <c r="N194" s="29" t="n">
        <v>1744</v>
      </c>
      <c r="O194" s="22" t="n">
        <v>4.2</v>
      </c>
      <c r="P194" s="14" t="n">
        <v>8.69</v>
      </c>
      <c r="Q194" s="12" t="inlineStr">
        <is>
          <t>IN CONTROL (Stable)</t>
        </is>
      </c>
      <c r="R194" s="16" t="inlineStr">
        <is>
          <t>Routine inspection; normal parameters.</t>
        </is>
      </c>
    </row>
    <row r="195">
      <c r="A195" s="17" t="inlineStr">
        <is>
          <t>LOG-SPC-5194</t>
        </is>
      </c>
      <c r="B195" s="45" t="n">
        <v>45339.33333333334</v>
      </c>
      <c r="C195" s="17" t="inlineStr">
        <is>
          <t>Shift_A</t>
        </is>
      </c>
      <c r="D195" s="23" t="n">
        <v>246.2</v>
      </c>
      <c r="E195" s="23" t="n">
        <v>3157.9</v>
      </c>
      <c r="F195" s="23" t="n">
        <v>72.2</v>
      </c>
      <c r="G195" s="23" t="n">
        <v>45</v>
      </c>
      <c r="H195" s="23" t="n">
        <v>107.4</v>
      </c>
      <c r="I195" s="31" t="n">
        <v>6</v>
      </c>
      <c r="J195" s="17" t="inlineStr">
        <is>
          <t>Free Flare Spray (Optimal)</t>
        </is>
      </c>
      <c r="K195" s="23" t="n">
        <v>141.5</v>
      </c>
      <c r="L195" s="23" t="n">
        <v>70.90000000000001</v>
      </c>
      <c r="M195" s="23" t="n">
        <v>14.1</v>
      </c>
      <c r="N195" s="32" t="n">
        <v>1733</v>
      </c>
      <c r="O195" s="23" t="n">
        <v>5.3</v>
      </c>
      <c r="P195" s="19" t="n">
        <v>8.49</v>
      </c>
      <c r="Q195" s="17" t="inlineStr">
        <is>
          <t>IN CONTROL (Stable)</t>
        </is>
      </c>
      <c r="R195" s="21" t="inlineStr">
        <is>
          <t>Routine inspection; normal parameters.</t>
        </is>
      </c>
    </row>
    <row r="196">
      <c r="A196" s="12" t="inlineStr">
        <is>
          <t>LOG-SPC-5195</t>
        </is>
      </c>
      <c r="B196" s="44" t="n">
        <v>45339.41666666666</v>
      </c>
      <c r="C196" s="12" t="inlineStr">
        <is>
          <t>Shift_A</t>
        </is>
      </c>
      <c r="D196" s="22" t="n">
        <v>245.2</v>
      </c>
      <c r="E196" s="22" t="n">
        <v>3101.4</v>
      </c>
      <c r="F196" s="22" t="n">
        <v>72.09999999999999</v>
      </c>
      <c r="G196" s="22" t="n">
        <v>44.5</v>
      </c>
      <c r="H196" s="22" t="n">
        <v>107.7</v>
      </c>
      <c r="I196" s="28" t="n">
        <v>6</v>
      </c>
      <c r="J196" s="12" t="inlineStr">
        <is>
          <t>Free Flare Spray (Optimal)</t>
        </is>
      </c>
      <c r="K196" s="22" t="n">
        <v>146.1</v>
      </c>
      <c r="L196" s="22" t="n">
        <v>67</v>
      </c>
      <c r="M196" s="22" t="n">
        <v>12.9</v>
      </c>
      <c r="N196" s="29" t="n">
        <v>1750</v>
      </c>
      <c r="O196" s="22" t="n">
        <v>4.9</v>
      </c>
      <c r="P196" s="14" t="n">
        <v>8.83</v>
      </c>
      <c r="Q196" s="12" t="inlineStr">
        <is>
          <t>IN CONTROL (Stable)</t>
        </is>
      </c>
      <c r="R196" s="16" t="inlineStr">
        <is>
          <t>Routine inspection; normal parameters.</t>
        </is>
      </c>
    </row>
    <row r="197">
      <c r="A197" s="17" t="inlineStr">
        <is>
          <t>LOG-SPC-5196</t>
        </is>
      </c>
      <c r="B197" s="45" t="n">
        <v>45339.5</v>
      </c>
      <c r="C197" s="17" t="inlineStr">
        <is>
          <t>Shift_A</t>
        </is>
      </c>
      <c r="D197" s="23" t="n">
        <v>242.7</v>
      </c>
      <c r="E197" s="23" t="n">
        <v>3116.4</v>
      </c>
      <c r="F197" s="23" t="n">
        <v>71.09999999999999</v>
      </c>
      <c r="G197" s="23" t="n">
        <v>43.9</v>
      </c>
      <c r="H197" s="23" t="n">
        <v>101.8</v>
      </c>
      <c r="I197" s="31" t="n">
        <v>6</v>
      </c>
      <c r="J197" s="17" t="inlineStr">
        <is>
          <t>Free Flare Spray (Optimal)</t>
        </is>
      </c>
      <c r="K197" s="23" t="n">
        <v>141.7</v>
      </c>
      <c r="L197" s="23" t="n">
        <v>67.7</v>
      </c>
      <c r="M197" s="23" t="n">
        <v>12.3</v>
      </c>
      <c r="N197" s="32" t="n">
        <v>1749</v>
      </c>
      <c r="O197" s="23" t="n">
        <v>4.7</v>
      </c>
      <c r="P197" s="19" t="n">
        <v>8.279999999999999</v>
      </c>
      <c r="Q197" s="17" t="inlineStr">
        <is>
          <t>IN CONTROL (Stable)</t>
        </is>
      </c>
      <c r="R197" s="21" t="inlineStr">
        <is>
          <t>Routine inspection; normal parameters.</t>
        </is>
      </c>
    </row>
    <row r="198">
      <c r="A198" s="12" t="inlineStr">
        <is>
          <t>LOG-SPC-5197</t>
        </is>
      </c>
      <c r="B198" s="44" t="n">
        <v>45339.58333333334</v>
      </c>
      <c r="C198" s="12" t="inlineStr">
        <is>
          <t>Shift_B</t>
        </is>
      </c>
      <c r="D198" s="22" t="n">
        <v>256.8</v>
      </c>
      <c r="E198" s="22" t="n">
        <v>3070.7</v>
      </c>
      <c r="F198" s="22" t="n">
        <v>71.8</v>
      </c>
      <c r="G198" s="22" t="n">
        <v>45.2</v>
      </c>
      <c r="H198" s="22" t="n">
        <v>106</v>
      </c>
      <c r="I198" s="28" t="n">
        <v>6</v>
      </c>
      <c r="J198" s="12" t="inlineStr">
        <is>
          <t>Free Flare Spray (Optimal)</t>
        </is>
      </c>
      <c r="K198" s="22" t="n">
        <v>148.8</v>
      </c>
      <c r="L198" s="22" t="n">
        <v>69.2</v>
      </c>
      <c r="M198" s="22" t="n">
        <v>11.8</v>
      </c>
      <c r="N198" s="29" t="n">
        <v>1796</v>
      </c>
      <c r="O198" s="22" t="n">
        <v>4.9</v>
      </c>
      <c r="P198" s="14" t="n">
        <v>8.57</v>
      </c>
      <c r="Q198" s="12" t="inlineStr">
        <is>
          <t>IN CONTROL (Stable)</t>
        </is>
      </c>
      <c r="R198" s="16" t="inlineStr">
        <is>
          <t>Routine inspection; normal parameters.</t>
        </is>
      </c>
    </row>
    <row r="199">
      <c r="A199" s="17" t="inlineStr">
        <is>
          <t>LOG-SPC-5198</t>
        </is>
      </c>
      <c r="B199" s="45" t="n">
        <v>45339.66666666666</v>
      </c>
      <c r="C199" s="17" t="inlineStr">
        <is>
          <t>Shift_B</t>
        </is>
      </c>
      <c r="D199" s="23" t="n">
        <v>255.8</v>
      </c>
      <c r="E199" s="23" t="n">
        <v>3108.7</v>
      </c>
      <c r="F199" s="23" t="n">
        <v>72</v>
      </c>
      <c r="G199" s="23" t="n">
        <v>46.8</v>
      </c>
      <c r="H199" s="23" t="n">
        <v>103.6</v>
      </c>
      <c r="I199" s="31" t="n">
        <v>6</v>
      </c>
      <c r="J199" s="17" t="inlineStr">
        <is>
          <t>Free Flare Spray (Optimal)</t>
        </is>
      </c>
      <c r="K199" s="23" t="n">
        <v>143.9</v>
      </c>
      <c r="L199" s="23" t="n">
        <v>68.7</v>
      </c>
      <c r="M199" s="23" t="n">
        <v>13.4</v>
      </c>
      <c r="N199" s="32" t="n">
        <v>1667</v>
      </c>
      <c r="O199" s="23" t="n">
        <v>4.2</v>
      </c>
      <c r="P199" s="19" t="n">
        <v>8.48</v>
      </c>
      <c r="Q199" s="17" t="inlineStr">
        <is>
          <t>IN CONTROL (Stable)</t>
        </is>
      </c>
      <c r="R199" s="21" t="inlineStr">
        <is>
          <t>Routine inspection; normal parameters.</t>
        </is>
      </c>
    </row>
    <row r="200">
      <c r="A200" s="12" t="inlineStr">
        <is>
          <t>LOG-SPC-5199</t>
        </is>
      </c>
      <c r="B200" s="44" t="n">
        <v>45339.75</v>
      </c>
      <c r="C200" s="12" t="inlineStr">
        <is>
          <t>Shift_B</t>
        </is>
      </c>
      <c r="D200" s="22" t="n">
        <v>240.2</v>
      </c>
      <c r="E200" s="22" t="n">
        <v>3085.1</v>
      </c>
      <c r="F200" s="22" t="n">
        <v>72.09999999999999</v>
      </c>
      <c r="G200" s="22" t="n">
        <v>44.1</v>
      </c>
      <c r="H200" s="22" t="n">
        <v>97.90000000000001</v>
      </c>
      <c r="I200" s="28" t="n">
        <v>6</v>
      </c>
      <c r="J200" s="12" t="inlineStr">
        <is>
          <t>Free Flare Spray (Optimal)</t>
        </is>
      </c>
      <c r="K200" s="22" t="n">
        <v>145.2</v>
      </c>
      <c r="L200" s="22" t="n">
        <v>69.8</v>
      </c>
      <c r="M200" s="22" t="n">
        <v>11.1</v>
      </c>
      <c r="N200" s="29" t="n">
        <v>1748</v>
      </c>
      <c r="O200" s="22" t="n">
        <v>5</v>
      </c>
      <c r="P200" s="14" t="n">
        <v>8.789999999999999</v>
      </c>
      <c r="Q200" s="12" t="inlineStr">
        <is>
          <t>IN CONTROL (Stable)</t>
        </is>
      </c>
      <c r="R200" s="16" t="inlineStr">
        <is>
          <t>Routine inspection; normal parameters.</t>
        </is>
      </c>
    </row>
    <row r="201">
      <c r="A201" s="17" t="inlineStr">
        <is>
          <t>LOG-SPC-5200</t>
        </is>
      </c>
      <c r="B201" s="45" t="n">
        <v>45339.83333333334</v>
      </c>
      <c r="C201" s="17" t="inlineStr">
        <is>
          <t>Shift_B</t>
        </is>
      </c>
      <c r="D201" s="23" t="n">
        <v>257.3</v>
      </c>
      <c r="E201" s="23" t="n">
        <v>3177.1</v>
      </c>
      <c r="F201" s="23" t="n">
        <v>71.59999999999999</v>
      </c>
      <c r="G201" s="23" t="n">
        <v>44.9</v>
      </c>
      <c r="H201" s="23" t="n">
        <v>102.9</v>
      </c>
      <c r="I201" s="31" t="n">
        <v>6</v>
      </c>
      <c r="J201" s="17" t="inlineStr">
        <is>
          <t>Free Flare Spray (Optimal)</t>
        </is>
      </c>
      <c r="K201" s="23" t="n">
        <v>145</v>
      </c>
      <c r="L201" s="23" t="n">
        <v>70.8</v>
      </c>
      <c r="M201" s="23" t="n">
        <v>11.4</v>
      </c>
      <c r="N201" s="32" t="n">
        <v>1689</v>
      </c>
      <c r="O201" s="23" t="n">
        <v>5.2</v>
      </c>
      <c r="P201" s="19" t="n">
        <v>8.800000000000001</v>
      </c>
      <c r="Q201" s="17" t="inlineStr">
        <is>
          <t>IN CONTROL (Stable)</t>
        </is>
      </c>
      <c r="R201" s="21" t="inlineStr">
        <is>
          <t>Routine inspection; normal parameters.</t>
        </is>
      </c>
    </row>
    <row r="202">
      <c r="A202" s="12" t="inlineStr">
        <is>
          <t>LOG-SPC-5201</t>
        </is>
      </c>
      <c r="B202" s="44" t="n">
        <v>45339.91666666666</v>
      </c>
      <c r="C202" s="12" t="inlineStr">
        <is>
          <t>Shift_C</t>
        </is>
      </c>
      <c r="D202" s="22" t="n">
        <v>247.8</v>
      </c>
      <c r="E202" s="22" t="n">
        <v>3129.9</v>
      </c>
      <c r="F202" s="22" t="n">
        <v>72</v>
      </c>
      <c r="G202" s="22" t="n">
        <v>46</v>
      </c>
      <c r="H202" s="22" t="n">
        <v>105.4</v>
      </c>
      <c r="I202" s="28" t="n">
        <v>6</v>
      </c>
      <c r="J202" s="12" t="inlineStr">
        <is>
          <t>Free Flare Spray (Optimal)</t>
        </is>
      </c>
      <c r="K202" s="22" t="n">
        <v>148.6</v>
      </c>
      <c r="L202" s="22" t="n">
        <v>72.5</v>
      </c>
      <c r="M202" s="22" t="n">
        <v>13</v>
      </c>
      <c r="N202" s="29" t="n">
        <v>1721</v>
      </c>
      <c r="O202" s="22" t="n">
        <v>5</v>
      </c>
      <c r="P202" s="14" t="n">
        <v>8.529999999999999</v>
      </c>
      <c r="Q202" s="12" t="inlineStr">
        <is>
          <t>IN CONTROL (Stable)</t>
        </is>
      </c>
      <c r="R202" s="16" t="inlineStr">
        <is>
          <t>Routine inspection; normal parameters.</t>
        </is>
      </c>
    </row>
    <row r="203">
      <c r="A203" s="17" t="inlineStr">
        <is>
          <t>LOG-SPC-5202</t>
        </is>
      </c>
      <c r="B203" s="45" t="n">
        <v>45340</v>
      </c>
      <c r="C203" s="17" t="inlineStr">
        <is>
          <t>Shift_C</t>
        </is>
      </c>
      <c r="D203" s="23" t="n">
        <v>264.3</v>
      </c>
      <c r="E203" s="23" t="n">
        <v>3106.3</v>
      </c>
      <c r="F203" s="23" t="n">
        <v>71.59999999999999</v>
      </c>
      <c r="G203" s="23" t="n">
        <v>44.1</v>
      </c>
      <c r="H203" s="23" t="n">
        <v>110.5</v>
      </c>
      <c r="I203" s="31" t="n">
        <v>6</v>
      </c>
      <c r="J203" s="17" t="inlineStr">
        <is>
          <t>Free Flare Spray (Optimal)</t>
        </is>
      </c>
      <c r="K203" s="23" t="n">
        <v>148</v>
      </c>
      <c r="L203" s="23" t="n">
        <v>67.8</v>
      </c>
      <c r="M203" s="23" t="n">
        <v>13</v>
      </c>
      <c r="N203" s="32" t="n">
        <v>1667</v>
      </c>
      <c r="O203" s="23" t="n">
        <v>4.9</v>
      </c>
      <c r="P203" s="19" t="n">
        <v>8.69</v>
      </c>
      <c r="Q203" s="17" t="inlineStr">
        <is>
          <t>IN CONTROL (Stable)</t>
        </is>
      </c>
      <c r="R203" s="21" t="inlineStr">
        <is>
          <t>Routine inspection; normal parameters.</t>
        </is>
      </c>
    </row>
    <row r="204">
      <c r="A204" s="12" t="inlineStr">
        <is>
          <t>LOG-SPC-5203</t>
        </is>
      </c>
      <c r="B204" s="44" t="n">
        <v>45340.08333333334</v>
      </c>
      <c r="C204" s="12" t="inlineStr">
        <is>
          <t>Shift_C</t>
        </is>
      </c>
      <c r="D204" s="22" t="n">
        <v>260.2</v>
      </c>
      <c r="E204" s="22" t="n">
        <v>3073</v>
      </c>
      <c r="F204" s="22" t="n">
        <v>71</v>
      </c>
      <c r="G204" s="22" t="n">
        <v>44.1</v>
      </c>
      <c r="H204" s="22" t="n">
        <v>98.3</v>
      </c>
      <c r="I204" s="28" t="n">
        <v>6</v>
      </c>
      <c r="J204" s="12" t="inlineStr">
        <is>
          <t>Free Flare Spray (Optimal)</t>
        </is>
      </c>
      <c r="K204" s="22" t="n">
        <v>149.7</v>
      </c>
      <c r="L204" s="22" t="n">
        <v>70.8</v>
      </c>
      <c r="M204" s="22" t="n">
        <v>12.8</v>
      </c>
      <c r="N204" s="29" t="n">
        <v>1762</v>
      </c>
      <c r="O204" s="22" t="n">
        <v>4.8</v>
      </c>
      <c r="P204" s="14" t="n">
        <v>8.58</v>
      </c>
      <c r="Q204" s="12" t="inlineStr">
        <is>
          <t>IN CONTROL (Stable)</t>
        </is>
      </c>
      <c r="R204" s="16" t="inlineStr">
        <is>
          <t>Routine inspection; normal parameters.</t>
        </is>
      </c>
    </row>
    <row r="205">
      <c r="A205" s="17" t="inlineStr">
        <is>
          <t>LOG-SPC-5204</t>
        </is>
      </c>
      <c r="B205" s="45" t="n">
        <v>45340.16666666666</v>
      </c>
      <c r="C205" s="17" t="inlineStr">
        <is>
          <t>Shift_C</t>
        </is>
      </c>
      <c r="D205" s="23" t="n">
        <v>248</v>
      </c>
      <c r="E205" s="23" t="n">
        <v>3089.1</v>
      </c>
      <c r="F205" s="23" t="n">
        <v>70.90000000000001</v>
      </c>
      <c r="G205" s="23" t="n">
        <v>45</v>
      </c>
      <c r="H205" s="23" t="n">
        <v>104.8</v>
      </c>
      <c r="I205" s="31" t="n">
        <v>6</v>
      </c>
      <c r="J205" s="17" t="inlineStr">
        <is>
          <t>Free Flare Spray (Optimal)</t>
        </is>
      </c>
      <c r="K205" s="23" t="n">
        <v>147.6</v>
      </c>
      <c r="L205" s="23" t="n">
        <v>68.59999999999999</v>
      </c>
      <c r="M205" s="23" t="n">
        <v>12.4</v>
      </c>
      <c r="N205" s="32" t="n">
        <v>1689</v>
      </c>
      <c r="O205" s="23" t="n">
        <v>4.8</v>
      </c>
      <c r="P205" s="19" t="n">
        <v>8.75</v>
      </c>
      <c r="Q205" s="17" t="inlineStr">
        <is>
          <t>IN CONTROL (Stable)</t>
        </is>
      </c>
      <c r="R205" s="21" t="inlineStr">
        <is>
          <t>Routine inspection; normal parameters.</t>
        </is>
      </c>
    </row>
    <row r="206">
      <c r="A206" s="12" t="inlineStr">
        <is>
          <t>LOG-SPC-5205</t>
        </is>
      </c>
      <c r="B206" s="44" t="n">
        <v>45340.25</v>
      </c>
      <c r="C206" s="12" t="inlineStr">
        <is>
          <t>Shift_A</t>
        </is>
      </c>
      <c r="D206" s="22" t="n">
        <v>243.1</v>
      </c>
      <c r="E206" s="22" t="n">
        <v>3103.1</v>
      </c>
      <c r="F206" s="22" t="n">
        <v>71.90000000000001</v>
      </c>
      <c r="G206" s="22" t="n">
        <v>44.2</v>
      </c>
      <c r="H206" s="22" t="n">
        <v>102.1</v>
      </c>
      <c r="I206" s="28" t="n">
        <v>6</v>
      </c>
      <c r="J206" s="12" t="inlineStr">
        <is>
          <t>Free Flare Spray (Optimal)</t>
        </is>
      </c>
      <c r="K206" s="22" t="n">
        <v>145.8</v>
      </c>
      <c r="L206" s="22" t="n">
        <v>66.8</v>
      </c>
      <c r="M206" s="22" t="n">
        <v>12.8</v>
      </c>
      <c r="N206" s="29" t="n">
        <v>1688</v>
      </c>
      <c r="O206" s="22" t="n">
        <v>5.1</v>
      </c>
      <c r="P206" s="14" t="n">
        <v>9.07</v>
      </c>
      <c r="Q206" s="12" t="inlineStr">
        <is>
          <t>IN CONTROL (Stable)</t>
        </is>
      </c>
      <c r="R206" s="16" t="inlineStr">
        <is>
          <t>Routine inspection; normal parameters.</t>
        </is>
      </c>
    </row>
    <row r="207">
      <c r="A207" s="17" t="inlineStr">
        <is>
          <t>LOG-SPC-5206</t>
        </is>
      </c>
      <c r="B207" s="45" t="n">
        <v>45340.33333333334</v>
      </c>
      <c r="C207" s="17" t="inlineStr">
        <is>
          <t>Shift_A</t>
        </is>
      </c>
      <c r="D207" s="23" t="n">
        <v>244.8</v>
      </c>
      <c r="E207" s="23" t="n">
        <v>3118.7</v>
      </c>
      <c r="F207" s="23" t="n">
        <v>71.40000000000001</v>
      </c>
      <c r="G207" s="23" t="n">
        <v>45.6</v>
      </c>
      <c r="H207" s="23" t="n">
        <v>98.7</v>
      </c>
      <c r="I207" s="31" t="n">
        <v>6</v>
      </c>
      <c r="J207" s="17" t="inlineStr">
        <is>
          <t>Free Flare Spray (Optimal)</t>
        </is>
      </c>
      <c r="K207" s="23" t="n">
        <v>146.7</v>
      </c>
      <c r="L207" s="23" t="n">
        <v>67.2</v>
      </c>
      <c r="M207" s="23" t="n">
        <v>12.3</v>
      </c>
      <c r="N207" s="32" t="n">
        <v>1683</v>
      </c>
      <c r="O207" s="23" t="n">
        <v>5</v>
      </c>
      <c r="P207" s="19" t="n">
        <v>8.43</v>
      </c>
      <c r="Q207" s="17" t="inlineStr">
        <is>
          <t>IN CONTROL (Stable)</t>
        </is>
      </c>
      <c r="R207" s="21" t="inlineStr">
        <is>
          <t>Routine inspection; normal parameters.</t>
        </is>
      </c>
    </row>
    <row r="208">
      <c r="A208" s="12" t="inlineStr">
        <is>
          <t>LOG-SPC-5207</t>
        </is>
      </c>
      <c r="B208" s="44" t="n">
        <v>45340.41666666666</v>
      </c>
      <c r="C208" s="12" t="inlineStr">
        <is>
          <t>Shift_A</t>
        </is>
      </c>
      <c r="D208" s="22" t="n">
        <v>253.3</v>
      </c>
      <c r="E208" s="22" t="n">
        <v>3088</v>
      </c>
      <c r="F208" s="22" t="n">
        <v>71.7</v>
      </c>
      <c r="G208" s="22" t="n">
        <v>44.9</v>
      </c>
      <c r="H208" s="22" t="n">
        <v>101.2</v>
      </c>
      <c r="I208" s="28" t="n">
        <v>6</v>
      </c>
      <c r="J208" s="12" t="inlineStr">
        <is>
          <t>Free Flare Spray (Optimal)</t>
        </is>
      </c>
      <c r="K208" s="22" t="n">
        <v>145.7</v>
      </c>
      <c r="L208" s="22" t="n">
        <v>70.8</v>
      </c>
      <c r="M208" s="22" t="n">
        <v>11.9</v>
      </c>
      <c r="N208" s="29" t="n">
        <v>1761</v>
      </c>
      <c r="O208" s="22" t="n">
        <v>5.2</v>
      </c>
      <c r="P208" s="14" t="n">
        <v>8.44</v>
      </c>
      <c r="Q208" s="12" t="inlineStr">
        <is>
          <t>IN CONTROL (Stable)</t>
        </is>
      </c>
      <c r="R208" s="16" t="inlineStr">
        <is>
          <t>Routine inspection; normal parameters.</t>
        </is>
      </c>
    </row>
    <row r="209">
      <c r="A209" s="17" t="inlineStr">
        <is>
          <t>LOG-SPC-5208</t>
        </is>
      </c>
      <c r="B209" s="45" t="n">
        <v>45340.5</v>
      </c>
      <c r="C209" s="17" t="inlineStr">
        <is>
          <t>Shift_A</t>
        </is>
      </c>
      <c r="D209" s="23" t="n">
        <v>241.3</v>
      </c>
      <c r="E209" s="23" t="n">
        <v>3110.6</v>
      </c>
      <c r="F209" s="23" t="n">
        <v>71.5</v>
      </c>
      <c r="G209" s="23" t="n">
        <v>46.3</v>
      </c>
      <c r="H209" s="23" t="n">
        <v>105.2</v>
      </c>
      <c r="I209" s="31" t="n">
        <v>6</v>
      </c>
      <c r="J209" s="17" t="inlineStr">
        <is>
          <t>Free Flare Spray (Optimal)</t>
        </is>
      </c>
      <c r="K209" s="23" t="n">
        <v>142.2</v>
      </c>
      <c r="L209" s="23" t="n">
        <v>66.8</v>
      </c>
      <c r="M209" s="23" t="n">
        <v>13.4</v>
      </c>
      <c r="N209" s="32" t="n">
        <v>1700</v>
      </c>
      <c r="O209" s="23" t="n">
        <v>4.8</v>
      </c>
      <c r="P209" s="19" t="n">
        <v>8.789999999999999</v>
      </c>
      <c r="Q209" s="17" t="inlineStr">
        <is>
          <t>IN CONTROL (Stable)</t>
        </is>
      </c>
      <c r="R209" s="21" t="inlineStr">
        <is>
          <t>Routine inspection; normal parameters.</t>
        </is>
      </c>
    </row>
    <row r="210">
      <c r="A210" s="12" t="inlineStr">
        <is>
          <t>LOG-SPC-5209</t>
        </is>
      </c>
      <c r="B210" s="44" t="n">
        <v>45340.58333333334</v>
      </c>
      <c r="C210" s="12" t="inlineStr">
        <is>
          <t>Shift_B</t>
        </is>
      </c>
      <c r="D210" s="22" t="n">
        <v>247.1</v>
      </c>
      <c r="E210" s="22" t="n">
        <v>3098.4</v>
      </c>
      <c r="F210" s="22" t="n">
        <v>71.8</v>
      </c>
      <c r="G210" s="22" t="n">
        <v>45.3</v>
      </c>
      <c r="H210" s="22" t="n">
        <v>108</v>
      </c>
      <c r="I210" s="28" t="n">
        <v>6</v>
      </c>
      <c r="J210" s="12" t="inlineStr">
        <is>
          <t>Free Flare Spray (Optimal)</t>
        </is>
      </c>
      <c r="K210" s="22" t="n">
        <v>144.2</v>
      </c>
      <c r="L210" s="22" t="n">
        <v>68.59999999999999</v>
      </c>
      <c r="M210" s="22" t="n">
        <v>12.2</v>
      </c>
      <c r="N210" s="29" t="n">
        <v>1668</v>
      </c>
      <c r="O210" s="22" t="n">
        <v>4.9</v>
      </c>
      <c r="P210" s="14" t="n">
        <v>8.98</v>
      </c>
      <c r="Q210" s="12" t="inlineStr">
        <is>
          <t>IN CONTROL (Stable)</t>
        </is>
      </c>
      <c r="R210" s="16" t="inlineStr">
        <is>
          <t>Routine inspection; normal parameters.</t>
        </is>
      </c>
    </row>
    <row r="211">
      <c r="A211" s="17" t="inlineStr">
        <is>
          <t>LOG-SPC-5210</t>
        </is>
      </c>
      <c r="B211" s="45" t="n">
        <v>45340.66666666666</v>
      </c>
      <c r="C211" s="17" t="inlineStr">
        <is>
          <t>Shift_B</t>
        </is>
      </c>
      <c r="D211" s="23" t="n">
        <v>244.7</v>
      </c>
      <c r="E211" s="23" t="n">
        <v>3072.9</v>
      </c>
      <c r="F211" s="23" t="n">
        <v>71.3</v>
      </c>
      <c r="G211" s="23" t="n">
        <v>45.4</v>
      </c>
      <c r="H211" s="23" t="n">
        <v>107.2</v>
      </c>
      <c r="I211" s="31" t="n">
        <v>6</v>
      </c>
      <c r="J211" s="17" t="inlineStr">
        <is>
          <t>Free Flare Spray (Optimal)</t>
        </is>
      </c>
      <c r="K211" s="23" t="n">
        <v>144.4</v>
      </c>
      <c r="L211" s="23" t="n">
        <v>67.09999999999999</v>
      </c>
      <c r="M211" s="23" t="n">
        <v>12.6</v>
      </c>
      <c r="N211" s="32" t="n">
        <v>1665</v>
      </c>
      <c r="O211" s="23" t="n">
        <v>4.8</v>
      </c>
      <c r="P211" s="19" t="n">
        <v>8.77</v>
      </c>
      <c r="Q211" s="17" t="inlineStr">
        <is>
          <t>IN CONTROL (Stable)</t>
        </is>
      </c>
      <c r="R211" s="21" t="inlineStr">
        <is>
          <t>Routine inspection; normal parameters.</t>
        </is>
      </c>
    </row>
    <row r="212">
      <c r="A212" s="12" t="inlineStr">
        <is>
          <t>LOG-SPC-5211</t>
        </is>
      </c>
      <c r="B212" s="44" t="n">
        <v>45340.75</v>
      </c>
      <c r="C212" s="12" t="inlineStr">
        <is>
          <t>Shift_B</t>
        </is>
      </c>
      <c r="D212" s="22" t="n">
        <v>275</v>
      </c>
      <c r="E212" s="22" t="n">
        <v>3046.4</v>
      </c>
      <c r="F212" s="22" t="n">
        <v>72.7</v>
      </c>
      <c r="G212" s="22" t="n">
        <v>44.3</v>
      </c>
      <c r="H212" s="22" t="n">
        <v>110.7</v>
      </c>
      <c r="I212" s="28" t="n">
        <v>6</v>
      </c>
      <c r="J212" s="33" t="inlineStr">
        <is>
          <t>Free Flare Spray (Optimal)</t>
        </is>
      </c>
      <c r="K212" s="34" t="n">
        <v>159.4</v>
      </c>
      <c r="L212" s="22" t="n">
        <v>58.3</v>
      </c>
      <c r="M212" s="22" t="n">
        <v>12.9</v>
      </c>
      <c r="N212" s="35" t="n">
        <v>1524</v>
      </c>
      <c r="O212" s="22" t="n">
        <v>3.4</v>
      </c>
      <c r="P212" s="14" t="n">
        <v>8.52</v>
      </c>
      <c r="Q212" s="33" t="inlineStr">
        <is>
          <t>WARNING: COARSE DISCHARGE</t>
        </is>
      </c>
      <c r="R212" s="16" t="inlineStr">
        <is>
          <t>Reduce feed tonnage by 15 tph; trim cyclone cluster pressure to 115 kPa.</t>
        </is>
      </c>
    </row>
    <row r="213">
      <c r="A213" s="17" t="inlineStr">
        <is>
          <t>LOG-SPC-5212</t>
        </is>
      </c>
      <c r="B213" s="45" t="n">
        <v>45340.83333333334</v>
      </c>
      <c r="C213" s="17" t="inlineStr">
        <is>
          <t>Shift_B</t>
        </is>
      </c>
      <c r="D213" s="23" t="n">
        <v>275</v>
      </c>
      <c r="E213" s="23" t="n">
        <v>3057.6</v>
      </c>
      <c r="F213" s="23" t="n">
        <v>72.8</v>
      </c>
      <c r="G213" s="23" t="n">
        <v>45.5</v>
      </c>
      <c r="H213" s="23" t="n">
        <v>109.8</v>
      </c>
      <c r="I213" s="31" t="n">
        <v>6</v>
      </c>
      <c r="J213" s="33" t="inlineStr">
        <is>
          <t>Free Flare Spray (Optimal)</t>
        </is>
      </c>
      <c r="K213" s="34" t="n">
        <v>164.3</v>
      </c>
      <c r="L213" s="23" t="n">
        <v>58</v>
      </c>
      <c r="M213" s="23" t="n">
        <v>14.1</v>
      </c>
      <c r="N213" s="35" t="n">
        <v>1555</v>
      </c>
      <c r="O213" s="23" t="n">
        <v>3.4</v>
      </c>
      <c r="P213" s="19" t="n">
        <v>8.68</v>
      </c>
      <c r="Q213" s="33" t="inlineStr">
        <is>
          <t>WARNING: COARSE DISCHARGE</t>
        </is>
      </c>
      <c r="R213" s="21" t="inlineStr">
        <is>
          <t>Reduce feed tonnage by 15 tph; trim cyclone cluster pressure to 115 kPa.</t>
        </is>
      </c>
    </row>
    <row r="214">
      <c r="A214" s="12" t="inlineStr">
        <is>
          <t>LOG-SPC-5213</t>
        </is>
      </c>
      <c r="B214" s="44" t="n">
        <v>45340.91666666666</v>
      </c>
      <c r="C214" s="12" t="inlineStr">
        <is>
          <t>Shift_C</t>
        </is>
      </c>
      <c r="D214" s="22" t="n">
        <v>275</v>
      </c>
      <c r="E214" s="22" t="n">
        <v>3062.3</v>
      </c>
      <c r="F214" s="22" t="n">
        <v>71.40000000000001</v>
      </c>
      <c r="G214" s="22" t="n">
        <v>45.6</v>
      </c>
      <c r="H214" s="22" t="n">
        <v>91.40000000000001</v>
      </c>
      <c r="I214" s="28" t="n">
        <v>6</v>
      </c>
      <c r="J214" s="33" t="inlineStr">
        <is>
          <t>Free Flare Spray (Optimal)</t>
        </is>
      </c>
      <c r="K214" s="34" t="n">
        <v>159.8</v>
      </c>
      <c r="L214" s="22" t="n">
        <v>60.3</v>
      </c>
      <c r="M214" s="22" t="n">
        <v>12.1</v>
      </c>
      <c r="N214" s="35" t="n">
        <v>1567</v>
      </c>
      <c r="O214" s="22" t="n">
        <v>3.4</v>
      </c>
      <c r="P214" s="14" t="n">
        <v>8.49</v>
      </c>
      <c r="Q214" s="33" t="inlineStr">
        <is>
          <t>WARNING: COARSE DISCHARGE</t>
        </is>
      </c>
      <c r="R214" s="16" t="inlineStr">
        <is>
          <t>Reduce feed tonnage by 15 tph; trim cyclone cluster pressure to 115 kPa.</t>
        </is>
      </c>
    </row>
    <row r="215">
      <c r="A215" s="17" t="inlineStr">
        <is>
          <t>LOG-SPC-5214</t>
        </is>
      </c>
      <c r="B215" s="45" t="n">
        <v>45341</v>
      </c>
      <c r="C215" s="17" t="inlineStr">
        <is>
          <t>Shift_C</t>
        </is>
      </c>
      <c r="D215" s="23" t="n">
        <v>275</v>
      </c>
      <c r="E215" s="23" t="n">
        <v>3155.4</v>
      </c>
      <c r="F215" s="23" t="n">
        <v>71.59999999999999</v>
      </c>
      <c r="G215" s="23" t="n">
        <v>44.9</v>
      </c>
      <c r="H215" s="23" t="n">
        <v>104.7</v>
      </c>
      <c r="I215" s="31" t="n">
        <v>6</v>
      </c>
      <c r="J215" s="33" t="inlineStr">
        <is>
          <t>Free Flare Spray (Optimal)</t>
        </is>
      </c>
      <c r="K215" s="34" t="n">
        <v>158.7</v>
      </c>
      <c r="L215" s="23" t="n">
        <v>58</v>
      </c>
      <c r="M215" s="23" t="n">
        <v>12.6</v>
      </c>
      <c r="N215" s="35" t="n">
        <v>1506</v>
      </c>
      <c r="O215" s="23" t="n">
        <v>3.4</v>
      </c>
      <c r="P215" s="19" t="n">
        <v>8.42</v>
      </c>
      <c r="Q215" s="33" t="inlineStr">
        <is>
          <t>WARNING: COARSE DISCHARGE</t>
        </is>
      </c>
      <c r="R215" s="21" t="inlineStr">
        <is>
          <t>Reduce feed tonnage by 15 tph; trim cyclone cluster pressure to 115 kPa.</t>
        </is>
      </c>
    </row>
    <row r="216">
      <c r="A216" s="12" t="inlineStr">
        <is>
          <t>LOG-SPC-5215</t>
        </is>
      </c>
      <c r="B216" s="44" t="n">
        <v>45341.08333333334</v>
      </c>
      <c r="C216" s="12" t="inlineStr">
        <is>
          <t>Shift_C</t>
        </is>
      </c>
      <c r="D216" s="22" t="n">
        <v>275</v>
      </c>
      <c r="E216" s="22" t="n">
        <v>3148</v>
      </c>
      <c r="F216" s="22" t="n">
        <v>72.5</v>
      </c>
      <c r="G216" s="22" t="n">
        <v>44.8</v>
      </c>
      <c r="H216" s="22" t="n">
        <v>104.6</v>
      </c>
      <c r="I216" s="28" t="n">
        <v>6</v>
      </c>
      <c r="J216" s="33" t="inlineStr">
        <is>
          <t>Free Flare Spray (Optimal)</t>
        </is>
      </c>
      <c r="K216" s="34" t="n">
        <v>160.7</v>
      </c>
      <c r="L216" s="22" t="n">
        <v>58.3</v>
      </c>
      <c r="M216" s="22" t="n">
        <v>12.2</v>
      </c>
      <c r="N216" s="35" t="n">
        <v>1522</v>
      </c>
      <c r="O216" s="22" t="n">
        <v>3.4</v>
      </c>
      <c r="P216" s="14" t="n">
        <v>8.77</v>
      </c>
      <c r="Q216" s="33" t="inlineStr">
        <is>
          <t>WARNING: COARSE DISCHARGE</t>
        </is>
      </c>
      <c r="R216" s="16" t="inlineStr">
        <is>
          <t>Reduce feed tonnage by 15 tph; trim cyclone cluster pressure to 115 kPa.</t>
        </is>
      </c>
    </row>
    <row r="217">
      <c r="A217" s="17" t="inlineStr">
        <is>
          <t>LOG-SPC-5216</t>
        </is>
      </c>
      <c r="B217" s="45" t="n">
        <v>45341.16666666666</v>
      </c>
      <c r="C217" s="17" t="inlineStr">
        <is>
          <t>Shift_C</t>
        </is>
      </c>
      <c r="D217" s="23" t="n">
        <v>275</v>
      </c>
      <c r="E217" s="23" t="n">
        <v>3012.9</v>
      </c>
      <c r="F217" s="23" t="n">
        <v>71.7</v>
      </c>
      <c r="G217" s="23" t="n">
        <v>45.6</v>
      </c>
      <c r="H217" s="23" t="n">
        <v>101.8</v>
      </c>
      <c r="I217" s="31" t="n">
        <v>6</v>
      </c>
      <c r="J217" s="33" t="inlineStr">
        <is>
          <t>Free Flare Spray (Optimal)</t>
        </is>
      </c>
      <c r="K217" s="34" t="n">
        <v>163.9</v>
      </c>
      <c r="L217" s="23" t="n">
        <v>57.4</v>
      </c>
      <c r="M217" s="23" t="n">
        <v>12.8</v>
      </c>
      <c r="N217" s="35" t="n">
        <v>1539</v>
      </c>
      <c r="O217" s="23" t="n">
        <v>3.4</v>
      </c>
      <c r="P217" s="19" t="n">
        <v>8.869999999999999</v>
      </c>
      <c r="Q217" s="33" t="inlineStr">
        <is>
          <t>WARNING: COARSE DISCHARGE</t>
        </is>
      </c>
      <c r="R217" s="21" t="inlineStr">
        <is>
          <t>Reduce feed tonnage by 15 tph; trim cyclone cluster pressure to 115 kPa.</t>
        </is>
      </c>
    </row>
    <row r="218">
      <c r="A218" s="12" t="inlineStr">
        <is>
          <t>LOG-SPC-5217</t>
        </is>
      </c>
      <c r="B218" s="44" t="n">
        <v>45341.25</v>
      </c>
      <c r="C218" s="12" t="inlineStr">
        <is>
          <t>Shift_A</t>
        </is>
      </c>
      <c r="D218" s="22" t="n">
        <v>275</v>
      </c>
      <c r="E218" s="22" t="n">
        <v>3122.5</v>
      </c>
      <c r="F218" s="22" t="n">
        <v>70.8</v>
      </c>
      <c r="G218" s="22" t="n">
        <v>45.6</v>
      </c>
      <c r="H218" s="22" t="n">
        <v>102.2</v>
      </c>
      <c r="I218" s="28" t="n">
        <v>6</v>
      </c>
      <c r="J218" s="33" t="inlineStr">
        <is>
          <t>Free Flare Spray (Optimal)</t>
        </is>
      </c>
      <c r="K218" s="34" t="n">
        <v>159.3</v>
      </c>
      <c r="L218" s="22" t="n">
        <v>57</v>
      </c>
      <c r="M218" s="22" t="n">
        <v>12.7</v>
      </c>
      <c r="N218" s="35" t="n">
        <v>1523</v>
      </c>
      <c r="O218" s="22" t="n">
        <v>3.4</v>
      </c>
      <c r="P218" s="14" t="n">
        <v>8.880000000000001</v>
      </c>
      <c r="Q218" s="33" t="inlineStr">
        <is>
          <t>WARNING: COARSE DISCHARGE</t>
        </is>
      </c>
      <c r="R218" s="16" t="inlineStr">
        <is>
          <t>Reduce feed tonnage by 15 tph; trim cyclone cluster pressure to 115 kPa.</t>
        </is>
      </c>
    </row>
    <row r="219">
      <c r="A219" s="17" t="inlineStr">
        <is>
          <t>LOG-SPC-5218</t>
        </is>
      </c>
      <c r="B219" s="45" t="n">
        <v>45341.33333333334</v>
      </c>
      <c r="C219" s="17" t="inlineStr">
        <is>
          <t>Shift_A</t>
        </is>
      </c>
      <c r="D219" s="23" t="n">
        <v>275</v>
      </c>
      <c r="E219" s="23" t="n">
        <v>3127.1</v>
      </c>
      <c r="F219" s="23" t="n">
        <v>71.7</v>
      </c>
      <c r="G219" s="23" t="n">
        <v>45</v>
      </c>
      <c r="H219" s="23" t="n">
        <v>102</v>
      </c>
      <c r="I219" s="31" t="n">
        <v>6</v>
      </c>
      <c r="J219" s="33" t="inlineStr">
        <is>
          <t>Free Flare Spray (Optimal)</t>
        </is>
      </c>
      <c r="K219" s="34" t="n">
        <v>163.5</v>
      </c>
      <c r="L219" s="23" t="n">
        <v>57.9</v>
      </c>
      <c r="M219" s="23" t="n">
        <v>13.3</v>
      </c>
      <c r="N219" s="35" t="n">
        <v>1508</v>
      </c>
      <c r="O219" s="23" t="n">
        <v>3.4</v>
      </c>
      <c r="P219" s="19" t="n">
        <v>8.529999999999999</v>
      </c>
      <c r="Q219" s="33" t="inlineStr">
        <is>
          <t>WARNING: COARSE DISCHARGE</t>
        </is>
      </c>
      <c r="R219" s="21" t="inlineStr">
        <is>
          <t>Reduce feed tonnage by 15 tph; trim cyclone cluster pressure to 115 kPa.</t>
        </is>
      </c>
    </row>
    <row r="220">
      <c r="A220" s="12" t="inlineStr">
        <is>
          <t>LOG-SPC-5219</t>
        </is>
      </c>
      <c r="B220" s="44" t="n">
        <v>45341.41666666666</v>
      </c>
      <c r="C220" s="12" t="inlineStr">
        <is>
          <t>Shift_A</t>
        </is>
      </c>
      <c r="D220" s="22" t="n">
        <v>275</v>
      </c>
      <c r="E220" s="22" t="n">
        <v>3103</v>
      </c>
      <c r="F220" s="22" t="n">
        <v>72.3</v>
      </c>
      <c r="G220" s="22" t="n">
        <v>44.7</v>
      </c>
      <c r="H220" s="22" t="n">
        <v>99</v>
      </c>
      <c r="I220" s="28" t="n">
        <v>6</v>
      </c>
      <c r="J220" s="33" t="inlineStr">
        <is>
          <t>Free Flare Spray (Optimal)</t>
        </is>
      </c>
      <c r="K220" s="34" t="n">
        <v>160.8</v>
      </c>
      <c r="L220" s="22" t="n">
        <v>57</v>
      </c>
      <c r="M220" s="22" t="n">
        <v>12.6</v>
      </c>
      <c r="N220" s="35" t="n">
        <v>1543</v>
      </c>
      <c r="O220" s="22" t="n">
        <v>3.4</v>
      </c>
      <c r="P220" s="14" t="n">
        <v>8.48</v>
      </c>
      <c r="Q220" s="33" t="inlineStr">
        <is>
          <t>WARNING: COARSE DISCHARGE</t>
        </is>
      </c>
      <c r="R220" s="16" t="inlineStr">
        <is>
          <t>Reduce feed tonnage by 15 tph; trim cyclone cluster pressure to 115 kPa.</t>
        </is>
      </c>
    </row>
    <row r="221">
      <c r="A221" s="17" t="inlineStr">
        <is>
          <t>LOG-SPC-5220</t>
        </is>
      </c>
      <c r="B221" s="45" t="n">
        <v>45341.5</v>
      </c>
      <c r="C221" s="17" t="inlineStr">
        <is>
          <t>Shift_A</t>
        </is>
      </c>
      <c r="D221" s="23" t="n">
        <v>275</v>
      </c>
      <c r="E221" s="23" t="n">
        <v>3089</v>
      </c>
      <c r="F221" s="23" t="n">
        <v>71.7</v>
      </c>
      <c r="G221" s="23" t="n">
        <v>46</v>
      </c>
      <c r="H221" s="23" t="n">
        <v>107.5</v>
      </c>
      <c r="I221" s="31" t="n">
        <v>6</v>
      </c>
      <c r="J221" s="33" t="inlineStr">
        <is>
          <t>Free Flare Spray (Optimal)</t>
        </is>
      </c>
      <c r="K221" s="34" t="n">
        <v>160.8</v>
      </c>
      <c r="L221" s="23" t="n">
        <v>57.8</v>
      </c>
      <c r="M221" s="23" t="n">
        <v>13</v>
      </c>
      <c r="N221" s="35" t="n">
        <v>1501</v>
      </c>
      <c r="O221" s="23" t="n">
        <v>3.4</v>
      </c>
      <c r="P221" s="19" t="n">
        <v>8.529999999999999</v>
      </c>
      <c r="Q221" s="33" t="inlineStr">
        <is>
          <t>WARNING: COARSE DISCHARGE</t>
        </is>
      </c>
      <c r="R221" s="21" t="inlineStr">
        <is>
          <t>Reduce feed tonnage by 15 tph; trim cyclone cluster pressure to 115 kPa.</t>
        </is>
      </c>
    </row>
    <row r="222">
      <c r="A222" s="12" t="inlineStr">
        <is>
          <t>LOG-SPC-5221</t>
        </is>
      </c>
      <c r="B222" s="44" t="n">
        <v>45341.58333333334</v>
      </c>
      <c r="C222" s="12" t="inlineStr">
        <is>
          <t>Shift_B</t>
        </is>
      </c>
      <c r="D222" s="22" t="n">
        <v>275</v>
      </c>
      <c r="E222" s="22" t="n">
        <v>3139.5</v>
      </c>
      <c r="F222" s="22" t="n">
        <v>70.59999999999999</v>
      </c>
      <c r="G222" s="22" t="n">
        <v>45.6</v>
      </c>
      <c r="H222" s="22" t="n">
        <v>100.9</v>
      </c>
      <c r="I222" s="28" t="n">
        <v>6</v>
      </c>
      <c r="J222" s="33" t="inlineStr">
        <is>
          <t>Free Flare Spray (Optimal)</t>
        </is>
      </c>
      <c r="K222" s="34" t="n">
        <v>163.2</v>
      </c>
      <c r="L222" s="22" t="n">
        <v>59.1</v>
      </c>
      <c r="M222" s="22" t="n">
        <v>12.5</v>
      </c>
      <c r="N222" s="35" t="n">
        <v>1544</v>
      </c>
      <c r="O222" s="22" t="n">
        <v>3.4</v>
      </c>
      <c r="P222" s="14" t="n">
        <v>8.35</v>
      </c>
      <c r="Q222" s="33" t="inlineStr">
        <is>
          <t>WARNING: COARSE DISCHARGE</t>
        </is>
      </c>
      <c r="R222" s="16" t="inlineStr">
        <is>
          <t>Reduce feed tonnage by 15 tph; trim cyclone cluster pressure to 115 kPa.</t>
        </is>
      </c>
    </row>
    <row r="223">
      <c r="A223" s="17" t="inlineStr">
        <is>
          <t>LOG-SPC-5222</t>
        </is>
      </c>
      <c r="B223" s="45" t="n">
        <v>45341.66666666666</v>
      </c>
      <c r="C223" s="17" t="inlineStr">
        <is>
          <t>Shift_B</t>
        </is>
      </c>
      <c r="D223" s="23" t="n">
        <v>263.9</v>
      </c>
      <c r="E223" s="23" t="n">
        <v>3081.5</v>
      </c>
      <c r="F223" s="23" t="n">
        <v>72.40000000000001</v>
      </c>
      <c r="G223" s="23" t="n">
        <v>44.7</v>
      </c>
      <c r="H223" s="23" t="n">
        <v>111.2</v>
      </c>
      <c r="I223" s="31" t="n">
        <v>6</v>
      </c>
      <c r="J223" s="17" t="inlineStr">
        <is>
          <t>Free Flare Spray (Optimal)</t>
        </is>
      </c>
      <c r="K223" s="23" t="n">
        <v>145</v>
      </c>
      <c r="L223" s="23" t="n">
        <v>67.90000000000001</v>
      </c>
      <c r="M223" s="23" t="n">
        <v>13.5</v>
      </c>
      <c r="N223" s="32" t="n">
        <v>1702</v>
      </c>
      <c r="O223" s="23" t="n">
        <v>4.4</v>
      </c>
      <c r="P223" s="19" t="n">
        <v>8.5</v>
      </c>
      <c r="Q223" s="17" t="inlineStr">
        <is>
          <t>IN CONTROL (Stable)</t>
        </is>
      </c>
      <c r="R223" s="21" t="inlineStr">
        <is>
          <t>Routine inspection; normal parameters.</t>
        </is>
      </c>
    </row>
    <row r="224">
      <c r="A224" s="12" t="inlineStr">
        <is>
          <t>LOG-SPC-5223</t>
        </is>
      </c>
      <c r="B224" s="44" t="n">
        <v>45341.75</v>
      </c>
      <c r="C224" s="12" t="inlineStr">
        <is>
          <t>Shift_B</t>
        </is>
      </c>
      <c r="D224" s="22" t="n">
        <v>253.7</v>
      </c>
      <c r="E224" s="22" t="n">
        <v>3148.7</v>
      </c>
      <c r="F224" s="22" t="n">
        <v>71.90000000000001</v>
      </c>
      <c r="G224" s="22" t="n">
        <v>45.9</v>
      </c>
      <c r="H224" s="22" t="n">
        <v>98.2</v>
      </c>
      <c r="I224" s="28" t="n">
        <v>6</v>
      </c>
      <c r="J224" s="12" t="inlineStr">
        <is>
          <t>Free Flare Spray (Optimal)</t>
        </is>
      </c>
      <c r="K224" s="22" t="n">
        <v>143.4</v>
      </c>
      <c r="L224" s="22" t="n">
        <v>68.09999999999999</v>
      </c>
      <c r="M224" s="22" t="n">
        <v>12.4</v>
      </c>
      <c r="N224" s="29" t="n">
        <v>1722</v>
      </c>
      <c r="O224" s="22" t="n">
        <v>5</v>
      </c>
      <c r="P224" s="14" t="n">
        <v>8.51</v>
      </c>
      <c r="Q224" s="12" t="inlineStr">
        <is>
          <t>IN CONTROL (Stable)</t>
        </is>
      </c>
      <c r="R224" s="16" t="inlineStr">
        <is>
          <t>Routine inspection; normal parameters.</t>
        </is>
      </c>
    </row>
    <row r="225">
      <c r="A225" s="17" t="inlineStr">
        <is>
          <t>LOG-SPC-5224</t>
        </is>
      </c>
      <c r="B225" s="45" t="n">
        <v>45341.83333333334</v>
      </c>
      <c r="C225" s="17" t="inlineStr">
        <is>
          <t>Shift_B</t>
        </is>
      </c>
      <c r="D225" s="23" t="n">
        <v>250.8</v>
      </c>
      <c r="E225" s="23" t="n">
        <v>3098.4</v>
      </c>
      <c r="F225" s="23" t="n">
        <v>71.2</v>
      </c>
      <c r="G225" s="23" t="n">
        <v>44.7</v>
      </c>
      <c r="H225" s="23" t="n">
        <v>104.3</v>
      </c>
      <c r="I225" s="31" t="n">
        <v>6</v>
      </c>
      <c r="J225" s="17" t="inlineStr">
        <is>
          <t>Free Flare Spray (Optimal)</t>
        </is>
      </c>
      <c r="K225" s="23" t="n">
        <v>144.4</v>
      </c>
      <c r="L225" s="23" t="n">
        <v>68.5</v>
      </c>
      <c r="M225" s="23" t="n">
        <v>12.6</v>
      </c>
      <c r="N225" s="32" t="n">
        <v>1704</v>
      </c>
      <c r="O225" s="23" t="n">
        <v>5.2</v>
      </c>
      <c r="P225" s="19" t="n">
        <v>8.369999999999999</v>
      </c>
      <c r="Q225" s="17" t="inlineStr">
        <is>
          <t>IN CONTROL (Stable)</t>
        </is>
      </c>
      <c r="R225" s="21" t="inlineStr">
        <is>
          <t>Routine inspection; normal parameters.</t>
        </is>
      </c>
    </row>
    <row r="226">
      <c r="A226" s="12" t="inlineStr">
        <is>
          <t>LOG-SPC-5225</t>
        </is>
      </c>
      <c r="B226" s="44" t="n">
        <v>45341.91666666666</v>
      </c>
      <c r="C226" s="12" t="inlineStr">
        <is>
          <t>Shift_C</t>
        </is>
      </c>
      <c r="D226" s="22" t="n">
        <v>245.7</v>
      </c>
      <c r="E226" s="22" t="n">
        <v>3197.3</v>
      </c>
      <c r="F226" s="22" t="n">
        <v>71.2</v>
      </c>
      <c r="G226" s="22" t="n">
        <v>43.7</v>
      </c>
      <c r="H226" s="22" t="n">
        <v>108.7</v>
      </c>
      <c r="I226" s="28" t="n">
        <v>6</v>
      </c>
      <c r="J226" s="12" t="inlineStr">
        <is>
          <t>Free Flare Spray (Optimal)</t>
        </is>
      </c>
      <c r="K226" s="22" t="n">
        <v>137.7</v>
      </c>
      <c r="L226" s="22" t="n">
        <v>68.09999999999999</v>
      </c>
      <c r="M226" s="22" t="n">
        <v>14.2</v>
      </c>
      <c r="N226" s="29" t="n">
        <v>1665</v>
      </c>
      <c r="O226" s="22" t="n">
        <v>4.2</v>
      </c>
      <c r="P226" s="14" t="n">
        <v>8.300000000000001</v>
      </c>
      <c r="Q226" s="12" t="inlineStr">
        <is>
          <t>IN CONTROL (Stable)</t>
        </is>
      </c>
      <c r="R226" s="16" t="inlineStr">
        <is>
          <t>Routine inspection; normal parameters.</t>
        </is>
      </c>
    </row>
    <row r="227">
      <c r="A227" s="17" t="inlineStr">
        <is>
          <t>LOG-SPC-5226</t>
        </is>
      </c>
      <c r="B227" s="45" t="n">
        <v>45342</v>
      </c>
      <c r="C227" s="17" t="inlineStr">
        <is>
          <t>Shift_C</t>
        </is>
      </c>
      <c r="D227" s="23" t="n">
        <v>255.4</v>
      </c>
      <c r="E227" s="23" t="n">
        <v>3139.4</v>
      </c>
      <c r="F227" s="23" t="n">
        <v>71.5</v>
      </c>
      <c r="G227" s="23" t="n">
        <v>45.3</v>
      </c>
      <c r="H227" s="23" t="n">
        <v>112</v>
      </c>
      <c r="I227" s="31" t="n">
        <v>6</v>
      </c>
      <c r="J227" s="17" t="inlineStr">
        <is>
          <t>Free Flare Spray (Optimal)</t>
        </is>
      </c>
      <c r="K227" s="23" t="n">
        <v>151.3</v>
      </c>
      <c r="L227" s="23" t="n">
        <v>68.09999999999999</v>
      </c>
      <c r="M227" s="23" t="n">
        <v>10.7</v>
      </c>
      <c r="N227" s="32" t="n">
        <v>1691</v>
      </c>
      <c r="O227" s="23" t="n">
        <v>4.7</v>
      </c>
      <c r="P227" s="19" t="n">
        <v>8.550000000000001</v>
      </c>
      <c r="Q227" s="17" t="inlineStr">
        <is>
          <t>IN CONTROL (Stable)</t>
        </is>
      </c>
      <c r="R227" s="21" t="inlineStr">
        <is>
          <t>Routine inspection; normal parameters.</t>
        </is>
      </c>
    </row>
    <row r="228">
      <c r="A228" s="12" t="inlineStr">
        <is>
          <t>LOG-SPC-5227</t>
        </is>
      </c>
      <c r="B228" s="44" t="n">
        <v>45342.08333333334</v>
      </c>
      <c r="C228" s="12" t="inlineStr">
        <is>
          <t>Shift_C</t>
        </is>
      </c>
      <c r="D228" s="22" t="n">
        <v>248.9</v>
      </c>
      <c r="E228" s="22" t="n">
        <v>3139.2</v>
      </c>
      <c r="F228" s="22" t="n">
        <v>72.59999999999999</v>
      </c>
      <c r="G228" s="22" t="n">
        <v>44.7</v>
      </c>
      <c r="H228" s="22" t="n">
        <v>110.5</v>
      </c>
      <c r="I228" s="28" t="n">
        <v>6</v>
      </c>
      <c r="J228" s="12" t="inlineStr">
        <is>
          <t>Free Flare Spray (Optimal)</t>
        </is>
      </c>
      <c r="K228" s="22" t="n">
        <v>146.3</v>
      </c>
      <c r="L228" s="22" t="n">
        <v>68.59999999999999</v>
      </c>
      <c r="M228" s="22" t="n">
        <v>13.2</v>
      </c>
      <c r="N228" s="29" t="n">
        <v>1722</v>
      </c>
      <c r="O228" s="22" t="n">
        <v>5.4</v>
      </c>
      <c r="P228" s="14" t="n">
        <v>8.31</v>
      </c>
      <c r="Q228" s="12" t="inlineStr">
        <is>
          <t>IN CONTROL (Stable)</t>
        </is>
      </c>
      <c r="R228" s="16" t="inlineStr">
        <is>
          <t>Routine inspection; normal parameters.</t>
        </is>
      </c>
    </row>
    <row r="229">
      <c r="A229" s="17" t="inlineStr">
        <is>
          <t>LOG-SPC-5228</t>
        </is>
      </c>
      <c r="B229" s="45" t="n">
        <v>45342.16666666666</v>
      </c>
      <c r="C229" s="17" t="inlineStr">
        <is>
          <t>Shift_C</t>
        </is>
      </c>
      <c r="D229" s="23" t="n">
        <v>246.9</v>
      </c>
      <c r="E229" s="23" t="n">
        <v>3095.6</v>
      </c>
      <c r="F229" s="23" t="n">
        <v>72.09999999999999</v>
      </c>
      <c r="G229" s="23" t="n">
        <v>45.8</v>
      </c>
      <c r="H229" s="23" t="n">
        <v>104.9</v>
      </c>
      <c r="I229" s="31" t="n">
        <v>6</v>
      </c>
      <c r="J229" s="17" t="inlineStr">
        <is>
          <t>Free Flare Spray (Optimal)</t>
        </is>
      </c>
      <c r="K229" s="23" t="n">
        <v>140</v>
      </c>
      <c r="L229" s="23" t="n">
        <v>69.8</v>
      </c>
      <c r="M229" s="23" t="n">
        <v>13.1</v>
      </c>
      <c r="N229" s="32" t="n">
        <v>1652</v>
      </c>
      <c r="O229" s="23" t="n">
        <v>4.8</v>
      </c>
      <c r="P229" s="19" t="n">
        <v>8.279999999999999</v>
      </c>
      <c r="Q229" s="17" t="inlineStr">
        <is>
          <t>IN CONTROL (Stable)</t>
        </is>
      </c>
      <c r="R229" s="21" t="inlineStr">
        <is>
          <t>Routine inspection; normal parameters.</t>
        </is>
      </c>
    </row>
    <row r="230">
      <c r="A230" s="12" t="inlineStr">
        <is>
          <t>LOG-SPC-5229</t>
        </is>
      </c>
      <c r="B230" s="44" t="n">
        <v>45342.25</v>
      </c>
      <c r="C230" s="12" t="inlineStr">
        <is>
          <t>Shift_A</t>
        </is>
      </c>
      <c r="D230" s="22" t="n">
        <v>246</v>
      </c>
      <c r="E230" s="22" t="n">
        <v>3068.4</v>
      </c>
      <c r="F230" s="22" t="n">
        <v>72.3</v>
      </c>
      <c r="G230" s="22" t="n">
        <v>44.9</v>
      </c>
      <c r="H230" s="22" t="n">
        <v>98.59999999999999</v>
      </c>
      <c r="I230" s="28" t="n">
        <v>6</v>
      </c>
      <c r="J230" s="12" t="inlineStr">
        <is>
          <t>Free Flare Spray (Optimal)</t>
        </is>
      </c>
      <c r="K230" s="22" t="n">
        <v>148.1</v>
      </c>
      <c r="L230" s="22" t="n">
        <v>66.3</v>
      </c>
      <c r="M230" s="22" t="n">
        <v>12.8</v>
      </c>
      <c r="N230" s="29" t="n">
        <v>1691</v>
      </c>
      <c r="O230" s="22" t="n">
        <v>4.7</v>
      </c>
      <c r="P230" s="14" t="n">
        <v>8.699999999999999</v>
      </c>
      <c r="Q230" s="12" t="inlineStr">
        <is>
          <t>IN CONTROL (Stable)</t>
        </is>
      </c>
      <c r="R230" s="16" t="inlineStr">
        <is>
          <t>Routine inspection; normal parameters.</t>
        </is>
      </c>
    </row>
    <row r="231">
      <c r="A231" s="17" t="inlineStr">
        <is>
          <t>LOG-SPC-5230</t>
        </is>
      </c>
      <c r="B231" s="45" t="n">
        <v>45342.33333333334</v>
      </c>
      <c r="C231" s="17" t="inlineStr">
        <is>
          <t>Shift_A</t>
        </is>
      </c>
      <c r="D231" s="23" t="n">
        <v>253.1</v>
      </c>
      <c r="E231" s="23" t="n">
        <v>3146.8</v>
      </c>
      <c r="F231" s="23" t="n">
        <v>71.8</v>
      </c>
      <c r="G231" s="23" t="n">
        <v>45</v>
      </c>
      <c r="H231" s="23" t="n">
        <v>102.8</v>
      </c>
      <c r="I231" s="31" t="n">
        <v>6</v>
      </c>
      <c r="J231" s="17" t="inlineStr">
        <is>
          <t>Free Flare Spray (Optimal)</t>
        </is>
      </c>
      <c r="K231" s="23" t="n">
        <v>145.6</v>
      </c>
      <c r="L231" s="23" t="n">
        <v>69.2</v>
      </c>
      <c r="M231" s="23" t="n">
        <v>12.4</v>
      </c>
      <c r="N231" s="32" t="n">
        <v>1656</v>
      </c>
      <c r="O231" s="23" t="n">
        <v>4.9</v>
      </c>
      <c r="P231" s="19" t="n">
        <v>8.67</v>
      </c>
      <c r="Q231" s="17" t="inlineStr">
        <is>
          <t>IN CONTROL (Stable)</t>
        </is>
      </c>
      <c r="R231" s="21" t="inlineStr">
        <is>
          <t>Routine inspection; normal parameters.</t>
        </is>
      </c>
    </row>
    <row r="232">
      <c r="A232" s="12" t="inlineStr">
        <is>
          <t>LOG-SPC-5231</t>
        </is>
      </c>
      <c r="B232" s="44" t="n">
        <v>45342.41666666666</v>
      </c>
      <c r="C232" s="12" t="inlineStr">
        <is>
          <t>Shift_A</t>
        </is>
      </c>
      <c r="D232" s="22" t="n">
        <v>245.9</v>
      </c>
      <c r="E232" s="22" t="n">
        <v>3055</v>
      </c>
      <c r="F232" s="22" t="n">
        <v>72.7</v>
      </c>
      <c r="G232" s="22" t="n">
        <v>45.2</v>
      </c>
      <c r="H232" s="22" t="n">
        <v>103.9</v>
      </c>
      <c r="I232" s="28" t="n">
        <v>6</v>
      </c>
      <c r="J232" s="12" t="inlineStr">
        <is>
          <t>Free Flare Spray (Optimal)</t>
        </is>
      </c>
      <c r="K232" s="22" t="n">
        <v>141</v>
      </c>
      <c r="L232" s="22" t="n">
        <v>67.3</v>
      </c>
      <c r="M232" s="22" t="n">
        <v>13.5</v>
      </c>
      <c r="N232" s="29" t="n">
        <v>1724</v>
      </c>
      <c r="O232" s="22" t="n">
        <v>4.6</v>
      </c>
      <c r="P232" s="14" t="n">
        <v>8.699999999999999</v>
      </c>
      <c r="Q232" s="12" t="inlineStr">
        <is>
          <t>IN CONTROL (Stable)</t>
        </is>
      </c>
      <c r="R232" s="16" t="inlineStr">
        <is>
          <t>Routine inspection; normal parameters.</t>
        </is>
      </c>
    </row>
    <row r="233">
      <c r="A233" s="17" t="inlineStr">
        <is>
          <t>LOG-SPC-5232</t>
        </is>
      </c>
      <c r="B233" s="45" t="n">
        <v>45342.5</v>
      </c>
      <c r="C233" s="17" t="inlineStr">
        <is>
          <t>Shift_A</t>
        </is>
      </c>
      <c r="D233" s="23" t="n">
        <v>245.1</v>
      </c>
      <c r="E233" s="23" t="n">
        <v>3152.5</v>
      </c>
      <c r="F233" s="23" t="n">
        <v>72.59999999999999</v>
      </c>
      <c r="G233" s="23" t="n">
        <v>44.4</v>
      </c>
      <c r="H233" s="23" t="n">
        <v>101.9</v>
      </c>
      <c r="I233" s="31" t="n">
        <v>6</v>
      </c>
      <c r="J233" s="17" t="inlineStr">
        <is>
          <t>Free Flare Spray (Optimal)</t>
        </is>
      </c>
      <c r="K233" s="23" t="n">
        <v>135.8</v>
      </c>
      <c r="L233" s="23" t="n">
        <v>66.3</v>
      </c>
      <c r="M233" s="23" t="n">
        <v>11.4</v>
      </c>
      <c r="N233" s="32" t="n">
        <v>1724</v>
      </c>
      <c r="O233" s="23" t="n">
        <v>4.7</v>
      </c>
      <c r="P233" s="19" t="n">
        <v>8.33</v>
      </c>
      <c r="Q233" s="17" t="inlineStr">
        <is>
          <t>IN CONTROL (Stable)</t>
        </is>
      </c>
      <c r="R233" s="21" t="inlineStr">
        <is>
          <t>Routine inspection; normal parameters.</t>
        </is>
      </c>
    </row>
    <row r="234">
      <c r="A234" s="12" t="inlineStr">
        <is>
          <t>LOG-SPC-5233</t>
        </is>
      </c>
      <c r="B234" s="44" t="n">
        <v>45342.58333333334</v>
      </c>
      <c r="C234" s="12" t="inlineStr">
        <is>
          <t>Shift_B</t>
        </is>
      </c>
      <c r="D234" s="22" t="n">
        <v>248.3</v>
      </c>
      <c r="E234" s="22" t="n">
        <v>3117.7</v>
      </c>
      <c r="F234" s="22" t="n">
        <v>72.09999999999999</v>
      </c>
      <c r="G234" s="22" t="n">
        <v>43.3</v>
      </c>
      <c r="H234" s="22" t="n">
        <v>104.4</v>
      </c>
      <c r="I234" s="28" t="n">
        <v>6</v>
      </c>
      <c r="J234" s="12" t="inlineStr">
        <is>
          <t>Free Flare Spray (Optimal)</t>
        </is>
      </c>
      <c r="K234" s="22" t="n">
        <v>140.2</v>
      </c>
      <c r="L234" s="22" t="n">
        <v>69.90000000000001</v>
      </c>
      <c r="M234" s="22" t="n">
        <v>13.1</v>
      </c>
      <c r="N234" s="29" t="n">
        <v>1688</v>
      </c>
      <c r="O234" s="22" t="n">
        <v>4.6</v>
      </c>
      <c r="P234" s="14" t="n">
        <v>8.51</v>
      </c>
      <c r="Q234" s="12" t="inlineStr">
        <is>
          <t>IN CONTROL (Stable)</t>
        </is>
      </c>
      <c r="R234" s="16" t="inlineStr">
        <is>
          <t>Routine inspection; normal parameters.</t>
        </is>
      </c>
    </row>
    <row r="235">
      <c r="A235" s="17" t="inlineStr">
        <is>
          <t>LOG-SPC-5234</t>
        </is>
      </c>
      <c r="B235" s="45" t="n">
        <v>45342.66666666666</v>
      </c>
      <c r="C235" s="17" t="inlineStr">
        <is>
          <t>Shift_B</t>
        </is>
      </c>
      <c r="D235" s="23" t="n">
        <v>236.5</v>
      </c>
      <c r="E235" s="23" t="n">
        <v>3111.8</v>
      </c>
      <c r="F235" s="23" t="n">
        <v>71.59999999999999</v>
      </c>
      <c r="G235" s="23" t="n">
        <v>45.6</v>
      </c>
      <c r="H235" s="23" t="n">
        <v>99.5</v>
      </c>
      <c r="I235" s="31" t="n">
        <v>6</v>
      </c>
      <c r="J235" s="17" t="inlineStr">
        <is>
          <t>Free Flare Spray (Optimal)</t>
        </is>
      </c>
      <c r="K235" s="23" t="n">
        <v>142.8</v>
      </c>
      <c r="L235" s="23" t="n">
        <v>66.2</v>
      </c>
      <c r="M235" s="23" t="n">
        <v>11.7</v>
      </c>
      <c r="N235" s="32" t="n">
        <v>1678</v>
      </c>
      <c r="O235" s="23" t="n">
        <v>5.1</v>
      </c>
      <c r="P235" s="19" t="n">
        <v>8.460000000000001</v>
      </c>
      <c r="Q235" s="17" t="inlineStr">
        <is>
          <t>IN CONTROL (Stable)</t>
        </is>
      </c>
      <c r="R235" s="21" t="inlineStr">
        <is>
          <t>Routine inspection; normal parameters.</t>
        </is>
      </c>
    </row>
    <row r="236">
      <c r="A236" s="12" t="inlineStr">
        <is>
          <t>LOG-SPC-5235</t>
        </is>
      </c>
      <c r="B236" s="44" t="n">
        <v>45342.75</v>
      </c>
      <c r="C236" s="12" t="inlineStr">
        <is>
          <t>Shift_B</t>
        </is>
      </c>
      <c r="D236" s="22" t="n">
        <v>250.7</v>
      </c>
      <c r="E236" s="22" t="n">
        <v>3086.7</v>
      </c>
      <c r="F236" s="22" t="n">
        <v>71</v>
      </c>
      <c r="G236" s="22" t="n">
        <v>44.7</v>
      </c>
      <c r="H236" s="22" t="n">
        <v>108</v>
      </c>
      <c r="I236" s="28" t="n">
        <v>6</v>
      </c>
      <c r="J236" s="12" t="inlineStr">
        <is>
          <t>Free Flare Spray (Optimal)</t>
        </is>
      </c>
      <c r="K236" s="22" t="n">
        <v>140.8</v>
      </c>
      <c r="L236" s="22" t="n">
        <v>69.7</v>
      </c>
      <c r="M236" s="22" t="n">
        <v>11.8</v>
      </c>
      <c r="N236" s="29" t="n">
        <v>1703</v>
      </c>
      <c r="O236" s="22" t="n">
        <v>5</v>
      </c>
      <c r="P236" s="14" t="n">
        <v>8.470000000000001</v>
      </c>
      <c r="Q236" s="12" t="inlineStr">
        <is>
          <t>IN CONTROL (Stable)</t>
        </is>
      </c>
      <c r="R236" s="16" t="inlineStr">
        <is>
          <t>Routine inspection; normal parameters.</t>
        </is>
      </c>
    </row>
    <row r="237">
      <c r="A237" s="17" t="inlineStr">
        <is>
          <t>LOG-SPC-5236</t>
        </is>
      </c>
      <c r="B237" s="45" t="n">
        <v>45342.83333333334</v>
      </c>
      <c r="C237" s="17" t="inlineStr">
        <is>
          <t>Shift_B</t>
        </is>
      </c>
      <c r="D237" s="23" t="n">
        <v>250.2</v>
      </c>
      <c r="E237" s="23" t="n">
        <v>3089</v>
      </c>
      <c r="F237" s="23" t="n">
        <v>71.90000000000001</v>
      </c>
      <c r="G237" s="23" t="n">
        <v>42.9</v>
      </c>
      <c r="H237" s="23" t="n">
        <v>95.90000000000001</v>
      </c>
      <c r="I237" s="31" t="n">
        <v>6</v>
      </c>
      <c r="J237" s="17" t="inlineStr">
        <is>
          <t>Free Flare Spray (Optimal)</t>
        </is>
      </c>
      <c r="K237" s="23" t="n">
        <v>147.2</v>
      </c>
      <c r="L237" s="23" t="n">
        <v>70.09999999999999</v>
      </c>
      <c r="M237" s="23" t="n">
        <v>11.8</v>
      </c>
      <c r="N237" s="32" t="n">
        <v>1711</v>
      </c>
      <c r="O237" s="23" t="n">
        <v>4.9</v>
      </c>
      <c r="P237" s="19" t="n">
        <v>8.74</v>
      </c>
      <c r="Q237" s="17" t="inlineStr">
        <is>
          <t>IN CONTROL (Stable)</t>
        </is>
      </c>
      <c r="R237" s="21" t="inlineStr">
        <is>
          <t>Routine inspection; normal parameters.</t>
        </is>
      </c>
    </row>
    <row r="238">
      <c r="A238" s="12" t="inlineStr">
        <is>
          <t>LOG-SPC-5237</t>
        </is>
      </c>
      <c r="B238" s="44" t="n">
        <v>45342.91666666666</v>
      </c>
      <c r="C238" s="12" t="inlineStr">
        <is>
          <t>Shift_C</t>
        </is>
      </c>
      <c r="D238" s="22" t="n">
        <v>237.8</v>
      </c>
      <c r="E238" s="22" t="n">
        <v>3069</v>
      </c>
      <c r="F238" s="22" t="n">
        <v>71.59999999999999</v>
      </c>
      <c r="G238" s="22" t="n">
        <v>45.4</v>
      </c>
      <c r="H238" s="22" t="n">
        <v>117.5</v>
      </c>
      <c r="I238" s="28" t="n">
        <v>6</v>
      </c>
      <c r="J238" s="12" t="inlineStr">
        <is>
          <t>Free Flare Spray (Optimal)</t>
        </is>
      </c>
      <c r="K238" s="22" t="n">
        <v>144.2</v>
      </c>
      <c r="L238" s="22" t="n">
        <v>66.40000000000001</v>
      </c>
      <c r="M238" s="22" t="n">
        <v>12.8</v>
      </c>
      <c r="N238" s="29" t="n">
        <v>1766</v>
      </c>
      <c r="O238" s="22" t="n">
        <v>4.8</v>
      </c>
      <c r="P238" s="14" t="n">
        <v>8.42</v>
      </c>
      <c r="Q238" s="12" t="inlineStr">
        <is>
          <t>IN CONTROL (Stable)</t>
        </is>
      </c>
      <c r="R238" s="16" t="inlineStr">
        <is>
          <t>Routine inspection; normal parameters.</t>
        </is>
      </c>
    </row>
    <row r="239">
      <c r="A239" s="17" t="inlineStr">
        <is>
          <t>LOG-SPC-5238</t>
        </is>
      </c>
      <c r="B239" s="45" t="n">
        <v>45343</v>
      </c>
      <c r="C239" s="17" t="inlineStr">
        <is>
          <t>Shift_C</t>
        </is>
      </c>
      <c r="D239" s="23" t="n">
        <v>255.7</v>
      </c>
      <c r="E239" s="23" t="n">
        <v>3123.2</v>
      </c>
      <c r="F239" s="23" t="n">
        <v>71.2</v>
      </c>
      <c r="G239" s="23" t="n">
        <v>45.1</v>
      </c>
      <c r="H239" s="23" t="n">
        <v>110</v>
      </c>
      <c r="I239" s="31" t="n">
        <v>6</v>
      </c>
      <c r="J239" s="17" t="inlineStr">
        <is>
          <t>Free Flare Spray (Optimal)</t>
        </is>
      </c>
      <c r="K239" s="23" t="n">
        <v>149.1</v>
      </c>
      <c r="L239" s="23" t="n">
        <v>68.40000000000001</v>
      </c>
      <c r="M239" s="23" t="n">
        <v>12.2</v>
      </c>
      <c r="N239" s="32" t="n">
        <v>1762</v>
      </c>
      <c r="O239" s="23" t="n">
        <v>4.4</v>
      </c>
      <c r="P239" s="19" t="n">
        <v>8.69</v>
      </c>
      <c r="Q239" s="17" t="inlineStr">
        <is>
          <t>IN CONTROL (Stable)</t>
        </is>
      </c>
      <c r="R239" s="21" t="inlineStr">
        <is>
          <t>Routine inspection; normal parameters.</t>
        </is>
      </c>
    </row>
    <row r="240">
      <c r="A240" s="12" t="inlineStr">
        <is>
          <t>LOG-SPC-5239</t>
        </is>
      </c>
      <c r="B240" s="44" t="n">
        <v>45343.08333333334</v>
      </c>
      <c r="C240" s="12" t="inlineStr">
        <is>
          <t>Shift_C</t>
        </is>
      </c>
      <c r="D240" s="22" t="n">
        <v>241.8</v>
      </c>
      <c r="E240" s="22" t="n">
        <v>3137.3</v>
      </c>
      <c r="F240" s="22" t="n">
        <v>71.59999999999999</v>
      </c>
      <c r="G240" s="22" t="n">
        <v>45.8</v>
      </c>
      <c r="H240" s="22" t="n">
        <v>107.5</v>
      </c>
      <c r="I240" s="28" t="n">
        <v>6</v>
      </c>
      <c r="J240" s="12" t="inlineStr">
        <is>
          <t>Free Flare Spray (Optimal)</t>
        </is>
      </c>
      <c r="K240" s="22" t="n">
        <v>140.7</v>
      </c>
      <c r="L240" s="22" t="n">
        <v>70.59999999999999</v>
      </c>
      <c r="M240" s="22" t="n">
        <v>13.7</v>
      </c>
      <c r="N240" s="29" t="n">
        <v>1750</v>
      </c>
      <c r="O240" s="22" t="n">
        <v>4.6</v>
      </c>
      <c r="P240" s="14" t="n">
        <v>8.539999999999999</v>
      </c>
      <c r="Q240" s="12" t="inlineStr">
        <is>
          <t>IN CONTROL (Stable)</t>
        </is>
      </c>
      <c r="R240" s="16" t="inlineStr">
        <is>
          <t>Routine inspection; normal parameters.</t>
        </is>
      </c>
    </row>
    <row r="241">
      <c r="A241" s="17" t="inlineStr">
        <is>
          <t>LOG-SPC-5240</t>
        </is>
      </c>
      <c r="B241" s="45" t="n">
        <v>45343.16666666666</v>
      </c>
      <c r="C241" s="17" t="inlineStr">
        <is>
          <t>Shift_C</t>
        </is>
      </c>
      <c r="D241" s="23" t="n">
        <v>250.9</v>
      </c>
      <c r="E241" s="23" t="n">
        <v>3075.4</v>
      </c>
      <c r="F241" s="23" t="n">
        <v>72.8</v>
      </c>
      <c r="G241" s="23" t="n">
        <v>44.9</v>
      </c>
      <c r="H241" s="23" t="n">
        <v>91.5</v>
      </c>
      <c r="I241" s="31" t="n">
        <v>6</v>
      </c>
      <c r="J241" s="17" t="inlineStr">
        <is>
          <t>Free Flare Spray (Optimal)</t>
        </is>
      </c>
      <c r="K241" s="23" t="n">
        <v>146.2</v>
      </c>
      <c r="L241" s="23" t="n">
        <v>68</v>
      </c>
      <c r="M241" s="23" t="n">
        <v>12.4</v>
      </c>
      <c r="N241" s="32" t="n">
        <v>1707</v>
      </c>
      <c r="O241" s="23" t="n">
        <v>5</v>
      </c>
      <c r="P241" s="19" t="n">
        <v>8.82</v>
      </c>
      <c r="Q241" s="17" t="inlineStr">
        <is>
          <t>IN CONTROL (Stable)</t>
        </is>
      </c>
      <c r="R241" s="21" t="inlineStr">
        <is>
          <t>Routine inspection; normal parameters.</t>
        </is>
      </c>
    </row>
    <row r="242">
      <c r="A242" s="12" t="inlineStr">
        <is>
          <t>LOG-SPC-5241</t>
        </is>
      </c>
      <c r="B242" s="44" t="n">
        <v>45343.25</v>
      </c>
      <c r="C242" s="12" t="inlineStr">
        <is>
          <t>Shift_A</t>
        </is>
      </c>
      <c r="D242" s="22" t="n">
        <v>251.7</v>
      </c>
      <c r="E242" s="22" t="n">
        <v>3088.1</v>
      </c>
      <c r="F242" s="22" t="n">
        <v>71.8</v>
      </c>
      <c r="G242" s="22" t="n">
        <v>44.8</v>
      </c>
      <c r="H242" s="22" t="n">
        <v>101</v>
      </c>
      <c r="I242" s="28" t="n">
        <v>6</v>
      </c>
      <c r="J242" s="12" t="inlineStr">
        <is>
          <t>Free Flare Spray (Optimal)</t>
        </is>
      </c>
      <c r="K242" s="22" t="n">
        <v>147</v>
      </c>
      <c r="L242" s="22" t="n">
        <v>69.2</v>
      </c>
      <c r="M242" s="22" t="n">
        <v>13.7</v>
      </c>
      <c r="N242" s="29" t="n">
        <v>1763</v>
      </c>
      <c r="O242" s="22" t="n">
        <v>4.6</v>
      </c>
      <c r="P242" s="14" t="n">
        <v>8.76</v>
      </c>
      <c r="Q242" s="12" t="inlineStr">
        <is>
          <t>IN CONTROL (Stable)</t>
        </is>
      </c>
      <c r="R242" s="16" t="inlineStr">
        <is>
          <t>Routine inspection; normal parameters.</t>
        </is>
      </c>
    </row>
    <row r="243">
      <c r="A243" s="17" t="inlineStr">
        <is>
          <t>LOG-SPC-5242</t>
        </is>
      </c>
      <c r="B243" s="45" t="n">
        <v>45343.33333333334</v>
      </c>
      <c r="C243" s="17" t="inlineStr">
        <is>
          <t>Shift_A</t>
        </is>
      </c>
      <c r="D243" s="23" t="n">
        <v>244.3</v>
      </c>
      <c r="E243" s="23" t="n">
        <v>3124.4</v>
      </c>
      <c r="F243" s="23" t="n">
        <v>71.5</v>
      </c>
      <c r="G243" s="23" t="n">
        <v>44</v>
      </c>
      <c r="H243" s="23" t="n">
        <v>106.4</v>
      </c>
      <c r="I243" s="31" t="n">
        <v>6</v>
      </c>
      <c r="J243" s="17" t="inlineStr">
        <is>
          <t>Free Flare Spray (Optimal)</t>
        </is>
      </c>
      <c r="K243" s="23" t="n">
        <v>135.6</v>
      </c>
      <c r="L243" s="23" t="n">
        <v>65.90000000000001</v>
      </c>
      <c r="M243" s="23" t="n">
        <v>12.4</v>
      </c>
      <c r="N243" s="32" t="n">
        <v>1722</v>
      </c>
      <c r="O243" s="23" t="n">
        <v>4.7</v>
      </c>
      <c r="P243" s="19" t="n">
        <v>8.279999999999999</v>
      </c>
      <c r="Q243" s="17" t="inlineStr">
        <is>
          <t>IN CONTROL (Stable)</t>
        </is>
      </c>
      <c r="R243" s="21" t="inlineStr">
        <is>
          <t>Routine inspection; normal parameters.</t>
        </is>
      </c>
    </row>
    <row r="244">
      <c r="A244" s="12" t="inlineStr">
        <is>
          <t>LOG-SPC-5243</t>
        </is>
      </c>
      <c r="B244" s="44" t="n">
        <v>45343.41666666666</v>
      </c>
      <c r="C244" s="12" t="inlineStr">
        <is>
          <t>Shift_A</t>
        </is>
      </c>
      <c r="D244" s="22" t="n">
        <v>245.1</v>
      </c>
      <c r="E244" s="22" t="n">
        <v>3113.7</v>
      </c>
      <c r="F244" s="22" t="n">
        <v>72.09999999999999</v>
      </c>
      <c r="G244" s="22" t="n">
        <v>44.8</v>
      </c>
      <c r="H244" s="22" t="n">
        <v>110.8</v>
      </c>
      <c r="I244" s="28" t="n">
        <v>6</v>
      </c>
      <c r="J244" s="12" t="inlineStr">
        <is>
          <t>Free Flare Spray (Optimal)</t>
        </is>
      </c>
      <c r="K244" s="22" t="n">
        <v>146.4</v>
      </c>
      <c r="L244" s="22" t="n">
        <v>67.40000000000001</v>
      </c>
      <c r="M244" s="22" t="n">
        <v>12.3</v>
      </c>
      <c r="N244" s="29" t="n">
        <v>1670</v>
      </c>
      <c r="O244" s="22" t="n">
        <v>4.8</v>
      </c>
      <c r="P244" s="14" t="n">
        <v>8.82</v>
      </c>
      <c r="Q244" s="12" t="inlineStr">
        <is>
          <t>IN CONTROL (Stable)</t>
        </is>
      </c>
      <c r="R244" s="16" t="inlineStr">
        <is>
          <t>Routine inspection; normal parameters.</t>
        </is>
      </c>
    </row>
    <row r="245">
      <c r="A245" s="17" t="inlineStr">
        <is>
          <t>LOG-SPC-5244</t>
        </is>
      </c>
      <c r="B245" s="45" t="n">
        <v>45343.5</v>
      </c>
      <c r="C245" s="17" t="inlineStr">
        <is>
          <t>Shift_A</t>
        </is>
      </c>
      <c r="D245" s="23" t="n">
        <v>254.1</v>
      </c>
      <c r="E245" s="23" t="n">
        <v>3149.1</v>
      </c>
      <c r="F245" s="23" t="n">
        <v>71.59999999999999</v>
      </c>
      <c r="G245" s="23" t="n">
        <v>45.9</v>
      </c>
      <c r="H245" s="23" t="n">
        <v>104</v>
      </c>
      <c r="I245" s="31" t="n">
        <v>6</v>
      </c>
      <c r="J245" s="17" t="inlineStr">
        <is>
          <t>Free Flare Spray (Optimal)</t>
        </is>
      </c>
      <c r="K245" s="23" t="n">
        <v>150.2</v>
      </c>
      <c r="L245" s="23" t="n">
        <v>68.5</v>
      </c>
      <c r="M245" s="23" t="n">
        <v>13.1</v>
      </c>
      <c r="N245" s="32" t="n">
        <v>1771</v>
      </c>
      <c r="O245" s="23" t="n">
        <v>4.7</v>
      </c>
      <c r="P245" s="19" t="n">
        <v>8.640000000000001</v>
      </c>
      <c r="Q245" s="17" t="inlineStr">
        <is>
          <t>IN CONTROL (Stable)</t>
        </is>
      </c>
      <c r="R245" s="21" t="inlineStr">
        <is>
          <t>Routine inspection; normal parameters.</t>
        </is>
      </c>
    </row>
    <row r="246">
      <c r="A246" s="12" t="inlineStr">
        <is>
          <t>LOG-SPC-5245</t>
        </is>
      </c>
      <c r="B246" s="44" t="n">
        <v>45343.58333333334</v>
      </c>
      <c r="C246" s="12" t="inlineStr">
        <is>
          <t>Shift_B</t>
        </is>
      </c>
      <c r="D246" s="22" t="n">
        <v>257.7</v>
      </c>
      <c r="E246" s="22" t="n">
        <v>3095.3</v>
      </c>
      <c r="F246" s="22" t="n">
        <v>71</v>
      </c>
      <c r="G246" s="22" t="n">
        <v>46.5</v>
      </c>
      <c r="H246" s="22" t="n">
        <v>102.7</v>
      </c>
      <c r="I246" s="28" t="n">
        <v>6</v>
      </c>
      <c r="J246" s="12" t="inlineStr">
        <is>
          <t>Free Flare Spray (Optimal)</t>
        </is>
      </c>
      <c r="K246" s="22" t="n">
        <v>145.6</v>
      </c>
      <c r="L246" s="22" t="n">
        <v>70.2</v>
      </c>
      <c r="M246" s="22" t="n">
        <v>12</v>
      </c>
      <c r="N246" s="29" t="n">
        <v>1684</v>
      </c>
      <c r="O246" s="22" t="n">
        <v>4.9</v>
      </c>
      <c r="P246" s="14" t="n">
        <v>8.24</v>
      </c>
      <c r="Q246" s="12" t="inlineStr">
        <is>
          <t>IN CONTROL (Stable)</t>
        </is>
      </c>
      <c r="R246" s="16" t="inlineStr">
        <is>
          <t>Routine inspection; normal parameters.</t>
        </is>
      </c>
    </row>
    <row r="247">
      <c r="A247" s="17" t="inlineStr">
        <is>
          <t>LOG-SPC-5246</t>
        </is>
      </c>
      <c r="B247" s="45" t="n">
        <v>45343.66666666666</v>
      </c>
      <c r="C247" s="17" t="inlineStr">
        <is>
          <t>Shift_B</t>
        </is>
      </c>
      <c r="D247" s="23" t="n">
        <v>248.3</v>
      </c>
      <c r="E247" s="23" t="n">
        <v>3108.6</v>
      </c>
      <c r="F247" s="23" t="n">
        <v>71.59999999999999</v>
      </c>
      <c r="G247" s="23" t="n">
        <v>43.6</v>
      </c>
      <c r="H247" s="23" t="n">
        <v>113</v>
      </c>
      <c r="I247" s="31" t="n">
        <v>6</v>
      </c>
      <c r="J247" s="17" t="inlineStr">
        <is>
          <t>Free Flare Spray (Optimal)</t>
        </is>
      </c>
      <c r="K247" s="23" t="n">
        <v>145.4</v>
      </c>
      <c r="L247" s="23" t="n">
        <v>70.59999999999999</v>
      </c>
      <c r="M247" s="23" t="n">
        <v>12.3</v>
      </c>
      <c r="N247" s="32" t="n">
        <v>1689</v>
      </c>
      <c r="O247" s="23" t="n">
        <v>4.9</v>
      </c>
      <c r="P247" s="19" t="n">
        <v>8.56</v>
      </c>
      <c r="Q247" s="17" t="inlineStr">
        <is>
          <t>IN CONTROL (Stable)</t>
        </is>
      </c>
      <c r="R247" s="21" t="inlineStr">
        <is>
          <t>Routine inspection; normal parameters.</t>
        </is>
      </c>
    </row>
    <row r="248">
      <c r="A248" s="12" t="inlineStr">
        <is>
          <t>LOG-SPC-5247</t>
        </is>
      </c>
      <c r="B248" s="44" t="n">
        <v>45343.75</v>
      </c>
      <c r="C248" s="12" t="inlineStr">
        <is>
          <t>Shift_B</t>
        </is>
      </c>
      <c r="D248" s="22" t="n">
        <v>242.9</v>
      </c>
      <c r="E248" s="22" t="n">
        <v>3151.4</v>
      </c>
      <c r="F248" s="22" t="n">
        <v>71.40000000000001</v>
      </c>
      <c r="G248" s="22" t="n">
        <v>43.3</v>
      </c>
      <c r="H248" s="22" t="n">
        <v>111.6</v>
      </c>
      <c r="I248" s="28" t="n">
        <v>6</v>
      </c>
      <c r="J248" s="12" t="inlineStr">
        <is>
          <t>Free Flare Spray (Optimal)</t>
        </is>
      </c>
      <c r="K248" s="22" t="n">
        <v>143.2</v>
      </c>
      <c r="L248" s="22" t="n">
        <v>67.59999999999999</v>
      </c>
      <c r="M248" s="22" t="n">
        <v>11.1</v>
      </c>
      <c r="N248" s="29" t="n">
        <v>1780</v>
      </c>
      <c r="O248" s="22" t="n">
        <v>4.4</v>
      </c>
      <c r="P248" s="14" t="n">
        <v>8.609999999999999</v>
      </c>
      <c r="Q248" s="12" t="inlineStr">
        <is>
          <t>IN CONTROL (Stable)</t>
        </is>
      </c>
      <c r="R248" s="16" t="inlineStr">
        <is>
          <t>Routine inspection; normal parameters.</t>
        </is>
      </c>
    </row>
    <row r="249">
      <c r="A249" s="17" t="inlineStr">
        <is>
          <t>LOG-SPC-5248</t>
        </is>
      </c>
      <c r="B249" s="45" t="n">
        <v>45343.83333333334</v>
      </c>
      <c r="C249" s="17" t="inlineStr">
        <is>
          <t>Shift_B</t>
        </is>
      </c>
      <c r="D249" s="23" t="n">
        <v>255.5</v>
      </c>
      <c r="E249" s="23" t="n">
        <v>3114.8</v>
      </c>
      <c r="F249" s="23" t="n">
        <v>71.8</v>
      </c>
      <c r="G249" s="23" t="n">
        <v>43.4</v>
      </c>
      <c r="H249" s="23" t="n">
        <v>101</v>
      </c>
      <c r="I249" s="31" t="n">
        <v>6</v>
      </c>
      <c r="J249" s="17" t="inlineStr">
        <is>
          <t>Free Flare Spray (Optimal)</t>
        </is>
      </c>
      <c r="K249" s="23" t="n">
        <v>145.7</v>
      </c>
      <c r="L249" s="23" t="n">
        <v>67.3</v>
      </c>
      <c r="M249" s="23" t="n">
        <v>12.7</v>
      </c>
      <c r="N249" s="32" t="n">
        <v>1743</v>
      </c>
      <c r="O249" s="23" t="n">
        <v>5.1</v>
      </c>
      <c r="P249" s="19" t="n">
        <v>8.35</v>
      </c>
      <c r="Q249" s="17" t="inlineStr">
        <is>
          <t>IN CONTROL (Stable)</t>
        </is>
      </c>
      <c r="R249" s="21" t="inlineStr">
        <is>
          <t>Routine inspection; normal parameters.</t>
        </is>
      </c>
    </row>
    <row r="250">
      <c r="A250" s="12" t="inlineStr">
        <is>
          <t>LOG-SPC-5249</t>
        </is>
      </c>
      <c r="B250" s="44" t="n">
        <v>45343.91666666666</v>
      </c>
      <c r="C250" s="12" t="inlineStr">
        <is>
          <t>Shift_C</t>
        </is>
      </c>
      <c r="D250" s="22" t="n">
        <v>263.2</v>
      </c>
      <c r="E250" s="22" t="n">
        <v>3126.9</v>
      </c>
      <c r="F250" s="22" t="n">
        <v>71.8</v>
      </c>
      <c r="G250" s="22" t="n">
        <v>45.7</v>
      </c>
      <c r="H250" s="22" t="n">
        <v>116.8</v>
      </c>
      <c r="I250" s="28" t="n">
        <v>6</v>
      </c>
      <c r="J250" s="12" t="inlineStr">
        <is>
          <t>Free Flare Spray (Optimal)</t>
        </is>
      </c>
      <c r="K250" s="22" t="n">
        <v>140</v>
      </c>
      <c r="L250" s="22" t="n">
        <v>68.2</v>
      </c>
      <c r="M250" s="22" t="n">
        <v>10.6</v>
      </c>
      <c r="N250" s="29" t="n">
        <v>1726</v>
      </c>
      <c r="O250" s="22" t="n">
        <v>4.9</v>
      </c>
      <c r="P250" s="14" t="n">
        <v>8.59</v>
      </c>
      <c r="Q250" s="12" t="inlineStr">
        <is>
          <t>IN CONTROL (Stable)</t>
        </is>
      </c>
      <c r="R250" s="16" t="inlineStr">
        <is>
          <t>Routine inspection; normal parameters.</t>
        </is>
      </c>
    </row>
    <row r="251">
      <c r="A251" s="17" t="inlineStr">
        <is>
          <t>LOG-SPC-5250</t>
        </is>
      </c>
      <c r="B251" s="45" t="n">
        <v>45344</v>
      </c>
      <c r="C251" s="17" t="inlineStr">
        <is>
          <t>Shift_C</t>
        </is>
      </c>
      <c r="D251" s="23" t="n">
        <v>246.1</v>
      </c>
      <c r="E251" s="23" t="n">
        <v>3028.3</v>
      </c>
      <c r="F251" s="23" t="n">
        <v>72</v>
      </c>
      <c r="G251" s="23" t="n">
        <v>46</v>
      </c>
      <c r="H251" s="23" t="n">
        <v>102</v>
      </c>
      <c r="I251" s="31" t="n">
        <v>6</v>
      </c>
      <c r="J251" s="17" t="inlineStr">
        <is>
          <t>Free Flare Spray (Optimal)</t>
        </is>
      </c>
      <c r="K251" s="23" t="n">
        <v>146.5</v>
      </c>
      <c r="L251" s="23" t="n">
        <v>66.09999999999999</v>
      </c>
      <c r="M251" s="23" t="n">
        <v>12.9</v>
      </c>
      <c r="N251" s="32" t="n">
        <v>1706</v>
      </c>
      <c r="O251" s="23" t="n">
        <v>4.6</v>
      </c>
      <c r="P251" s="19" t="n">
        <v>8.449999999999999</v>
      </c>
      <c r="Q251" s="17" t="inlineStr">
        <is>
          <t>IN CONTROL (Stable)</t>
        </is>
      </c>
      <c r="R251" s="21" t="inlineStr">
        <is>
          <t>Routine inspection; normal parameters.</t>
        </is>
      </c>
    </row>
  </sheetData>
  <autoFilter ref="A1:R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2026-10-02T05:58:06Z</dcterms:created>
  <dcterms:modified xmlns:dcterms="http://purl.org/dc/terms/" xmlns:xsi="http://www.w3.org/2001/XMLSchema-instance" xsi:type="dcterms:W3CDTF">2026-10-02T05:58:56Z</dcterms:modified>
</cp:coreProperties>
</file>