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cess_Data" sheetId="3" state="visible" r:id="rId3"/>
    <sheet xmlns:r="http://schemas.openxmlformats.org/officeDocument/2006/relationships" name="Dewatering_Balance" sheetId="4" state="visible" r:id="rId4"/>
    <sheet xmlns:r="http://schemas.openxmlformats.org/officeDocument/2006/relationships" name="Calculations" sheetId="5" state="visible" r:id="rId5"/>
    <sheet xmlns:r="http://schemas.openxmlformats.org/officeDocument/2006/relationships" name="SPC_Sample" sheetId="6" state="visible" r:id="rId6"/>
    <sheet xmlns:r="http://schemas.openxmlformats.org/officeDocument/2006/relationships" name="Dashboard_Data" sheetId="7" state="visible" r:id="rId7"/>
    <sheet xmlns:r="http://schemas.openxmlformats.org/officeDocument/2006/relationships" name="Minitab_Import" sheetId="8" state="visible" r:id="rId8"/>
  </sheets>
  <definedNames>
    <definedName name="_xlnm._FilterDatabase" localSheetId="0" hidden="1">'README'!$A$1:$B$16</definedName>
    <definedName name="_xlnm._FilterDatabase" localSheetId="1" hidden="1">'Data_Dictionary'!$A$1:$G$52</definedName>
    <definedName name="_xlnm._FilterDatabase" localSheetId="2" hidden="1">'Process_Data'!$A$1:$Z$109</definedName>
    <definedName name="_xlnm._FilterDatabase" localSheetId="3" hidden="1">'Dewatering_Balance'!$A$1:$Z$74</definedName>
    <definedName name="_xlnm._FilterDatabase" localSheetId="4" hidden="1">'Calculations'!$A$1:$D$7</definedName>
    <definedName name="_xlnm._FilterDatabase" localSheetId="5" hidden="1">'SPC_Sample'!$A$1:$E$31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3" fontId="0" fillId="3" borderId="1" pivotButton="0" quotePrefix="0" xfId="0"/>
    <xf numFmtId="164" fontId="0" fillId="3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4" customHeight="1">
      <c r="A1" s="1" t="inlineStr">
        <is>
          <t>بخش</t>
        </is>
      </c>
      <c r="B1" s="1" t="inlineStr">
        <is>
          <t>توضیح</t>
        </is>
      </c>
    </row>
    <row r="2">
      <c r="A2" s="2" t="inlineStr">
        <is>
          <t>هدف فایل</t>
        </is>
      </c>
      <c r="B2" s="2" t="inlineStr">
        <is>
          <t>دیتاست آموزشی فصل ۳ فرآوری (جدایش مغناطیسی LIMS/WHIMS، فلوتاسیون معکوس، تیکنر، فیلتراسیون و کیک فیلتر) برای آموزش کنترل کیفیت، SPC، موازنه جرم و فلز، و تحلیل داده در Excel، Minitab، Python و Power BI.</t>
        </is>
      </c>
    </row>
    <row r="3">
      <c r="A3" s="3" t="inlineStr">
        <is>
          <t>مصنوعی بودن داده</t>
        </is>
      </c>
      <c r="B3" s="3" t="inlineStr">
        <is>
          <t>تمام داده‌ها مصنوعی، تصادفی اما مهندسی‌شده (seed تکرارپذیر) تولید شده‌اند و روابط واقع‌گرایانه بین متغیرها دارند. این داده‌ها به هیچ وجه داده واقعی کارخانه نیستند و نباید برای ارزیابی عملکرد کارخانه یا تصمیم‌گیری صنعتی استفاده شوند.</t>
        </is>
      </c>
    </row>
    <row r="4">
      <c r="A4" s="2" t="inlineStr">
        <is>
          <t>دامنه کاربرد آموزشی</t>
        </is>
      </c>
      <c r="B4" s="2" t="inlineStr">
        <is>
          <t>آموزش نمودارهای کنترلی (I-MR)، تحلیل قابلیت فرآیند، عیب‌یابی چندمتغیره رخدادها، ساخت داشبورد Power BI، تمرین موازنه جرم/فلز و آموزش محاسبه Yield و Recovery.</t>
        </is>
      </c>
    </row>
    <row r="5">
      <c r="A5" s="3" t="inlineStr">
        <is>
          <t>تعریف شیت Process_Data</t>
        </is>
      </c>
      <c r="B5" s="3" t="inlineStr">
        <is>
          <t>ثبت‌های هر ۲ ساعت به مدت ۳۰ روز (۳۶۰ ردیف): متغیرهای خوراک، LIMS/WHIMS، فلوتاسیون و کیفیت آب. ستون‌های خالی در هر مدار عملیاتی به معنی غیرفعال بودن آن واحد در آن مدار است.</t>
        </is>
      </c>
    </row>
    <row r="6">
      <c r="A6" s="2" t="inlineStr">
        <is>
          <t>تعریف شیت Dewatering_Balance</t>
        </is>
      </c>
      <c r="B6" s="2" t="inlineStr">
        <is>
          <t>هم‌تراز ردیف‌به‌ردیف با Process_Data از طریق Record_ID: متغیرهای تیکنر و فیلتر، جریان‌های خشک، عیارها و KPIهای موازنه با فرمول Excel زنده.</t>
        </is>
      </c>
    </row>
    <row r="7">
      <c r="A7" s="3" t="inlineStr">
        <is>
          <t>تعریف شیت Calculations</t>
        </is>
      </c>
      <c r="B7" s="3" t="inlineStr">
        <is>
          <t>روابط Yield، Recovery و خطاهای موازنه، فرمول‌های Excel قابل کپی برای کل داده، نمونه محاسبه و کنترل‌های منطقی.</t>
        </is>
      </c>
    </row>
    <row r="8">
      <c r="A8" s="2" t="inlineStr">
        <is>
          <t>تعریف شیت SPC_Sample</t>
        </is>
      </c>
      <c r="B8" s="2" t="inlineStr">
        <is>
          <t>زیرمجموعه تمیز ۱۲۰ ردیفه (فقط Quality_Flag=OK) برای نمودار I-MR رطوبت کیک و نمودار کنترل کدورت اورفلو و آهن باطله، به‌همراه Target/LSL/USL آموزشی.</t>
        </is>
      </c>
    </row>
    <row r="9">
      <c r="A9" s="3" t="inlineStr">
        <is>
          <t>تعریف شیت Dashboard_Data</t>
        </is>
      </c>
      <c r="B9" s="3" t="inlineStr">
        <is>
          <t>خلاصه روزانه/شیفت‌بندی ۹۰ ردیفی شاخص‌های کلیدی؛ مناسب مدل ستاره‌ای Power BI با کلید Date+Shift.</t>
        </is>
      </c>
    </row>
    <row r="10">
      <c r="A10" s="2" t="inlineStr">
        <is>
          <t>تعریف شیت Minitab_Import</t>
        </is>
      </c>
      <c r="B10" s="2" t="inlineStr">
        <is>
          <t>نسخه عددی تمیز ۱۲۰ ردیفه بدون ستون متنی، آماده Paste یا Import در Minitab.</t>
        </is>
      </c>
    </row>
    <row r="11">
      <c r="A11" s="3" t="inlineStr">
        <is>
          <t>نکات Excel</t>
        </is>
      </c>
      <c r="B11" s="3" t="inlineStr">
        <is>
          <t>ردیف اول هر شیت Header است؛ از View &gt; Freeze Panes و Data &gt; Filter استفاده کنید. فرمول‌های KPI در شیت Dewatering_Balance زنده‌اند و با تغییر داده به‌روز می‌شوند.</t>
        </is>
      </c>
    </row>
    <row r="12">
      <c r="A12" s="2" t="inlineStr">
        <is>
          <t>نکات Minitab</t>
        </is>
      </c>
      <c r="B12" s="2" t="inlineStr">
        <is>
          <t>ستون‌های شیت Minitab_Import را Copy و در Minitab Paste یا از مسیر File &gt; Import استفاده کنید؛ نام ستون‌ها انگلیسی استاندارد است.</t>
        </is>
      </c>
    </row>
    <row r="13">
      <c r="A13" s="3" t="inlineStr">
        <is>
          <t>نکات Python</t>
        </is>
      </c>
      <c r="B13" s="3" t="inlineStr">
        <is>
          <t>خواندن با pandas.read_excel و sheet_name مربوطه؛ ستون DateTime از نوع ISO است و مستقیماً با pd.to_datetime تبدیل می‌شود.</t>
        </is>
      </c>
    </row>
    <row r="14">
      <c r="A14" s="2" t="inlineStr">
        <is>
          <t>نکات Power BI</t>
        </is>
      </c>
      <c r="B14" s="2" t="inlineStr">
        <is>
          <t>Process_Data و Dewatering_Balance را با کلید Record_ID رابطه دهید؛ Dashboard_Data برای مصورسازی روند روزانه/شیفت آماده است.</t>
        </is>
      </c>
    </row>
    <row r="15">
      <c r="A15" s="3" t="inlineStr">
        <is>
          <t>هشدار حدود آموزشی</t>
        </is>
      </c>
      <c r="B15" s="3" t="inlineStr">
        <is>
          <t>مقادیر Target/LSL/USL در شیت SPC_Sample و هر حد کنترلی محاسبه‌شده از این داده‌ها صرفاً نمونه آموزشی هستند و برای هیچ فرآیند واقعی معتبر نیستند. درصد‌ها به‌صورت 0-100 ذخیره شده‌اند.</t>
        </is>
      </c>
    </row>
    <row r="16">
      <c r="A16" s="2" t="inlineStr">
        <is>
          <t>رفتارهای آموزشی نهفته</t>
        </is>
      </c>
      <c r="B16" s="2" t="inlineStr">
        <is>
          <t>شش رخداد علت ویژه در داده تعبیه شده است (افزایش اسلایم، گرفتگی ماتریکس WHIMS، اختلال فلوکولانت/تیکنر، افت وکیوم/گرفتگی پارچه، تغییر کیفیت آب، خطای موازنه آموزشی) بدون ستون Root_Cause؛ کیفیت از روی متغیرها قابل تشخیص است.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4" customWidth="1" min="3" max="3"/>
    <col width="12" customWidth="1" min="4" max="4"/>
    <col width="24" customWidth="1" min="5" max="5"/>
    <col width="12" customWidth="1" min="6" max="6"/>
    <col width="60" customWidth="1" min="7" max="7"/>
  </cols>
  <sheetData>
    <row r="1" ht="24" customHeight="1">
      <c r="A1" s="1" t="inlineStr">
        <is>
          <t>Column</t>
        </is>
      </c>
      <c r="B1" s="1" t="inlineStr">
        <is>
          <t>تعریف</t>
        </is>
      </c>
      <c r="C1" s="1" t="inlineStr">
        <is>
          <t>واحد</t>
        </is>
      </c>
      <c r="D1" s="1" t="inlineStr">
        <is>
          <t>نوع داده</t>
        </is>
      </c>
      <c r="E1" s="1" t="inlineStr">
        <is>
          <t>محل اندازه‌گیری</t>
        </is>
      </c>
      <c r="F1" s="1" t="inlineStr">
        <is>
          <t>نقش</t>
        </is>
      </c>
      <c r="G1" s="1" t="inlineStr">
        <is>
          <t>رابطه مورد انتظار با خروجی‌ها</t>
        </is>
      </c>
    </row>
    <row r="2">
      <c r="A2" s="2" t="inlineStr">
        <is>
          <t>Record_ID</t>
        </is>
      </c>
      <c r="B2" s="2" t="inlineStr">
        <is>
          <t>شناسه یکتای ردیف</t>
        </is>
      </c>
      <c r="C2" s="2" t="inlineStr">
        <is>
          <t>-</t>
        </is>
      </c>
      <c r="D2" s="2" t="inlineStr">
        <is>
          <t>integer</t>
        </is>
      </c>
      <c r="E2" s="2" t="inlineStr">
        <is>
          <t>پایگاه داده فرآیند</t>
        </is>
      </c>
      <c r="F2" s="2" t="inlineStr">
        <is>
          <t>شناسه</t>
        </is>
      </c>
      <c r="G2" s="2" t="inlineStr">
        <is>
          <t>کلید اتصال با Process_Data و Dewatering_Balance</t>
        </is>
      </c>
    </row>
    <row r="3">
      <c r="A3" s="3" t="inlineStr">
        <is>
          <t>DateTime</t>
        </is>
      </c>
      <c r="B3" s="3" t="inlineStr">
        <is>
          <t>تاریخ و زمان ثبت (هر ۲ ساعت، استاندارد ISO)</t>
        </is>
      </c>
      <c r="C3" s="3" t="inlineStr">
        <is>
          <t>-</t>
        </is>
      </c>
      <c r="D3" s="3" t="inlineStr">
        <is>
          <t>text</t>
        </is>
      </c>
      <c r="E3" s="3" t="inlineStr">
        <is>
          <t>اتوماسیون/SCADA</t>
        </is>
      </c>
      <c r="F3" s="3" t="inlineStr">
        <is>
          <t>زمان‌بندی</t>
        </is>
      </c>
      <c r="G3" s="3" t="inlineStr">
        <is>
          <t>مبنای تحلیل سری زمانی؛ مستقیماً در Power BI/Python قابل تبدیل است</t>
        </is>
      </c>
    </row>
    <row r="4">
      <c r="A4" s="2" t="inlineStr">
        <is>
          <t>Shift</t>
        </is>
      </c>
      <c r="B4" s="2" t="inlineStr">
        <is>
          <t>شیفت کاری (A=00-08، B=08-16، C=16-24)</t>
        </is>
      </c>
      <c r="C4" s="2" t="inlineStr">
        <is>
          <t>-</t>
        </is>
      </c>
      <c r="D4" s="2" t="inlineStr">
        <is>
          <t>text</t>
        </is>
      </c>
      <c r="E4" s="2" t="inlineStr">
        <is>
          <t>گزارش شیفت</t>
        </is>
      </c>
      <c r="F4" s="2" t="inlineStr">
        <is>
          <t>دسته‌بندی</t>
        </is>
      </c>
      <c r="G4" s="2" t="inlineStr">
        <is>
          <t>مقایسه عملکرد بین شیفت‌ها</t>
        </is>
      </c>
    </row>
    <row r="5">
      <c r="A5" s="3" t="inlineStr">
        <is>
          <t>Ore_Blend</t>
        </is>
      </c>
      <c r="B5" s="3" t="inlineStr">
        <is>
          <t>نوع خوراک ورودی کارخانه</t>
        </is>
      </c>
      <c r="C5" s="3" t="inlineStr">
        <is>
          <t>-</t>
        </is>
      </c>
      <c r="D5" s="3" t="inlineStr">
        <is>
          <t>text</t>
        </is>
      </c>
      <c r="E5" s="3" t="inlineStr">
        <is>
          <t>انباشت و برداشت</t>
        </is>
      </c>
      <c r="F5" s="3" t="inlineStr">
        <is>
          <t>علت‌یابی</t>
        </is>
      </c>
      <c r="G5" s="3" t="inlineStr">
        <is>
          <t>تغییر ترکیب خوراک روی عیار و بازیابی اثر دارد</t>
        </is>
      </c>
    </row>
    <row r="6">
      <c r="A6" s="2" t="inlineStr">
        <is>
          <t>Circuit_Mode</t>
        </is>
      </c>
      <c r="B6" s="2" t="inlineStr">
        <is>
          <t>آرایش مدار جدایش (LIMS / LIMS_WHIMS / LIMS_Flotation)</t>
        </is>
      </c>
      <c r="C6" s="2" t="inlineStr">
        <is>
          <t>-</t>
        </is>
      </c>
      <c r="D6" s="2" t="inlineStr">
        <is>
          <t>text</t>
        </is>
      </c>
      <c r="E6" s="2" t="inlineStr">
        <is>
          <t>پانل کنترل مرکزی</t>
        </is>
      </c>
      <c r="F6" s="2" t="inlineStr">
        <is>
          <t>شرایط مدار</t>
        </is>
      </c>
      <c r="G6" s="2" t="inlineStr">
        <is>
          <t>تغییر رژیم فرآیندی؛ تعیین‌کننده ستون‌های فعال داده</t>
        </is>
      </c>
    </row>
    <row r="7">
      <c r="A7" s="3" t="inlineStr">
        <is>
          <t>Feed_Wet_tph</t>
        </is>
      </c>
      <c r="B7" s="3" t="inlineStr">
        <is>
          <t>دبی جرمی تر خوراک ورودی</t>
        </is>
      </c>
      <c r="C7" s="3" t="inlineStr">
        <is>
          <t>t/h</t>
        </is>
      </c>
      <c r="D7" s="3" t="inlineStr">
        <is>
          <t>number</t>
        </is>
      </c>
      <c r="E7" s="3" t="inlineStr">
        <is>
          <t>توزین‌کننده نوار خوراک</t>
        </is>
      </c>
      <c r="F7" s="3" t="inlineStr">
        <is>
          <t>متغیر فرآیند</t>
        </is>
      </c>
      <c r="G7" s="3" t="inlineStr">
        <is>
          <t>افزایش بار هیدرولیکی تیکنر و فیلتر را در پی دارد</t>
        </is>
      </c>
    </row>
    <row r="8">
      <c r="A8" s="2" t="inlineStr">
        <is>
          <t>Feed_Solids_pct</t>
        </is>
      </c>
      <c r="B8" s="2" t="inlineStr">
        <is>
          <t>درصد جامد پالپ خوراک ورودی</t>
        </is>
      </c>
      <c r="C8" s="2" t="inlineStr">
        <is>
          <t>%</t>
        </is>
      </c>
      <c r="D8" s="2" t="inlineStr">
        <is>
          <t>number</t>
        </is>
      </c>
      <c r="E8" s="2" t="inlineStr">
        <is>
          <t>دانسیته‌سنج خط خوراک</t>
        </is>
      </c>
      <c r="F8" s="2" t="inlineStr">
        <is>
          <t>علت‌یابی</t>
        </is>
      </c>
      <c r="G8" s="2" t="inlineStr">
        <is>
          <t>درصد جامد بالا → حمل مکانیکی گانگ در LIMS و افت عیار کنسانتره</t>
        </is>
      </c>
    </row>
    <row r="9">
      <c r="A9" s="3" t="inlineStr">
        <is>
          <t>Feed_Moisture_pct</t>
        </is>
      </c>
      <c r="B9" s="3" t="inlineStr">
        <is>
          <t>درصد رطوبت خوراک (100 منهای Feed_Solids_pct)</t>
        </is>
      </c>
      <c r="C9" s="3" t="inlineStr">
        <is>
          <t>%</t>
        </is>
      </c>
      <c r="D9" s="3" t="inlineStr">
        <is>
          <t>number</t>
        </is>
      </c>
      <c r="E9" s="3" t="inlineStr">
        <is>
          <t>محاسبه‌شده</t>
        </is>
      </c>
      <c r="F9" s="3" t="inlineStr">
        <is>
          <t>متغیر فرآیند</t>
        </is>
      </c>
      <c r="G9" s="3" t="inlineStr">
        <is>
          <t>مبنای تبدیل جریان تر به خشک</t>
        </is>
      </c>
    </row>
    <row r="10">
      <c r="A10" s="2" t="inlineStr">
        <is>
          <t>Feed_Fe_pct</t>
        </is>
      </c>
      <c r="B10" s="2" t="inlineStr">
        <is>
          <t>عیار آهن کل خوراک ورودی</t>
        </is>
      </c>
      <c r="C10" s="2" t="inlineStr">
        <is>
          <t>%</t>
        </is>
      </c>
      <c r="D10" s="2" t="inlineStr">
        <is>
          <t>number</t>
        </is>
      </c>
      <c r="E10" s="2" t="inlineStr">
        <is>
          <t>آنالایزر برخط / آزمایشگاه</t>
        </is>
      </c>
      <c r="F10" s="2" t="inlineStr">
        <is>
          <t>کیفیت خوراک</t>
        </is>
      </c>
      <c r="G10" s="2" t="inlineStr">
        <is>
          <t>مخرج محاسبه Fe_Recovery و Fe_Balance_Error</t>
        </is>
      </c>
    </row>
    <row r="11">
      <c r="A11" s="3" t="inlineStr">
        <is>
          <t>Feed_SiO2_pct</t>
        </is>
      </c>
      <c r="B11" s="3" t="inlineStr">
        <is>
          <t>عیار سیلیس خوراک ورودی</t>
        </is>
      </c>
      <c r="C11" s="3" t="inlineStr">
        <is>
          <t>%</t>
        </is>
      </c>
      <c r="D11" s="3" t="inlineStr">
        <is>
          <t>number</t>
        </is>
      </c>
      <c r="E11" s="3" t="inlineStr">
        <is>
          <t>آزمایشگاه XRF</t>
        </is>
      </c>
      <c r="F11" s="3" t="inlineStr">
        <is>
          <t>کیفیت خوراک</t>
        </is>
      </c>
      <c r="G11" s="3" t="inlineStr">
        <is>
          <t>سیلیس بالا نیازمند معرف و میدان بیشتر است</t>
        </is>
      </c>
    </row>
    <row r="12">
      <c r="A12" s="2" t="inlineStr">
        <is>
          <t>Feed_P80_um</t>
        </is>
      </c>
      <c r="B12" s="2" t="inlineStr">
        <is>
          <t>اندازه ۸۰٪ عبوری ذرات خوراک</t>
        </is>
      </c>
      <c r="C12" s="2" t="inlineStr">
        <is>
          <t>µm</t>
        </is>
      </c>
      <c r="D12" s="2" t="inlineStr">
        <is>
          <t>number</t>
        </is>
      </c>
      <c r="E12" s="2" t="inlineStr">
        <is>
          <t>PSI / آزمایشگاه دانه‌بندی</t>
        </is>
      </c>
      <c r="F12" s="2" t="inlineStr">
        <is>
          <t>علت‌یابی</t>
        </is>
      </c>
      <c r="G12" s="2" t="inlineStr">
        <is>
          <t>خارج از پنجره بهینه روی آزادی و اسلایم اثر می‌گذارد</t>
        </is>
      </c>
    </row>
    <row r="13">
      <c r="A13" s="3" t="inlineStr">
        <is>
          <t>Feed_Slimes_pct</t>
        </is>
      </c>
      <c r="B13" s="3" t="inlineStr">
        <is>
          <t>درصد ذرات بسیار ریز (زیر ۲۰ میکرون)</t>
        </is>
      </c>
      <c r="C13" s="3" t="inlineStr">
        <is>
          <t>%</t>
        </is>
      </c>
      <c r="D13" s="3" t="inlineStr">
        <is>
          <t>number</t>
        </is>
      </c>
      <c r="E13" s="3" t="inlineStr">
        <is>
          <t>آزمایشگاه دانه‌بندی</t>
        </is>
      </c>
      <c r="F13" s="3" t="inlineStr">
        <is>
          <t>علت ویژه</t>
        </is>
      </c>
      <c r="G13" s="3" t="inlineStr">
        <is>
          <t>افزایش آن رطوبت کیک، کدورت اورفلو و مصرف معرف را بالا می‌برد</t>
        </is>
      </c>
    </row>
    <row r="14">
      <c r="A14" s="2" t="inlineStr">
        <is>
          <t>Liberation_pct</t>
        </is>
      </c>
      <c r="B14" s="2" t="inlineStr">
        <is>
          <t>درجه آزادی کانی‌های آهن‌دار</t>
        </is>
      </c>
      <c r="C14" s="2" t="inlineStr">
        <is>
          <t>%</t>
        </is>
      </c>
      <c r="D14" s="2" t="inlineStr">
        <is>
          <t>number</t>
        </is>
      </c>
      <c r="E14" s="2" t="inlineStr">
        <is>
          <t>کانی‌شناسی QEMSCAN</t>
        </is>
      </c>
      <c r="F14" s="2" t="inlineStr">
        <is>
          <t>پتانسیل جدایش</t>
        </is>
      </c>
      <c r="G14" s="2" t="inlineStr">
        <is>
          <t>افت آزادی سقف انتخاب‌پذیری LIMS را محدود می‌کند؛ WHIMS خوراک کم‌آزادی را بهتر بازیابی می‌کند</t>
        </is>
      </c>
    </row>
    <row r="15">
      <c r="A15" s="3" t="inlineStr">
        <is>
          <t>LIMS_Field_mT</t>
        </is>
      </c>
      <c r="B15" s="3" t="inlineStr">
        <is>
          <t>شدت میدان مغناطیسی LIMS</t>
        </is>
      </c>
      <c r="C15" s="3" t="inlineStr">
        <is>
          <t>mT</t>
        </is>
      </c>
      <c r="D15" s="3" t="inlineStr">
        <is>
          <t>number</t>
        </is>
      </c>
      <c r="E15" s="3" t="inlineStr">
        <is>
          <t>درام LIMS</t>
        </is>
      </c>
      <c r="F15" s="3" t="inlineStr">
        <is>
          <t>تنظیم فرآیند</t>
        </is>
      </c>
      <c r="G15" s="3" t="inlineStr">
        <is>
          <t>میدان ناکافی باعث افزایش Tailings_Fe می‌شود</t>
        </is>
      </c>
    </row>
    <row r="16">
      <c r="A16" s="2" t="inlineStr">
        <is>
          <t>LIMS_Drum_Speed_rpm</t>
        </is>
      </c>
      <c r="B16" s="2" t="inlineStr">
        <is>
          <t>سرعت چرخش درام LIMS</t>
        </is>
      </c>
      <c r="C16" s="2" t="inlineStr">
        <is>
          <t>rpm</t>
        </is>
      </c>
      <c r="D16" s="2" t="inlineStr">
        <is>
          <t>number</t>
        </is>
      </c>
      <c r="E16" s="2" t="inlineStr">
        <is>
          <t>درایو درام</t>
        </is>
      </c>
      <c r="F16" s="2" t="inlineStr">
        <is>
          <t>تنظیم فرآیند</t>
        </is>
      </c>
      <c r="G16" s="2" t="inlineStr">
        <is>
          <t>سرعت بالا حمل باطله و سرعت پایین افت بازیابی</t>
        </is>
      </c>
    </row>
    <row r="17">
      <c r="A17" s="3" t="inlineStr">
        <is>
          <t>LIMS_Splitter_pct</t>
        </is>
      </c>
      <c r="B17" s="3" t="inlineStr">
        <is>
          <t>موقعیت تیغه جداکننده اسپلینتر</t>
        </is>
      </c>
      <c r="C17" s="3" t="inlineStr">
        <is>
          <t>%</t>
        </is>
      </c>
      <c r="D17" s="3" t="inlineStr">
        <is>
          <t>number</t>
        </is>
      </c>
      <c r="E17" s="3" t="inlineStr">
        <is>
          <t>شوت تخلیه LIMS</t>
        </is>
      </c>
      <c r="F17" s="3" t="inlineStr">
        <is>
          <t>تنظیم فرآیند</t>
        </is>
      </c>
      <c r="G17" s="3" t="inlineStr">
        <is>
          <t>کنترل برش کنسانتره/باطله</t>
        </is>
      </c>
    </row>
    <row r="18">
      <c r="A18" s="2" t="inlineStr">
        <is>
          <t>WHIMS_Field_T</t>
        </is>
      </c>
      <c r="B18" s="2" t="inlineStr">
        <is>
          <t>شدت میدان WHIMS</t>
        </is>
      </c>
      <c r="C18" s="2" t="inlineStr">
        <is>
          <t>Tesla</t>
        </is>
      </c>
      <c r="D18" s="2" t="inlineStr">
        <is>
          <t>number</t>
        </is>
      </c>
      <c r="E18" s="2" t="inlineStr">
        <is>
          <t>کویل WHIMS</t>
        </is>
      </c>
      <c r="F18" s="2" t="inlineStr">
        <is>
          <t>تنظیم فرآیند</t>
        </is>
      </c>
      <c r="G18" s="2" t="inlineStr">
        <is>
          <t>برای ذرات ضعیف‌مغناطیس؛ در مدار LIMS خالی است</t>
        </is>
      </c>
    </row>
    <row r="19">
      <c r="A19" s="3" t="inlineStr">
        <is>
          <t>Matrix_Condition_pct</t>
        </is>
      </c>
      <c r="B19" s="3" t="inlineStr">
        <is>
          <t>سلامت و تمیزی ماتریکس WHIMS</t>
        </is>
      </c>
      <c r="C19" s="3" t="inlineStr">
        <is>
          <t>%</t>
        </is>
      </c>
      <c r="D19" s="3" t="inlineStr">
        <is>
          <t>number</t>
        </is>
      </c>
      <c r="E19" s="3" t="inlineStr">
        <is>
          <t>سنسور افت فشار/بازرسی</t>
        </is>
      </c>
      <c r="F19" s="3" t="inlineStr">
        <is>
          <t>علت ویژه</t>
        </is>
      </c>
      <c r="G19" s="3" t="inlineStr">
        <is>
          <t>افت آن → افزایش Concentrate_SiO2 و افت بازیابی (گرفتگی ماتریکس)</t>
        </is>
      </c>
    </row>
    <row r="20">
      <c r="A20" s="2" t="inlineStr">
        <is>
          <t>Matrix_Wash_Interval_h</t>
        </is>
      </c>
      <c r="B20" s="2" t="inlineStr">
        <is>
          <t>فاصله سیکل شستشوی ماتریکس</t>
        </is>
      </c>
      <c r="C20" s="2" t="inlineStr">
        <is>
          <t>h</t>
        </is>
      </c>
      <c r="D20" s="2" t="inlineStr">
        <is>
          <t>number</t>
        </is>
      </c>
      <c r="E20" s="2" t="inlineStr">
        <is>
          <t>تایمر اتوماسیون</t>
        </is>
      </c>
      <c r="F20" s="2" t="inlineStr">
        <is>
          <t>تنظیم فرآیند</t>
        </is>
      </c>
      <c r="G20" s="2" t="inlineStr">
        <is>
          <t>فاصله بلند انباشت ریزدانه و گرفتگی را تشدید می‌کند</t>
        </is>
      </c>
    </row>
    <row r="21">
      <c r="A21" s="3" t="inlineStr">
        <is>
          <t>Flotation_pH</t>
        </is>
      </c>
      <c r="B21" s="3" t="inlineStr">
        <is>
          <t>pH پالپ فلوتاسیون معکوس کاتیونی</t>
        </is>
      </c>
      <c r="C21" s="3" t="inlineStr">
        <is>
          <t>-</t>
        </is>
      </c>
      <c r="D21" s="3" t="inlineStr">
        <is>
          <t>number</t>
        </is>
      </c>
      <c r="E21" s="3" t="inlineStr">
        <is>
          <t>pH متر سلول فلوتاسیون</t>
        </is>
      </c>
      <c r="F21" s="3" t="inlineStr">
        <is>
          <t>تنظیم شیمی سطح</t>
        </is>
      </c>
      <c r="G21" s="3" t="inlineStr">
        <is>
          <t>پنجره بهینه 9.5 تا 11؛ در مدار LIMS خالی است</t>
        </is>
      </c>
    </row>
    <row r="22">
      <c r="A22" s="2" t="inlineStr">
        <is>
          <t>Amine_Dose_gpt</t>
        </is>
      </c>
      <c r="B22" s="2" t="inlineStr">
        <is>
          <t>دوز کلکتور آمینی</t>
        </is>
      </c>
      <c r="C22" s="2" t="inlineStr">
        <is>
          <t>g/t</t>
        </is>
      </c>
      <c r="D22" s="2" t="inlineStr">
        <is>
          <t>number</t>
        </is>
      </c>
      <c r="E22" s="2" t="inlineStr">
        <is>
          <t>دوزینگ پمپ آمین</t>
        </is>
      </c>
      <c r="F22" s="2" t="inlineStr">
        <is>
          <t>تنظیم فرآیند</t>
        </is>
      </c>
      <c r="G22" s="2" t="inlineStr">
        <is>
          <t>افزایش دوز Concentrate_SiO2 را کم اما آهن تلف‌شده را زیاد می‌کند</t>
        </is>
      </c>
    </row>
    <row r="23">
      <c r="A23" s="3" t="inlineStr">
        <is>
          <t>Starch_Dose_gpt</t>
        </is>
      </c>
      <c r="B23" s="3" t="inlineStr">
        <is>
          <t>دوز نشاسته دپرسانت آهن</t>
        </is>
      </c>
      <c r="C23" s="3" t="inlineStr">
        <is>
          <t>g/t</t>
        </is>
      </c>
      <c r="D23" s="3" t="inlineStr">
        <is>
          <t>number</t>
        </is>
      </c>
      <c r="E23" s="3" t="inlineStr">
        <is>
          <t>دوزینگ پمپ نشاسته</t>
        </is>
      </c>
      <c r="F23" s="3" t="inlineStr">
        <is>
          <t>تنظیم فرآیند</t>
        </is>
      </c>
      <c r="G23" s="3" t="inlineStr">
        <is>
          <t>بازدارنده شناوری کانی‌های آهن‌دار</t>
        </is>
      </c>
    </row>
    <row r="24">
      <c r="A24" s="2" t="inlineStr">
        <is>
          <t>Froth_Height_cm</t>
        </is>
      </c>
      <c r="B24" s="2" t="inlineStr">
        <is>
          <t>ارتفاع کف در سلول‌های فلوتاسیون</t>
        </is>
      </c>
      <c r="C24" s="2" t="inlineStr">
        <is>
          <t>cm</t>
        </is>
      </c>
      <c r="D24" s="2" t="inlineStr">
        <is>
          <t>number</t>
        </is>
      </c>
      <c r="E24" s="2" t="inlineStr">
        <is>
          <t>سنسور سطح کف</t>
        </is>
      </c>
      <c r="F24" s="2" t="inlineStr">
        <is>
          <t>پایش کف</t>
        </is>
      </c>
      <c r="G24" s="2" t="inlineStr">
        <is>
          <t>کف بلند و ناپایدار حمل مکانیکی را زیاد می‌کند</t>
        </is>
      </c>
    </row>
    <row r="25">
      <c r="A25" s="3" t="inlineStr">
        <is>
          <t>Air_Flow_Nm3_h</t>
        </is>
      </c>
      <c r="B25" s="3" t="inlineStr">
        <is>
          <t>دبی هوای دمشی سلول‌های فلوتاسیون</t>
        </is>
      </c>
      <c r="C25" s="3" t="inlineStr">
        <is>
          <t>Nm³/h</t>
        </is>
      </c>
      <c r="D25" s="3" t="inlineStr">
        <is>
          <t>number</t>
        </is>
      </c>
      <c r="E25" s="3" t="inlineStr">
        <is>
          <t>جریان‌سنج خط هوا</t>
        </is>
      </c>
      <c r="F25" s="3" t="inlineStr">
        <is>
          <t>تنظیم هیدرودینامیک</t>
        </is>
      </c>
      <c r="G25" s="3" t="inlineStr">
        <is>
          <t>هوادهی بیش از حد موج شکستن کف و حمل ذرات آهن است</t>
        </is>
      </c>
    </row>
    <row r="26">
      <c r="A26" s="2" t="inlineStr">
        <is>
          <t>Process_Water_Hardness_mgL</t>
        </is>
      </c>
      <c r="B26" s="2" t="inlineStr">
        <is>
          <t>سختی کل آب فرآیندی (بر مبنای کربنات کلسیم)</t>
        </is>
      </c>
      <c r="C26" s="2" t="inlineStr">
        <is>
          <t>mg/L</t>
        </is>
      </c>
      <c r="D26" s="2" t="inlineStr">
        <is>
          <t>number</t>
        </is>
      </c>
      <c r="E26" s="2" t="inlineStr">
        <is>
          <t>آزمایشگاه آب</t>
        </is>
      </c>
      <c r="F26" s="2" t="inlineStr">
        <is>
          <t>کیفیت آب</t>
        </is>
      </c>
      <c r="G26" s="2" t="inlineStr">
        <is>
          <t>سختی بالا اثر آمین را خنثی و انتخاب‌پذیری فلوتاسیون را می‌کاهد</t>
        </is>
      </c>
    </row>
    <row r="27">
      <c r="A27" s="3" t="inlineStr">
        <is>
          <t>Process_Water_Turbidity_NTU</t>
        </is>
      </c>
      <c r="B27" s="3" t="inlineStr">
        <is>
          <t>کدورت آب فرآیندی برگشتی</t>
        </is>
      </c>
      <c r="C27" s="3" t="inlineStr">
        <is>
          <t>NTU</t>
        </is>
      </c>
      <c r="D27" s="3" t="inlineStr">
        <is>
          <t>number</t>
        </is>
      </c>
      <c r="E27" s="3" t="inlineStr">
        <is>
          <t>کدورت‌سنج خط آب</t>
        </is>
      </c>
      <c r="F27" s="3" t="inlineStr">
        <is>
          <t>کیفیت آب</t>
        </is>
      </c>
      <c r="G27" s="3" t="inlineStr">
        <is>
          <t>کدورت بالا نشانه اسلایم در آب برگشتی و افت کف فلوتاسیون است</t>
        </is>
      </c>
    </row>
    <row r="28">
      <c r="A28" s="2" t="inlineStr">
        <is>
          <t>Thickener_Flocculant_Dose_gpt</t>
        </is>
      </c>
      <c r="B28" s="2" t="inlineStr">
        <is>
          <t>دوز فلوکولانت تیکنر</t>
        </is>
      </c>
      <c r="C28" s="2" t="inlineStr">
        <is>
          <t>g/t</t>
        </is>
      </c>
      <c r="D28" s="2" t="inlineStr">
        <is>
          <t>number</t>
        </is>
      </c>
      <c r="E28" s="2" t="inlineStr">
        <is>
          <t>واحد آماده‌سازی فلوکولانت</t>
        </is>
      </c>
      <c r="F28" s="2" t="inlineStr">
        <is>
          <t>تنظیم فرآیند</t>
        </is>
      </c>
      <c r="G28" s="2" t="inlineStr">
        <is>
          <t>دوز بهینه در بازه 18-30 اورفلو را شفاف و آندرفلو را متراکم می‌کند؛ دوز بیش از حد بخشی از داده‌ها clarification را بدتر کرده است</t>
        </is>
      </c>
    </row>
    <row r="29">
      <c r="A29" s="3" t="inlineStr">
        <is>
          <t>Thickener_Overflow_Turbidity_NTU</t>
        </is>
      </c>
      <c r="B29" s="3" t="inlineStr">
        <is>
          <t>کدورت سرریز تیکنر</t>
        </is>
      </c>
      <c r="C29" s="3" t="inlineStr">
        <is>
          <t>NTU</t>
        </is>
      </c>
      <c r="D29" s="3" t="inlineStr">
        <is>
          <t>number</t>
        </is>
      </c>
      <c r="E29" s="3" t="inlineStr">
        <is>
          <t>کدورت‌سنج سرریز</t>
        </is>
      </c>
      <c r="F29" s="3" t="inlineStr">
        <is>
          <t>KPI آبگیری</t>
        </is>
      </c>
      <c r="G29" s="3" t="inlineStr">
        <is>
          <t>کدورت بالا یعنی خروج ریزدانه‌ها از تیکنر و آلودگی آب برگشتی</t>
        </is>
      </c>
    </row>
    <row r="30">
      <c r="A30" s="2" t="inlineStr">
        <is>
          <t>Thickener_Underflow_Solids_pct</t>
        </is>
      </c>
      <c r="B30" s="2" t="inlineStr">
        <is>
          <t>درصد جامد آندرفلو تیکنر</t>
        </is>
      </c>
      <c r="C30" s="2" t="inlineStr">
        <is>
          <t>%</t>
        </is>
      </c>
      <c r="D30" s="2" t="inlineStr">
        <is>
          <t>number</t>
        </is>
      </c>
      <c r="E30" s="2" t="inlineStr">
        <is>
          <t>دانسیته‌سنج آندرفلو</t>
        </is>
      </c>
      <c r="F30" s="2" t="inlineStr">
        <is>
          <t>KPI آبگیری</t>
        </is>
      </c>
      <c r="G30" s="2" t="inlineStr">
        <is>
          <t>افت آن همراه گشتاور بالا نشانه اختلال تراکم است</t>
        </is>
      </c>
    </row>
    <row r="31">
      <c r="A31" s="3" t="inlineStr">
        <is>
          <t>Thickener_Bed_Level_pct</t>
        </is>
      </c>
      <c r="B31" s="3" t="inlineStr">
        <is>
          <t>سطح بستر تیکنر</t>
        </is>
      </c>
      <c r="C31" s="3" t="inlineStr">
        <is>
          <t>%</t>
        </is>
      </c>
      <c r="D31" s="3" t="inlineStr">
        <is>
          <t>number</t>
        </is>
      </c>
      <c r="E31" s="3" t="inlineStr">
        <is>
          <t>سنسور سطح بستر</t>
        </is>
      </c>
      <c r="F31" s="3" t="inlineStr">
        <is>
          <t>پایش</t>
        </is>
      </c>
      <c r="G31" s="3" t="inlineStr">
        <is>
          <t>سطح خیلی بالا ریسک سرریز جامد به اورفلو</t>
        </is>
      </c>
    </row>
    <row r="32">
      <c r="A32" s="2" t="inlineStr">
        <is>
          <t>Thickener_Rake_Torque_pct</t>
        </is>
      </c>
      <c r="B32" s="2" t="inlineStr">
        <is>
          <t>گشتاور ریک تیکنر</t>
        </is>
      </c>
      <c r="C32" s="2" t="inlineStr">
        <is>
          <t>%</t>
        </is>
      </c>
      <c r="D32" s="2" t="inlineStr">
        <is>
          <t>number</t>
        </is>
      </c>
      <c r="E32" s="2" t="inlineStr">
        <is>
          <t>درایو ریک</t>
        </is>
      </c>
      <c r="F32" s="2" t="inlineStr">
        <is>
          <t>علت‌یابی</t>
        </is>
      </c>
      <c r="G32" s="2" t="inlineStr">
        <is>
          <t>گشتاور بالا همراه کدورت اورفلو یا افت جامد آندرفلو = رخداد اختلالی</t>
        </is>
      </c>
    </row>
    <row r="33">
      <c r="A33" s="3" t="inlineStr">
        <is>
          <t>Filter_Vacuum_kPa</t>
        </is>
      </c>
      <c r="B33" s="3" t="inlineStr">
        <is>
          <t>وکیوم فیلتر</t>
        </is>
      </c>
      <c r="C33" s="3" t="inlineStr">
        <is>
          <t>kPa</t>
        </is>
      </c>
      <c r="D33" s="3" t="inlineStr">
        <is>
          <t>number</t>
        </is>
      </c>
      <c r="E33" s="3" t="inlineStr">
        <is>
          <t>ترنسمیتر مکش فیلتر</t>
        </is>
      </c>
      <c r="F33" s="3" t="inlineStr">
        <is>
          <t>تنظیم فرآیند</t>
        </is>
      </c>
      <c r="G33" s="3" t="inlineStr">
        <is>
          <t>نرمال 70-85؛ افت آن → کیک نازک و مرطوب</t>
        </is>
      </c>
    </row>
    <row r="34">
      <c r="A34" s="2" t="inlineStr">
        <is>
          <t>Filter_Cycle_Time_min</t>
        </is>
      </c>
      <c r="B34" s="2" t="inlineStr">
        <is>
          <t>زمان سیکل فیلتر</t>
        </is>
      </c>
      <c r="C34" s="2" t="inlineStr">
        <is>
          <t>min</t>
        </is>
      </c>
      <c r="D34" s="2" t="inlineStr">
        <is>
          <t>number</t>
        </is>
      </c>
      <c r="E34" s="2" t="inlineStr">
        <is>
          <t>درایو فیلتر</t>
        </is>
      </c>
      <c r="F34" s="2" t="inlineStr">
        <is>
          <t>تنظیم فرآیند</t>
        </is>
      </c>
      <c r="G34" s="2" t="inlineStr">
        <is>
          <t>سیکل بلند خشک‌کنندگی بیشتر اما ظرفیت کمتر</t>
        </is>
      </c>
    </row>
    <row r="35">
      <c r="A35" s="3" t="inlineStr">
        <is>
          <t>Filter_Cloth_Condition_pct</t>
        </is>
      </c>
      <c r="B35" s="3" t="inlineStr">
        <is>
          <t>سلامت پارچه فیلتر</t>
        </is>
      </c>
      <c r="C35" s="3" t="inlineStr">
        <is>
          <t>%</t>
        </is>
      </c>
      <c r="D35" s="3" t="inlineStr">
        <is>
          <t>number</t>
        </is>
      </c>
      <c r="E35" s="3" t="inlineStr">
        <is>
          <t>بازرسی دوره‌ای</t>
        </is>
      </c>
      <c r="F35" s="3" t="inlineStr">
        <is>
          <t>علت ویژه</t>
        </is>
      </c>
      <c r="G35" s="3" t="inlineStr">
        <is>
          <t>افت آن رطوبت کیک و کدورت فیلترات را بالا می‌برد</t>
        </is>
      </c>
    </row>
    <row r="36">
      <c r="A36" s="2" t="inlineStr">
        <is>
          <t>Filter_Feed_Solids_pct</t>
        </is>
      </c>
      <c r="B36" s="2" t="inlineStr">
        <is>
          <t>درصد جامد خوراک فیلتر</t>
        </is>
      </c>
      <c r="C36" s="2" t="inlineStr">
        <is>
          <t>%</t>
        </is>
      </c>
      <c r="D36" s="2" t="inlineStr">
        <is>
          <t>number</t>
        </is>
      </c>
      <c r="E36" s="2" t="inlineStr">
        <is>
          <t>حوضچه فیلتر</t>
        </is>
      </c>
      <c r="F36" s="2" t="inlineStr">
        <is>
          <t>شرایط خوراک</t>
        </is>
      </c>
      <c r="G36" s="2" t="inlineStr">
        <is>
          <t>کم شدن آن (مثلاً از اختلال تیکنر) رطوبت کیک را زیاد می‌کند</t>
        </is>
      </c>
    </row>
    <row r="37">
      <c r="A37" s="3" t="inlineStr">
        <is>
          <t>Filter_Cake_Moisture_pct</t>
        </is>
      </c>
      <c r="B37" s="3" t="inlineStr">
        <is>
          <t>رطوبت کیک کنسانتره</t>
        </is>
      </c>
      <c r="C37" s="3" t="inlineStr">
        <is>
          <t>%</t>
        </is>
      </c>
      <c r="D37" s="3" t="inlineStr">
        <is>
          <t>number</t>
        </is>
      </c>
      <c r="E37" s="3" t="inlineStr">
        <is>
          <t>آزمایشگاه کیک</t>
        </is>
      </c>
      <c r="F37" s="3" t="inlineStr">
        <is>
          <t>KPI اصلی محصول</t>
        </is>
      </c>
      <c r="G37" s="3" t="inlineStr">
        <is>
          <t>متغیر پاسخ اصلی فیلتر؛ ترکیبی از اسلایم، وکیوم، پارچه و جامد خوراک</t>
        </is>
      </c>
    </row>
    <row r="38">
      <c r="A38" s="2" t="inlineStr">
        <is>
          <t>Filterate_Turbidity_NTU</t>
        </is>
      </c>
      <c r="B38" s="2" t="inlineStr">
        <is>
          <t>کدورت فیلترات</t>
        </is>
      </c>
      <c r="C38" s="2" t="inlineStr">
        <is>
          <t>NTU</t>
        </is>
      </c>
      <c r="D38" s="2" t="inlineStr">
        <is>
          <t>number</t>
        </is>
      </c>
      <c r="E38" s="2" t="inlineStr">
        <is>
          <t>کدورت‌سنج وکیوم</t>
        </is>
      </c>
      <c r="F38" s="2" t="inlineStr">
        <is>
          <t>سلامت پارچه</t>
        </is>
      </c>
      <c r="G38" s="2" t="inlineStr">
        <is>
          <t>کدورت بالا = گرفتگی/نشتی پارچه یا بدی تیکنر</t>
        </is>
      </c>
    </row>
    <row r="39">
      <c r="A39" s="3" t="inlineStr">
        <is>
          <t>Feed_Dry_tph</t>
        </is>
      </c>
      <c r="B39" s="3" t="inlineStr">
        <is>
          <t>دبی خشک خوراک (Feed_Wet×Feed_Solids/100)</t>
        </is>
      </c>
      <c r="C39" s="3" t="inlineStr">
        <is>
          <t>t/h</t>
        </is>
      </c>
      <c r="D39" s="3" t="inlineStr">
        <is>
          <t>formula</t>
        </is>
      </c>
      <c r="E39" s="3" t="inlineStr">
        <is>
          <t>محاسبه</t>
        </is>
      </c>
      <c r="F39" s="3" t="inlineStr">
        <is>
          <t>پایه موازنه</t>
        </is>
      </c>
      <c r="G39" s="3" t="inlineStr">
        <is>
          <t>مبنای خشک برای تمام KPIهای موازنه</t>
        </is>
      </c>
    </row>
    <row r="40">
      <c r="A40" s="2" t="inlineStr">
        <is>
          <t>Concentrate_Dry_tph</t>
        </is>
      </c>
      <c r="B40" s="2" t="inlineStr">
        <is>
          <t>دبی خشک کنسانتره</t>
        </is>
      </c>
      <c r="C40" s="2" t="inlineStr">
        <is>
          <t>t/h</t>
        </is>
      </c>
      <c r="D40" s="2" t="inlineStr">
        <is>
          <t>number</t>
        </is>
      </c>
      <c r="E40" s="2" t="inlineStr">
        <is>
          <t>توزین خروجی/محاسبه</t>
        </is>
      </c>
      <c r="F40" s="2" t="inlineStr">
        <is>
          <t>خروجی</t>
        </is>
      </c>
      <c r="G40" s="2" t="inlineStr">
        <is>
          <t>صورت بازده جرمی و بازیابی آهن</t>
        </is>
      </c>
    </row>
    <row r="41">
      <c r="A41" s="3" t="inlineStr">
        <is>
          <t>Tailings_Dry_tph</t>
        </is>
      </c>
      <c r="B41" s="3" t="inlineStr">
        <is>
          <t>دبی خشک باطله</t>
        </is>
      </c>
      <c r="C41" s="3" t="inlineStr">
        <is>
          <t>t/h</t>
        </is>
      </c>
      <c r="D41" s="3" t="inlineStr">
        <is>
          <t>number</t>
        </is>
      </c>
      <c r="E41" s="3" t="inlineStr">
        <is>
          <t>توزین باطله/محاسبه</t>
        </is>
      </c>
      <c r="F41" s="3" t="inlineStr">
        <is>
          <t>خروجی</t>
        </is>
      </c>
      <c r="G41" s="3" t="inlineStr">
        <is>
          <t>همراه کنسانتره باید تقریباً Feed_Dry را بسازد</t>
        </is>
      </c>
    </row>
    <row r="42">
      <c r="A42" s="2" t="inlineStr">
        <is>
          <t>Concentrate_Fe_pct</t>
        </is>
      </c>
      <c r="B42" s="2" t="inlineStr">
        <is>
          <t>عیار آهن کنسانتره</t>
        </is>
      </c>
      <c r="C42" s="2" t="inlineStr">
        <is>
          <t>%</t>
        </is>
      </c>
      <c r="D42" s="2" t="inlineStr">
        <is>
          <t>number</t>
        </is>
      </c>
      <c r="E42" s="2" t="inlineStr">
        <is>
          <t>آزمایشگاه XRF</t>
        </is>
      </c>
      <c r="F42" s="2" t="inlineStr">
        <is>
          <t>KPI کیفیت محصول</t>
        </is>
      </c>
      <c r="G42" s="2" t="inlineStr">
        <is>
          <t>هدف محصول؛ با Yield و Recovery هم‌زمان تفسیر شود</t>
        </is>
      </c>
    </row>
    <row r="43">
      <c r="A43" s="3" t="inlineStr">
        <is>
          <t>Concentrate_SiO2_pct</t>
        </is>
      </c>
      <c r="B43" s="3" t="inlineStr">
        <is>
          <t>عیار سیلیس کنسانتره</t>
        </is>
      </c>
      <c r="C43" s="3" t="inlineStr">
        <is>
          <t>%</t>
        </is>
      </c>
      <c r="D43" s="3" t="inlineStr">
        <is>
          <t>number</t>
        </is>
      </c>
      <c r="E43" s="3" t="inlineStr">
        <is>
          <t>آزمایشگاه XRF</t>
        </is>
      </c>
      <c r="F43" s="3" t="inlineStr">
        <is>
          <t>KPI ناخالصی</t>
        </is>
      </c>
      <c r="G43" s="3" t="inlineStr">
        <is>
          <t>در اختلال ماتریکس/آب/اسلایم افزایش می‌یابد</t>
        </is>
      </c>
    </row>
    <row r="44">
      <c r="A44" s="2" t="inlineStr">
        <is>
          <t>Tailings_Fe_pct</t>
        </is>
      </c>
      <c r="B44" s="2" t="inlineStr">
        <is>
          <t>عیار آهن باطله</t>
        </is>
      </c>
      <c r="C44" s="2" t="inlineStr">
        <is>
          <t>%</t>
        </is>
      </c>
      <c r="D44" s="2" t="inlineStr">
        <is>
          <t>number</t>
        </is>
      </c>
      <c r="E44" s="2" t="inlineStr">
        <is>
          <t>آزمایشگاه XRF</t>
        </is>
      </c>
      <c r="F44" s="2" t="inlineStr">
        <is>
          <t>شاخص تلفات</t>
        </is>
      </c>
      <c r="G44" s="2" t="inlineStr">
        <is>
          <t>بالا رفتن آن با افزایش جامد خوراک/سرعت درام و افت آزادی رخ می‌دهد</t>
        </is>
      </c>
    </row>
    <row r="45">
      <c r="A45" s="3" t="inlineStr">
        <is>
          <t>Tailings_SiO2_pct</t>
        </is>
      </c>
      <c r="B45" s="3" t="inlineStr">
        <is>
          <t>عیار سیلیس باطله</t>
        </is>
      </c>
      <c r="C45" s="3" t="inlineStr">
        <is>
          <t>%</t>
        </is>
      </c>
      <c r="D45" s="3" t="inlineStr">
        <is>
          <t>number</t>
        </is>
      </c>
      <c r="E45" s="3" t="inlineStr">
        <is>
          <t>آزمایشگاه XRF</t>
        </is>
      </c>
      <c r="F45" s="3" t="inlineStr">
        <is>
          <t>رفتار گانگ</t>
        </is>
      </c>
      <c r="G45" s="3" t="inlineStr">
        <is>
          <t>بخش عمده سیلیس باید به باطله برود</t>
        </is>
      </c>
    </row>
    <row r="46">
      <c r="A46" s="2" t="inlineStr">
        <is>
          <t>Mass_Yield_pct</t>
        </is>
      </c>
      <c r="B46" s="2" t="inlineStr">
        <is>
          <t>بازده جرمی کنسانتره = C/F×100</t>
        </is>
      </c>
      <c r="C46" s="2" t="inlineStr">
        <is>
          <t>%</t>
        </is>
      </c>
      <c r="D46" s="2" t="inlineStr">
        <is>
          <t>formula</t>
        </is>
      </c>
      <c r="E46" s="2" t="inlineStr">
        <is>
          <t>محاسبه</t>
        </is>
      </c>
      <c r="F46" s="2" t="inlineStr">
        <is>
          <t>KPI متالورژیکی</t>
        </is>
      </c>
      <c r="G46" s="2" t="inlineStr">
        <is>
          <t>نشان می‌دهد چه سهمی از جرم خوراک به کنسانتره تبدیل شده</t>
        </is>
      </c>
    </row>
    <row r="47">
      <c r="A47" s="3" t="inlineStr">
        <is>
          <t>Fe_Recovery_pct</t>
        </is>
      </c>
      <c r="B47" s="3" t="inlineStr">
        <is>
          <t>بازیابی آهن = (C×fc)/(F×ff)×100</t>
        </is>
      </c>
      <c r="C47" s="3" t="inlineStr">
        <is>
          <t>%</t>
        </is>
      </c>
      <c r="D47" s="3" t="inlineStr">
        <is>
          <t>formula</t>
        </is>
      </c>
      <c r="E47" s="3" t="inlineStr">
        <is>
          <t>محاسبه</t>
        </is>
      </c>
      <c r="F47" s="3" t="inlineStr">
        <is>
          <t>KPI متالورژیکی اصلی</t>
        </is>
      </c>
      <c r="G47" s="3" t="inlineStr">
        <is>
          <t>افزایش عیار به‌تنهایی بهبود نیست؛ باید با Recovery خوانده شود</t>
        </is>
      </c>
    </row>
    <row r="48">
      <c r="A48" s="2" t="inlineStr">
        <is>
          <t>Tailings_Fe_Recovery_pct</t>
        </is>
      </c>
      <c r="B48" s="2" t="inlineStr">
        <is>
          <t>بازیابی آهن باطله = (T×ft)/(F×ff)×100</t>
        </is>
      </c>
      <c r="C48" s="2" t="inlineStr">
        <is>
          <t>%</t>
        </is>
      </c>
      <c r="D48" s="2" t="inlineStr">
        <is>
          <t>formula</t>
        </is>
      </c>
      <c r="E48" s="2" t="inlineStr">
        <is>
          <t>محاسبه</t>
        </is>
      </c>
      <c r="F48" s="2" t="inlineStr">
        <is>
          <t>تلفات فلز</t>
        </is>
      </c>
      <c r="G48" s="2" t="inlineStr">
        <is>
          <t>جمع آن با Fe_Recovery باید حدود 100 باشد</t>
        </is>
      </c>
    </row>
    <row r="49">
      <c r="A49" s="3" t="inlineStr">
        <is>
          <t>Rec_Check_pct</t>
        </is>
      </c>
      <c r="B49" s="3" t="inlineStr">
        <is>
          <t>جمع دو بازیابی (کنترل منطقی)</t>
        </is>
      </c>
      <c r="C49" s="3" t="inlineStr">
        <is>
          <t>%</t>
        </is>
      </c>
      <c r="D49" s="3" t="inlineStr">
        <is>
          <t>formula</t>
        </is>
      </c>
      <c r="E49" s="3" t="inlineStr">
        <is>
          <t>کنترل QC</t>
        </is>
      </c>
      <c r="F49" s="3" t="inlineStr">
        <is>
          <t>اعتبارسنجی</t>
        </is>
      </c>
      <c r="G49" s="3" t="inlineStr">
        <is>
          <t>انحراف از 100 نشانه خطای داده یا موازنه است</t>
        </is>
      </c>
    </row>
    <row r="50">
      <c r="A50" s="2" t="inlineStr">
        <is>
          <t>Mass_Balance_Error_pct</t>
        </is>
      </c>
      <c r="B50" s="2" t="inlineStr">
        <is>
          <t>خطای موازنه جرمی = (F-(C+T))/F×100</t>
        </is>
      </c>
      <c r="C50" s="2" t="inlineStr">
        <is>
          <t>%</t>
        </is>
      </c>
      <c r="D50" s="2" t="inlineStr">
        <is>
          <t>formula</t>
        </is>
      </c>
      <c r="E50" s="2" t="inlineStr">
        <is>
          <t>کنترل QC</t>
        </is>
      </c>
      <c r="F50" s="2" t="inlineStr">
        <is>
          <t>اعتبارسنجی داده</t>
        </is>
      </c>
      <c r="G50" s="2" t="inlineStr">
        <is>
          <t>نرمال زیر 1.5؛ در رخدادهای Balance_Check آموزشی 2 تا 5 است</t>
        </is>
      </c>
    </row>
    <row r="51">
      <c r="A51" s="3" t="inlineStr">
        <is>
          <t>Fe_Balance_Error_pct</t>
        </is>
      </c>
      <c r="B51" s="3" t="inlineStr">
        <is>
          <t>خطای موازنه آهن</t>
        </is>
      </c>
      <c r="C51" s="3" t="inlineStr">
        <is>
          <t>%</t>
        </is>
      </c>
      <c r="D51" s="3" t="inlineStr">
        <is>
          <t>formula</t>
        </is>
      </c>
      <c r="E51" s="3" t="inlineStr">
        <is>
          <t>کنترل QC</t>
        </is>
      </c>
      <c r="F51" s="3" t="inlineStr">
        <is>
          <t>اعتبارسنجی داده</t>
        </is>
      </c>
      <c r="G51" s="3" t="inlineStr">
        <is>
          <t>سازگاری عیارها و دبی‌ها؛ مشابه موازنه جرمی تفسیر می‌شود</t>
        </is>
      </c>
    </row>
    <row r="52">
      <c r="A52" s="2" t="inlineStr">
        <is>
          <t>Quality_Flag</t>
        </is>
      </c>
      <c r="B52" s="2" t="inlineStr">
        <is>
          <t>برچسب وضعیت کیفی دوره</t>
        </is>
      </c>
      <c r="C52" s="2" t="inlineStr">
        <is>
          <t>-</t>
        </is>
      </c>
      <c r="D52" s="2" t="inlineStr">
        <is>
          <t>text</t>
        </is>
      </c>
      <c r="E52" s="2" t="inlineStr">
        <is>
          <t>سیستم QC آموزشی</t>
        </is>
      </c>
      <c r="F52" s="2" t="inlineStr">
        <is>
          <t>برچسب</t>
        </is>
      </c>
      <c r="G52" s="2" t="inlineStr">
        <is>
          <t>OK / Slimes_High / Matrix_Blinding / Flocculant_Disturbance / Vacuum_Loss / Water_Quality / Balance_Check — برای آموزش عیب‌یابی بدون ستون Root_Cause</t>
        </is>
      </c>
    </row>
  </sheetData>
  <autoFilter ref="A1:G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3" customWidth="1" min="15" max="15"/>
    <col width="12" customWidth="1" min="16" max="16"/>
    <col width="11" customWidth="1" min="17" max="17"/>
    <col width="13" customWidth="1" min="18" max="18"/>
    <col width="13" customWidth="1" min="19" max="19"/>
    <col width="1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4" customWidth="1" min="25" max="25"/>
    <col width="14" customWidth="1" min="26" max="26"/>
  </cols>
  <sheetData>
    <row r="1" ht="24" customHeight="1">
      <c r="A1" s="1" t="inlineStr">
        <is>
          <t>Record_ID</t>
        </is>
      </c>
      <c r="B1" s="1" t="inlineStr">
        <is>
          <t>DateTime</t>
        </is>
      </c>
      <c r="C1" s="1" t="inlineStr">
        <is>
          <t>Shift</t>
        </is>
      </c>
      <c r="D1" s="1" t="inlineStr">
        <is>
          <t>Ore_Blend</t>
        </is>
      </c>
      <c r="E1" s="1" t="inlineStr">
        <is>
          <t>Circuit_Mode</t>
        </is>
      </c>
      <c r="F1" s="1" t="inlineStr">
        <is>
          <t>Feed_Wet_tph</t>
        </is>
      </c>
      <c r="G1" s="1" t="inlineStr">
        <is>
          <t>Feed_Solids_pct</t>
        </is>
      </c>
      <c r="H1" s="1" t="inlineStr">
        <is>
          <t>Feed_Moisture_pct</t>
        </is>
      </c>
      <c r="I1" s="1" t="inlineStr">
        <is>
          <t>Feed_Fe_pct</t>
        </is>
      </c>
      <c r="J1" s="1" t="inlineStr">
        <is>
          <t>Feed_SiO2_pct</t>
        </is>
      </c>
      <c r="K1" s="1" t="inlineStr">
        <is>
          <t>Feed_P80_um</t>
        </is>
      </c>
      <c r="L1" s="1" t="inlineStr">
        <is>
          <t>Feed_Slimes_pct</t>
        </is>
      </c>
      <c r="M1" s="1" t="inlineStr">
        <is>
          <t>Liberation_pct</t>
        </is>
      </c>
      <c r="N1" s="1" t="inlineStr">
        <is>
          <t>LIMS_Field_mT</t>
        </is>
      </c>
      <c r="O1" s="1" t="inlineStr">
        <is>
          <t>LIMS_Drum_Speed_rpm</t>
        </is>
      </c>
      <c r="P1" s="1" t="inlineStr">
        <is>
          <t>LIMS_Splitter_pct</t>
        </is>
      </c>
      <c r="Q1" s="1" t="inlineStr">
        <is>
          <t>WHIMS_Field_T</t>
        </is>
      </c>
      <c r="R1" s="1" t="inlineStr">
        <is>
          <t>Matrix_Condition_pct</t>
        </is>
      </c>
      <c r="S1" s="1" t="inlineStr">
        <is>
          <t>Matrix_Wash_Interval_h</t>
        </is>
      </c>
      <c r="T1" s="1" t="inlineStr">
        <is>
          <t>Flotation_pH</t>
        </is>
      </c>
      <c r="U1" s="1" t="inlineStr">
        <is>
          <t>Amine_Dose_gpt</t>
        </is>
      </c>
      <c r="V1" s="1" t="inlineStr">
        <is>
          <t>Starch_Dose_gpt</t>
        </is>
      </c>
      <c r="W1" s="1" t="inlineStr">
        <is>
          <t>Froth_Height_cm</t>
        </is>
      </c>
      <c r="X1" s="1" t="inlineStr">
        <is>
          <t>Air_Flow_Nm3_h</t>
        </is>
      </c>
      <c r="Y1" s="1" t="inlineStr">
        <is>
          <t>Process_Water_Hardness_mgL</t>
        </is>
      </c>
      <c r="Z1" s="1" t="inlineStr">
        <is>
          <t>Process_Water_Turbidity_NTU</t>
        </is>
      </c>
    </row>
    <row r="2">
      <c r="A2" s="4" t="n">
        <v>1</v>
      </c>
      <c r="B2" s="2" t="inlineStr">
        <is>
          <t>2026-09-01 00:00</t>
        </is>
      </c>
      <c r="C2" s="2" t="inlineStr">
        <is>
          <t>A</t>
        </is>
      </c>
      <c r="D2" s="2" t="inlineStr">
        <is>
          <t>Blend_A</t>
        </is>
      </c>
      <c r="E2" s="2" t="inlineStr">
        <is>
          <t>LIMS</t>
        </is>
      </c>
      <c r="F2" s="5" t="n">
        <v>629</v>
      </c>
      <c r="G2" s="5" t="n">
        <v>32.8</v>
      </c>
      <c r="H2" s="5" t="n">
        <v>67.2</v>
      </c>
      <c r="I2" s="5" t="n">
        <v>37.76</v>
      </c>
      <c r="J2" s="5" t="n">
        <v>44.65</v>
      </c>
      <c r="K2" s="5" t="n">
        <v>104.3</v>
      </c>
      <c r="L2" s="5" t="n">
        <v>13</v>
      </c>
      <c r="M2" s="5" t="n">
        <v>83</v>
      </c>
      <c r="N2" s="5" t="n">
        <v>143</v>
      </c>
      <c r="O2" s="5" t="n">
        <v>22.1</v>
      </c>
      <c r="P2" s="5" t="n">
        <v>49.4</v>
      </c>
      <c r="Q2" s="2" t="n"/>
      <c r="R2" s="2" t="n"/>
      <c r="S2" s="2" t="n"/>
      <c r="T2" s="2" t="n"/>
      <c r="U2" s="2" t="n"/>
      <c r="V2" s="2" t="n"/>
      <c r="W2" s="2" t="n"/>
      <c r="X2" s="2" t="n"/>
      <c r="Y2" s="5" t="n">
        <v>152</v>
      </c>
      <c r="Z2" s="5" t="n">
        <v>29.9</v>
      </c>
    </row>
    <row r="3">
      <c r="A3" s="6" t="n">
        <v>2</v>
      </c>
      <c r="B3" s="3" t="inlineStr">
        <is>
          <t>2026-09-01 02:00</t>
        </is>
      </c>
      <c r="C3" s="3" t="inlineStr">
        <is>
          <t>A</t>
        </is>
      </c>
      <c r="D3" s="3" t="inlineStr">
        <is>
          <t>Blend_A</t>
        </is>
      </c>
      <c r="E3" s="3" t="inlineStr">
        <is>
          <t>LIMS</t>
        </is>
      </c>
      <c r="F3" s="7" t="n">
        <v>592.3</v>
      </c>
      <c r="G3" s="7" t="n">
        <v>33.7</v>
      </c>
      <c r="H3" s="7" t="n">
        <v>66.3</v>
      </c>
      <c r="I3" s="7" t="n">
        <v>38.59</v>
      </c>
      <c r="J3" s="7" t="n">
        <v>43.84</v>
      </c>
      <c r="K3" s="7" t="n">
        <v>92.09999999999999</v>
      </c>
      <c r="L3" s="7" t="n">
        <v>10.4</v>
      </c>
      <c r="M3" s="7" t="n">
        <v>85.40000000000001</v>
      </c>
      <c r="N3" s="7" t="n">
        <v>145</v>
      </c>
      <c r="O3" s="7" t="n">
        <v>22.8</v>
      </c>
      <c r="P3" s="7" t="n">
        <v>45.7</v>
      </c>
      <c r="Q3" s="3" t="n"/>
      <c r="R3" s="3" t="n"/>
      <c r="S3" s="3" t="n"/>
      <c r="T3" s="3" t="n"/>
      <c r="U3" s="3" t="n"/>
      <c r="V3" s="3" t="n"/>
      <c r="W3" s="3" t="n"/>
      <c r="X3" s="3" t="n"/>
      <c r="Y3" s="7" t="n">
        <v>239</v>
      </c>
      <c r="Z3" s="7" t="n">
        <v>38.2</v>
      </c>
    </row>
    <row r="4">
      <c r="A4" s="4" t="n">
        <v>3</v>
      </c>
      <c r="B4" s="2" t="inlineStr">
        <is>
          <t>2026-09-01 04:00</t>
        </is>
      </c>
      <c r="C4" s="2" t="inlineStr">
        <is>
          <t>A</t>
        </is>
      </c>
      <c r="D4" s="2" t="inlineStr">
        <is>
          <t>Blend_A</t>
        </is>
      </c>
      <c r="E4" s="2" t="inlineStr">
        <is>
          <t>LIMS</t>
        </is>
      </c>
      <c r="F4" s="5" t="n">
        <v>665.3</v>
      </c>
      <c r="G4" s="5" t="n">
        <v>34.1</v>
      </c>
      <c r="H4" s="5" t="n">
        <v>65.90000000000001</v>
      </c>
      <c r="I4" s="5" t="n">
        <v>37.98</v>
      </c>
      <c r="J4" s="5" t="n">
        <v>44.95</v>
      </c>
      <c r="K4" s="5" t="n">
        <v>100.2</v>
      </c>
      <c r="L4" s="5" t="n">
        <v>11.8</v>
      </c>
      <c r="M4" s="5" t="n">
        <v>87.7</v>
      </c>
      <c r="N4" s="5" t="n">
        <v>157</v>
      </c>
      <c r="O4" s="5" t="n">
        <v>21.1</v>
      </c>
      <c r="P4" s="5" t="n">
        <v>49.3</v>
      </c>
      <c r="Q4" s="2" t="n"/>
      <c r="R4" s="2" t="n"/>
      <c r="S4" s="2" t="n"/>
      <c r="T4" s="2" t="n"/>
      <c r="U4" s="2" t="n"/>
      <c r="V4" s="2" t="n"/>
      <c r="W4" s="2" t="n"/>
      <c r="X4" s="2" t="n"/>
      <c r="Y4" s="5" t="n">
        <v>143</v>
      </c>
      <c r="Z4" s="5" t="n">
        <v>18.2</v>
      </c>
    </row>
    <row r="5">
      <c r="A5" s="6" t="n">
        <v>4</v>
      </c>
      <c r="B5" s="3" t="inlineStr">
        <is>
          <t>2026-09-01 06:00</t>
        </is>
      </c>
      <c r="C5" s="3" t="inlineStr">
        <is>
          <t>A</t>
        </is>
      </c>
      <c r="D5" s="3" t="inlineStr">
        <is>
          <t>Blend_A</t>
        </is>
      </c>
      <c r="E5" s="3" t="inlineStr">
        <is>
          <t>LIMS</t>
        </is>
      </c>
      <c r="F5" s="7" t="n">
        <v>574.3</v>
      </c>
      <c r="G5" s="7" t="n">
        <v>36</v>
      </c>
      <c r="H5" s="7" t="n">
        <v>64</v>
      </c>
      <c r="I5" s="7" t="n">
        <v>39.66</v>
      </c>
      <c r="J5" s="7" t="n">
        <v>42.44</v>
      </c>
      <c r="K5" s="7" t="n">
        <v>102.9</v>
      </c>
      <c r="L5" s="7" t="n">
        <v>10.6</v>
      </c>
      <c r="M5" s="7" t="n">
        <v>81.09999999999999</v>
      </c>
      <c r="N5" s="7" t="n">
        <v>148</v>
      </c>
      <c r="O5" s="7" t="n">
        <v>20.6</v>
      </c>
      <c r="P5" s="7" t="n">
        <v>53.2</v>
      </c>
      <c r="Q5" s="3" t="n"/>
      <c r="R5" s="3" t="n"/>
      <c r="S5" s="3" t="n"/>
      <c r="T5" s="3" t="n"/>
      <c r="U5" s="3" t="n"/>
      <c r="V5" s="3" t="n"/>
      <c r="W5" s="3" t="n"/>
      <c r="X5" s="3" t="n"/>
      <c r="Y5" s="7" t="n">
        <v>226</v>
      </c>
      <c r="Z5" s="7" t="n">
        <v>15.2</v>
      </c>
    </row>
    <row r="6">
      <c r="A6" s="4" t="n">
        <v>5</v>
      </c>
      <c r="B6" s="2" t="inlineStr">
        <is>
          <t>2026-09-01 08:00</t>
        </is>
      </c>
      <c r="C6" s="2" t="inlineStr">
        <is>
          <t>B</t>
        </is>
      </c>
      <c r="D6" s="2" t="inlineStr">
        <is>
          <t>Blend_A</t>
        </is>
      </c>
      <c r="E6" s="2" t="inlineStr">
        <is>
          <t>LIMS</t>
        </is>
      </c>
      <c r="F6" s="5" t="n">
        <v>629.2</v>
      </c>
      <c r="G6" s="5" t="n">
        <v>34.3</v>
      </c>
      <c r="H6" s="5" t="n">
        <v>65.7</v>
      </c>
      <c r="I6" s="5" t="n">
        <v>37.71</v>
      </c>
      <c r="J6" s="5" t="n">
        <v>46.4</v>
      </c>
      <c r="K6" s="5" t="n">
        <v>103.2</v>
      </c>
      <c r="L6" s="5" t="n">
        <v>10.2</v>
      </c>
      <c r="M6" s="5" t="n">
        <v>81.40000000000001</v>
      </c>
      <c r="N6" s="5" t="n">
        <v>157</v>
      </c>
      <c r="O6" s="5" t="n">
        <v>23.9</v>
      </c>
      <c r="P6" s="5" t="n">
        <v>47.4</v>
      </c>
      <c r="Q6" s="2" t="n"/>
      <c r="R6" s="2" t="n"/>
      <c r="S6" s="2" t="n"/>
      <c r="T6" s="2" t="n"/>
      <c r="U6" s="2" t="n"/>
      <c r="V6" s="2" t="n"/>
      <c r="W6" s="2" t="n"/>
      <c r="X6" s="2" t="n"/>
      <c r="Y6" s="5" t="n">
        <v>207</v>
      </c>
      <c r="Z6" s="5" t="n">
        <v>37.8</v>
      </c>
    </row>
    <row r="7">
      <c r="A7" s="6" t="n">
        <v>6</v>
      </c>
      <c r="B7" s="3" t="inlineStr">
        <is>
          <t>2026-09-01 10:00</t>
        </is>
      </c>
      <c r="C7" s="3" t="inlineStr">
        <is>
          <t>B</t>
        </is>
      </c>
      <c r="D7" s="3" t="inlineStr">
        <is>
          <t>Blend_A</t>
        </is>
      </c>
      <c r="E7" s="3" t="inlineStr">
        <is>
          <t>LIMS</t>
        </is>
      </c>
      <c r="F7" s="7" t="n">
        <v>572.7</v>
      </c>
      <c r="G7" s="7" t="n">
        <v>35.1</v>
      </c>
      <c r="H7" s="7" t="n">
        <v>64.90000000000001</v>
      </c>
      <c r="I7" s="7" t="n">
        <v>39.05</v>
      </c>
      <c r="J7" s="7" t="n">
        <v>42.94</v>
      </c>
      <c r="K7" s="7" t="n">
        <v>87.8</v>
      </c>
      <c r="L7" s="7" t="n">
        <v>10.7</v>
      </c>
      <c r="M7" s="7" t="n">
        <v>81.09999999999999</v>
      </c>
      <c r="N7" s="7" t="n">
        <v>172</v>
      </c>
      <c r="O7" s="7" t="n">
        <v>23.3</v>
      </c>
      <c r="P7" s="7" t="n">
        <v>47.6</v>
      </c>
      <c r="Q7" s="3" t="n"/>
      <c r="R7" s="3" t="n"/>
      <c r="S7" s="3" t="n"/>
      <c r="T7" s="3" t="n"/>
      <c r="U7" s="3" t="n"/>
      <c r="V7" s="3" t="n"/>
      <c r="W7" s="3" t="n"/>
      <c r="X7" s="3" t="n"/>
      <c r="Y7" s="7" t="n">
        <v>206</v>
      </c>
      <c r="Z7" s="7" t="n">
        <v>39.5</v>
      </c>
    </row>
    <row r="8">
      <c r="A8" s="4" t="n">
        <v>7</v>
      </c>
      <c r="B8" s="2" t="inlineStr">
        <is>
          <t>2026-09-01 12:00</t>
        </is>
      </c>
      <c r="C8" s="2" t="inlineStr">
        <is>
          <t>B</t>
        </is>
      </c>
      <c r="D8" s="2" t="inlineStr">
        <is>
          <t>Blend_A</t>
        </is>
      </c>
      <c r="E8" s="2" t="inlineStr">
        <is>
          <t>LIMS</t>
        </is>
      </c>
      <c r="F8" s="5" t="n">
        <v>628.8</v>
      </c>
      <c r="G8" s="5" t="n">
        <v>32</v>
      </c>
      <c r="H8" s="5" t="n">
        <v>68</v>
      </c>
      <c r="I8" s="5" t="n">
        <v>37.91</v>
      </c>
      <c r="J8" s="5" t="n">
        <v>45.17</v>
      </c>
      <c r="K8" s="5" t="n">
        <v>85.09999999999999</v>
      </c>
      <c r="L8" s="5" t="n">
        <v>9.800000000000001</v>
      </c>
      <c r="M8" s="5" t="n">
        <v>85.5</v>
      </c>
      <c r="N8" s="5" t="n">
        <v>164</v>
      </c>
      <c r="O8" s="5" t="n">
        <v>21.9</v>
      </c>
      <c r="P8" s="5" t="n">
        <v>47.2</v>
      </c>
      <c r="Q8" s="2" t="n"/>
      <c r="R8" s="2" t="n"/>
      <c r="S8" s="2" t="n"/>
      <c r="T8" s="2" t="n"/>
      <c r="U8" s="2" t="n"/>
      <c r="V8" s="2" t="n"/>
      <c r="W8" s="2" t="n"/>
      <c r="X8" s="2" t="n"/>
      <c r="Y8" s="5" t="n">
        <v>211</v>
      </c>
      <c r="Z8" s="5" t="n">
        <v>22.1</v>
      </c>
    </row>
    <row r="9">
      <c r="A9" s="6" t="n">
        <v>8</v>
      </c>
      <c r="B9" s="3" t="inlineStr">
        <is>
          <t>2026-09-01 14:00</t>
        </is>
      </c>
      <c r="C9" s="3" t="inlineStr">
        <is>
          <t>B</t>
        </is>
      </c>
      <c r="D9" s="3" t="inlineStr">
        <is>
          <t>Blend_A</t>
        </is>
      </c>
      <c r="E9" s="3" t="inlineStr">
        <is>
          <t>LIMS</t>
        </is>
      </c>
      <c r="F9" s="7" t="n">
        <v>614</v>
      </c>
      <c r="G9" s="7" t="n">
        <v>32.9</v>
      </c>
      <c r="H9" s="7" t="n">
        <v>67.09999999999999</v>
      </c>
      <c r="I9" s="7" t="n">
        <v>40.39</v>
      </c>
      <c r="J9" s="7" t="n">
        <v>42.77</v>
      </c>
      <c r="K9" s="7" t="n">
        <v>85.5</v>
      </c>
      <c r="L9" s="7" t="n">
        <v>12.2</v>
      </c>
      <c r="M9" s="7" t="n">
        <v>81.8</v>
      </c>
      <c r="N9" s="7" t="n">
        <v>173</v>
      </c>
      <c r="O9" s="7" t="n">
        <v>23.7</v>
      </c>
      <c r="P9" s="7" t="n">
        <v>54.1</v>
      </c>
      <c r="Q9" s="3" t="n"/>
      <c r="R9" s="3" t="n"/>
      <c r="S9" s="3" t="n"/>
      <c r="T9" s="3" t="n"/>
      <c r="U9" s="3" t="n"/>
      <c r="V9" s="3" t="n"/>
      <c r="W9" s="3" t="n"/>
      <c r="X9" s="3" t="n"/>
      <c r="Y9" s="7" t="n">
        <v>177</v>
      </c>
      <c r="Z9" s="7" t="n">
        <v>15.5</v>
      </c>
    </row>
    <row r="10">
      <c r="A10" s="4" t="n">
        <v>9</v>
      </c>
      <c r="B10" s="2" t="inlineStr">
        <is>
          <t>2026-09-01 16:00</t>
        </is>
      </c>
      <c r="C10" s="2" t="inlineStr">
        <is>
          <t>C</t>
        </is>
      </c>
      <c r="D10" s="2" t="inlineStr">
        <is>
          <t>Blend_A</t>
        </is>
      </c>
      <c r="E10" s="2" t="inlineStr">
        <is>
          <t>LIMS</t>
        </is>
      </c>
      <c r="F10" s="5" t="n">
        <v>568.2</v>
      </c>
      <c r="G10" s="5" t="n">
        <v>34.3</v>
      </c>
      <c r="H10" s="5" t="n">
        <v>65.7</v>
      </c>
      <c r="I10" s="5" t="n">
        <v>41.01</v>
      </c>
      <c r="J10" s="5" t="n">
        <v>40.79</v>
      </c>
      <c r="K10" s="5" t="n">
        <v>98.90000000000001</v>
      </c>
      <c r="L10" s="5" t="n">
        <v>12.5</v>
      </c>
      <c r="M10" s="5" t="n">
        <v>83.59999999999999</v>
      </c>
      <c r="N10" s="5" t="n">
        <v>150</v>
      </c>
      <c r="O10" s="5" t="n">
        <v>22.9</v>
      </c>
      <c r="P10" s="5" t="n">
        <v>53.1</v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5" t="n">
        <v>227</v>
      </c>
      <c r="Z10" s="5" t="n">
        <v>42.4</v>
      </c>
    </row>
    <row r="11">
      <c r="A11" s="6" t="n">
        <v>10</v>
      </c>
      <c r="B11" s="3" t="inlineStr">
        <is>
          <t>2026-09-01 18:00</t>
        </is>
      </c>
      <c r="C11" s="3" t="inlineStr">
        <is>
          <t>C</t>
        </is>
      </c>
      <c r="D11" s="3" t="inlineStr">
        <is>
          <t>Blend_A</t>
        </is>
      </c>
      <c r="E11" s="3" t="inlineStr">
        <is>
          <t>LIMS</t>
        </is>
      </c>
      <c r="F11" s="7" t="n">
        <v>554.9</v>
      </c>
      <c r="G11" s="7" t="n">
        <v>35.7</v>
      </c>
      <c r="H11" s="7" t="n">
        <v>64.3</v>
      </c>
      <c r="I11" s="7" t="n">
        <v>38.94</v>
      </c>
      <c r="J11" s="7" t="n">
        <v>45.11</v>
      </c>
      <c r="K11" s="7" t="n">
        <v>95.40000000000001</v>
      </c>
      <c r="L11" s="7" t="n">
        <v>12.8</v>
      </c>
      <c r="M11" s="7" t="n">
        <v>82.2</v>
      </c>
      <c r="N11" s="7" t="n">
        <v>162</v>
      </c>
      <c r="O11" s="7" t="n">
        <v>18.5</v>
      </c>
      <c r="P11" s="7" t="n">
        <v>45.5</v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7" t="n">
        <v>193</v>
      </c>
      <c r="Z11" s="7" t="n">
        <v>31.2</v>
      </c>
    </row>
    <row r="12">
      <c r="A12" s="4" t="n">
        <v>11</v>
      </c>
      <c r="B12" s="2" t="inlineStr">
        <is>
          <t>2026-09-01 20:00</t>
        </is>
      </c>
      <c r="C12" s="2" t="inlineStr">
        <is>
          <t>C</t>
        </is>
      </c>
      <c r="D12" s="2" t="inlineStr">
        <is>
          <t>Blend_A</t>
        </is>
      </c>
      <c r="E12" s="2" t="inlineStr">
        <is>
          <t>LIMS</t>
        </is>
      </c>
      <c r="F12" s="5" t="n">
        <v>621.4</v>
      </c>
      <c r="G12" s="5" t="n">
        <v>35.2</v>
      </c>
      <c r="H12" s="5" t="n">
        <v>64.8</v>
      </c>
      <c r="I12" s="5" t="n">
        <v>40.14</v>
      </c>
      <c r="J12" s="5" t="n">
        <v>43.11</v>
      </c>
      <c r="K12" s="5" t="n">
        <v>104.1</v>
      </c>
      <c r="L12" s="5" t="n">
        <v>12.7</v>
      </c>
      <c r="M12" s="5" t="n">
        <v>85.5</v>
      </c>
      <c r="N12" s="5" t="n">
        <v>161</v>
      </c>
      <c r="O12" s="5" t="n">
        <v>20.5</v>
      </c>
      <c r="P12" s="5" t="n">
        <v>47.5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5" t="n">
        <v>176</v>
      </c>
      <c r="Z12" s="5" t="n">
        <v>37.7</v>
      </c>
    </row>
    <row r="13">
      <c r="A13" s="6" t="n">
        <v>12</v>
      </c>
      <c r="B13" s="3" t="inlineStr">
        <is>
          <t>2026-09-01 22:00</t>
        </is>
      </c>
      <c r="C13" s="3" t="inlineStr">
        <is>
          <t>C</t>
        </is>
      </c>
      <c r="D13" s="3" t="inlineStr">
        <is>
          <t>Blend_A</t>
        </is>
      </c>
      <c r="E13" s="3" t="inlineStr">
        <is>
          <t>LIMS</t>
        </is>
      </c>
      <c r="F13" s="7" t="n">
        <v>631.4</v>
      </c>
      <c r="G13" s="7" t="n">
        <v>34.3</v>
      </c>
      <c r="H13" s="7" t="n">
        <v>65.7</v>
      </c>
      <c r="I13" s="7" t="n">
        <v>40.93</v>
      </c>
      <c r="J13" s="7" t="n">
        <v>41.1</v>
      </c>
      <c r="K13" s="7" t="n">
        <v>88.3</v>
      </c>
      <c r="L13" s="7" t="n">
        <v>9.4</v>
      </c>
      <c r="M13" s="7" t="n">
        <v>86.40000000000001</v>
      </c>
      <c r="N13" s="7" t="n">
        <v>141</v>
      </c>
      <c r="O13" s="7" t="n">
        <v>21.5</v>
      </c>
      <c r="P13" s="7" t="n">
        <v>54.4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7" t="n">
        <v>198</v>
      </c>
      <c r="Z13" s="7" t="n">
        <v>26.6</v>
      </c>
    </row>
    <row r="14">
      <c r="A14" s="4" t="n">
        <v>13</v>
      </c>
      <c r="B14" s="2" t="inlineStr">
        <is>
          <t>2026-09-02 00:00</t>
        </is>
      </c>
      <c r="C14" s="2" t="inlineStr">
        <is>
          <t>A</t>
        </is>
      </c>
      <c r="D14" s="2" t="inlineStr">
        <is>
          <t>Blend_C</t>
        </is>
      </c>
      <c r="E14" s="2" t="inlineStr">
        <is>
          <t>LIMS</t>
        </is>
      </c>
      <c r="F14" s="5" t="n">
        <v>655.9</v>
      </c>
      <c r="G14" s="5" t="n">
        <v>33.3</v>
      </c>
      <c r="H14" s="5" t="n">
        <v>66.7</v>
      </c>
      <c r="I14" s="5" t="n">
        <v>36.78</v>
      </c>
      <c r="J14" s="5" t="n">
        <v>46.78</v>
      </c>
      <c r="K14" s="5" t="n">
        <v>102.5</v>
      </c>
      <c r="L14" s="5" t="n">
        <v>12.7</v>
      </c>
      <c r="M14" s="5" t="n">
        <v>88</v>
      </c>
      <c r="N14" s="5" t="n">
        <v>150</v>
      </c>
      <c r="O14" s="5" t="n">
        <v>19.1</v>
      </c>
      <c r="P14" s="5" t="n">
        <v>52.5</v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5" t="n">
        <v>221</v>
      </c>
      <c r="Z14" s="5" t="n">
        <v>44.7</v>
      </c>
    </row>
    <row r="15">
      <c r="A15" s="6" t="n">
        <v>14</v>
      </c>
      <c r="B15" s="3" t="inlineStr">
        <is>
          <t>2026-09-02 02:00</t>
        </is>
      </c>
      <c r="C15" s="3" t="inlineStr">
        <is>
          <t>A</t>
        </is>
      </c>
      <c r="D15" s="3" t="inlineStr">
        <is>
          <t>Blend_C</t>
        </is>
      </c>
      <c r="E15" s="3" t="inlineStr">
        <is>
          <t>LIMS</t>
        </is>
      </c>
      <c r="F15" s="7" t="n">
        <v>667.7</v>
      </c>
      <c r="G15" s="7" t="n">
        <v>32.4</v>
      </c>
      <c r="H15" s="7" t="n">
        <v>67.59999999999999</v>
      </c>
      <c r="I15" s="7" t="n">
        <v>37.33</v>
      </c>
      <c r="J15" s="7" t="n">
        <v>45.23</v>
      </c>
      <c r="K15" s="7" t="n">
        <v>96.5</v>
      </c>
      <c r="L15" s="7" t="n">
        <v>12.2</v>
      </c>
      <c r="M15" s="7" t="n">
        <v>84.5</v>
      </c>
      <c r="N15" s="7" t="n">
        <v>150</v>
      </c>
      <c r="O15" s="7" t="n">
        <v>20</v>
      </c>
      <c r="P15" s="7" t="n">
        <v>51.7</v>
      </c>
      <c r="Q15" s="3" t="n"/>
      <c r="R15" s="3" t="n"/>
      <c r="S15" s="3" t="n"/>
      <c r="T15" s="3" t="n"/>
      <c r="U15" s="3" t="n"/>
      <c r="V15" s="3" t="n"/>
      <c r="W15" s="3" t="n"/>
      <c r="X15" s="3" t="n"/>
      <c r="Y15" s="7" t="n">
        <v>215</v>
      </c>
      <c r="Z15" s="7" t="n">
        <v>38.7</v>
      </c>
    </row>
    <row r="16">
      <c r="A16" s="4" t="n">
        <v>15</v>
      </c>
      <c r="B16" s="2" t="inlineStr">
        <is>
          <t>2026-09-02 04:00</t>
        </is>
      </c>
      <c r="C16" s="2" t="inlineStr">
        <is>
          <t>A</t>
        </is>
      </c>
      <c r="D16" s="2" t="inlineStr">
        <is>
          <t>Blend_C</t>
        </is>
      </c>
      <c r="E16" s="2" t="inlineStr">
        <is>
          <t>LIMS</t>
        </is>
      </c>
      <c r="F16" s="5" t="n">
        <v>641.8</v>
      </c>
      <c r="G16" s="5" t="n">
        <v>32.4</v>
      </c>
      <c r="H16" s="5" t="n">
        <v>67.59999999999999</v>
      </c>
      <c r="I16" s="5" t="n">
        <v>36.35</v>
      </c>
      <c r="J16" s="5" t="n">
        <v>47.99</v>
      </c>
      <c r="K16" s="5" t="n">
        <v>92.40000000000001</v>
      </c>
      <c r="L16" s="5" t="n">
        <v>13.1</v>
      </c>
      <c r="M16" s="5" t="n">
        <v>89.5</v>
      </c>
      <c r="N16" s="5" t="n">
        <v>175</v>
      </c>
      <c r="O16" s="5" t="n">
        <v>22.5</v>
      </c>
      <c r="P16" s="5" t="n">
        <v>48.8</v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5" t="n">
        <v>148</v>
      </c>
      <c r="Z16" s="5" t="n">
        <v>38.3</v>
      </c>
    </row>
    <row r="17">
      <c r="A17" s="6" t="n">
        <v>16</v>
      </c>
      <c r="B17" s="3" t="inlineStr">
        <is>
          <t>2026-09-02 06:00</t>
        </is>
      </c>
      <c r="C17" s="3" t="inlineStr">
        <is>
          <t>A</t>
        </is>
      </c>
      <c r="D17" s="3" t="inlineStr">
        <is>
          <t>Blend_C</t>
        </is>
      </c>
      <c r="E17" s="3" t="inlineStr">
        <is>
          <t>LIMS</t>
        </is>
      </c>
      <c r="F17" s="7" t="n">
        <v>579.1</v>
      </c>
      <c r="G17" s="7" t="n">
        <v>36.3</v>
      </c>
      <c r="H17" s="7" t="n">
        <v>63.7</v>
      </c>
      <c r="I17" s="7" t="n">
        <v>36.08</v>
      </c>
      <c r="J17" s="7" t="n">
        <v>49.19</v>
      </c>
      <c r="K17" s="7" t="n">
        <v>102.8</v>
      </c>
      <c r="L17" s="7" t="n">
        <v>11.6</v>
      </c>
      <c r="M17" s="7" t="n">
        <v>89.90000000000001</v>
      </c>
      <c r="N17" s="7" t="n">
        <v>143</v>
      </c>
      <c r="O17" s="7" t="n">
        <v>21.3</v>
      </c>
      <c r="P17" s="7" t="n">
        <v>54.7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7" t="n">
        <v>192</v>
      </c>
      <c r="Z17" s="7" t="n">
        <v>33.9</v>
      </c>
    </row>
    <row r="18">
      <c r="A18" s="4" t="n">
        <v>17</v>
      </c>
      <c r="B18" s="2" t="inlineStr">
        <is>
          <t>2026-09-02 08:00</t>
        </is>
      </c>
      <c r="C18" s="2" t="inlineStr">
        <is>
          <t>B</t>
        </is>
      </c>
      <c r="D18" s="2" t="inlineStr">
        <is>
          <t>Blend_C</t>
        </is>
      </c>
      <c r="E18" s="2" t="inlineStr">
        <is>
          <t>LIMS</t>
        </is>
      </c>
      <c r="F18" s="5" t="n">
        <v>676.7</v>
      </c>
      <c r="G18" s="5" t="n">
        <v>36.4</v>
      </c>
      <c r="H18" s="5" t="n">
        <v>63.6</v>
      </c>
      <c r="I18" s="5" t="n">
        <v>39.26</v>
      </c>
      <c r="J18" s="5" t="n">
        <v>44.23</v>
      </c>
      <c r="K18" s="5" t="n">
        <v>101.3</v>
      </c>
      <c r="L18" s="5" t="n">
        <v>12.4</v>
      </c>
      <c r="M18" s="5" t="n">
        <v>81.59999999999999</v>
      </c>
      <c r="N18" s="5" t="n">
        <v>172</v>
      </c>
      <c r="O18" s="5" t="n">
        <v>22.9</v>
      </c>
      <c r="P18" s="5" t="n">
        <v>54.5</v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5" t="n">
        <v>213</v>
      </c>
      <c r="Z18" s="5" t="n">
        <v>33.4</v>
      </c>
    </row>
    <row r="19">
      <c r="A19" s="6" t="n">
        <v>18</v>
      </c>
      <c r="B19" s="3" t="inlineStr">
        <is>
          <t>2026-09-02 10:00</t>
        </is>
      </c>
      <c r="C19" s="3" t="inlineStr">
        <is>
          <t>B</t>
        </is>
      </c>
      <c r="D19" s="3" t="inlineStr">
        <is>
          <t>Blend_C</t>
        </is>
      </c>
      <c r="E19" s="3" t="inlineStr">
        <is>
          <t>LIMS</t>
        </is>
      </c>
      <c r="F19" s="7" t="n">
        <v>557.3</v>
      </c>
      <c r="G19" s="7" t="n">
        <v>35.9</v>
      </c>
      <c r="H19" s="7" t="n">
        <v>64.09999999999999</v>
      </c>
      <c r="I19" s="7" t="n">
        <v>39.25</v>
      </c>
      <c r="J19" s="7" t="n">
        <v>42.52</v>
      </c>
      <c r="K19" s="7" t="n">
        <v>96.09999999999999</v>
      </c>
      <c r="L19" s="7" t="n">
        <v>12.8</v>
      </c>
      <c r="M19" s="7" t="n">
        <v>89.40000000000001</v>
      </c>
      <c r="N19" s="7" t="n">
        <v>170</v>
      </c>
      <c r="O19" s="7" t="n">
        <v>19.5</v>
      </c>
      <c r="P19" s="7" t="n">
        <v>49.5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7" t="n">
        <v>153</v>
      </c>
      <c r="Z19" s="7" t="n">
        <v>43.6</v>
      </c>
    </row>
    <row r="20">
      <c r="A20" s="4" t="n">
        <v>19</v>
      </c>
      <c r="B20" s="2" t="inlineStr">
        <is>
          <t>2026-09-02 12:00</t>
        </is>
      </c>
      <c r="C20" s="2" t="inlineStr">
        <is>
          <t>B</t>
        </is>
      </c>
      <c r="D20" s="2" t="inlineStr">
        <is>
          <t>Blend_C</t>
        </is>
      </c>
      <c r="E20" s="2" t="inlineStr">
        <is>
          <t>LIMS</t>
        </is>
      </c>
      <c r="F20" s="5" t="n">
        <v>648.2</v>
      </c>
      <c r="G20" s="5" t="n">
        <v>34.8</v>
      </c>
      <c r="H20" s="5" t="n">
        <v>65.2</v>
      </c>
      <c r="I20" s="5" t="n">
        <v>39.6</v>
      </c>
      <c r="J20" s="5" t="n">
        <v>44.19</v>
      </c>
      <c r="K20" s="5" t="n">
        <v>85.3</v>
      </c>
      <c r="L20" s="5" t="n">
        <v>10.8</v>
      </c>
      <c r="M20" s="5" t="n">
        <v>85.90000000000001</v>
      </c>
      <c r="N20" s="5" t="n">
        <v>154</v>
      </c>
      <c r="O20" s="5" t="n">
        <v>20.6</v>
      </c>
      <c r="P20" s="5" t="n">
        <v>54</v>
      </c>
      <c r="Q20" s="2" t="n"/>
      <c r="R20" s="2" t="n"/>
      <c r="S20" s="2" t="n"/>
      <c r="T20" s="2" t="n"/>
      <c r="U20" s="2" t="n"/>
      <c r="V20" s="2" t="n"/>
      <c r="W20" s="2" t="n"/>
      <c r="X20" s="2" t="n"/>
      <c r="Y20" s="5" t="n">
        <v>175</v>
      </c>
      <c r="Z20" s="5" t="n">
        <v>30.4</v>
      </c>
    </row>
    <row r="21">
      <c r="A21" s="6" t="n">
        <v>20</v>
      </c>
      <c r="B21" s="3" t="inlineStr">
        <is>
          <t>2026-09-02 14:00</t>
        </is>
      </c>
      <c r="C21" s="3" t="inlineStr">
        <is>
          <t>B</t>
        </is>
      </c>
      <c r="D21" s="3" t="inlineStr">
        <is>
          <t>Blend_C</t>
        </is>
      </c>
      <c r="E21" s="3" t="inlineStr">
        <is>
          <t>LIMS</t>
        </is>
      </c>
      <c r="F21" s="7" t="n">
        <v>566.6</v>
      </c>
      <c r="G21" s="7" t="n">
        <v>32.7</v>
      </c>
      <c r="H21" s="7" t="n">
        <v>67.3</v>
      </c>
      <c r="I21" s="7" t="n">
        <v>36.91</v>
      </c>
      <c r="J21" s="7" t="n">
        <v>47.71</v>
      </c>
      <c r="K21" s="7" t="n">
        <v>91.90000000000001</v>
      </c>
      <c r="L21" s="7" t="n">
        <v>13.5</v>
      </c>
      <c r="M21" s="7" t="n">
        <v>84.7</v>
      </c>
      <c r="N21" s="7" t="n">
        <v>163</v>
      </c>
      <c r="O21" s="7" t="n">
        <v>19</v>
      </c>
      <c r="P21" s="7" t="n">
        <v>46.9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7" t="n">
        <v>144</v>
      </c>
      <c r="Z21" s="7" t="n">
        <v>20.1</v>
      </c>
    </row>
    <row r="22">
      <c r="A22" s="4" t="n">
        <v>21</v>
      </c>
      <c r="B22" s="2" t="inlineStr">
        <is>
          <t>2026-09-02 16:00</t>
        </is>
      </c>
      <c r="C22" s="2" t="inlineStr">
        <is>
          <t>C</t>
        </is>
      </c>
      <c r="D22" s="2" t="inlineStr">
        <is>
          <t>Blend_C</t>
        </is>
      </c>
      <c r="E22" s="2" t="inlineStr">
        <is>
          <t>LIMS</t>
        </is>
      </c>
      <c r="F22" s="5" t="n">
        <v>654.8</v>
      </c>
      <c r="G22" s="5" t="n">
        <v>35.4</v>
      </c>
      <c r="H22" s="5" t="n">
        <v>64.59999999999999</v>
      </c>
      <c r="I22" s="5" t="n">
        <v>37.53</v>
      </c>
      <c r="J22" s="5" t="n">
        <v>46.41</v>
      </c>
      <c r="K22" s="5" t="n">
        <v>94.7</v>
      </c>
      <c r="L22" s="5" t="n">
        <v>12.1</v>
      </c>
      <c r="M22" s="5" t="n">
        <v>83.7</v>
      </c>
      <c r="N22" s="5" t="n">
        <v>156</v>
      </c>
      <c r="O22" s="5" t="n">
        <v>22.5</v>
      </c>
      <c r="P22" s="5" t="n">
        <v>45.4</v>
      </c>
      <c r="Q22" s="2" t="n"/>
      <c r="R22" s="2" t="n"/>
      <c r="S22" s="2" t="n"/>
      <c r="T22" s="2" t="n"/>
      <c r="U22" s="2" t="n"/>
      <c r="V22" s="2" t="n"/>
      <c r="W22" s="2" t="n"/>
      <c r="X22" s="2" t="n"/>
      <c r="Y22" s="5" t="n">
        <v>165</v>
      </c>
      <c r="Z22" s="5" t="n">
        <v>36.4</v>
      </c>
    </row>
    <row r="23">
      <c r="A23" s="6" t="n">
        <v>22</v>
      </c>
      <c r="B23" s="3" t="inlineStr">
        <is>
          <t>2026-09-02 18:00</t>
        </is>
      </c>
      <c r="C23" s="3" t="inlineStr">
        <is>
          <t>C</t>
        </is>
      </c>
      <c r="D23" s="3" t="inlineStr">
        <is>
          <t>Blend_C</t>
        </is>
      </c>
      <c r="E23" s="3" t="inlineStr">
        <is>
          <t>LIMS</t>
        </is>
      </c>
      <c r="F23" s="7" t="n">
        <v>652.6</v>
      </c>
      <c r="G23" s="7" t="n">
        <v>34.2</v>
      </c>
      <c r="H23" s="7" t="n">
        <v>65.8</v>
      </c>
      <c r="I23" s="7" t="n">
        <v>36.81</v>
      </c>
      <c r="J23" s="7" t="n">
        <v>46.84</v>
      </c>
      <c r="K23" s="7" t="n">
        <v>99.90000000000001</v>
      </c>
      <c r="L23" s="7" t="n">
        <v>11.2</v>
      </c>
      <c r="M23" s="7" t="n">
        <v>81.3</v>
      </c>
      <c r="N23" s="7" t="n">
        <v>150</v>
      </c>
      <c r="O23" s="7" t="n">
        <v>20.2</v>
      </c>
      <c r="P23" s="7" t="n">
        <v>51.5</v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7" t="n">
        <v>197</v>
      </c>
      <c r="Z23" s="7" t="n">
        <v>25.7</v>
      </c>
    </row>
    <row r="24">
      <c r="A24" s="4" t="n">
        <v>23</v>
      </c>
      <c r="B24" s="2" t="inlineStr">
        <is>
          <t>2026-09-02 20:00</t>
        </is>
      </c>
      <c r="C24" s="2" t="inlineStr">
        <is>
          <t>C</t>
        </is>
      </c>
      <c r="D24" s="2" t="inlineStr">
        <is>
          <t>Blend_C</t>
        </is>
      </c>
      <c r="E24" s="2" t="inlineStr">
        <is>
          <t>LIMS</t>
        </is>
      </c>
      <c r="F24" s="5" t="n">
        <v>676</v>
      </c>
      <c r="G24" s="5" t="n">
        <v>35.9</v>
      </c>
      <c r="H24" s="5" t="n">
        <v>64.09999999999999</v>
      </c>
      <c r="I24" s="5" t="n">
        <v>40.01</v>
      </c>
      <c r="J24" s="5" t="n">
        <v>43.56</v>
      </c>
      <c r="K24" s="5" t="n">
        <v>98.40000000000001</v>
      </c>
      <c r="L24" s="5" t="n">
        <v>13.6</v>
      </c>
      <c r="M24" s="5" t="n">
        <v>85.59999999999999</v>
      </c>
      <c r="N24" s="5" t="n">
        <v>160</v>
      </c>
      <c r="O24" s="5" t="n">
        <v>19.7</v>
      </c>
      <c r="P24" s="5" t="n">
        <v>52.7</v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5" t="n">
        <v>159</v>
      </c>
      <c r="Z24" s="5" t="n">
        <v>24.7</v>
      </c>
    </row>
    <row r="25">
      <c r="A25" s="6" t="n">
        <v>24</v>
      </c>
      <c r="B25" s="3" t="inlineStr">
        <is>
          <t>2026-09-02 22:00</t>
        </is>
      </c>
      <c r="C25" s="3" t="inlineStr">
        <is>
          <t>C</t>
        </is>
      </c>
      <c r="D25" s="3" t="inlineStr">
        <is>
          <t>Blend_C</t>
        </is>
      </c>
      <c r="E25" s="3" t="inlineStr">
        <is>
          <t>LIMS</t>
        </is>
      </c>
      <c r="F25" s="7" t="n">
        <v>583.1</v>
      </c>
      <c r="G25" s="7" t="n">
        <v>35.1</v>
      </c>
      <c r="H25" s="7" t="n">
        <v>64.90000000000001</v>
      </c>
      <c r="I25" s="7" t="n">
        <v>39.45</v>
      </c>
      <c r="J25" s="7" t="n">
        <v>43.57</v>
      </c>
      <c r="K25" s="7" t="n">
        <v>93.2</v>
      </c>
      <c r="L25" s="7" t="n">
        <v>10.7</v>
      </c>
      <c r="M25" s="7" t="n">
        <v>89.3</v>
      </c>
      <c r="N25" s="7" t="n">
        <v>169</v>
      </c>
      <c r="O25" s="7" t="n">
        <v>23.8</v>
      </c>
      <c r="P25" s="7" t="n">
        <v>46.2</v>
      </c>
      <c r="Q25" s="3" t="n"/>
      <c r="R25" s="3" t="n"/>
      <c r="S25" s="3" t="n"/>
      <c r="T25" s="3" t="n"/>
      <c r="U25" s="3" t="n"/>
      <c r="V25" s="3" t="n"/>
      <c r="W25" s="3" t="n"/>
      <c r="X25" s="3" t="n"/>
      <c r="Y25" s="7" t="n">
        <v>213</v>
      </c>
      <c r="Z25" s="7" t="n">
        <v>43.2</v>
      </c>
    </row>
    <row r="26">
      <c r="A26" s="4" t="n">
        <v>25</v>
      </c>
      <c r="B26" s="2" t="inlineStr">
        <is>
          <t>2026-09-03 00:00</t>
        </is>
      </c>
      <c r="C26" s="2" t="inlineStr">
        <is>
          <t>A</t>
        </is>
      </c>
      <c r="D26" s="2" t="inlineStr">
        <is>
          <t>Blend_B</t>
        </is>
      </c>
      <c r="E26" s="2" t="inlineStr">
        <is>
          <t>LIMS</t>
        </is>
      </c>
      <c r="F26" s="5" t="n">
        <v>607.1</v>
      </c>
      <c r="G26" s="5" t="n">
        <v>33.7</v>
      </c>
      <c r="H26" s="5" t="n">
        <v>66.3</v>
      </c>
      <c r="I26" s="5" t="n">
        <v>40.15</v>
      </c>
      <c r="J26" s="5" t="n">
        <v>41.93</v>
      </c>
      <c r="K26" s="5" t="n">
        <v>95.09999999999999</v>
      </c>
      <c r="L26" s="5" t="n">
        <v>10.2</v>
      </c>
      <c r="M26" s="5" t="n">
        <v>89</v>
      </c>
      <c r="N26" s="5" t="n">
        <v>153</v>
      </c>
      <c r="O26" s="5" t="n">
        <v>21.3</v>
      </c>
      <c r="P26" s="5" t="n">
        <v>54.1</v>
      </c>
      <c r="Q26" s="2" t="n"/>
      <c r="R26" s="2" t="n"/>
      <c r="S26" s="2" t="n"/>
      <c r="T26" s="2" t="n"/>
      <c r="U26" s="2" t="n"/>
      <c r="V26" s="2" t="n"/>
      <c r="W26" s="2" t="n"/>
      <c r="X26" s="2" t="n"/>
      <c r="Y26" s="5" t="n">
        <v>202</v>
      </c>
      <c r="Z26" s="5" t="n">
        <v>18.5</v>
      </c>
    </row>
    <row r="27">
      <c r="A27" s="6" t="n">
        <v>26</v>
      </c>
      <c r="B27" s="3" t="inlineStr">
        <is>
          <t>2026-09-03 02:00</t>
        </is>
      </c>
      <c r="C27" s="3" t="inlineStr">
        <is>
          <t>A</t>
        </is>
      </c>
      <c r="D27" s="3" t="inlineStr">
        <is>
          <t>Blend_B</t>
        </is>
      </c>
      <c r="E27" s="3" t="inlineStr">
        <is>
          <t>LIMS</t>
        </is>
      </c>
      <c r="F27" s="7" t="n">
        <v>594.5</v>
      </c>
      <c r="G27" s="7" t="n">
        <v>35.7</v>
      </c>
      <c r="H27" s="7" t="n">
        <v>64.3</v>
      </c>
      <c r="I27" s="7" t="n">
        <v>39.29</v>
      </c>
      <c r="J27" s="7" t="n">
        <v>44.64</v>
      </c>
      <c r="K27" s="7" t="n">
        <v>92.90000000000001</v>
      </c>
      <c r="L27" s="7" t="n">
        <v>13</v>
      </c>
      <c r="M27" s="7" t="n">
        <v>81.5</v>
      </c>
      <c r="N27" s="7" t="n">
        <v>148</v>
      </c>
      <c r="O27" s="7" t="n">
        <v>22.3</v>
      </c>
      <c r="P27" s="7" t="n">
        <v>52.2</v>
      </c>
      <c r="Q27" s="3" t="n"/>
      <c r="R27" s="3" t="n"/>
      <c r="S27" s="3" t="n"/>
      <c r="T27" s="3" t="n"/>
      <c r="U27" s="3" t="n"/>
      <c r="V27" s="3" t="n"/>
      <c r="W27" s="3" t="n"/>
      <c r="X27" s="3" t="n"/>
      <c r="Y27" s="7" t="n">
        <v>204</v>
      </c>
      <c r="Z27" s="7" t="n">
        <v>35.8</v>
      </c>
    </row>
    <row r="28">
      <c r="A28" s="4" t="n">
        <v>27</v>
      </c>
      <c r="B28" s="2" t="inlineStr">
        <is>
          <t>2026-09-03 04:00</t>
        </is>
      </c>
      <c r="C28" s="2" t="inlineStr">
        <is>
          <t>A</t>
        </is>
      </c>
      <c r="D28" s="2" t="inlineStr">
        <is>
          <t>Blend_B</t>
        </is>
      </c>
      <c r="E28" s="2" t="inlineStr">
        <is>
          <t>LIMS</t>
        </is>
      </c>
      <c r="F28" s="5" t="n">
        <v>640.6</v>
      </c>
      <c r="G28" s="5" t="n">
        <v>36.2</v>
      </c>
      <c r="H28" s="5" t="n">
        <v>63.8</v>
      </c>
      <c r="I28" s="5" t="n">
        <v>40.98</v>
      </c>
      <c r="J28" s="5" t="n">
        <v>41.23</v>
      </c>
      <c r="K28" s="5" t="n">
        <v>97.09999999999999</v>
      </c>
      <c r="L28" s="5" t="n">
        <v>11.1</v>
      </c>
      <c r="M28" s="5" t="n">
        <v>87.40000000000001</v>
      </c>
      <c r="N28" s="5" t="n">
        <v>173</v>
      </c>
      <c r="O28" s="5" t="n">
        <v>23.6</v>
      </c>
      <c r="P28" s="5" t="n">
        <v>49.5</v>
      </c>
      <c r="Q28" s="2" t="n"/>
      <c r="R28" s="2" t="n"/>
      <c r="S28" s="2" t="n"/>
      <c r="T28" s="2" t="n"/>
      <c r="U28" s="2" t="n"/>
      <c r="V28" s="2" t="n"/>
      <c r="W28" s="2" t="n"/>
      <c r="X28" s="2" t="n"/>
      <c r="Y28" s="5" t="n">
        <v>151</v>
      </c>
      <c r="Z28" s="5" t="n">
        <v>44.5</v>
      </c>
    </row>
    <row r="29">
      <c r="A29" s="6" t="n">
        <v>28</v>
      </c>
      <c r="B29" s="3" t="inlineStr">
        <is>
          <t>2026-09-03 06:00</t>
        </is>
      </c>
      <c r="C29" s="3" t="inlineStr">
        <is>
          <t>A</t>
        </is>
      </c>
      <c r="D29" s="3" t="inlineStr">
        <is>
          <t>Blend_B</t>
        </is>
      </c>
      <c r="E29" s="3" t="inlineStr">
        <is>
          <t>LIMS</t>
        </is>
      </c>
      <c r="F29" s="7" t="n">
        <v>645.9</v>
      </c>
      <c r="G29" s="7" t="n">
        <v>34</v>
      </c>
      <c r="H29" s="7" t="n">
        <v>66</v>
      </c>
      <c r="I29" s="7" t="n">
        <v>39.35</v>
      </c>
      <c r="J29" s="7" t="n">
        <v>44.52</v>
      </c>
      <c r="K29" s="7" t="n">
        <v>88.5</v>
      </c>
      <c r="L29" s="7" t="n">
        <v>11.5</v>
      </c>
      <c r="M29" s="7" t="n">
        <v>84.2</v>
      </c>
      <c r="N29" s="7" t="n">
        <v>172</v>
      </c>
      <c r="O29" s="7" t="n">
        <v>20.2</v>
      </c>
      <c r="P29" s="7" t="n">
        <v>50.8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7" t="n">
        <v>203</v>
      </c>
      <c r="Z29" s="7" t="n">
        <v>15.4</v>
      </c>
    </row>
    <row r="30">
      <c r="A30" s="4" t="n">
        <v>29</v>
      </c>
      <c r="B30" s="2" t="inlineStr">
        <is>
          <t>2026-09-03 08:00</t>
        </is>
      </c>
      <c r="C30" s="2" t="inlineStr">
        <is>
          <t>B</t>
        </is>
      </c>
      <c r="D30" s="2" t="inlineStr">
        <is>
          <t>Blend_B</t>
        </is>
      </c>
      <c r="E30" s="2" t="inlineStr">
        <is>
          <t>LIMS</t>
        </is>
      </c>
      <c r="F30" s="5" t="n">
        <v>623.4</v>
      </c>
      <c r="G30" s="5" t="n">
        <v>32.3</v>
      </c>
      <c r="H30" s="5" t="n">
        <v>67.7</v>
      </c>
      <c r="I30" s="5" t="n">
        <v>41.56</v>
      </c>
      <c r="J30" s="5" t="n">
        <v>40.59</v>
      </c>
      <c r="K30" s="5" t="n">
        <v>93.8</v>
      </c>
      <c r="L30" s="5" t="n">
        <v>11</v>
      </c>
      <c r="M30" s="5" t="n">
        <v>85.59999999999999</v>
      </c>
      <c r="N30" s="5" t="n">
        <v>145</v>
      </c>
      <c r="O30" s="5" t="n">
        <v>19.1</v>
      </c>
      <c r="P30" s="5" t="n">
        <v>53.6</v>
      </c>
      <c r="Q30" s="2" t="n"/>
      <c r="R30" s="2" t="n"/>
      <c r="S30" s="2" t="n"/>
      <c r="T30" s="2" t="n"/>
      <c r="U30" s="2" t="n"/>
      <c r="V30" s="2" t="n"/>
      <c r="W30" s="2" t="n"/>
      <c r="X30" s="2" t="n"/>
      <c r="Y30" s="5" t="n">
        <v>235</v>
      </c>
      <c r="Z30" s="5" t="n">
        <v>26.2</v>
      </c>
    </row>
    <row r="31">
      <c r="A31" s="6" t="n">
        <v>30</v>
      </c>
      <c r="B31" s="3" t="inlineStr">
        <is>
          <t>2026-09-03 10:00</t>
        </is>
      </c>
      <c r="C31" s="3" t="inlineStr">
        <is>
          <t>B</t>
        </is>
      </c>
      <c r="D31" s="3" t="inlineStr">
        <is>
          <t>Blend_B</t>
        </is>
      </c>
      <c r="E31" s="3" t="inlineStr">
        <is>
          <t>LIMS</t>
        </is>
      </c>
      <c r="F31" s="7" t="n">
        <v>562.9</v>
      </c>
      <c r="G31" s="7" t="n">
        <v>33.1</v>
      </c>
      <c r="H31" s="7" t="n">
        <v>66.90000000000001</v>
      </c>
      <c r="I31" s="7" t="n">
        <v>41.74</v>
      </c>
      <c r="J31" s="7" t="n">
        <v>39.57</v>
      </c>
      <c r="K31" s="7" t="n">
        <v>92.90000000000001</v>
      </c>
      <c r="L31" s="7" t="n">
        <v>12.3</v>
      </c>
      <c r="M31" s="7" t="n">
        <v>82</v>
      </c>
      <c r="N31" s="7" t="n">
        <v>150</v>
      </c>
      <c r="O31" s="7" t="n">
        <v>23.4</v>
      </c>
      <c r="P31" s="7" t="n">
        <v>45.1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7" t="n">
        <v>149</v>
      </c>
      <c r="Z31" s="7" t="n">
        <v>21.2</v>
      </c>
    </row>
    <row r="32">
      <c r="A32" s="4" t="n">
        <v>31</v>
      </c>
      <c r="B32" s="2" t="inlineStr">
        <is>
          <t>2026-09-03 12:00</t>
        </is>
      </c>
      <c r="C32" s="2" t="inlineStr">
        <is>
          <t>B</t>
        </is>
      </c>
      <c r="D32" s="2" t="inlineStr">
        <is>
          <t>Blend_B</t>
        </is>
      </c>
      <c r="E32" s="2" t="inlineStr">
        <is>
          <t>LIMS</t>
        </is>
      </c>
      <c r="F32" s="5" t="n">
        <v>649.3</v>
      </c>
      <c r="G32" s="5" t="n">
        <v>32.6</v>
      </c>
      <c r="H32" s="5" t="n">
        <v>67.40000000000001</v>
      </c>
      <c r="I32" s="5" t="n">
        <v>41.96</v>
      </c>
      <c r="J32" s="5" t="n">
        <v>39.12</v>
      </c>
      <c r="K32" s="5" t="n">
        <v>101</v>
      </c>
      <c r="L32" s="5" t="n">
        <v>11.1</v>
      </c>
      <c r="M32" s="5" t="n">
        <v>80.2</v>
      </c>
      <c r="N32" s="5" t="n">
        <v>149</v>
      </c>
      <c r="O32" s="5" t="n">
        <v>21.2</v>
      </c>
      <c r="P32" s="5" t="n">
        <v>51.3</v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5" t="n">
        <v>166</v>
      </c>
      <c r="Z32" s="5" t="n">
        <v>19.2</v>
      </c>
    </row>
    <row r="33">
      <c r="A33" s="6" t="n">
        <v>32</v>
      </c>
      <c r="B33" s="3" t="inlineStr">
        <is>
          <t>2026-09-03 14:00</t>
        </is>
      </c>
      <c r="C33" s="3" t="inlineStr">
        <is>
          <t>B</t>
        </is>
      </c>
      <c r="D33" s="3" t="inlineStr">
        <is>
          <t>Blend_B</t>
        </is>
      </c>
      <c r="E33" s="3" t="inlineStr">
        <is>
          <t>LIMS</t>
        </is>
      </c>
      <c r="F33" s="7" t="n">
        <v>663.6</v>
      </c>
      <c r="G33" s="7" t="n">
        <v>34.7</v>
      </c>
      <c r="H33" s="7" t="n">
        <v>65.3</v>
      </c>
      <c r="I33" s="7" t="n">
        <v>41.07</v>
      </c>
      <c r="J33" s="7" t="n">
        <v>42.12</v>
      </c>
      <c r="K33" s="7" t="n">
        <v>103.3</v>
      </c>
      <c r="L33" s="7" t="n">
        <v>11.1</v>
      </c>
      <c r="M33" s="7" t="n">
        <v>83.8</v>
      </c>
      <c r="N33" s="7" t="n">
        <v>158</v>
      </c>
      <c r="O33" s="7" t="n">
        <v>18.3</v>
      </c>
      <c r="P33" s="7" t="n">
        <v>46.7</v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7" t="n">
        <v>214</v>
      </c>
      <c r="Z33" s="7" t="n">
        <v>17.5</v>
      </c>
    </row>
    <row r="34">
      <c r="A34" s="4" t="n">
        <v>33</v>
      </c>
      <c r="B34" s="2" t="inlineStr">
        <is>
          <t>2026-09-03 16:00</t>
        </is>
      </c>
      <c r="C34" s="2" t="inlineStr">
        <is>
          <t>C</t>
        </is>
      </c>
      <c r="D34" s="2" t="inlineStr">
        <is>
          <t>Blend_B</t>
        </is>
      </c>
      <c r="E34" s="2" t="inlineStr">
        <is>
          <t>LIMS</t>
        </is>
      </c>
      <c r="F34" s="5" t="n">
        <v>614.5</v>
      </c>
      <c r="G34" s="5" t="n">
        <v>34.7</v>
      </c>
      <c r="H34" s="5" t="n">
        <v>65.3</v>
      </c>
      <c r="I34" s="5" t="n">
        <v>40.11</v>
      </c>
      <c r="J34" s="5" t="n">
        <v>43.59</v>
      </c>
      <c r="K34" s="5" t="n">
        <v>86.5</v>
      </c>
      <c r="L34" s="5" t="n">
        <v>12.6</v>
      </c>
      <c r="M34" s="5" t="n">
        <v>85</v>
      </c>
      <c r="N34" s="5" t="n">
        <v>164</v>
      </c>
      <c r="O34" s="5" t="n">
        <v>20.6</v>
      </c>
      <c r="P34" s="5" t="n">
        <v>47.5</v>
      </c>
      <c r="Q34" s="2" t="n"/>
      <c r="R34" s="2" t="n"/>
      <c r="S34" s="2" t="n"/>
      <c r="T34" s="2" t="n"/>
      <c r="U34" s="2" t="n"/>
      <c r="V34" s="2" t="n"/>
      <c r="W34" s="2" t="n"/>
      <c r="X34" s="2" t="n"/>
      <c r="Y34" s="5" t="n">
        <v>222</v>
      </c>
      <c r="Z34" s="5" t="n">
        <v>39</v>
      </c>
    </row>
    <row r="35">
      <c r="A35" s="6" t="n">
        <v>34</v>
      </c>
      <c r="B35" s="3" t="inlineStr">
        <is>
          <t>2026-09-03 18:00</t>
        </is>
      </c>
      <c r="C35" s="3" t="inlineStr">
        <is>
          <t>C</t>
        </is>
      </c>
      <c r="D35" s="3" t="inlineStr">
        <is>
          <t>Blend_B</t>
        </is>
      </c>
      <c r="E35" s="3" t="inlineStr">
        <is>
          <t>LIMS</t>
        </is>
      </c>
      <c r="F35" s="7" t="n">
        <v>582.5</v>
      </c>
      <c r="G35" s="7" t="n">
        <v>34.2</v>
      </c>
      <c r="H35" s="7" t="n">
        <v>65.8</v>
      </c>
      <c r="I35" s="7" t="n">
        <v>39.87</v>
      </c>
      <c r="J35" s="7" t="n">
        <v>41.81</v>
      </c>
      <c r="K35" s="7" t="n">
        <v>85.8</v>
      </c>
      <c r="L35" s="7" t="n">
        <v>12.5</v>
      </c>
      <c r="M35" s="7" t="n">
        <v>89.3</v>
      </c>
      <c r="N35" s="7" t="n">
        <v>146</v>
      </c>
      <c r="O35" s="7" t="n">
        <v>21.4</v>
      </c>
      <c r="P35" s="7" t="n">
        <v>54.2</v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7" t="n">
        <v>143</v>
      </c>
      <c r="Z35" s="7" t="n">
        <v>35.9</v>
      </c>
    </row>
    <row r="36">
      <c r="A36" s="4" t="n">
        <v>35</v>
      </c>
      <c r="B36" s="2" t="inlineStr">
        <is>
          <t>2026-09-03 20:00</t>
        </is>
      </c>
      <c r="C36" s="2" t="inlineStr">
        <is>
          <t>C</t>
        </is>
      </c>
      <c r="D36" s="2" t="inlineStr">
        <is>
          <t>Blend_B</t>
        </is>
      </c>
      <c r="E36" s="2" t="inlineStr">
        <is>
          <t>LIMS</t>
        </is>
      </c>
      <c r="F36" s="5" t="n">
        <v>558.5</v>
      </c>
      <c r="G36" s="5" t="n">
        <v>33.4</v>
      </c>
      <c r="H36" s="5" t="n">
        <v>66.59999999999999</v>
      </c>
      <c r="I36" s="5" t="n">
        <v>40.95</v>
      </c>
      <c r="J36" s="5" t="n">
        <v>41.92</v>
      </c>
      <c r="K36" s="5" t="n">
        <v>97.5</v>
      </c>
      <c r="L36" s="5" t="n">
        <v>13.4</v>
      </c>
      <c r="M36" s="5" t="n">
        <v>86.2</v>
      </c>
      <c r="N36" s="5" t="n">
        <v>148</v>
      </c>
      <c r="O36" s="5" t="n">
        <v>18.1</v>
      </c>
      <c r="P36" s="5" t="n">
        <v>53.7</v>
      </c>
      <c r="Q36" s="2" t="n"/>
      <c r="R36" s="2" t="n"/>
      <c r="S36" s="2" t="n"/>
      <c r="T36" s="2" t="n"/>
      <c r="U36" s="2" t="n"/>
      <c r="V36" s="2" t="n"/>
      <c r="W36" s="2" t="n"/>
      <c r="X36" s="2" t="n"/>
      <c r="Y36" s="5" t="n">
        <v>142</v>
      </c>
      <c r="Z36" s="5" t="n">
        <v>41.2</v>
      </c>
    </row>
    <row r="37">
      <c r="A37" s="6" t="n">
        <v>36</v>
      </c>
      <c r="B37" s="3" t="inlineStr">
        <is>
          <t>2026-09-03 22:00</t>
        </is>
      </c>
      <c r="C37" s="3" t="inlineStr">
        <is>
          <t>C</t>
        </is>
      </c>
      <c r="D37" s="3" t="inlineStr">
        <is>
          <t>Blend_B</t>
        </is>
      </c>
      <c r="E37" s="3" t="inlineStr">
        <is>
          <t>LIMS</t>
        </is>
      </c>
      <c r="F37" s="7" t="n">
        <v>596.1</v>
      </c>
      <c r="G37" s="7" t="n">
        <v>33.3</v>
      </c>
      <c r="H37" s="7" t="n">
        <v>66.7</v>
      </c>
      <c r="I37" s="7" t="n">
        <v>39.42</v>
      </c>
      <c r="J37" s="7" t="n">
        <v>44.68</v>
      </c>
      <c r="K37" s="7" t="n">
        <v>85.40000000000001</v>
      </c>
      <c r="L37" s="7" t="n">
        <v>13.9</v>
      </c>
      <c r="M37" s="7" t="n">
        <v>84.3</v>
      </c>
      <c r="N37" s="7" t="n">
        <v>153</v>
      </c>
      <c r="O37" s="7" t="n">
        <v>22.1</v>
      </c>
      <c r="P37" s="7" t="n">
        <v>47.2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7" t="n">
        <v>235</v>
      </c>
      <c r="Z37" s="7" t="n">
        <v>38.6</v>
      </c>
    </row>
    <row r="38">
      <c r="A38" s="4" t="n">
        <v>37</v>
      </c>
      <c r="B38" s="2" t="inlineStr">
        <is>
          <t>2026-09-04 00:00</t>
        </is>
      </c>
      <c r="C38" s="2" t="inlineStr">
        <is>
          <t>A</t>
        </is>
      </c>
      <c r="D38" s="2" t="inlineStr">
        <is>
          <t>Blend_A</t>
        </is>
      </c>
      <c r="E38" s="2" t="inlineStr">
        <is>
          <t>LIMS</t>
        </is>
      </c>
      <c r="F38" s="5" t="n">
        <v>651.3</v>
      </c>
      <c r="G38" s="5" t="n">
        <v>33.6</v>
      </c>
      <c r="H38" s="5" t="n">
        <v>66.40000000000001</v>
      </c>
      <c r="I38" s="5" t="n">
        <v>37.73</v>
      </c>
      <c r="J38" s="5" t="n">
        <v>44.64</v>
      </c>
      <c r="K38" s="5" t="n">
        <v>102.7</v>
      </c>
      <c r="L38" s="5" t="n">
        <v>13.6</v>
      </c>
      <c r="M38" s="5" t="n">
        <v>89.90000000000001</v>
      </c>
      <c r="N38" s="5" t="n">
        <v>146</v>
      </c>
      <c r="O38" s="5" t="n">
        <v>20.4</v>
      </c>
      <c r="P38" s="5" t="n">
        <v>52.6</v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5" t="n">
        <v>210</v>
      </c>
      <c r="Z38" s="5" t="n">
        <v>19.6</v>
      </c>
    </row>
    <row r="39">
      <c r="A39" s="6" t="n">
        <v>38</v>
      </c>
      <c r="B39" s="3" t="inlineStr">
        <is>
          <t>2026-09-04 02:00</t>
        </is>
      </c>
      <c r="C39" s="3" t="inlineStr">
        <is>
          <t>A</t>
        </is>
      </c>
      <c r="D39" s="3" t="inlineStr">
        <is>
          <t>Blend_A</t>
        </is>
      </c>
      <c r="E39" s="3" t="inlineStr">
        <is>
          <t>LIMS</t>
        </is>
      </c>
      <c r="F39" s="7" t="n">
        <v>603.1</v>
      </c>
      <c r="G39" s="7" t="n">
        <v>33.7</v>
      </c>
      <c r="H39" s="7" t="n">
        <v>66.3</v>
      </c>
      <c r="I39" s="7" t="n">
        <v>38.54</v>
      </c>
      <c r="J39" s="7" t="n">
        <v>44.16</v>
      </c>
      <c r="K39" s="7" t="n">
        <v>94.90000000000001</v>
      </c>
      <c r="L39" s="7" t="n">
        <v>9.4</v>
      </c>
      <c r="M39" s="7" t="n">
        <v>82.2</v>
      </c>
      <c r="N39" s="7" t="n">
        <v>164</v>
      </c>
      <c r="O39" s="7" t="n">
        <v>18.5</v>
      </c>
      <c r="P39" s="7" t="n">
        <v>53.5</v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7" t="n">
        <v>190</v>
      </c>
      <c r="Z39" s="7" t="n">
        <v>29.4</v>
      </c>
    </row>
    <row r="40">
      <c r="A40" s="4" t="n">
        <v>39</v>
      </c>
      <c r="B40" s="2" t="inlineStr">
        <is>
          <t>2026-09-04 04:00</t>
        </is>
      </c>
      <c r="C40" s="2" t="inlineStr">
        <is>
          <t>A</t>
        </is>
      </c>
      <c r="D40" s="2" t="inlineStr">
        <is>
          <t>Blend_A</t>
        </is>
      </c>
      <c r="E40" s="2" t="inlineStr">
        <is>
          <t>LIMS</t>
        </is>
      </c>
      <c r="F40" s="5" t="n">
        <v>570.6</v>
      </c>
      <c r="G40" s="5" t="n">
        <v>36</v>
      </c>
      <c r="H40" s="5" t="n">
        <v>64</v>
      </c>
      <c r="I40" s="5" t="n">
        <v>40.99</v>
      </c>
      <c r="J40" s="5" t="n">
        <v>42.59</v>
      </c>
      <c r="K40" s="5" t="n">
        <v>101.5</v>
      </c>
      <c r="L40" s="5" t="n">
        <v>9.6</v>
      </c>
      <c r="M40" s="5" t="n">
        <v>83.40000000000001</v>
      </c>
      <c r="N40" s="5" t="n">
        <v>166</v>
      </c>
      <c r="O40" s="5" t="n">
        <v>19</v>
      </c>
      <c r="P40" s="5" t="n">
        <v>53.2</v>
      </c>
      <c r="Q40" s="2" t="n"/>
      <c r="R40" s="2" t="n"/>
      <c r="S40" s="2" t="n"/>
      <c r="T40" s="2" t="n"/>
      <c r="U40" s="2" t="n"/>
      <c r="V40" s="2" t="n"/>
      <c r="W40" s="2" t="n"/>
      <c r="X40" s="2" t="n"/>
      <c r="Y40" s="5" t="n">
        <v>223</v>
      </c>
      <c r="Z40" s="5" t="n">
        <v>30.2</v>
      </c>
    </row>
    <row r="41">
      <c r="A41" s="6" t="n">
        <v>40</v>
      </c>
      <c r="B41" s="3" t="inlineStr">
        <is>
          <t>2026-09-04 06:00</t>
        </is>
      </c>
      <c r="C41" s="3" t="inlineStr">
        <is>
          <t>A</t>
        </is>
      </c>
      <c r="D41" s="3" t="inlineStr">
        <is>
          <t>Blend_A</t>
        </is>
      </c>
      <c r="E41" s="3" t="inlineStr">
        <is>
          <t>LIMS</t>
        </is>
      </c>
      <c r="F41" s="7" t="n">
        <v>671.8</v>
      </c>
      <c r="G41" s="7" t="n">
        <v>35.1</v>
      </c>
      <c r="H41" s="7" t="n">
        <v>64.90000000000001</v>
      </c>
      <c r="I41" s="7" t="n">
        <v>37.77</v>
      </c>
      <c r="J41" s="7" t="n">
        <v>46.26</v>
      </c>
      <c r="K41" s="7" t="n">
        <v>99.2</v>
      </c>
      <c r="L41" s="7" t="n">
        <v>9.300000000000001</v>
      </c>
      <c r="M41" s="7" t="n">
        <v>85.8</v>
      </c>
      <c r="N41" s="7" t="n">
        <v>152</v>
      </c>
      <c r="O41" s="7" t="n">
        <v>21.7</v>
      </c>
      <c r="P41" s="7" t="n">
        <v>45.5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7" t="n">
        <v>227</v>
      </c>
      <c r="Z41" s="7" t="n">
        <v>44.2</v>
      </c>
    </row>
    <row r="42">
      <c r="A42" s="4" t="n">
        <v>41</v>
      </c>
      <c r="B42" s="2" t="inlineStr">
        <is>
          <t>2026-09-04 08:00</t>
        </is>
      </c>
      <c r="C42" s="2" t="inlineStr">
        <is>
          <t>B</t>
        </is>
      </c>
      <c r="D42" s="2" t="inlineStr">
        <is>
          <t>Blend_A</t>
        </is>
      </c>
      <c r="E42" s="2" t="inlineStr">
        <is>
          <t>LIMS</t>
        </is>
      </c>
      <c r="F42" s="5" t="n">
        <v>640.2</v>
      </c>
      <c r="G42" s="5" t="n">
        <v>33</v>
      </c>
      <c r="H42" s="5" t="n">
        <v>67</v>
      </c>
      <c r="I42" s="5" t="n">
        <v>37.83</v>
      </c>
      <c r="J42" s="5" t="n">
        <v>45.23</v>
      </c>
      <c r="K42" s="5" t="n">
        <v>98.09999999999999</v>
      </c>
      <c r="L42" s="5" t="n">
        <v>10.4</v>
      </c>
      <c r="M42" s="5" t="n">
        <v>89.5</v>
      </c>
      <c r="N42" s="5" t="n">
        <v>145</v>
      </c>
      <c r="O42" s="5" t="n">
        <v>20.6</v>
      </c>
      <c r="P42" s="5" t="n">
        <v>54.4</v>
      </c>
      <c r="Q42" s="2" t="n"/>
      <c r="R42" s="2" t="n"/>
      <c r="S42" s="2" t="n"/>
      <c r="T42" s="2" t="n"/>
      <c r="U42" s="2" t="n"/>
      <c r="V42" s="2" t="n"/>
      <c r="W42" s="2" t="n"/>
      <c r="X42" s="2" t="n"/>
      <c r="Y42" s="5" t="n">
        <v>182</v>
      </c>
      <c r="Z42" s="5" t="n">
        <v>34.2</v>
      </c>
    </row>
    <row r="43">
      <c r="A43" s="6" t="n">
        <v>42</v>
      </c>
      <c r="B43" s="3" t="inlineStr">
        <is>
          <t>2026-09-04 10:00</t>
        </is>
      </c>
      <c r="C43" s="3" t="inlineStr">
        <is>
          <t>B</t>
        </is>
      </c>
      <c r="D43" s="3" t="inlineStr">
        <is>
          <t>Blend_A</t>
        </is>
      </c>
      <c r="E43" s="3" t="inlineStr">
        <is>
          <t>LIMS</t>
        </is>
      </c>
      <c r="F43" s="7" t="n">
        <v>659.8</v>
      </c>
      <c r="G43" s="7" t="n">
        <v>35.4</v>
      </c>
      <c r="H43" s="7" t="n">
        <v>64.59999999999999</v>
      </c>
      <c r="I43" s="7" t="n">
        <v>40</v>
      </c>
      <c r="J43" s="7" t="n">
        <v>43.67</v>
      </c>
      <c r="K43" s="7" t="n">
        <v>85.7</v>
      </c>
      <c r="L43" s="7" t="n">
        <v>13.6</v>
      </c>
      <c r="M43" s="7" t="n">
        <v>86.2</v>
      </c>
      <c r="N43" s="7" t="n">
        <v>168</v>
      </c>
      <c r="O43" s="7" t="n">
        <v>20.9</v>
      </c>
      <c r="P43" s="7" t="n">
        <v>46.2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7" t="n">
        <v>153</v>
      </c>
      <c r="Z43" s="7" t="n">
        <v>35.6</v>
      </c>
    </row>
    <row r="44">
      <c r="A44" s="4" t="n">
        <v>43</v>
      </c>
      <c r="B44" s="2" t="inlineStr">
        <is>
          <t>2026-09-04 12:00</t>
        </is>
      </c>
      <c r="C44" s="2" t="inlineStr">
        <is>
          <t>B</t>
        </is>
      </c>
      <c r="D44" s="2" t="inlineStr">
        <is>
          <t>Blend_A</t>
        </is>
      </c>
      <c r="E44" s="2" t="inlineStr">
        <is>
          <t>LIMS</t>
        </is>
      </c>
      <c r="F44" s="5" t="n">
        <v>651.4</v>
      </c>
      <c r="G44" s="5" t="n">
        <v>32.2</v>
      </c>
      <c r="H44" s="5" t="n">
        <v>67.8</v>
      </c>
      <c r="I44" s="5" t="n">
        <v>39.42</v>
      </c>
      <c r="J44" s="5" t="n">
        <v>44.52</v>
      </c>
      <c r="K44" s="5" t="n">
        <v>89.8</v>
      </c>
      <c r="L44" s="5" t="n">
        <v>13.9</v>
      </c>
      <c r="M44" s="5" t="n">
        <v>81.40000000000001</v>
      </c>
      <c r="N44" s="5" t="n">
        <v>157</v>
      </c>
      <c r="O44" s="5" t="n">
        <v>21.7</v>
      </c>
      <c r="P44" s="5" t="n">
        <v>52</v>
      </c>
      <c r="Q44" s="2" t="n"/>
      <c r="R44" s="2" t="n"/>
      <c r="S44" s="2" t="n"/>
      <c r="T44" s="2" t="n"/>
      <c r="U44" s="2" t="n"/>
      <c r="V44" s="2" t="n"/>
      <c r="W44" s="2" t="n"/>
      <c r="X44" s="2" t="n"/>
      <c r="Y44" s="5" t="n">
        <v>196</v>
      </c>
      <c r="Z44" s="5" t="n">
        <v>15.3</v>
      </c>
    </row>
    <row r="45">
      <c r="A45" s="6" t="n">
        <v>44</v>
      </c>
      <c r="B45" s="3" t="inlineStr">
        <is>
          <t>2026-09-04 14:00</t>
        </is>
      </c>
      <c r="C45" s="3" t="inlineStr">
        <is>
          <t>B</t>
        </is>
      </c>
      <c r="D45" s="3" t="inlineStr">
        <is>
          <t>Blend_A</t>
        </is>
      </c>
      <c r="E45" s="3" t="inlineStr">
        <is>
          <t>LIMS</t>
        </is>
      </c>
      <c r="F45" s="7" t="n">
        <v>671.7</v>
      </c>
      <c r="G45" s="7" t="n">
        <v>32.2</v>
      </c>
      <c r="H45" s="7" t="n">
        <v>67.8</v>
      </c>
      <c r="I45" s="7" t="n">
        <v>39.67</v>
      </c>
      <c r="J45" s="7" t="n">
        <v>42.68</v>
      </c>
      <c r="K45" s="7" t="n">
        <v>102.4</v>
      </c>
      <c r="L45" s="7" t="n">
        <v>12.6</v>
      </c>
      <c r="M45" s="7" t="n">
        <v>88</v>
      </c>
      <c r="N45" s="7" t="n">
        <v>152</v>
      </c>
      <c r="O45" s="7" t="n">
        <v>22.9</v>
      </c>
      <c r="P45" s="7" t="n">
        <v>45.8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7" t="n">
        <v>229</v>
      </c>
      <c r="Z45" s="7" t="n">
        <v>31.4</v>
      </c>
    </row>
    <row r="46">
      <c r="A46" s="4" t="n">
        <v>45</v>
      </c>
      <c r="B46" s="2" t="inlineStr">
        <is>
          <t>2026-09-04 16:00</t>
        </is>
      </c>
      <c r="C46" s="2" t="inlineStr">
        <is>
          <t>C</t>
        </is>
      </c>
      <c r="D46" s="2" t="inlineStr">
        <is>
          <t>Blend_A</t>
        </is>
      </c>
      <c r="E46" s="2" t="inlineStr">
        <is>
          <t>LIMS</t>
        </is>
      </c>
      <c r="F46" s="5" t="n">
        <v>622.2</v>
      </c>
      <c r="G46" s="5" t="n">
        <v>35.2</v>
      </c>
      <c r="H46" s="5" t="n">
        <v>64.8</v>
      </c>
      <c r="I46" s="5" t="n">
        <v>38.41</v>
      </c>
      <c r="J46" s="5" t="n">
        <v>43.65</v>
      </c>
      <c r="K46" s="5" t="n">
        <v>104.5</v>
      </c>
      <c r="L46" s="5" t="n">
        <v>12.3</v>
      </c>
      <c r="M46" s="5" t="n">
        <v>82</v>
      </c>
      <c r="N46" s="5" t="n">
        <v>164</v>
      </c>
      <c r="O46" s="5" t="n">
        <v>18.4</v>
      </c>
      <c r="P46" s="5" t="n">
        <v>45.3</v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5" t="n">
        <v>166</v>
      </c>
      <c r="Z46" s="5" t="n">
        <v>28.9</v>
      </c>
    </row>
    <row r="47">
      <c r="A47" s="6" t="n">
        <v>46</v>
      </c>
      <c r="B47" s="3" t="inlineStr">
        <is>
          <t>2026-09-04 18:00</t>
        </is>
      </c>
      <c r="C47" s="3" t="inlineStr">
        <is>
          <t>C</t>
        </is>
      </c>
      <c r="D47" s="3" t="inlineStr">
        <is>
          <t>Blend_A</t>
        </is>
      </c>
      <c r="E47" s="3" t="inlineStr">
        <is>
          <t>LIMS</t>
        </is>
      </c>
      <c r="F47" s="7" t="n">
        <v>627</v>
      </c>
      <c r="G47" s="7" t="n">
        <v>36.1</v>
      </c>
      <c r="H47" s="7" t="n">
        <v>63.9</v>
      </c>
      <c r="I47" s="7" t="n">
        <v>38.34</v>
      </c>
      <c r="J47" s="7" t="n">
        <v>44.68</v>
      </c>
      <c r="K47" s="7" t="n">
        <v>97.59999999999999</v>
      </c>
      <c r="L47" s="7" t="n">
        <v>12.7</v>
      </c>
      <c r="M47" s="7" t="n">
        <v>81.3</v>
      </c>
      <c r="N47" s="7" t="n">
        <v>165</v>
      </c>
      <c r="O47" s="7" t="n">
        <v>23.5</v>
      </c>
      <c r="P47" s="7" t="n">
        <v>46.8</v>
      </c>
      <c r="Q47" s="3" t="n"/>
      <c r="R47" s="3" t="n"/>
      <c r="S47" s="3" t="n"/>
      <c r="T47" s="3" t="n"/>
      <c r="U47" s="3" t="n"/>
      <c r="V47" s="3" t="n"/>
      <c r="W47" s="3" t="n"/>
      <c r="X47" s="3" t="n"/>
      <c r="Y47" s="7" t="n">
        <v>164</v>
      </c>
      <c r="Z47" s="7" t="n">
        <v>44.1</v>
      </c>
    </row>
    <row r="48">
      <c r="A48" s="4" t="n">
        <v>47</v>
      </c>
      <c r="B48" s="2" t="inlineStr">
        <is>
          <t>2026-09-04 20:00</t>
        </is>
      </c>
      <c r="C48" s="2" t="inlineStr">
        <is>
          <t>C</t>
        </is>
      </c>
      <c r="D48" s="2" t="inlineStr">
        <is>
          <t>Blend_A</t>
        </is>
      </c>
      <c r="E48" s="2" t="inlineStr">
        <is>
          <t>LIMS</t>
        </is>
      </c>
      <c r="F48" s="5" t="n">
        <v>676.1</v>
      </c>
      <c r="G48" s="5" t="n">
        <v>34</v>
      </c>
      <c r="H48" s="5" t="n">
        <v>66</v>
      </c>
      <c r="I48" s="5" t="n">
        <v>38.44</v>
      </c>
      <c r="J48" s="5" t="n">
        <v>45.92</v>
      </c>
      <c r="K48" s="5" t="n">
        <v>88.40000000000001</v>
      </c>
      <c r="L48" s="5" t="n">
        <v>11.6</v>
      </c>
      <c r="M48" s="5" t="n">
        <v>83.40000000000001</v>
      </c>
      <c r="N48" s="5" t="n">
        <v>169</v>
      </c>
      <c r="O48" s="5" t="n">
        <v>20.6</v>
      </c>
      <c r="P48" s="5" t="n">
        <v>47.5</v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5" t="n">
        <v>202</v>
      </c>
      <c r="Z48" s="5" t="n">
        <v>36.2</v>
      </c>
    </row>
    <row r="49">
      <c r="A49" s="6" t="n">
        <v>48</v>
      </c>
      <c r="B49" s="3" t="inlineStr">
        <is>
          <t>2026-09-04 22:00</t>
        </is>
      </c>
      <c r="C49" s="3" t="inlineStr">
        <is>
          <t>C</t>
        </is>
      </c>
      <c r="D49" s="3" t="inlineStr">
        <is>
          <t>Blend_A</t>
        </is>
      </c>
      <c r="E49" s="3" t="inlineStr">
        <is>
          <t>LIMS</t>
        </is>
      </c>
      <c r="F49" s="7" t="n">
        <v>565.9</v>
      </c>
      <c r="G49" s="7" t="n">
        <v>34</v>
      </c>
      <c r="H49" s="7" t="n">
        <v>66</v>
      </c>
      <c r="I49" s="7" t="n">
        <v>41.24</v>
      </c>
      <c r="J49" s="7" t="n">
        <v>41.54</v>
      </c>
      <c r="K49" s="7" t="n">
        <v>95.09999999999999</v>
      </c>
      <c r="L49" s="7" t="n">
        <v>9.199999999999999</v>
      </c>
      <c r="M49" s="7" t="n">
        <v>81.5</v>
      </c>
      <c r="N49" s="7" t="n">
        <v>175</v>
      </c>
      <c r="O49" s="7" t="n">
        <v>23.8</v>
      </c>
      <c r="P49" s="7" t="n">
        <v>45</v>
      </c>
      <c r="Q49" s="3" t="n"/>
      <c r="R49" s="3" t="n"/>
      <c r="S49" s="3" t="n"/>
      <c r="T49" s="3" t="n"/>
      <c r="U49" s="3" t="n"/>
      <c r="V49" s="3" t="n"/>
      <c r="W49" s="3" t="n"/>
      <c r="X49" s="3" t="n"/>
      <c r="Y49" s="7" t="n">
        <v>235</v>
      </c>
      <c r="Z49" s="7" t="n">
        <v>34.2</v>
      </c>
    </row>
    <row r="50">
      <c r="A50" s="4" t="n">
        <v>49</v>
      </c>
      <c r="B50" s="2" t="inlineStr">
        <is>
          <t>2026-09-05 00:00</t>
        </is>
      </c>
      <c r="C50" s="2" t="inlineStr">
        <is>
          <t>A</t>
        </is>
      </c>
      <c r="D50" s="2" t="inlineStr">
        <is>
          <t>Blend_A</t>
        </is>
      </c>
      <c r="E50" s="2" t="inlineStr">
        <is>
          <t>LIMS</t>
        </is>
      </c>
      <c r="F50" s="5" t="n">
        <v>640</v>
      </c>
      <c r="G50" s="5" t="n">
        <v>35.8</v>
      </c>
      <c r="H50" s="5" t="n">
        <v>64.2</v>
      </c>
      <c r="I50" s="5" t="n">
        <v>41.28</v>
      </c>
      <c r="J50" s="5" t="n">
        <v>40.57</v>
      </c>
      <c r="K50" s="5" t="n">
        <v>94.90000000000001</v>
      </c>
      <c r="L50" s="5" t="n">
        <v>12.1</v>
      </c>
      <c r="M50" s="5" t="n">
        <v>88.7</v>
      </c>
      <c r="N50" s="5" t="n">
        <v>160</v>
      </c>
      <c r="O50" s="5" t="n">
        <v>18.2</v>
      </c>
      <c r="P50" s="5" t="n">
        <v>54.3</v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5" t="n">
        <v>209</v>
      </c>
      <c r="Z50" s="5" t="n">
        <v>35.3</v>
      </c>
    </row>
    <row r="51">
      <c r="A51" s="6" t="n">
        <v>50</v>
      </c>
      <c r="B51" s="3" t="inlineStr">
        <is>
          <t>2026-09-05 02:00</t>
        </is>
      </c>
      <c r="C51" s="3" t="inlineStr">
        <is>
          <t>A</t>
        </is>
      </c>
      <c r="D51" s="3" t="inlineStr">
        <is>
          <t>Blend_A</t>
        </is>
      </c>
      <c r="E51" s="3" t="inlineStr">
        <is>
          <t>LIMS</t>
        </is>
      </c>
      <c r="F51" s="7" t="n">
        <v>636.8</v>
      </c>
      <c r="G51" s="7" t="n">
        <v>35.6</v>
      </c>
      <c r="H51" s="7" t="n">
        <v>64.40000000000001</v>
      </c>
      <c r="I51" s="7" t="n">
        <v>40.55</v>
      </c>
      <c r="J51" s="7" t="n">
        <v>41.26</v>
      </c>
      <c r="K51" s="7" t="n">
        <v>93.7</v>
      </c>
      <c r="L51" s="7" t="n">
        <v>13.1</v>
      </c>
      <c r="M51" s="7" t="n">
        <v>81.2</v>
      </c>
      <c r="N51" s="7" t="n">
        <v>159</v>
      </c>
      <c r="O51" s="7" t="n">
        <v>18</v>
      </c>
      <c r="P51" s="7" t="n">
        <v>48.2</v>
      </c>
      <c r="Q51" s="3" t="n"/>
      <c r="R51" s="3" t="n"/>
      <c r="S51" s="3" t="n"/>
      <c r="T51" s="3" t="n"/>
      <c r="U51" s="3" t="n"/>
      <c r="V51" s="3" t="n"/>
      <c r="W51" s="3" t="n"/>
      <c r="X51" s="3" t="n"/>
      <c r="Y51" s="7" t="n">
        <v>177</v>
      </c>
      <c r="Z51" s="7" t="n">
        <v>26.9</v>
      </c>
    </row>
    <row r="52">
      <c r="A52" s="4" t="n">
        <v>51</v>
      </c>
      <c r="B52" s="2" t="inlineStr">
        <is>
          <t>2026-09-05 04:00</t>
        </is>
      </c>
      <c r="C52" s="2" t="inlineStr">
        <is>
          <t>A</t>
        </is>
      </c>
      <c r="D52" s="2" t="inlineStr">
        <is>
          <t>Blend_A</t>
        </is>
      </c>
      <c r="E52" s="2" t="inlineStr">
        <is>
          <t>LIMS</t>
        </is>
      </c>
      <c r="F52" s="5" t="n">
        <v>599.4</v>
      </c>
      <c r="G52" s="5" t="n">
        <v>33.8</v>
      </c>
      <c r="H52" s="5" t="n">
        <v>66.2</v>
      </c>
      <c r="I52" s="5" t="n">
        <v>39.82</v>
      </c>
      <c r="J52" s="5" t="n">
        <v>42.91</v>
      </c>
      <c r="K52" s="5" t="n">
        <v>97.2</v>
      </c>
      <c r="L52" s="5" t="n">
        <v>12.8</v>
      </c>
      <c r="M52" s="5" t="n">
        <v>88.09999999999999</v>
      </c>
      <c r="N52" s="5" t="n">
        <v>165</v>
      </c>
      <c r="O52" s="5" t="n">
        <v>23.7</v>
      </c>
      <c r="P52" s="5" t="n">
        <v>45.2</v>
      </c>
      <c r="Q52" s="2" t="n"/>
      <c r="R52" s="2" t="n"/>
      <c r="S52" s="2" t="n"/>
      <c r="T52" s="2" t="n"/>
      <c r="U52" s="2" t="n"/>
      <c r="V52" s="2" t="n"/>
      <c r="W52" s="2" t="n"/>
      <c r="X52" s="2" t="n"/>
      <c r="Y52" s="5" t="n">
        <v>160</v>
      </c>
      <c r="Z52" s="5" t="n">
        <v>15.2</v>
      </c>
    </row>
    <row r="53">
      <c r="A53" s="6" t="n">
        <v>52</v>
      </c>
      <c r="B53" s="3" t="inlineStr">
        <is>
          <t>2026-09-05 06:00</t>
        </is>
      </c>
      <c r="C53" s="3" t="inlineStr">
        <is>
          <t>A</t>
        </is>
      </c>
      <c r="D53" s="3" t="inlineStr">
        <is>
          <t>Blend_A</t>
        </is>
      </c>
      <c r="E53" s="3" t="inlineStr">
        <is>
          <t>LIMS</t>
        </is>
      </c>
      <c r="F53" s="7" t="n">
        <v>585.4</v>
      </c>
      <c r="G53" s="7" t="n">
        <v>33.9</v>
      </c>
      <c r="H53" s="7" t="n">
        <v>66.09999999999999</v>
      </c>
      <c r="I53" s="7" t="n">
        <v>37.99</v>
      </c>
      <c r="J53" s="7" t="n">
        <v>46.26</v>
      </c>
      <c r="K53" s="7" t="n">
        <v>98.59999999999999</v>
      </c>
      <c r="L53" s="7" t="n">
        <v>9.9</v>
      </c>
      <c r="M53" s="7" t="n">
        <v>85.3</v>
      </c>
      <c r="N53" s="7" t="n">
        <v>165</v>
      </c>
      <c r="O53" s="7" t="n">
        <v>18.6</v>
      </c>
      <c r="P53" s="7" t="n">
        <v>50.7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7" t="n">
        <v>166</v>
      </c>
      <c r="Z53" s="7" t="n">
        <v>43.9</v>
      </c>
    </row>
    <row r="54">
      <c r="A54" s="4" t="n">
        <v>53</v>
      </c>
      <c r="B54" s="2" t="inlineStr">
        <is>
          <t>2026-09-05 08:00</t>
        </is>
      </c>
      <c r="C54" s="2" t="inlineStr">
        <is>
          <t>B</t>
        </is>
      </c>
      <c r="D54" s="2" t="inlineStr">
        <is>
          <t>Blend_A</t>
        </is>
      </c>
      <c r="E54" s="2" t="inlineStr">
        <is>
          <t>LIMS</t>
        </is>
      </c>
      <c r="F54" s="5" t="n">
        <v>651.5</v>
      </c>
      <c r="G54" s="5" t="n">
        <v>33.2</v>
      </c>
      <c r="H54" s="5" t="n">
        <v>66.8</v>
      </c>
      <c r="I54" s="5" t="n">
        <v>40.79</v>
      </c>
      <c r="J54" s="5" t="n">
        <v>41.87</v>
      </c>
      <c r="K54" s="5" t="n">
        <v>98.40000000000001</v>
      </c>
      <c r="L54" s="5" t="n">
        <v>9.5</v>
      </c>
      <c r="M54" s="5" t="n">
        <v>86.2</v>
      </c>
      <c r="N54" s="5" t="n">
        <v>156</v>
      </c>
      <c r="O54" s="5" t="n">
        <v>21.5</v>
      </c>
      <c r="P54" s="5" t="n">
        <v>46.7</v>
      </c>
      <c r="Q54" s="2" t="n"/>
      <c r="R54" s="2" t="n"/>
      <c r="S54" s="2" t="n"/>
      <c r="T54" s="2" t="n"/>
      <c r="U54" s="2" t="n"/>
      <c r="V54" s="2" t="n"/>
      <c r="W54" s="2" t="n"/>
      <c r="X54" s="2" t="n"/>
      <c r="Y54" s="5" t="n">
        <v>214</v>
      </c>
      <c r="Z54" s="5" t="n">
        <v>40.9</v>
      </c>
    </row>
    <row r="55">
      <c r="A55" s="6" t="n">
        <v>54</v>
      </c>
      <c r="B55" s="3" t="inlineStr">
        <is>
          <t>2026-09-05 10:00</t>
        </is>
      </c>
      <c r="C55" s="3" t="inlineStr">
        <is>
          <t>B</t>
        </is>
      </c>
      <c r="D55" s="3" t="inlineStr">
        <is>
          <t>Blend_A</t>
        </is>
      </c>
      <c r="E55" s="3" t="inlineStr">
        <is>
          <t>LIMS</t>
        </is>
      </c>
      <c r="F55" s="7" t="n">
        <v>678.9</v>
      </c>
      <c r="G55" s="7" t="n">
        <v>32.6</v>
      </c>
      <c r="H55" s="7" t="n">
        <v>67.40000000000001</v>
      </c>
      <c r="I55" s="7" t="n">
        <v>37.92</v>
      </c>
      <c r="J55" s="7" t="n">
        <v>45</v>
      </c>
      <c r="K55" s="7" t="n">
        <v>96.59999999999999</v>
      </c>
      <c r="L55" s="7" t="n">
        <v>10.4</v>
      </c>
      <c r="M55" s="7" t="n">
        <v>80.8</v>
      </c>
      <c r="N55" s="7" t="n">
        <v>143</v>
      </c>
      <c r="O55" s="7" t="n">
        <v>23.4</v>
      </c>
      <c r="P55" s="7" t="n">
        <v>46.9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7" t="n">
        <v>172</v>
      </c>
      <c r="Z55" s="7" t="n">
        <v>21.8</v>
      </c>
    </row>
    <row r="56">
      <c r="A56" s="4" t="n">
        <v>55</v>
      </c>
      <c r="B56" s="2" t="inlineStr">
        <is>
          <t>2026-09-05 12:00</t>
        </is>
      </c>
      <c r="C56" s="2" t="inlineStr">
        <is>
          <t>B</t>
        </is>
      </c>
      <c r="D56" s="2" t="inlineStr">
        <is>
          <t>Blend_A</t>
        </is>
      </c>
      <c r="E56" s="2" t="inlineStr">
        <is>
          <t>LIMS</t>
        </is>
      </c>
      <c r="F56" s="5" t="n">
        <v>610.5</v>
      </c>
      <c r="G56" s="5" t="n">
        <v>32.3</v>
      </c>
      <c r="H56" s="5" t="n">
        <v>67.7</v>
      </c>
      <c r="I56" s="5" t="n">
        <v>39.75</v>
      </c>
      <c r="J56" s="5" t="n">
        <v>41.94</v>
      </c>
      <c r="K56" s="5" t="n">
        <v>88.5</v>
      </c>
      <c r="L56" s="5" t="n">
        <v>12.5</v>
      </c>
      <c r="M56" s="5" t="n">
        <v>82</v>
      </c>
      <c r="N56" s="5" t="n">
        <v>159</v>
      </c>
      <c r="O56" s="5" t="n">
        <v>18.6</v>
      </c>
      <c r="P56" s="5" t="n">
        <v>49.5</v>
      </c>
      <c r="Q56" s="2" t="n"/>
      <c r="R56" s="2" t="n"/>
      <c r="S56" s="2" t="n"/>
      <c r="T56" s="2" t="n"/>
      <c r="U56" s="2" t="n"/>
      <c r="V56" s="2" t="n"/>
      <c r="W56" s="2" t="n"/>
      <c r="X56" s="2" t="n"/>
      <c r="Y56" s="5" t="n">
        <v>216</v>
      </c>
      <c r="Z56" s="5" t="n">
        <v>25.4</v>
      </c>
    </row>
    <row r="57">
      <c r="A57" s="6" t="n">
        <v>56</v>
      </c>
      <c r="B57" s="3" t="inlineStr">
        <is>
          <t>2026-09-05 14:00</t>
        </is>
      </c>
      <c r="C57" s="3" t="inlineStr">
        <is>
          <t>B</t>
        </is>
      </c>
      <c r="D57" s="3" t="inlineStr">
        <is>
          <t>Blend_A</t>
        </is>
      </c>
      <c r="E57" s="3" t="inlineStr">
        <is>
          <t>LIMS</t>
        </is>
      </c>
      <c r="F57" s="7" t="n">
        <v>642.1</v>
      </c>
      <c r="G57" s="7" t="n">
        <v>32.2</v>
      </c>
      <c r="H57" s="7" t="n">
        <v>67.8</v>
      </c>
      <c r="I57" s="7" t="n">
        <v>38.71</v>
      </c>
      <c r="J57" s="7" t="n">
        <v>45.08</v>
      </c>
      <c r="K57" s="7" t="n">
        <v>92.2</v>
      </c>
      <c r="L57" s="7" t="n">
        <v>9.4</v>
      </c>
      <c r="M57" s="7" t="n">
        <v>89.40000000000001</v>
      </c>
      <c r="N57" s="7" t="n">
        <v>159</v>
      </c>
      <c r="O57" s="7" t="n">
        <v>19.8</v>
      </c>
      <c r="P57" s="7" t="n">
        <v>49</v>
      </c>
      <c r="Q57" s="3" t="n"/>
      <c r="R57" s="3" t="n"/>
      <c r="S57" s="3" t="n"/>
      <c r="T57" s="3" t="n"/>
      <c r="U57" s="3" t="n"/>
      <c r="V57" s="3" t="n"/>
      <c r="W57" s="3" t="n"/>
      <c r="X57" s="3" t="n"/>
      <c r="Y57" s="7" t="n">
        <v>185</v>
      </c>
      <c r="Z57" s="7" t="n">
        <v>33</v>
      </c>
    </row>
    <row r="58">
      <c r="A58" s="4" t="n">
        <v>57</v>
      </c>
      <c r="B58" s="2" t="inlineStr">
        <is>
          <t>2026-09-05 16:00</t>
        </is>
      </c>
      <c r="C58" s="2" t="inlineStr">
        <is>
          <t>C</t>
        </is>
      </c>
      <c r="D58" s="2" t="inlineStr">
        <is>
          <t>Blend_A</t>
        </is>
      </c>
      <c r="E58" s="2" t="inlineStr">
        <is>
          <t>LIMS</t>
        </is>
      </c>
      <c r="F58" s="5" t="n">
        <v>572.6</v>
      </c>
      <c r="G58" s="5" t="n">
        <v>35.1</v>
      </c>
      <c r="H58" s="5" t="n">
        <v>64.90000000000001</v>
      </c>
      <c r="I58" s="5" t="n">
        <v>38.88</v>
      </c>
      <c r="J58" s="5" t="n">
        <v>43.07</v>
      </c>
      <c r="K58" s="5" t="n">
        <v>97.8</v>
      </c>
      <c r="L58" s="5" t="n">
        <v>13.1</v>
      </c>
      <c r="M58" s="5" t="n">
        <v>81.3</v>
      </c>
      <c r="N58" s="5" t="n">
        <v>170</v>
      </c>
      <c r="O58" s="5" t="n">
        <v>23.5</v>
      </c>
      <c r="P58" s="5" t="n">
        <v>49.9</v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5" t="n">
        <v>201</v>
      </c>
      <c r="Z58" s="5" t="n">
        <v>37.9</v>
      </c>
    </row>
    <row r="59">
      <c r="A59" s="6" t="n">
        <v>58</v>
      </c>
      <c r="B59" s="3" t="inlineStr">
        <is>
          <t>2026-09-05 18:00</t>
        </is>
      </c>
      <c r="C59" s="3" t="inlineStr">
        <is>
          <t>C</t>
        </is>
      </c>
      <c r="D59" s="3" t="inlineStr">
        <is>
          <t>Blend_A</t>
        </is>
      </c>
      <c r="E59" s="3" t="inlineStr">
        <is>
          <t>LIMS</t>
        </is>
      </c>
      <c r="F59" s="7" t="n">
        <v>578.1</v>
      </c>
      <c r="G59" s="7" t="n">
        <v>34.8</v>
      </c>
      <c r="H59" s="7" t="n">
        <v>65.2</v>
      </c>
      <c r="I59" s="7" t="n">
        <v>40.1</v>
      </c>
      <c r="J59" s="7" t="n">
        <v>43.48</v>
      </c>
      <c r="K59" s="7" t="n">
        <v>86.2</v>
      </c>
      <c r="L59" s="7" t="n">
        <v>12.9</v>
      </c>
      <c r="M59" s="7" t="n">
        <v>84.59999999999999</v>
      </c>
      <c r="N59" s="7" t="n">
        <v>142</v>
      </c>
      <c r="O59" s="7" t="n">
        <v>24</v>
      </c>
      <c r="P59" s="7" t="n">
        <v>45.6</v>
      </c>
      <c r="Q59" s="3" t="n"/>
      <c r="R59" s="3" t="n"/>
      <c r="S59" s="3" t="n"/>
      <c r="T59" s="3" t="n"/>
      <c r="U59" s="3" t="n"/>
      <c r="V59" s="3" t="n"/>
      <c r="W59" s="3" t="n"/>
      <c r="X59" s="3" t="n"/>
      <c r="Y59" s="7" t="n">
        <v>210</v>
      </c>
      <c r="Z59" s="7" t="n">
        <v>44.5</v>
      </c>
    </row>
    <row r="60">
      <c r="A60" s="4" t="n">
        <v>59</v>
      </c>
      <c r="B60" s="2" t="inlineStr">
        <is>
          <t>2026-09-05 20:00</t>
        </is>
      </c>
      <c r="C60" s="2" t="inlineStr">
        <is>
          <t>C</t>
        </is>
      </c>
      <c r="D60" s="2" t="inlineStr">
        <is>
          <t>Blend_A</t>
        </is>
      </c>
      <c r="E60" s="2" t="inlineStr">
        <is>
          <t>LIMS</t>
        </is>
      </c>
      <c r="F60" s="5" t="n">
        <v>608.5</v>
      </c>
      <c r="G60" s="5" t="n">
        <v>32.9</v>
      </c>
      <c r="H60" s="5" t="n">
        <v>67.09999999999999</v>
      </c>
      <c r="I60" s="5" t="n">
        <v>38.97</v>
      </c>
      <c r="J60" s="5" t="n">
        <v>44.35</v>
      </c>
      <c r="K60" s="5" t="n">
        <v>101.6</v>
      </c>
      <c r="L60" s="5" t="n">
        <v>12.7</v>
      </c>
      <c r="M60" s="5" t="n">
        <v>87.7</v>
      </c>
      <c r="N60" s="5" t="n">
        <v>140</v>
      </c>
      <c r="O60" s="5" t="n">
        <v>20.5</v>
      </c>
      <c r="P60" s="5" t="n">
        <v>49.8</v>
      </c>
      <c r="Q60" s="2" t="n"/>
      <c r="R60" s="2" t="n"/>
      <c r="S60" s="2" t="n"/>
      <c r="T60" s="2" t="n"/>
      <c r="U60" s="2" t="n"/>
      <c r="V60" s="2" t="n"/>
      <c r="W60" s="2" t="n"/>
      <c r="X60" s="2" t="n"/>
      <c r="Y60" s="5" t="n">
        <v>142</v>
      </c>
      <c r="Z60" s="5" t="n">
        <v>22.8</v>
      </c>
    </row>
    <row r="61">
      <c r="A61" s="6" t="n">
        <v>60</v>
      </c>
      <c r="B61" s="3" t="inlineStr">
        <is>
          <t>2026-09-05 22:00</t>
        </is>
      </c>
      <c r="C61" s="3" t="inlineStr">
        <is>
          <t>C</t>
        </is>
      </c>
      <c r="D61" s="3" t="inlineStr">
        <is>
          <t>Blend_A</t>
        </is>
      </c>
      <c r="E61" s="3" t="inlineStr">
        <is>
          <t>LIMS</t>
        </is>
      </c>
      <c r="F61" s="7" t="n">
        <v>592.2</v>
      </c>
      <c r="G61" s="7" t="n">
        <v>35.3</v>
      </c>
      <c r="H61" s="7" t="n">
        <v>64.7</v>
      </c>
      <c r="I61" s="7" t="n">
        <v>39.4</v>
      </c>
      <c r="J61" s="7" t="n">
        <v>43.86</v>
      </c>
      <c r="K61" s="7" t="n">
        <v>92.90000000000001</v>
      </c>
      <c r="L61" s="7" t="n">
        <v>11.3</v>
      </c>
      <c r="M61" s="7" t="n">
        <v>87.90000000000001</v>
      </c>
      <c r="N61" s="7" t="n">
        <v>171</v>
      </c>
      <c r="O61" s="7" t="n">
        <v>23.7</v>
      </c>
      <c r="P61" s="7" t="n">
        <v>52.9</v>
      </c>
      <c r="Q61" s="3" t="n"/>
      <c r="R61" s="3" t="n"/>
      <c r="S61" s="3" t="n"/>
      <c r="T61" s="3" t="n"/>
      <c r="U61" s="3" t="n"/>
      <c r="V61" s="3" t="n"/>
      <c r="W61" s="3" t="n"/>
      <c r="X61" s="3" t="n"/>
      <c r="Y61" s="7" t="n">
        <v>172</v>
      </c>
      <c r="Z61" s="7" t="n">
        <v>35.6</v>
      </c>
    </row>
    <row r="62">
      <c r="A62" s="4" t="n">
        <v>61</v>
      </c>
      <c r="B62" s="2" t="inlineStr">
        <is>
          <t>2026-09-06 00:00</t>
        </is>
      </c>
      <c r="C62" s="2" t="inlineStr">
        <is>
          <t>A</t>
        </is>
      </c>
      <c r="D62" s="2" t="inlineStr">
        <is>
          <t>Blend_A</t>
        </is>
      </c>
      <c r="E62" s="2" t="inlineStr">
        <is>
          <t>LIMS</t>
        </is>
      </c>
      <c r="F62" s="5" t="n">
        <v>555.4</v>
      </c>
      <c r="G62" s="5" t="n">
        <v>32.4</v>
      </c>
      <c r="H62" s="5" t="n">
        <v>67.59999999999999</v>
      </c>
      <c r="I62" s="5" t="n">
        <v>40.37</v>
      </c>
      <c r="J62" s="5" t="n">
        <v>43.33</v>
      </c>
      <c r="K62" s="5" t="n">
        <v>86.40000000000001</v>
      </c>
      <c r="L62" s="5" t="n">
        <v>16.6</v>
      </c>
      <c r="M62" s="5" t="n">
        <v>75.7</v>
      </c>
      <c r="N62" s="5" t="n">
        <v>166</v>
      </c>
      <c r="O62" s="5" t="n">
        <v>20.1</v>
      </c>
      <c r="P62" s="5" t="n">
        <v>48</v>
      </c>
      <c r="Q62" s="2" t="n"/>
      <c r="R62" s="2" t="n"/>
      <c r="S62" s="2" t="n"/>
      <c r="T62" s="2" t="n"/>
      <c r="U62" s="2" t="n"/>
      <c r="V62" s="2" t="n"/>
      <c r="W62" s="2" t="n"/>
      <c r="X62" s="2" t="n"/>
      <c r="Y62" s="5" t="n">
        <v>175</v>
      </c>
      <c r="Z62" s="5" t="n">
        <v>38.2</v>
      </c>
    </row>
    <row r="63">
      <c r="A63" s="6" t="n">
        <v>62</v>
      </c>
      <c r="B63" s="3" t="inlineStr">
        <is>
          <t>2026-09-06 02:00</t>
        </is>
      </c>
      <c r="C63" s="3" t="inlineStr">
        <is>
          <t>A</t>
        </is>
      </c>
      <c r="D63" s="3" t="inlineStr">
        <is>
          <t>Blend_A</t>
        </is>
      </c>
      <c r="E63" s="3" t="inlineStr">
        <is>
          <t>LIMS</t>
        </is>
      </c>
      <c r="F63" s="7" t="n">
        <v>650.7</v>
      </c>
      <c r="G63" s="7" t="n">
        <v>34.9</v>
      </c>
      <c r="H63" s="7" t="n">
        <v>65.09999999999999</v>
      </c>
      <c r="I63" s="7" t="n">
        <v>39.62</v>
      </c>
      <c r="J63" s="7" t="n">
        <v>44.41</v>
      </c>
      <c r="K63" s="7" t="n">
        <v>104.4</v>
      </c>
      <c r="L63" s="7" t="n">
        <v>20.5</v>
      </c>
      <c r="M63" s="7" t="n">
        <v>71.8</v>
      </c>
      <c r="N63" s="7" t="n">
        <v>174</v>
      </c>
      <c r="O63" s="7" t="n">
        <v>21.6</v>
      </c>
      <c r="P63" s="7" t="n">
        <v>50.8</v>
      </c>
      <c r="Q63" s="3" t="n"/>
      <c r="R63" s="3" t="n"/>
      <c r="S63" s="3" t="n"/>
      <c r="T63" s="3" t="n"/>
      <c r="U63" s="3" t="n"/>
      <c r="V63" s="3" t="n"/>
      <c r="W63" s="3" t="n"/>
      <c r="X63" s="3" t="n"/>
      <c r="Y63" s="7" t="n">
        <v>215</v>
      </c>
      <c r="Z63" s="7" t="n">
        <v>39.4</v>
      </c>
    </row>
    <row r="64">
      <c r="A64" s="4" t="n">
        <v>63</v>
      </c>
      <c r="B64" s="2" t="inlineStr">
        <is>
          <t>2026-09-06 04:00</t>
        </is>
      </c>
      <c r="C64" s="2" t="inlineStr">
        <is>
          <t>A</t>
        </is>
      </c>
      <c r="D64" s="2" t="inlineStr">
        <is>
          <t>Blend_A</t>
        </is>
      </c>
      <c r="E64" s="2" t="inlineStr">
        <is>
          <t>LIMS</t>
        </is>
      </c>
      <c r="F64" s="5" t="n">
        <v>662</v>
      </c>
      <c r="G64" s="5" t="n">
        <v>35.8</v>
      </c>
      <c r="H64" s="5" t="n">
        <v>64.2</v>
      </c>
      <c r="I64" s="5" t="n">
        <v>41.18</v>
      </c>
      <c r="J64" s="5" t="n">
        <v>41.78</v>
      </c>
      <c r="K64" s="5" t="n">
        <v>100.1</v>
      </c>
      <c r="L64" s="5" t="n">
        <v>18.8</v>
      </c>
      <c r="M64" s="5" t="n">
        <v>75.09999999999999</v>
      </c>
      <c r="N64" s="5" t="n">
        <v>165</v>
      </c>
      <c r="O64" s="5" t="n">
        <v>22.7</v>
      </c>
      <c r="P64" s="5" t="n">
        <v>51.6</v>
      </c>
      <c r="Q64" s="2" t="n"/>
      <c r="R64" s="2" t="n"/>
      <c r="S64" s="2" t="n"/>
      <c r="T64" s="2" t="n"/>
      <c r="U64" s="2" t="n"/>
      <c r="V64" s="2" t="n"/>
      <c r="W64" s="2" t="n"/>
      <c r="X64" s="2" t="n"/>
      <c r="Y64" s="5" t="n">
        <v>158</v>
      </c>
      <c r="Z64" s="5" t="n">
        <v>31.4</v>
      </c>
    </row>
    <row r="65">
      <c r="A65" s="6" t="n">
        <v>64</v>
      </c>
      <c r="B65" s="3" t="inlineStr">
        <is>
          <t>2026-09-06 06:00</t>
        </is>
      </c>
      <c r="C65" s="3" t="inlineStr">
        <is>
          <t>A</t>
        </is>
      </c>
      <c r="D65" s="3" t="inlineStr">
        <is>
          <t>Blend_A</t>
        </is>
      </c>
      <c r="E65" s="3" t="inlineStr">
        <is>
          <t>LIMS</t>
        </is>
      </c>
      <c r="F65" s="7" t="n">
        <v>663.5</v>
      </c>
      <c r="G65" s="7" t="n">
        <v>34.9</v>
      </c>
      <c r="H65" s="7" t="n">
        <v>65.09999999999999</v>
      </c>
      <c r="I65" s="7" t="n">
        <v>40.54</v>
      </c>
      <c r="J65" s="7" t="n">
        <v>42.86</v>
      </c>
      <c r="K65" s="7" t="n">
        <v>94.2</v>
      </c>
      <c r="L65" s="7" t="n">
        <v>16.5</v>
      </c>
      <c r="M65" s="7" t="n">
        <v>71.5</v>
      </c>
      <c r="N65" s="7" t="n">
        <v>165</v>
      </c>
      <c r="O65" s="7" t="n">
        <v>24</v>
      </c>
      <c r="P65" s="7" t="n">
        <v>46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7" t="n">
        <v>180</v>
      </c>
      <c r="Z65" s="7" t="n">
        <v>39</v>
      </c>
    </row>
    <row r="66">
      <c r="A66" s="4" t="n">
        <v>65</v>
      </c>
      <c r="B66" s="2" t="inlineStr">
        <is>
          <t>2026-09-06 08:00</t>
        </is>
      </c>
      <c r="C66" s="2" t="inlineStr">
        <is>
          <t>B</t>
        </is>
      </c>
      <c r="D66" s="2" t="inlineStr">
        <is>
          <t>Blend_A</t>
        </is>
      </c>
      <c r="E66" s="2" t="inlineStr">
        <is>
          <t>LIMS</t>
        </is>
      </c>
      <c r="F66" s="5" t="n">
        <v>589.7</v>
      </c>
      <c r="G66" s="5" t="n">
        <v>35.9</v>
      </c>
      <c r="H66" s="5" t="n">
        <v>64.09999999999999</v>
      </c>
      <c r="I66" s="5" t="n">
        <v>41.49</v>
      </c>
      <c r="J66" s="5" t="n">
        <v>41.07</v>
      </c>
      <c r="K66" s="5" t="n">
        <v>94</v>
      </c>
      <c r="L66" s="5" t="n">
        <v>20.1</v>
      </c>
      <c r="M66" s="5" t="n">
        <v>75.3</v>
      </c>
      <c r="N66" s="5" t="n">
        <v>161</v>
      </c>
      <c r="O66" s="5" t="n">
        <v>20.3</v>
      </c>
      <c r="P66" s="5" t="n">
        <v>49.1</v>
      </c>
      <c r="Q66" s="2" t="n"/>
      <c r="R66" s="2" t="n"/>
      <c r="S66" s="2" t="n"/>
      <c r="T66" s="2" t="n"/>
      <c r="U66" s="2" t="n"/>
      <c r="V66" s="2" t="n"/>
      <c r="W66" s="2" t="n"/>
      <c r="X66" s="2" t="n"/>
      <c r="Y66" s="5" t="n">
        <v>210</v>
      </c>
      <c r="Z66" s="5" t="n">
        <v>15.1</v>
      </c>
    </row>
    <row r="67">
      <c r="A67" s="6" t="n">
        <v>66</v>
      </c>
      <c r="B67" s="3" t="inlineStr">
        <is>
          <t>2026-09-06 10:00</t>
        </is>
      </c>
      <c r="C67" s="3" t="inlineStr">
        <is>
          <t>B</t>
        </is>
      </c>
      <c r="D67" s="3" t="inlineStr">
        <is>
          <t>Blend_A</t>
        </is>
      </c>
      <c r="E67" s="3" t="inlineStr">
        <is>
          <t>LIMS</t>
        </is>
      </c>
      <c r="F67" s="7" t="n">
        <v>560</v>
      </c>
      <c r="G67" s="7" t="n">
        <v>32.3</v>
      </c>
      <c r="H67" s="7" t="n">
        <v>67.7</v>
      </c>
      <c r="I67" s="7" t="n">
        <v>38.84</v>
      </c>
      <c r="J67" s="7" t="n">
        <v>43.61</v>
      </c>
      <c r="K67" s="7" t="n">
        <v>99.2</v>
      </c>
      <c r="L67" s="7" t="n">
        <v>20.4</v>
      </c>
      <c r="M67" s="7" t="n">
        <v>73.09999999999999</v>
      </c>
      <c r="N67" s="7" t="n">
        <v>155</v>
      </c>
      <c r="O67" s="7" t="n">
        <v>18.9</v>
      </c>
      <c r="P67" s="7" t="n">
        <v>48.3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7" t="n">
        <v>183</v>
      </c>
      <c r="Z67" s="7" t="n">
        <v>17.7</v>
      </c>
    </row>
    <row r="68">
      <c r="A68" s="4" t="n">
        <v>67</v>
      </c>
      <c r="B68" s="2" t="inlineStr">
        <is>
          <t>2026-09-06 12:00</t>
        </is>
      </c>
      <c r="C68" s="2" t="inlineStr">
        <is>
          <t>B</t>
        </is>
      </c>
      <c r="D68" s="2" t="inlineStr">
        <is>
          <t>Blend_A</t>
        </is>
      </c>
      <c r="E68" s="2" t="inlineStr">
        <is>
          <t>LIMS</t>
        </is>
      </c>
      <c r="F68" s="5" t="n">
        <v>593.5</v>
      </c>
      <c r="G68" s="5" t="n">
        <v>32.1</v>
      </c>
      <c r="H68" s="5" t="n">
        <v>67.90000000000001</v>
      </c>
      <c r="I68" s="5" t="n">
        <v>37.6</v>
      </c>
      <c r="J68" s="5" t="n">
        <v>45.17</v>
      </c>
      <c r="K68" s="5" t="n">
        <v>90.5</v>
      </c>
      <c r="L68" s="5" t="n">
        <v>19.1</v>
      </c>
      <c r="M68" s="5" t="n">
        <v>71.8</v>
      </c>
      <c r="N68" s="5" t="n">
        <v>173</v>
      </c>
      <c r="O68" s="5" t="n">
        <v>19.6</v>
      </c>
      <c r="P68" s="5" t="n">
        <v>49.3</v>
      </c>
      <c r="Q68" s="2" t="n"/>
      <c r="R68" s="2" t="n"/>
      <c r="S68" s="2" t="n"/>
      <c r="T68" s="2" t="n"/>
      <c r="U68" s="2" t="n"/>
      <c r="V68" s="2" t="n"/>
      <c r="W68" s="2" t="n"/>
      <c r="X68" s="2" t="n"/>
      <c r="Y68" s="5" t="n">
        <v>227</v>
      </c>
      <c r="Z68" s="5" t="n">
        <v>40.3</v>
      </c>
    </row>
    <row r="69">
      <c r="A69" s="6" t="n">
        <v>68</v>
      </c>
      <c r="B69" s="3" t="inlineStr">
        <is>
          <t>2026-09-06 14:00</t>
        </is>
      </c>
      <c r="C69" s="3" t="inlineStr">
        <is>
          <t>B</t>
        </is>
      </c>
      <c r="D69" s="3" t="inlineStr">
        <is>
          <t>Blend_A</t>
        </is>
      </c>
      <c r="E69" s="3" t="inlineStr">
        <is>
          <t>LIMS</t>
        </is>
      </c>
      <c r="F69" s="7" t="n">
        <v>559</v>
      </c>
      <c r="G69" s="7" t="n">
        <v>32.3</v>
      </c>
      <c r="H69" s="7" t="n">
        <v>67.7</v>
      </c>
      <c r="I69" s="7" t="n">
        <v>38.63</v>
      </c>
      <c r="J69" s="7" t="n">
        <v>45.2</v>
      </c>
      <c r="K69" s="7" t="n">
        <v>89.90000000000001</v>
      </c>
      <c r="L69" s="7" t="n">
        <v>21</v>
      </c>
      <c r="M69" s="7" t="n">
        <v>71.5</v>
      </c>
      <c r="N69" s="7" t="n">
        <v>150</v>
      </c>
      <c r="O69" s="7" t="n">
        <v>22.6</v>
      </c>
      <c r="P69" s="7" t="n">
        <v>49.5</v>
      </c>
      <c r="Q69" s="3" t="n"/>
      <c r="R69" s="3" t="n"/>
      <c r="S69" s="3" t="n"/>
      <c r="T69" s="3" t="n"/>
      <c r="U69" s="3" t="n"/>
      <c r="V69" s="3" t="n"/>
      <c r="W69" s="3" t="n"/>
      <c r="X69" s="3" t="n"/>
      <c r="Y69" s="7" t="n">
        <v>218</v>
      </c>
      <c r="Z69" s="7" t="n">
        <v>17</v>
      </c>
    </row>
    <row r="70">
      <c r="A70" s="4" t="n">
        <v>69</v>
      </c>
      <c r="B70" s="2" t="inlineStr">
        <is>
          <t>2026-09-06 16:00</t>
        </is>
      </c>
      <c r="C70" s="2" t="inlineStr">
        <is>
          <t>C</t>
        </is>
      </c>
      <c r="D70" s="2" t="inlineStr">
        <is>
          <t>Blend_A</t>
        </is>
      </c>
      <c r="E70" s="2" t="inlineStr">
        <is>
          <t>LIMS</t>
        </is>
      </c>
      <c r="F70" s="5" t="n">
        <v>645</v>
      </c>
      <c r="G70" s="5" t="n">
        <v>36.4</v>
      </c>
      <c r="H70" s="5" t="n">
        <v>63.6</v>
      </c>
      <c r="I70" s="5" t="n">
        <v>38.53</v>
      </c>
      <c r="J70" s="5" t="n">
        <v>44.35</v>
      </c>
      <c r="K70" s="5" t="n">
        <v>89</v>
      </c>
      <c r="L70" s="5" t="n">
        <v>19.3</v>
      </c>
      <c r="M70" s="5" t="n">
        <v>72.8</v>
      </c>
      <c r="N70" s="5" t="n">
        <v>174</v>
      </c>
      <c r="O70" s="5" t="n">
        <v>21.7</v>
      </c>
      <c r="P70" s="5" t="n">
        <v>48.5</v>
      </c>
      <c r="Q70" s="2" t="n"/>
      <c r="R70" s="2" t="n"/>
      <c r="S70" s="2" t="n"/>
      <c r="T70" s="2" t="n"/>
      <c r="U70" s="2" t="n"/>
      <c r="V70" s="2" t="n"/>
      <c r="W70" s="2" t="n"/>
      <c r="X70" s="2" t="n"/>
      <c r="Y70" s="5" t="n">
        <v>151</v>
      </c>
      <c r="Z70" s="5" t="n">
        <v>19.5</v>
      </c>
    </row>
    <row r="71">
      <c r="A71" s="6" t="n">
        <v>70</v>
      </c>
      <c r="B71" s="3" t="inlineStr">
        <is>
          <t>2026-09-06 18:00</t>
        </is>
      </c>
      <c r="C71" s="3" t="inlineStr">
        <is>
          <t>C</t>
        </is>
      </c>
      <c r="D71" s="3" t="inlineStr">
        <is>
          <t>Blend_A</t>
        </is>
      </c>
      <c r="E71" s="3" t="inlineStr">
        <is>
          <t>LIMS</t>
        </is>
      </c>
      <c r="F71" s="7" t="n">
        <v>637</v>
      </c>
      <c r="G71" s="7" t="n">
        <v>34.1</v>
      </c>
      <c r="H71" s="7" t="n">
        <v>65.90000000000001</v>
      </c>
      <c r="I71" s="7" t="n">
        <v>39.15</v>
      </c>
      <c r="J71" s="7" t="n">
        <v>43.52</v>
      </c>
      <c r="K71" s="7" t="n">
        <v>95.90000000000001</v>
      </c>
      <c r="L71" s="7" t="n">
        <v>16.8</v>
      </c>
      <c r="M71" s="7" t="n">
        <v>73.09999999999999</v>
      </c>
      <c r="N71" s="7" t="n">
        <v>168</v>
      </c>
      <c r="O71" s="7" t="n">
        <v>20.8</v>
      </c>
      <c r="P71" s="7" t="n">
        <v>45.5</v>
      </c>
      <c r="Q71" s="3" t="n"/>
      <c r="R71" s="3" t="n"/>
      <c r="S71" s="3" t="n"/>
      <c r="T71" s="3" t="n"/>
      <c r="U71" s="3" t="n"/>
      <c r="V71" s="3" t="n"/>
      <c r="W71" s="3" t="n"/>
      <c r="X71" s="3" t="n"/>
      <c r="Y71" s="7" t="n">
        <v>219</v>
      </c>
      <c r="Z71" s="7" t="n">
        <v>21</v>
      </c>
    </row>
    <row r="72">
      <c r="A72" s="4" t="n">
        <v>71</v>
      </c>
      <c r="B72" s="2" t="inlineStr">
        <is>
          <t>2026-09-06 20:00</t>
        </is>
      </c>
      <c r="C72" s="2" t="inlineStr">
        <is>
          <t>C</t>
        </is>
      </c>
      <c r="D72" s="2" t="inlineStr">
        <is>
          <t>Blend_A</t>
        </is>
      </c>
      <c r="E72" s="2" t="inlineStr">
        <is>
          <t>LIMS</t>
        </is>
      </c>
      <c r="F72" s="5" t="n">
        <v>620</v>
      </c>
      <c r="G72" s="5" t="n">
        <v>34.2</v>
      </c>
      <c r="H72" s="5" t="n">
        <v>65.8</v>
      </c>
      <c r="I72" s="5" t="n">
        <v>37.92</v>
      </c>
      <c r="J72" s="5" t="n">
        <v>45.16</v>
      </c>
      <c r="K72" s="5" t="n">
        <v>101.4</v>
      </c>
      <c r="L72" s="5" t="n">
        <v>18.4</v>
      </c>
      <c r="M72" s="5" t="n">
        <v>74.7</v>
      </c>
      <c r="N72" s="5" t="n">
        <v>174</v>
      </c>
      <c r="O72" s="5" t="n">
        <v>19.2</v>
      </c>
      <c r="P72" s="5" t="n">
        <v>50.2</v>
      </c>
      <c r="Q72" s="2" t="n"/>
      <c r="R72" s="2" t="n"/>
      <c r="S72" s="2" t="n"/>
      <c r="T72" s="2" t="n"/>
      <c r="U72" s="2" t="n"/>
      <c r="V72" s="2" t="n"/>
      <c r="W72" s="2" t="n"/>
      <c r="X72" s="2" t="n"/>
      <c r="Y72" s="5" t="n">
        <v>169</v>
      </c>
      <c r="Z72" s="5" t="n">
        <v>38.8</v>
      </c>
    </row>
    <row r="73">
      <c r="A73" s="6" t="n">
        <v>72</v>
      </c>
      <c r="B73" s="3" t="inlineStr">
        <is>
          <t>2026-09-06 22:00</t>
        </is>
      </c>
      <c r="C73" s="3" t="inlineStr">
        <is>
          <t>C</t>
        </is>
      </c>
      <c r="D73" s="3" t="inlineStr">
        <is>
          <t>Blend_A</t>
        </is>
      </c>
      <c r="E73" s="3" t="inlineStr">
        <is>
          <t>LIMS</t>
        </is>
      </c>
      <c r="F73" s="7" t="n">
        <v>666.2</v>
      </c>
      <c r="G73" s="7" t="n">
        <v>34.9</v>
      </c>
      <c r="H73" s="7" t="n">
        <v>65.09999999999999</v>
      </c>
      <c r="I73" s="7" t="n">
        <v>38.11</v>
      </c>
      <c r="J73" s="7" t="n">
        <v>45.45</v>
      </c>
      <c r="K73" s="7" t="n">
        <v>97.3</v>
      </c>
      <c r="L73" s="7" t="n">
        <v>16.9</v>
      </c>
      <c r="M73" s="7" t="n">
        <v>75.3</v>
      </c>
      <c r="N73" s="7" t="n">
        <v>168</v>
      </c>
      <c r="O73" s="7" t="n">
        <v>21</v>
      </c>
      <c r="P73" s="7" t="n">
        <v>54.7</v>
      </c>
      <c r="Q73" s="3" t="n"/>
      <c r="R73" s="3" t="n"/>
      <c r="S73" s="3" t="n"/>
      <c r="T73" s="3" t="n"/>
      <c r="U73" s="3" t="n"/>
      <c r="V73" s="3" t="n"/>
      <c r="W73" s="3" t="n"/>
      <c r="X73" s="3" t="n"/>
      <c r="Y73" s="7" t="n">
        <v>182</v>
      </c>
      <c r="Z73" s="7" t="n">
        <v>44.5</v>
      </c>
    </row>
    <row r="74">
      <c r="A74" s="4" t="n">
        <v>73</v>
      </c>
      <c r="B74" s="2" t="inlineStr">
        <is>
          <t>2026-09-07 00:00</t>
        </is>
      </c>
      <c r="C74" s="2" t="inlineStr">
        <is>
          <t>A</t>
        </is>
      </c>
      <c r="D74" s="2" t="inlineStr">
        <is>
          <t>Blend_A</t>
        </is>
      </c>
      <c r="E74" s="2" t="inlineStr">
        <is>
          <t>LIMS</t>
        </is>
      </c>
      <c r="F74" s="5" t="n">
        <v>642.3</v>
      </c>
      <c r="G74" s="5" t="n">
        <v>33.4</v>
      </c>
      <c r="H74" s="5" t="n">
        <v>66.59999999999999</v>
      </c>
      <c r="I74" s="5" t="n">
        <v>39.38</v>
      </c>
      <c r="J74" s="5" t="n">
        <v>42.78</v>
      </c>
      <c r="K74" s="5" t="n">
        <v>94.2</v>
      </c>
      <c r="L74" s="5" t="n">
        <v>18.3</v>
      </c>
      <c r="M74" s="5" t="n">
        <v>73</v>
      </c>
      <c r="N74" s="5" t="n">
        <v>169</v>
      </c>
      <c r="O74" s="5" t="n">
        <v>20</v>
      </c>
      <c r="P74" s="5" t="n">
        <v>46.7</v>
      </c>
      <c r="Q74" s="2" t="n"/>
      <c r="R74" s="2" t="n"/>
      <c r="S74" s="2" t="n"/>
      <c r="T74" s="2" t="n"/>
      <c r="U74" s="2" t="n"/>
      <c r="V74" s="2" t="n"/>
      <c r="W74" s="2" t="n"/>
      <c r="X74" s="2" t="n"/>
      <c r="Y74" s="5" t="n">
        <v>211</v>
      </c>
      <c r="Z74" s="5" t="n">
        <v>39.8</v>
      </c>
    </row>
    <row r="75">
      <c r="A75" s="6" t="n">
        <v>74</v>
      </c>
      <c r="B75" s="3" t="inlineStr">
        <is>
          <t>2026-09-07 02:00</t>
        </is>
      </c>
      <c r="C75" s="3" t="inlineStr">
        <is>
          <t>A</t>
        </is>
      </c>
      <c r="D75" s="3" t="inlineStr">
        <is>
          <t>Blend_A</t>
        </is>
      </c>
      <c r="E75" s="3" t="inlineStr">
        <is>
          <t>LIMS</t>
        </is>
      </c>
      <c r="F75" s="7" t="n">
        <v>559.1</v>
      </c>
      <c r="G75" s="7" t="n">
        <v>32.8</v>
      </c>
      <c r="H75" s="7" t="n">
        <v>67.2</v>
      </c>
      <c r="I75" s="7" t="n">
        <v>40.92</v>
      </c>
      <c r="J75" s="7" t="n">
        <v>42.19</v>
      </c>
      <c r="K75" s="7" t="n">
        <v>101.7</v>
      </c>
      <c r="L75" s="7" t="n">
        <v>17.9</v>
      </c>
      <c r="M75" s="7" t="n">
        <v>73.90000000000001</v>
      </c>
      <c r="N75" s="7" t="n">
        <v>164</v>
      </c>
      <c r="O75" s="7" t="n">
        <v>21.1</v>
      </c>
      <c r="P75" s="7" t="n">
        <v>48.1</v>
      </c>
      <c r="Q75" s="3" t="n"/>
      <c r="R75" s="3" t="n"/>
      <c r="S75" s="3" t="n"/>
      <c r="T75" s="3" t="n"/>
      <c r="U75" s="3" t="n"/>
      <c r="V75" s="3" t="n"/>
      <c r="W75" s="3" t="n"/>
      <c r="X75" s="3" t="n"/>
      <c r="Y75" s="7" t="n">
        <v>161</v>
      </c>
      <c r="Z75" s="7" t="n">
        <v>16</v>
      </c>
    </row>
    <row r="76">
      <c r="A76" s="4" t="n">
        <v>75</v>
      </c>
      <c r="B76" s="2" t="inlineStr">
        <is>
          <t>2026-09-07 04:00</t>
        </is>
      </c>
      <c r="C76" s="2" t="inlineStr">
        <is>
          <t>A</t>
        </is>
      </c>
      <c r="D76" s="2" t="inlineStr">
        <is>
          <t>Blend_A</t>
        </is>
      </c>
      <c r="E76" s="2" t="inlineStr">
        <is>
          <t>LIMS</t>
        </is>
      </c>
      <c r="F76" s="5" t="n">
        <v>677</v>
      </c>
      <c r="G76" s="5" t="n">
        <v>32.5</v>
      </c>
      <c r="H76" s="5" t="n">
        <v>67.5</v>
      </c>
      <c r="I76" s="5" t="n">
        <v>39.19</v>
      </c>
      <c r="J76" s="5" t="n">
        <v>44.99</v>
      </c>
      <c r="K76" s="5" t="n">
        <v>99.8</v>
      </c>
      <c r="L76" s="5" t="n">
        <v>21.1</v>
      </c>
      <c r="M76" s="5" t="n">
        <v>71.7</v>
      </c>
      <c r="N76" s="5" t="n">
        <v>170</v>
      </c>
      <c r="O76" s="5" t="n">
        <v>19.8</v>
      </c>
      <c r="P76" s="5" t="n">
        <v>54.1</v>
      </c>
      <c r="Q76" s="2" t="n"/>
      <c r="R76" s="2" t="n"/>
      <c r="S76" s="2" t="n"/>
      <c r="T76" s="2" t="n"/>
      <c r="U76" s="2" t="n"/>
      <c r="V76" s="2" t="n"/>
      <c r="W76" s="2" t="n"/>
      <c r="X76" s="2" t="n"/>
      <c r="Y76" s="5" t="n">
        <v>215</v>
      </c>
      <c r="Z76" s="5" t="n">
        <v>39.1</v>
      </c>
    </row>
    <row r="77">
      <c r="A77" s="6" t="n">
        <v>76</v>
      </c>
      <c r="B77" s="3" t="inlineStr">
        <is>
          <t>2026-09-07 06:00</t>
        </is>
      </c>
      <c r="C77" s="3" t="inlineStr">
        <is>
          <t>A</t>
        </is>
      </c>
      <c r="D77" s="3" t="inlineStr">
        <is>
          <t>Blend_A</t>
        </is>
      </c>
      <c r="E77" s="3" t="inlineStr">
        <is>
          <t>LIMS</t>
        </is>
      </c>
      <c r="F77" s="7" t="n">
        <v>589</v>
      </c>
      <c r="G77" s="7" t="n">
        <v>35.3</v>
      </c>
      <c r="H77" s="7" t="n">
        <v>64.7</v>
      </c>
      <c r="I77" s="7" t="n">
        <v>37.69</v>
      </c>
      <c r="J77" s="7" t="n">
        <v>44.86</v>
      </c>
      <c r="K77" s="7" t="n">
        <v>102</v>
      </c>
      <c r="L77" s="7" t="n">
        <v>19.8</v>
      </c>
      <c r="M77" s="7" t="n">
        <v>73.59999999999999</v>
      </c>
      <c r="N77" s="7" t="n">
        <v>171</v>
      </c>
      <c r="O77" s="7" t="n">
        <v>19.1</v>
      </c>
      <c r="P77" s="7" t="n">
        <v>45.8</v>
      </c>
      <c r="Q77" s="3" t="n"/>
      <c r="R77" s="3" t="n"/>
      <c r="S77" s="3" t="n"/>
      <c r="T77" s="3" t="n"/>
      <c r="U77" s="3" t="n"/>
      <c r="V77" s="3" t="n"/>
      <c r="W77" s="3" t="n"/>
      <c r="X77" s="3" t="n"/>
      <c r="Y77" s="7" t="n">
        <v>164</v>
      </c>
      <c r="Z77" s="7" t="n">
        <v>38.8</v>
      </c>
    </row>
    <row r="78">
      <c r="A78" s="4" t="n">
        <v>77</v>
      </c>
      <c r="B78" s="2" t="inlineStr">
        <is>
          <t>2026-09-07 08:00</t>
        </is>
      </c>
      <c r="C78" s="2" t="inlineStr">
        <is>
          <t>B</t>
        </is>
      </c>
      <c r="D78" s="2" t="inlineStr">
        <is>
          <t>Blend_A</t>
        </is>
      </c>
      <c r="E78" s="2" t="inlineStr">
        <is>
          <t>LIMS</t>
        </is>
      </c>
      <c r="F78" s="5" t="n">
        <v>591.2</v>
      </c>
      <c r="G78" s="5" t="n">
        <v>34</v>
      </c>
      <c r="H78" s="5" t="n">
        <v>66</v>
      </c>
      <c r="I78" s="5" t="n">
        <v>40.6</v>
      </c>
      <c r="J78" s="5" t="n">
        <v>41.69</v>
      </c>
      <c r="K78" s="5" t="n">
        <v>102.9</v>
      </c>
      <c r="L78" s="5" t="n">
        <v>18.7</v>
      </c>
      <c r="M78" s="5" t="n">
        <v>73.59999999999999</v>
      </c>
      <c r="N78" s="5" t="n">
        <v>162</v>
      </c>
      <c r="O78" s="5" t="n">
        <v>21.6</v>
      </c>
      <c r="P78" s="5" t="n">
        <v>52</v>
      </c>
      <c r="Q78" s="2" t="n"/>
      <c r="R78" s="2" t="n"/>
      <c r="S78" s="2" t="n"/>
      <c r="T78" s="2" t="n"/>
      <c r="U78" s="2" t="n"/>
      <c r="V78" s="2" t="n"/>
      <c r="W78" s="2" t="n"/>
      <c r="X78" s="2" t="n"/>
      <c r="Y78" s="5" t="n">
        <v>164</v>
      </c>
      <c r="Z78" s="5" t="n">
        <v>30.4</v>
      </c>
    </row>
    <row r="79">
      <c r="A79" s="6" t="n">
        <v>78</v>
      </c>
      <c r="B79" s="3" t="inlineStr">
        <is>
          <t>2026-09-07 10:00</t>
        </is>
      </c>
      <c r="C79" s="3" t="inlineStr">
        <is>
          <t>B</t>
        </is>
      </c>
      <c r="D79" s="3" t="inlineStr">
        <is>
          <t>Blend_A</t>
        </is>
      </c>
      <c r="E79" s="3" t="inlineStr">
        <is>
          <t>LIMS</t>
        </is>
      </c>
      <c r="F79" s="7" t="n">
        <v>593.1</v>
      </c>
      <c r="G79" s="7" t="n">
        <v>34.2</v>
      </c>
      <c r="H79" s="7" t="n">
        <v>65.8</v>
      </c>
      <c r="I79" s="7" t="n">
        <v>38.28</v>
      </c>
      <c r="J79" s="7" t="n">
        <v>44.79</v>
      </c>
      <c r="K79" s="7" t="n">
        <v>90.59999999999999</v>
      </c>
      <c r="L79" s="7" t="n">
        <v>17.5</v>
      </c>
      <c r="M79" s="7" t="n">
        <v>73.09999999999999</v>
      </c>
      <c r="N79" s="7" t="n">
        <v>140</v>
      </c>
      <c r="O79" s="7" t="n">
        <v>18</v>
      </c>
      <c r="P79" s="7" t="n">
        <v>47.2</v>
      </c>
      <c r="Q79" s="3" t="n"/>
      <c r="R79" s="3" t="n"/>
      <c r="S79" s="3" t="n"/>
      <c r="T79" s="3" t="n"/>
      <c r="U79" s="3" t="n"/>
      <c r="V79" s="3" t="n"/>
      <c r="W79" s="3" t="n"/>
      <c r="X79" s="3" t="n"/>
      <c r="Y79" s="7" t="n">
        <v>144</v>
      </c>
      <c r="Z79" s="7" t="n">
        <v>18.2</v>
      </c>
    </row>
    <row r="80">
      <c r="A80" s="4" t="n">
        <v>79</v>
      </c>
      <c r="B80" s="2" t="inlineStr">
        <is>
          <t>2026-09-07 12:00</t>
        </is>
      </c>
      <c r="C80" s="2" t="inlineStr">
        <is>
          <t>B</t>
        </is>
      </c>
      <c r="D80" s="2" t="inlineStr">
        <is>
          <t>Blend_A</t>
        </is>
      </c>
      <c r="E80" s="2" t="inlineStr">
        <is>
          <t>LIMS</t>
        </is>
      </c>
      <c r="F80" s="5" t="n">
        <v>585.7</v>
      </c>
      <c r="G80" s="5" t="n">
        <v>33.8</v>
      </c>
      <c r="H80" s="5" t="n">
        <v>66.2</v>
      </c>
      <c r="I80" s="5" t="n">
        <v>39.19</v>
      </c>
      <c r="J80" s="5" t="n">
        <v>44.07</v>
      </c>
      <c r="K80" s="5" t="n">
        <v>103.2</v>
      </c>
      <c r="L80" s="5" t="n">
        <v>20.1</v>
      </c>
      <c r="M80" s="5" t="n">
        <v>73.59999999999999</v>
      </c>
      <c r="N80" s="5" t="n">
        <v>151</v>
      </c>
      <c r="O80" s="5" t="n">
        <v>22.9</v>
      </c>
      <c r="P80" s="5" t="n">
        <v>54.6</v>
      </c>
      <c r="Q80" s="2" t="n"/>
      <c r="R80" s="2" t="n"/>
      <c r="S80" s="2" t="n"/>
      <c r="T80" s="2" t="n"/>
      <c r="U80" s="2" t="n"/>
      <c r="V80" s="2" t="n"/>
      <c r="W80" s="2" t="n"/>
      <c r="X80" s="2" t="n"/>
      <c r="Y80" s="5" t="n">
        <v>222</v>
      </c>
      <c r="Z80" s="5" t="n">
        <v>15</v>
      </c>
    </row>
    <row r="81">
      <c r="A81" s="6" t="n">
        <v>80</v>
      </c>
      <c r="B81" s="3" t="inlineStr">
        <is>
          <t>2026-09-07 14:00</t>
        </is>
      </c>
      <c r="C81" s="3" t="inlineStr">
        <is>
          <t>B</t>
        </is>
      </c>
      <c r="D81" s="3" t="inlineStr">
        <is>
          <t>Blend_A</t>
        </is>
      </c>
      <c r="E81" s="3" t="inlineStr">
        <is>
          <t>LIMS</t>
        </is>
      </c>
      <c r="F81" s="7" t="n">
        <v>636.9</v>
      </c>
      <c r="G81" s="7" t="n">
        <v>35.1</v>
      </c>
      <c r="H81" s="7" t="n">
        <v>64.90000000000001</v>
      </c>
      <c r="I81" s="7" t="n">
        <v>38.95</v>
      </c>
      <c r="J81" s="7" t="n">
        <v>43.94</v>
      </c>
      <c r="K81" s="7" t="n">
        <v>85.2</v>
      </c>
      <c r="L81" s="7" t="n">
        <v>19.7</v>
      </c>
      <c r="M81" s="7" t="n">
        <v>75.5</v>
      </c>
      <c r="N81" s="7" t="n">
        <v>161</v>
      </c>
      <c r="O81" s="7" t="n">
        <v>23.2</v>
      </c>
      <c r="P81" s="7" t="n">
        <v>52.2</v>
      </c>
      <c r="Q81" s="3" t="n"/>
      <c r="R81" s="3" t="n"/>
      <c r="S81" s="3" t="n"/>
      <c r="T81" s="3" t="n"/>
      <c r="U81" s="3" t="n"/>
      <c r="V81" s="3" t="n"/>
      <c r="W81" s="3" t="n"/>
      <c r="X81" s="3" t="n"/>
      <c r="Y81" s="7" t="n">
        <v>152</v>
      </c>
      <c r="Z81" s="7" t="n">
        <v>42.1</v>
      </c>
    </row>
    <row r="82">
      <c r="A82" s="4" t="n">
        <v>81</v>
      </c>
      <c r="B82" s="2" t="inlineStr">
        <is>
          <t>2026-09-07 16:00</t>
        </is>
      </c>
      <c r="C82" s="2" t="inlineStr">
        <is>
          <t>C</t>
        </is>
      </c>
      <c r="D82" s="2" t="inlineStr">
        <is>
          <t>Blend_A</t>
        </is>
      </c>
      <c r="E82" s="2" t="inlineStr">
        <is>
          <t>LIMS</t>
        </is>
      </c>
      <c r="F82" s="5" t="n">
        <v>637.5</v>
      </c>
      <c r="G82" s="5" t="n">
        <v>33.2</v>
      </c>
      <c r="H82" s="5" t="n">
        <v>66.8</v>
      </c>
      <c r="I82" s="5" t="n">
        <v>38.73</v>
      </c>
      <c r="J82" s="5" t="n">
        <v>43.75</v>
      </c>
      <c r="K82" s="5" t="n">
        <v>93.90000000000001</v>
      </c>
      <c r="L82" s="5" t="n">
        <v>20.5</v>
      </c>
      <c r="M82" s="5" t="n">
        <v>74.90000000000001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5" t="n">
        <v>172</v>
      </c>
      <c r="W82" s="5" t="n">
        <v>32.5</v>
      </c>
      <c r="X82" s="2" t="n"/>
      <c r="Y82" s="2" t="n"/>
      <c r="Z82" s="2" t="n"/>
    </row>
    <row r="83">
      <c r="A83" s="6" t="n">
        <v>82</v>
      </c>
      <c r="B83" s="3" t="inlineStr">
        <is>
          <t>2026-09-07 18:00</t>
        </is>
      </c>
      <c r="C83" s="3" t="inlineStr">
        <is>
          <t>C</t>
        </is>
      </c>
      <c r="D83" s="3" t="inlineStr">
        <is>
          <t>Blend_A</t>
        </is>
      </c>
      <c r="E83" s="3" t="inlineStr">
        <is>
          <t>LIMS</t>
        </is>
      </c>
      <c r="F83" s="7" t="n">
        <v>590.5</v>
      </c>
      <c r="G83" s="7" t="n">
        <v>35</v>
      </c>
      <c r="H83" s="7" t="n">
        <v>65</v>
      </c>
      <c r="I83" s="7" t="n">
        <v>39.92</v>
      </c>
      <c r="J83" s="7" t="n">
        <v>43.19</v>
      </c>
      <c r="K83" s="7" t="n">
        <v>89.40000000000001</v>
      </c>
      <c r="L83" s="7" t="n">
        <v>21.4</v>
      </c>
      <c r="M83" s="7" t="n">
        <v>72.7</v>
      </c>
      <c r="N83" s="7" t="n">
        <v>164</v>
      </c>
      <c r="O83" s="7" t="n">
        <v>18.8</v>
      </c>
      <c r="P83" s="7" t="n">
        <v>49.9</v>
      </c>
      <c r="Q83" s="3" t="n"/>
      <c r="R83" s="3" t="n"/>
      <c r="S83" s="3" t="n"/>
      <c r="T83" s="3" t="n"/>
      <c r="U83" s="3" t="n"/>
      <c r="V83" s="3" t="n"/>
      <c r="W83" s="3" t="n"/>
      <c r="X83" s="3" t="n"/>
      <c r="Y83" s="7" t="n">
        <v>143</v>
      </c>
      <c r="Z83" s="7" t="n">
        <v>30.2</v>
      </c>
    </row>
    <row r="84">
      <c r="A84" s="4" t="n">
        <v>83</v>
      </c>
      <c r="B84" s="2" t="inlineStr">
        <is>
          <t>2026-09-07 20:00</t>
        </is>
      </c>
      <c r="C84" s="2" t="inlineStr">
        <is>
          <t>C</t>
        </is>
      </c>
      <c r="D84" s="2" t="inlineStr">
        <is>
          <t>Blend_A</t>
        </is>
      </c>
      <c r="E84" s="2" t="inlineStr">
        <is>
          <t>LIMS</t>
        </is>
      </c>
      <c r="F84" s="5" t="n">
        <v>677.9</v>
      </c>
      <c r="G84" s="5" t="n">
        <v>33.3</v>
      </c>
      <c r="H84" s="5" t="n">
        <v>66.7</v>
      </c>
      <c r="I84" s="5" t="n">
        <v>41.34</v>
      </c>
      <c r="J84" s="5" t="n">
        <v>41.21</v>
      </c>
      <c r="K84" s="5" t="n">
        <v>92.7</v>
      </c>
      <c r="L84" s="5" t="n">
        <v>18.2</v>
      </c>
      <c r="M84" s="5" t="n">
        <v>73.2</v>
      </c>
      <c r="N84" s="5" t="n">
        <v>145</v>
      </c>
      <c r="O84" s="5" t="n">
        <v>21.3</v>
      </c>
      <c r="P84" s="5" t="n">
        <v>50.4</v>
      </c>
      <c r="Q84" s="2" t="n"/>
      <c r="R84" s="2" t="n"/>
      <c r="S84" s="2" t="n"/>
      <c r="T84" s="2" t="n"/>
      <c r="U84" s="2" t="n"/>
      <c r="V84" s="2" t="n"/>
      <c r="W84" s="2" t="n"/>
      <c r="X84" s="2" t="n"/>
      <c r="Y84" s="5" t="n">
        <v>216</v>
      </c>
      <c r="Z84" s="5" t="n">
        <v>40</v>
      </c>
    </row>
    <row r="85">
      <c r="A85" s="6" t="n">
        <v>84</v>
      </c>
      <c r="B85" s="3" t="inlineStr">
        <is>
          <t>2026-09-07 22:00</t>
        </is>
      </c>
      <c r="C85" s="3" t="inlineStr">
        <is>
          <t>C</t>
        </is>
      </c>
      <c r="D85" s="3" t="inlineStr">
        <is>
          <t>Blend_A</t>
        </is>
      </c>
      <c r="E85" s="3" t="inlineStr">
        <is>
          <t>LIMS</t>
        </is>
      </c>
      <c r="F85" s="7" t="n">
        <v>664.4</v>
      </c>
      <c r="G85" s="7" t="n">
        <v>34.8</v>
      </c>
      <c r="H85" s="7" t="n">
        <v>65.2</v>
      </c>
      <c r="I85" s="7" t="n">
        <v>39.78</v>
      </c>
      <c r="J85" s="7" t="n">
        <v>42.75</v>
      </c>
      <c r="K85" s="7" t="n">
        <v>89</v>
      </c>
      <c r="L85" s="7" t="n">
        <v>18.5</v>
      </c>
      <c r="M85" s="7" t="n">
        <v>70.2</v>
      </c>
      <c r="N85" s="7" t="n">
        <v>157</v>
      </c>
      <c r="O85" s="7" t="n">
        <v>21.3</v>
      </c>
      <c r="P85" s="7" t="n">
        <v>47.3</v>
      </c>
      <c r="Q85" s="3" t="n"/>
      <c r="R85" s="3" t="n"/>
      <c r="S85" s="3" t="n"/>
      <c r="T85" s="3" t="n"/>
      <c r="U85" s="3" t="n"/>
      <c r="V85" s="3" t="n"/>
      <c r="W85" s="3" t="n"/>
      <c r="X85" s="3" t="n"/>
      <c r="Y85" s="7" t="n">
        <v>236</v>
      </c>
      <c r="Z85" s="7" t="n">
        <v>42.3</v>
      </c>
    </row>
    <row r="86">
      <c r="A86" s="4" t="n">
        <v>85</v>
      </c>
      <c r="B86" s="2" t="inlineStr">
        <is>
          <t>2026-09-08 00:00</t>
        </is>
      </c>
      <c r="C86" s="2" t="inlineStr">
        <is>
          <t>A</t>
        </is>
      </c>
      <c r="D86" s="2" t="inlineStr">
        <is>
          <t>Blend_B</t>
        </is>
      </c>
      <c r="E86" s="2" t="inlineStr">
        <is>
          <t>LIMS</t>
        </is>
      </c>
      <c r="F86" s="5" t="n">
        <v>587.2</v>
      </c>
      <c r="G86" s="5" t="n">
        <v>32.9</v>
      </c>
      <c r="H86" s="5" t="n">
        <v>67.09999999999999</v>
      </c>
      <c r="I86" s="5" t="n">
        <v>41.43</v>
      </c>
      <c r="J86" s="5" t="n">
        <v>40.79</v>
      </c>
      <c r="K86" s="5" t="n">
        <v>94.8</v>
      </c>
      <c r="L86" s="5" t="n">
        <v>11.9</v>
      </c>
      <c r="M86" s="5" t="n">
        <v>88.7</v>
      </c>
      <c r="N86" s="5" t="n">
        <v>174</v>
      </c>
      <c r="O86" s="5" t="n">
        <v>20.4</v>
      </c>
      <c r="P86" s="5" t="n">
        <v>53.3</v>
      </c>
      <c r="Q86" s="2" t="n"/>
      <c r="R86" s="2" t="n"/>
      <c r="S86" s="2" t="n"/>
      <c r="T86" s="2" t="n"/>
      <c r="U86" s="2" t="n"/>
      <c r="V86" s="2" t="n"/>
      <c r="W86" s="2" t="n"/>
      <c r="X86" s="2" t="n"/>
      <c r="Y86" s="5" t="n">
        <v>216</v>
      </c>
      <c r="Z86" s="5" t="n">
        <v>32.2</v>
      </c>
    </row>
    <row r="87">
      <c r="A87" s="6" t="n">
        <v>86</v>
      </c>
      <c r="B87" s="3" t="inlineStr">
        <is>
          <t>2026-09-08 02:00</t>
        </is>
      </c>
      <c r="C87" s="3" t="inlineStr">
        <is>
          <t>A</t>
        </is>
      </c>
      <c r="D87" s="3" t="inlineStr">
        <is>
          <t>Blend_B</t>
        </is>
      </c>
      <c r="E87" s="3" t="inlineStr">
        <is>
          <t>LIMS</t>
        </is>
      </c>
      <c r="F87" s="7" t="n">
        <v>640</v>
      </c>
      <c r="G87" s="7" t="n">
        <v>32.6</v>
      </c>
      <c r="H87" s="7" t="n">
        <v>67.40000000000001</v>
      </c>
      <c r="I87" s="7" t="n">
        <v>39.56</v>
      </c>
      <c r="J87" s="7" t="n">
        <v>42.59</v>
      </c>
      <c r="K87" s="7" t="n">
        <v>90.59999999999999</v>
      </c>
      <c r="L87" s="7" t="n">
        <v>10.1</v>
      </c>
      <c r="M87" s="7" t="n">
        <v>89.59999999999999</v>
      </c>
      <c r="N87" s="7" t="n">
        <v>140</v>
      </c>
      <c r="O87" s="7" t="n">
        <v>24</v>
      </c>
      <c r="P87" s="7" t="n">
        <v>51.8</v>
      </c>
      <c r="Q87" s="3" t="n"/>
      <c r="R87" s="3" t="n"/>
      <c r="S87" s="3" t="n"/>
      <c r="T87" s="3" t="n"/>
      <c r="U87" s="3" t="n"/>
      <c r="V87" s="3" t="n"/>
      <c r="W87" s="3" t="n"/>
      <c r="X87" s="3" t="n"/>
      <c r="Y87" s="7" t="n">
        <v>223</v>
      </c>
      <c r="Z87" s="7" t="n">
        <v>23.8</v>
      </c>
    </row>
    <row r="88">
      <c r="A88" s="4" t="n">
        <v>87</v>
      </c>
      <c r="B88" s="2" t="inlineStr">
        <is>
          <t>2026-09-08 04:00</t>
        </is>
      </c>
      <c r="C88" s="2" t="inlineStr">
        <is>
          <t>A</t>
        </is>
      </c>
      <c r="D88" s="2" t="inlineStr">
        <is>
          <t>Blend_B</t>
        </is>
      </c>
      <c r="E88" s="2" t="inlineStr">
        <is>
          <t>LIMS</t>
        </is>
      </c>
      <c r="F88" s="5" t="n">
        <v>595.3</v>
      </c>
      <c r="G88" s="5" t="n">
        <v>32.5</v>
      </c>
      <c r="H88" s="5" t="n">
        <v>67.5</v>
      </c>
      <c r="I88" s="5" t="n">
        <v>42.18</v>
      </c>
      <c r="J88" s="5" t="n">
        <v>40.88</v>
      </c>
      <c r="K88" s="5" t="n">
        <v>104.1</v>
      </c>
      <c r="L88" s="5" t="n">
        <v>11.6</v>
      </c>
      <c r="M88" s="5" t="n">
        <v>83</v>
      </c>
      <c r="N88" s="5" t="n">
        <v>143</v>
      </c>
      <c r="O88" s="5" t="n">
        <v>21</v>
      </c>
      <c r="P88" s="5" t="n">
        <v>52.9</v>
      </c>
      <c r="Q88" s="2" t="n"/>
      <c r="R88" s="2" t="n"/>
      <c r="S88" s="2" t="n"/>
      <c r="T88" s="2" t="n"/>
      <c r="U88" s="2" t="n"/>
      <c r="V88" s="2" t="n"/>
      <c r="W88" s="2" t="n"/>
      <c r="X88" s="2" t="n"/>
      <c r="Y88" s="5" t="n">
        <v>211</v>
      </c>
      <c r="Z88" s="5" t="n">
        <v>16.5</v>
      </c>
    </row>
    <row r="89">
      <c r="A89" s="6" t="n">
        <v>88</v>
      </c>
      <c r="B89" s="3" t="inlineStr">
        <is>
          <t>2026-09-08 06:00</t>
        </is>
      </c>
      <c r="C89" s="3" t="inlineStr">
        <is>
          <t>A</t>
        </is>
      </c>
      <c r="D89" s="3" t="inlineStr">
        <is>
          <t>Blend_B</t>
        </is>
      </c>
      <c r="E89" s="3" t="inlineStr">
        <is>
          <t>LIMS</t>
        </is>
      </c>
      <c r="F89" s="7" t="n">
        <v>566</v>
      </c>
      <c r="G89" s="7" t="n">
        <v>36</v>
      </c>
      <c r="H89" s="7" t="n">
        <v>64</v>
      </c>
      <c r="I89" s="7" t="n">
        <v>40.46</v>
      </c>
      <c r="J89" s="7" t="n">
        <v>41.91</v>
      </c>
      <c r="K89" s="7" t="n">
        <v>97.5</v>
      </c>
      <c r="L89" s="7" t="n">
        <v>9.4</v>
      </c>
      <c r="M89" s="7" t="n">
        <v>86.8</v>
      </c>
      <c r="N89" s="7" t="n">
        <v>148</v>
      </c>
      <c r="O89" s="7" t="n">
        <v>22.3</v>
      </c>
      <c r="P89" s="7" t="n">
        <v>53.2</v>
      </c>
      <c r="Q89" s="3" t="n"/>
      <c r="R89" s="3" t="n"/>
      <c r="S89" s="3" t="n"/>
      <c r="T89" s="3" t="n"/>
      <c r="U89" s="3" t="n"/>
      <c r="V89" s="3" t="n"/>
      <c r="W89" s="3" t="n"/>
      <c r="X89" s="3" t="n"/>
      <c r="Y89" s="7" t="n">
        <v>220</v>
      </c>
      <c r="Z89" s="7" t="n">
        <v>31.6</v>
      </c>
    </row>
    <row r="90">
      <c r="A90" s="4" t="n">
        <v>89</v>
      </c>
      <c r="B90" s="2" t="inlineStr">
        <is>
          <t>2026-09-08 08:00</t>
        </is>
      </c>
      <c r="C90" s="2" t="inlineStr">
        <is>
          <t>B</t>
        </is>
      </c>
      <c r="D90" s="2" t="inlineStr">
        <is>
          <t>Blend_B</t>
        </is>
      </c>
      <c r="E90" s="2" t="inlineStr">
        <is>
          <t>LIMS</t>
        </is>
      </c>
      <c r="F90" s="5" t="n">
        <v>659.1</v>
      </c>
      <c r="G90" s="5" t="n">
        <v>32</v>
      </c>
      <c r="H90" s="5" t="n">
        <v>68</v>
      </c>
      <c r="I90" s="5" t="n">
        <v>39.73</v>
      </c>
      <c r="J90" s="5" t="n">
        <v>43.58</v>
      </c>
      <c r="K90" s="5" t="n">
        <v>87</v>
      </c>
      <c r="L90" s="5" t="n">
        <v>10.8</v>
      </c>
      <c r="M90" s="5" t="n">
        <v>82.7</v>
      </c>
      <c r="N90" s="5" t="n">
        <v>169</v>
      </c>
      <c r="O90" s="5" t="n">
        <v>19.9</v>
      </c>
      <c r="P90" s="5" t="n">
        <v>52.9</v>
      </c>
      <c r="Q90" s="2" t="n"/>
      <c r="R90" s="2" t="n"/>
      <c r="S90" s="2" t="n"/>
      <c r="T90" s="2" t="n"/>
      <c r="U90" s="2" t="n"/>
      <c r="V90" s="2" t="n"/>
      <c r="W90" s="2" t="n"/>
      <c r="X90" s="2" t="n"/>
      <c r="Y90" s="5" t="n">
        <v>229</v>
      </c>
      <c r="Z90" s="5" t="n">
        <v>28</v>
      </c>
    </row>
    <row r="91">
      <c r="A91" s="6" t="n">
        <v>90</v>
      </c>
      <c r="B91" s="3" t="inlineStr">
        <is>
          <t>2026-09-08 10:00</t>
        </is>
      </c>
      <c r="C91" s="3" t="inlineStr">
        <is>
          <t>B</t>
        </is>
      </c>
      <c r="D91" s="3" t="inlineStr">
        <is>
          <t>Blend_B</t>
        </is>
      </c>
      <c r="E91" s="3" t="inlineStr">
        <is>
          <t>LIMS</t>
        </is>
      </c>
      <c r="F91" s="7" t="n">
        <v>588.7</v>
      </c>
      <c r="G91" s="7" t="n">
        <v>32.5</v>
      </c>
      <c r="H91" s="7" t="n">
        <v>67.5</v>
      </c>
      <c r="I91" s="7" t="n">
        <v>41.77</v>
      </c>
      <c r="J91" s="7" t="n">
        <v>41.49</v>
      </c>
      <c r="K91" s="7" t="n">
        <v>92.2</v>
      </c>
      <c r="L91" s="7" t="n">
        <v>13.8</v>
      </c>
      <c r="M91" s="7" t="n">
        <v>85</v>
      </c>
      <c r="N91" s="7" t="n">
        <v>155</v>
      </c>
      <c r="O91" s="7" t="n">
        <v>20.7</v>
      </c>
      <c r="P91" s="7" t="n">
        <v>47.1</v>
      </c>
      <c r="Q91" s="3" t="n"/>
      <c r="R91" s="3" t="n"/>
      <c r="S91" s="3" t="n"/>
      <c r="T91" s="3" t="n"/>
      <c r="U91" s="3" t="n"/>
      <c r="V91" s="3" t="n"/>
      <c r="W91" s="3" t="n"/>
      <c r="X91" s="3" t="n"/>
      <c r="Y91" s="7" t="n">
        <v>177</v>
      </c>
      <c r="Z91" s="7" t="n">
        <v>26.1</v>
      </c>
    </row>
    <row r="92">
      <c r="A92" s="4" t="n">
        <v>91</v>
      </c>
      <c r="B92" s="2" t="inlineStr">
        <is>
          <t>2026-09-08 12:00</t>
        </is>
      </c>
      <c r="C92" s="2" t="inlineStr">
        <is>
          <t>B</t>
        </is>
      </c>
      <c r="D92" s="2" t="inlineStr">
        <is>
          <t>Blend_B</t>
        </is>
      </c>
      <c r="E92" s="2" t="inlineStr">
        <is>
          <t>LIMS</t>
        </is>
      </c>
      <c r="F92" s="5" t="n">
        <v>633.8</v>
      </c>
      <c r="G92" s="5" t="n">
        <v>33.8</v>
      </c>
      <c r="H92" s="5" t="n">
        <v>66.2</v>
      </c>
      <c r="I92" s="5" t="n">
        <v>41.05</v>
      </c>
      <c r="J92" s="5" t="n">
        <v>40.35</v>
      </c>
      <c r="K92" s="5" t="n">
        <v>90.7</v>
      </c>
      <c r="L92" s="5" t="n">
        <v>10.8</v>
      </c>
      <c r="M92" s="5" t="n">
        <v>80.59999999999999</v>
      </c>
      <c r="N92" s="5" t="n">
        <v>144</v>
      </c>
      <c r="O92" s="5" t="n">
        <v>21.1</v>
      </c>
      <c r="P92" s="5" t="n">
        <v>47.7</v>
      </c>
      <c r="Q92" s="2" t="n"/>
      <c r="R92" s="2" t="n"/>
      <c r="S92" s="2" t="n"/>
      <c r="T92" s="2" t="n"/>
      <c r="U92" s="2" t="n"/>
      <c r="V92" s="2" t="n"/>
      <c r="W92" s="2" t="n"/>
      <c r="X92" s="2" t="n"/>
      <c r="Y92" s="5" t="n">
        <v>224</v>
      </c>
      <c r="Z92" s="5" t="n">
        <v>15.4</v>
      </c>
    </row>
    <row r="93">
      <c r="A93" s="6" t="n">
        <v>92</v>
      </c>
      <c r="B93" s="3" t="inlineStr">
        <is>
          <t>2026-09-08 14:00</t>
        </is>
      </c>
      <c r="C93" s="3" t="inlineStr">
        <is>
          <t>B</t>
        </is>
      </c>
      <c r="D93" s="3" t="inlineStr">
        <is>
          <t>Blend_B</t>
        </is>
      </c>
      <c r="E93" s="3" t="inlineStr">
        <is>
          <t>LIMS</t>
        </is>
      </c>
      <c r="F93" s="7" t="n">
        <v>617.8</v>
      </c>
      <c r="G93" s="7" t="n">
        <v>36.4</v>
      </c>
      <c r="H93" s="7" t="n">
        <v>63.6</v>
      </c>
      <c r="I93" s="7" t="n">
        <v>38.52</v>
      </c>
      <c r="J93" s="7" t="n">
        <v>44.07</v>
      </c>
      <c r="K93" s="7" t="n">
        <v>101.1</v>
      </c>
      <c r="L93" s="7" t="n">
        <v>9.6</v>
      </c>
      <c r="M93" s="7" t="n">
        <v>82.7</v>
      </c>
      <c r="N93" s="7" t="n">
        <v>141</v>
      </c>
      <c r="O93" s="7" t="n">
        <v>19.8</v>
      </c>
      <c r="P93" s="7" t="n">
        <v>52.7</v>
      </c>
      <c r="Q93" s="3" t="n"/>
      <c r="R93" s="3" t="n"/>
      <c r="S93" s="3" t="n"/>
      <c r="T93" s="3" t="n"/>
      <c r="U93" s="3" t="n"/>
      <c r="V93" s="3" t="n"/>
      <c r="W93" s="3" t="n"/>
      <c r="X93" s="3" t="n"/>
      <c r="Y93" s="7" t="n">
        <v>192</v>
      </c>
      <c r="Z93" s="7" t="n">
        <v>25.4</v>
      </c>
    </row>
    <row r="94">
      <c r="A94" s="4" t="n">
        <v>93</v>
      </c>
      <c r="B94" s="2" t="inlineStr">
        <is>
          <t>2026-09-08 16:00</t>
        </is>
      </c>
      <c r="C94" s="2" t="inlineStr">
        <is>
          <t>C</t>
        </is>
      </c>
      <c r="D94" s="2" t="inlineStr">
        <is>
          <t>Blend_B</t>
        </is>
      </c>
      <c r="E94" s="2" t="inlineStr">
        <is>
          <t>LIMS</t>
        </is>
      </c>
      <c r="F94" s="5" t="n">
        <v>647.2</v>
      </c>
      <c r="G94" s="5" t="n">
        <v>34.1</v>
      </c>
      <c r="H94" s="5" t="n">
        <v>65.90000000000001</v>
      </c>
      <c r="I94" s="5" t="n">
        <v>39.19</v>
      </c>
      <c r="J94" s="5" t="n">
        <v>42.74</v>
      </c>
      <c r="K94" s="5" t="n">
        <v>100.7</v>
      </c>
      <c r="L94" s="5" t="n">
        <v>14</v>
      </c>
      <c r="M94" s="5" t="n">
        <v>85.40000000000001</v>
      </c>
      <c r="N94" s="5" t="n">
        <v>174</v>
      </c>
      <c r="O94" s="5" t="n">
        <v>18.5</v>
      </c>
      <c r="P94" s="5" t="n">
        <v>48.7</v>
      </c>
      <c r="Q94" s="2" t="n"/>
      <c r="R94" s="2" t="n"/>
      <c r="S94" s="2" t="n"/>
      <c r="T94" s="2" t="n"/>
      <c r="U94" s="2" t="n"/>
      <c r="V94" s="2" t="n"/>
      <c r="W94" s="2" t="n"/>
      <c r="X94" s="2" t="n"/>
      <c r="Y94" s="5" t="n">
        <v>163</v>
      </c>
      <c r="Z94" s="5" t="n">
        <v>20.9</v>
      </c>
    </row>
    <row r="95">
      <c r="A95" s="6" t="n">
        <v>94</v>
      </c>
      <c r="B95" s="3" t="inlineStr">
        <is>
          <t>2026-09-08 18:00</t>
        </is>
      </c>
      <c r="C95" s="3" t="inlineStr">
        <is>
          <t>C</t>
        </is>
      </c>
      <c r="D95" s="3" t="inlineStr">
        <is>
          <t>Blend_B</t>
        </is>
      </c>
      <c r="E95" s="3" t="inlineStr">
        <is>
          <t>LIMS</t>
        </is>
      </c>
      <c r="F95" s="7" t="n">
        <v>569.1</v>
      </c>
      <c r="G95" s="7" t="n">
        <v>32</v>
      </c>
      <c r="H95" s="7" t="n">
        <v>68</v>
      </c>
      <c r="I95" s="7" t="n">
        <v>40.97</v>
      </c>
      <c r="J95" s="7" t="n">
        <v>42.35</v>
      </c>
      <c r="K95" s="7" t="n">
        <v>104.2</v>
      </c>
      <c r="L95" s="7" t="n">
        <v>11.6</v>
      </c>
      <c r="M95" s="7" t="n">
        <v>82.40000000000001</v>
      </c>
      <c r="N95" s="7" t="n">
        <v>158</v>
      </c>
      <c r="O95" s="7" t="n">
        <v>22.1</v>
      </c>
      <c r="P95" s="7" t="n">
        <v>45.8</v>
      </c>
      <c r="Q95" s="3" t="n"/>
      <c r="R95" s="3" t="n"/>
      <c r="S95" s="3" t="n"/>
      <c r="T95" s="3" t="n"/>
      <c r="U95" s="3" t="n"/>
      <c r="V95" s="3" t="n"/>
      <c r="W95" s="3" t="n"/>
      <c r="X95" s="3" t="n"/>
      <c r="Y95" s="7" t="n">
        <v>167</v>
      </c>
      <c r="Z95" s="7" t="n">
        <v>39.2</v>
      </c>
    </row>
    <row r="96">
      <c r="A96" s="4" t="n">
        <v>95</v>
      </c>
      <c r="B96" s="2" t="inlineStr">
        <is>
          <t>2026-09-08 20:00</t>
        </is>
      </c>
      <c r="C96" s="2" t="inlineStr">
        <is>
          <t>C</t>
        </is>
      </c>
      <c r="D96" s="2" t="inlineStr">
        <is>
          <t>Blend_B</t>
        </is>
      </c>
      <c r="E96" s="2" t="inlineStr">
        <is>
          <t>LIMS</t>
        </is>
      </c>
      <c r="F96" s="5" t="n">
        <v>642.5</v>
      </c>
      <c r="G96" s="5" t="n">
        <v>36.4</v>
      </c>
      <c r="H96" s="5" t="n">
        <v>63.6</v>
      </c>
      <c r="I96" s="5" t="n">
        <v>40.54</v>
      </c>
      <c r="J96" s="5" t="n">
        <v>42.18</v>
      </c>
      <c r="K96" s="5" t="n">
        <v>96.90000000000001</v>
      </c>
      <c r="L96" s="5" t="n">
        <v>9.4</v>
      </c>
      <c r="M96" s="5" t="n">
        <v>86.2</v>
      </c>
      <c r="N96" s="5" t="n">
        <v>174</v>
      </c>
      <c r="O96" s="5" t="n">
        <v>19.1</v>
      </c>
      <c r="P96" s="5" t="n">
        <v>52.9</v>
      </c>
      <c r="Q96" s="2" t="n"/>
      <c r="R96" s="2" t="n"/>
      <c r="S96" s="2" t="n"/>
      <c r="T96" s="2" t="n"/>
      <c r="U96" s="2" t="n"/>
      <c r="V96" s="2" t="n"/>
      <c r="W96" s="2" t="n"/>
      <c r="X96" s="2" t="n"/>
      <c r="Y96" s="5" t="n">
        <v>231</v>
      </c>
      <c r="Z96" s="5" t="n">
        <v>43.3</v>
      </c>
    </row>
    <row r="97">
      <c r="A97" s="6" t="n">
        <v>96</v>
      </c>
      <c r="B97" s="3" t="inlineStr">
        <is>
          <t>2026-09-08 22:00</t>
        </is>
      </c>
      <c r="C97" s="3" t="inlineStr">
        <is>
          <t>C</t>
        </is>
      </c>
      <c r="D97" s="3" t="inlineStr">
        <is>
          <t>Blend_B</t>
        </is>
      </c>
      <c r="E97" s="3" t="inlineStr">
        <is>
          <t>LIMS</t>
        </is>
      </c>
      <c r="F97" s="7" t="n">
        <v>670.4</v>
      </c>
      <c r="G97" s="7" t="n">
        <v>33</v>
      </c>
      <c r="H97" s="7" t="n">
        <v>67</v>
      </c>
      <c r="I97" s="7" t="n">
        <v>40.76</v>
      </c>
      <c r="J97" s="7" t="n">
        <v>42.17</v>
      </c>
      <c r="K97" s="7" t="n">
        <v>102</v>
      </c>
      <c r="L97" s="7" t="n">
        <v>12.6</v>
      </c>
      <c r="M97" s="7" t="n">
        <v>81</v>
      </c>
      <c r="N97" s="7" t="n">
        <v>155</v>
      </c>
      <c r="O97" s="7" t="n">
        <v>18.2</v>
      </c>
      <c r="P97" s="7" t="n">
        <v>49.8</v>
      </c>
      <c r="Q97" s="3" t="n"/>
      <c r="R97" s="3" t="n"/>
      <c r="S97" s="3" t="n"/>
      <c r="T97" s="3" t="n"/>
      <c r="U97" s="3" t="n"/>
      <c r="V97" s="3" t="n"/>
      <c r="W97" s="3" t="n"/>
      <c r="X97" s="3" t="n"/>
      <c r="Y97" s="7" t="n">
        <v>206</v>
      </c>
      <c r="Z97" s="7" t="n">
        <v>18.6</v>
      </c>
    </row>
    <row r="98">
      <c r="A98" s="4" t="n">
        <v>97</v>
      </c>
      <c r="B98" s="2" t="inlineStr">
        <is>
          <t>2026-09-09 00:00</t>
        </is>
      </c>
      <c r="C98" s="2" t="inlineStr">
        <is>
          <t>A</t>
        </is>
      </c>
      <c r="D98" s="2" t="inlineStr">
        <is>
          <t>Blend_A</t>
        </is>
      </c>
      <c r="E98" s="2" t="inlineStr">
        <is>
          <t>LIMS</t>
        </is>
      </c>
      <c r="F98" s="5" t="n">
        <v>635.4</v>
      </c>
      <c r="G98" s="5" t="n">
        <v>33.1</v>
      </c>
      <c r="H98" s="5" t="n">
        <v>66.90000000000001</v>
      </c>
      <c r="I98" s="5" t="n">
        <v>38.27</v>
      </c>
      <c r="J98" s="5" t="n">
        <v>44.04</v>
      </c>
      <c r="K98" s="5" t="n">
        <v>87</v>
      </c>
      <c r="L98" s="5" t="n">
        <v>11.5</v>
      </c>
      <c r="M98" s="5" t="n">
        <v>82.2</v>
      </c>
      <c r="N98" s="5" t="n">
        <v>141</v>
      </c>
      <c r="O98" s="5" t="n">
        <v>18.2</v>
      </c>
      <c r="P98" s="5" t="n">
        <v>46.8</v>
      </c>
      <c r="Q98" s="2" t="n"/>
      <c r="R98" s="2" t="n"/>
      <c r="S98" s="2" t="n"/>
      <c r="T98" s="2" t="n"/>
      <c r="U98" s="2" t="n"/>
      <c r="V98" s="2" t="n"/>
      <c r="W98" s="2" t="n"/>
      <c r="X98" s="2" t="n"/>
      <c r="Y98" s="5" t="n">
        <v>227</v>
      </c>
      <c r="Z98" s="5" t="n">
        <v>23.5</v>
      </c>
    </row>
    <row r="99">
      <c r="A99" s="6" t="n">
        <v>98</v>
      </c>
      <c r="B99" s="3" t="inlineStr">
        <is>
          <t>2026-09-09 02:00</t>
        </is>
      </c>
      <c r="C99" s="3" t="inlineStr">
        <is>
          <t>A</t>
        </is>
      </c>
      <c r="D99" s="3" t="inlineStr">
        <is>
          <t>Blend_A</t>
        </is>
      </c>
      <c r="E99" s="3" t="inlineStr">
        <is>
          <t>LIMS</t>
        </is>
      </c>
      <c r="F99" s="7" t="n">
        <v>574.2</v>
      </c>
      <c r="G99" s="7" t="n">
        <v>33.5</v>
      </c>
      <c r="H99" s="7" t="n">
        <v>66.5</v>
      </c>
      <c r="I99" s="7" t="n">
        <v>40.92</v>
      </c>
      <c r="J99" s="7" t="n">
        <v>42.24</v>
      </c>
      <c r="K99" s="7" t="n">
        <v>86.40000000000001</v>
      </c>
      <c r="L99" s="7" t="n">
        <v>9.300000000000001</v>
      </c>
      <c r="M99" s="7" t="n">
        <v>89.40000000000001</v>
      </c>
      <c r="N99" s="7" t="n">
        <v>158</v>
      </c>
      <c r="O99" s="7" t="n">
        <v>20.5</v>
      </c>
      <c r="P99" s="7" t="n">
        <v>53.1</v>
      </c>
      <c r="Q99" s="3" t="n"/>
      <c r="R99" s="3" t="n"/>
      <c r="S99" s="3" t="n"/>
      <c r="T99" s="3" t="n"/>
      <c r="U99" s="3" t="n"/>
      <c r="V99" s="3" t="n"/>
      <c r="W99" s="3" t="n"/>
      <c r="X99" s="3" t="n"/>
      <c r="Y99" s="7" t="n">
        <v>224</v>
      </c>
      <c r="Z99" s="7" t="n">
        <v>25</v>
      </c>
    </row>
    <row r="100">
      <c r="A100" s="4" t="n">
        <v>99</v>
      </c>
      <c r="B100" s="2" t="inlineStr">
        <is>
          <t>2026-09-09 04:00</t>
        </is>
      </c>
      <c r="C100" s="2" t="inlineStr">
        <is>
          <t>A</t>
        </is>
      </c>
      <c r="D100" s="2" t="inlineStr">
        <is>
          <t>Blend_A</t>
        </is>
      </c>
      <c r="E100" s="2" t="inlineStr">
        <is>
          <t>LIMS</t>
        </is>
      </c>
      <c r="F100" s="5" t="n">
        <v>589.5</v>
      </c>
      <c r="G100" s="5" t="n">
        <v>33.4</v>
      </c>
      <c r="H100" s="5" t="n">
        <v>66.59999999999999</v>
      </c>
      <c r="I100" s="5" t="n">
        <v>38.42</v>
      </c>
      <c r="J100" s="5" t="n">
        <v>46.13</v>
      </c>
      <c r="K100" s="5" t="n">
        <v>99.59999999999999</v>
      </c>
      <c r="L100" s="5" t="n">
        <v>13.8</v>
      </c>
      <c r="M100" s="5" t="n">
        <v>82.2</v>
      </c>
      <c r="N100" s="5" t="n">
        <v>163</v>
      </c>
      <c r="O100" s="5" t="n">
        <v>22.5</v>
      </c>
      <c r="P100" s="5" t="n">
        <v>53.5</v>
      </c>
      <c r="Q100" s="2" t="n"/>
      <c r="R100" s="2" t="n"/>
      <c r="S100" s="2" t="n"/>
      <c r="T100" s="2" t="n"/>
      <c r="U100" s="2" t="n"/>
      <c r="V100" s="2" t="n"/>
      <c r="W100" s="2" t="n"/>
      <c r="X100" s="2" t="n"/>
      <c r="Y100" s="5" t="n">
        <v>182</v>
      </c>
      <c r="Z100" s="5" t="n">
        <v>24.1</v>
      </c>
    </row>
    <row r="101">
      <c r="A101" s="6" t="n">
        <v>100</v>
      </c>
      <c r="B101" s="3" t="inlineStr">
        <is>
          <t>2026-09-09 06:00</t>
        </is>
      </c>
      <c r="C101" s="3" t="inlineStr">
        <is>
          <t>A</t>
        </is>
      </c>
      <c r="D101" s="3" t="inlineStr">
        <is>
          <t>Blend_A</t>
        </is>
      </c>
      <c r="E101" s="3" t="inlineStr">
        <is>
          <t>LIMS</t>
        </is>
      </c>
      <c r="F101" s="7" t="n">
        <v>625.9</v>
      </c>
      <c r="G101" s="7" t="n">
        <v>36.3</v>
      </c>
      <c r="H101" s="7" t="n">
        <v>63.7</v>
      </c>
      <c r="I101" s="7" t="n">
        <v>37.67</v>
      </c>
      <c r="J101" s="7" t="n">
        <v>46.48</v>
      </c>
      <c r="K101" s="7" t="n">
        <v>97</v>
      </c>
      <c r="L101" s="7" t="n">
        <v>10.5</v>
      </c>
      <c r="M101" s="7" t="n">
        <v>87.09999999999999</v>
      </c>
      <c r="N101" s="7" t="n">
        <v>167</v>
      </c>
      <c r="O101" s="7" t="n">
        <v>18.6</v>
      </c>
      <c r="P101" s="7" t="n">
        <v>50.1</v>
      </c>
      <c r="Q101" s="3" t="n"/>
      <c r="R101" s="3" t="n"/>
      <c r="S101" s="3" t="n"/>
      <c r="T101" s="3" t="n"/>
      <c r="U101" s="3" t="n"/>
      <c r="V101" s="3" t="n"/>
      <c r="W101" s="3" t="n"/>
      <c r="X101" s="3" t="n"/>
      <c r="Y101" s="7" t="n">
        <v>191</v>
      </c>
      <c r="Z101" s="7" t="n">
        <v>26.1</v>
      </c>
    </row>
    <row r="102">
      <c r="A102" s="4" t="n">
        <v>101</v>
      </c>
      <c r="B102" s="2" t="inlineStr">
        <is>
          <t>2026-09-09 08:00</t>
        </is>
      </c>
      <c r="C102" s="2" t="inlineStr">
        <is>
          <t>B</t>
        </is>
      </c>
      <c r="D102" s="2" t="inlineStr">
        <is>
          <t>Blend_A</t>
        </is>
      </c>
      <c r="E102" s="2" t="inlineStr">
        <is>
          <t>LIMS</t>
        </is>
      </c>
      <c r="F102" s="5" t="n">
        <v>644.5</v>
      </c>
      <c r="G102" s="5" t="n">
        <v>34.5</v>
      </c>
      <c r="H102" s="5" t="n">
        <v>65.5</v>
      </c>
      <c r="I102" s="5" t="n">
        <v>41.29</v>
      </c>
      <c r="J102" s="5" t="n">
        <v>41.02</v>
      </c>
      <c r="K102" s="5" t="n">
        <v>92.59999999999999</v>
      </c>
      <c r="L102" s="5" t="n">
        <v>9.800000000000001</v>
      </c>
      <c r="M102" s="5" t="n">
        <v>87.90000000000001</v>
      </c>
      <c r="N102" s="5" t="n">
        <v>166</v>
      </c>
      <c r="O102" s="5" t="n">
        <v>20.3</v>
      </c>
      <c r="P102" s="5" t="n">
        <v>45.3</v>
      </c>
      <c r="Q102" s="2" t="n"/>
      <c r="R102" s="2" t="n"/>
      <c r="S102" s="2" t="n"/>
      <c r="T102" s="2" t="n"/>
      <c r="U102" s="2" t="n"/>
      <c r="V102" s="2" t="n"/>
      <c r="W102" s="2" t="n"/>
      <c r="X102" s="2" t="n"/>
      <c r="Y102" s="5" t="n">
        <v>224</v>
      </c>
      <c r="Z102" s="5" t="n">
        <v>15.3</v>
      </c>
    </row>
    <row r="103">
      <c r="A103" s="6" t="n">
        <v>102</v>
      </c>
      <c r="B103" s="3" t="inlineStr">
        <is>
          <t>2026-09-09 10:00</t>
        </is>
      </c>
      <c r="C103" s="3" t="inlineStr">
        <is>
          <t>B</t>
        </is>
      </c>
      <c r="D103" s="3" t="inlineStr">
        <is>
          <t>Blend_A</t>
        </is>
      </c>
      <c r="E103" s="3" t="inlineStr">
        <is>
          <t>LIMS</t>
        </is>
      </c>
      <c r="F103" s="7" t="n">
        <v>662.5</v>
      </c>
      <c r="G103" s="7" t="n">
        <v>32.7</v>
      </c>
      <c r="H103" s="7" t="n">
        <v>67.3</v>
      </c>
      <c r="I103" s="7" t="n">
        <v>38.74</v>
      </c>
      <c r="J103" s="7" t="n">
        <v>44.98</v>
      </c>
      <c r="K103" s="7" t="n">
        <v>102.4</v>
      </c>
      <c r="L103" s="7" t="n">
        <v>12.4</v>
      </c>
      <c r="M103" s="7" t="n">
        <v>88</v>
      </c>
      <c r="N103" s="7" t="n">
        <v>149</v>
      </c>
      <c r="O103" s="7" t="n">
        <v>21.7</v>
      </c>
      <c r="P103" s="7" t="n">
        <v>50.7</v>
      </c>
      <c r="Q103" s="3" t="n"/>
      <c r="R103" s="3" t="n"/>
      <c r="S103" s="3" t="n"/>
      <c r="T103" s="3" t="n"/>
      <c r="U103" s="3" t="n"/>
      <c r="V103" s="3" t="n"/>
      <c r="W103" s="3" t="n"/>
      <c r="X103" s="3" t="n"/>
      <c r="Y103" s="7" t="n">
        <v>223</v>
      </c>
      <c r="Z103" s="7" t="n">
        <v>42.2</v>
      </c>
    </row>
    <row r="104">
      <c r="A104" s="4" t="n">
        <v>103</v>
      </c>
      <c r="B104" s="2" t="inlineStr">
        <is>
          <t>2026-09-09 12:00</t>
        </is>
      </c>
      <c r="C104" s="2" t="inlineStr">
        <is>
          <t>B</t>
        </is>
      </c>
      <c r="D104" s="2" t="inlineStr">
        <is>
          <t>Blend_A</t>
        </is>
      </c>
      <c r="E104" s="2" t="inlineStr">
        <is>
          <t>LIMS</t>
        </is>
      </c>
      <c r="F104" s="5" t="n">
        <v>557.4</v>
      </c>
      <c r="G104" s="5" t="n">
        <v>33.7</v>
      </c>
      <c r="H104" s="5" t="n">
        <v>66.3</v>
      </c>
      <c r="I104" s="5" t="n">
        <v>41.28</v>
      </c>
      <c r="J104" s="5" t="n">
        <v>40.67</v>
      </c>
      <c r="K104" s="5" t="n">
        <v>98.40000000000001</v>
      </c>
      <c r="L104" s="5" t="n">
        <v>12.2</v>
      </c>
      <c r="M104" s="5" t="n">
        <v>82</v>
      </c>
      <c r="N104" s="5" t="n">
        <v>155</v>
      </c>
      <c r="O104" s="5" t="n">
        <v>22.5</v>
      </c>
      <c r="P104" s="5" t="n">
        <v>46</v>
      </c>
      <c r="Q104" s="2" t="n"/>
      <c r="R104" s="2" t="n"/>
      <c r="S104" s="2" t="n"/>
      <c r="T104" s="2" t="n"/>
      <c r="U104" s="2" t="n"/>
      <c r="V104" s="2" t="n"/>
      <c r="W104" s="2" t="n"/>
      <c r="X104" s="2" t="n"/>
      <c r="Y104" s="5" t="n">
        <v>168</v>
      </c>
      <c r="Z104" s="5" t="n">
        <v>23.3</v>
      </c>
    </row>
    <row r="105">
      <c r="A105" s="6" t="n">
        <v>104</v>
      </c>
      <c r="B105" s="3" t="inlineStr">
        <is>
          <t>2026-09-09 14:00</t>
        </is>
      </c>
      <c r="C105" s="3" t="inlineStr">
        <is>
          <t>B</t>
        </is>
      </c>
      <c r="D105" s="3" t="inlineStr">
        <is>
          <t>Blend_A</t>
        </is>
      </c>
      <c r="E105" s="3" t="inlineStr">
        <is>
          <t>LIMS</t>
        </is>
      </c>
      <c r="F105" s="7" t="n">
        <v>587.4</v>
      </c>
      <c r="G105" s="7" t="n">
        <v>35</v>
      </c>
      <c r="H105" s="7" t="n">
        <v>65</v>
      </c>
      <c r="I105" s="7" t="n">
        <v>41.37</v>
      </c>
      <c r="J105" s="7" t="n">
        <v>40.64</v>
      </c>
      <c r="K105" s="7" t="n">
        <v>86.5</v>
      </c>
      <c r="L105" s="7" t="n">
        <v>9.4</v>
      </c>
      <c r="M105" s="7" t="n">
        <v>89.5</v>
      </c>
      <c r="N105" s="7" t="n">
        <v>150</v>
      </c>
      <c r="O105" s="7" t="n">
        <v>18.6</v>
      </c>
      <c r="P105" s="7" t="n">
        <v>51</v>
      </c>
      <c r="Q105" s="3" t="n"/>
      <c r="R105" s="3" t="n"/>
      <c r="S105" s="3" t="n"/>
      <c r="T105" s="3" t="n"/>
      <c r="U105" s="3" t="n"/>
      <c r="V105" s="3" t="n"/>
      <c r="W105" s="3" t="n"/>
      <c r="X105" s="3" t="n"/>
      <c r="Y105" s="7" t="n">
        <v>202</v>
      </c>
      <c r="Z105" s="7" t="n">
        <v>34.5</v>
      </c>
    </row>
    <row r="106">
      <c r="A106" s="4" t="n">
        <v>105</v>
      </c>
      <c r="B106" s="2" t="inlineStr">
        <is>
          <t>2026-09-09 16:00</t>
        </is>
      </c>
      <c r="C106" s="2" t="inlineStr">
        <is>
          <t>C</t>
        </is>
      </c>
      <c r="D106" s="2" t="inlineStr">
        <is>
          <t>Blend_A</t>
        </is>
      </c>
      <c r="E106" s="2" t="inlineStr">
        <is>
          <t>LIMS</t>
        </is>
      </c>
      <c r="F106" s="5" t="n">
        <v>576.3</v>
      </c>
      <c r="G106" s="5" t="n">
        <v>34.6</v>
      </c>
      <c r="H106" s="5" t="n">
        <v>65.40000000000001</v>
      </c>
      <c r="I106" s="5" t="n">
        <v>40.3</v>
      </c>
      <c r="J106" s="5" t="n">
        <v>41.89</v>
      </c>
      <c r="K106" s="5" t="n">
        <v>93.2</v>
      </c>
      <c r="L106" s="5" t="n">
        <v>9.1</v>
      </c>
      <c r="M106" s="5" t="n">
        <v>85.8</v>
      </c>
      <c r="N106" s="5" t="n">
        <v>149</v>
      </c>
      <c r="O106" s="5" t="n">
        <v>20.7</v>
      </c>
      <c r="P106" s="5" t="n">
        <v>54.6</v>
      </c>
      <c r="Q106" s="2" t="n"/>
      <c r="R106" s="2" t="n"/>
      <c r="S106" s="2" t="n"/>
      <c r="T106" s="2" t="n"/>
      <c r="U106" s="2" t="n"/>
      <c r="V106" s="2" t="n"/>
      <c r="W106" s="2" t="n"/>
      <c r="X106" s="2" t="n"/>
      <c r="Y106" s="5" t="n">
        <v>180</v>
      </c>
      <c r="Z106" s="5" t="n">
        <v>40.2</v>
      </c>
    </row>
    <row r="107">
      <c r="A107" s="6" t="n">
        <v>106</v>
      </c>
      <c r="B107" s="3" t="inlineStr">
        <is>
          <t>2026-09-09 18:00</t>
        </is>
      </c>
      <c r="C107" s="3" t="inlineStr">
        <is>
          <t>C</t>
        </is>
      </c>
      <c r="D107" s="3" t="inlineStr">
        <is>
          <t>Blend_A</t>
        </is>
      </c>
      <c r="E107" s="3" t="inlineStr">
        <is>
          <t>LIMS</t>
        </is>
      </c>
      <c r="F107" s="7" t="n">
        <v>581.5</v>
      </c>
      <c r="G107" s="7" t="n">
        <v>35.2</v>
      </c>
      <c r="H107" s="7" t="n">
        <v>64.8</v>
      </c>
      <c r="I107" s="7" t="n">
        <v>37.87</v>
      </c>
      <c r="J107" s="7" t="n">
        <v>46.38</v>
      </c>
      <c r="K107" s="7" t="n">
        <v>102.5</v>
      </c>
      <c r="L107" s="7" t="n">
        <v>12.7</v>
      </c>
      <c r="M107" s="7" t="n">
        <v>80.09999999999999</v>
      </c>
      <c r="N107" s="7" t="n">
        <v>149</v>
      </c>
      <c r="O107" s="7" t="n">
        <v>19.3</v>
      </c>
      <c r="P107" s="7" t="n">
        <v>47.7</v>
      </c>
      <c r="Q107" s="3" t="n"/>
      <c r="R107" s="3" t="n"/>
      <c r="S107" s="3" t="n"/>
      <c r="T107" s="3" t="n"/>
      <c r="U107" s="3" t="n"/>
      <c r="V107" s="3" t="n"/>
      <c r="W107" s="3" t="n"/>
      <c r="X107" s="3" t="n"/>
      <c r="Y107" s="7" t="n">
        <v>165</v>
      </c>
      <c r="Z107" s="7" t="n">
        <v>16.9</v>
      </c>
    </row>
    <row r="108">
      <c r="A108" s="4" t="n">
        <v>107</v>
      </c>
      <c r="B108" s="2" t="inlineStr">
        <is>
          <t>2026-09-09 20:00</t>
        </is>
      </c>
      <c r="C108" s="2" t="inlineStr">
        <is>
          <t>C</t>
        </is>
      </c>
      <c r="D108" s="2" t="inlineStr">
        <is>
          <t>Blend_A</t>
        </is>
      </c>
      <c r="E108" s="2" t="inlineStr">
        <is>
          <t>LIMS</t>
        </is>
      </c>
      <c r="F108" s="5" t="n">
        <v>598.2</v>
      </c>
      <c r="G108" s="5" t="n">
        <v>36.1</v>
      </c>
      <c r="H108" s="5" t="n">
        <v>63.9</v>
      </c>
      <c r="I108" s="5" t="n">
        <v>39.84</v>
      </c>
      <c r="J108" s="5" t="n">
        <v>42.87</v>
      </c>
      <c r="K108" s="5" t="n">
        <v>90.40000000000001</v>
      </c>
      <c r="L108" s="5" t="n">
        <v>10.8</v>
      </c>
      <c r="M108" s="5" t="n">
        <v>89</v>
      </c>
      <c r="N108" s="5" t="n">
        <v>163</v>
      </c>
      <c r="O108" s="5" t="n">
        <v>22.7</v>
      </c>
      <c r="P108" s="5" t="n">
        <v>49.5</v>
      </c>
      <c r="Q108" s="2" t="n"/>
      <c r="R108" s="2" t="n"/>
      <c r="S108" s="2" t="n"/>
      <c r="T108" s="2" t="n"/>
      <c r="U108" s="2" t="n"/>
      <c r="V108" s="2" t="n"/>
      <c r="W108" s="2" t="n"/>
      <c r="X108" s="2" t="n"/>
      <c r="Y108" s="5" t="n">
        <v>203</v>
      </c>
      <c r="Z108" s="5" t="n">
        <v>22.5</v>
      </c>
    </row>
    <row r="109">
      <c r="A109" s="6" t="n">
        <v>108</v>
      </c>
      <c r="B109" s="3" t="inlineStr">
        <is>
          <t>2026-09-09 22:00</t>
        </is>
      </c>
      <c r="C109" s="3" t="inlineStr">
        <is>
          <t>C</t>
        </is>
      </c>
      <c r="D109" s="3" t="inlineStr">
        <is>
          <t>Blend_A</t>
        </is>
      </c>
      <c r="E109" s="3" t="inlineStr">
        <is>
          <t>LIMS</t>
        </is>
      </c>
      <c r="F109" s="7" t="n">
        <v>603.3</v>
      </c>
      <c r="G109" s="7" t="n">
        <v>34.9</v>
      </c>
      <c r="H109" s="7" t="n">
        <v>65.09999999999999</v>
      </c>
      <c r="I109" s="7" t="n">
        <v>38.54</v>
      </c>
      <c r="J109" s="7" t="n">
        <v>45.57</v>
      </c>
      <c r="K109" s="7" t="n">
        <v>88.2</v>
      </c>
      <c r="L109" s="7" t="n">
        <v>9.4</v>
      </c>
      <c r="M109" s="7" t="n">
        <v>81.90000000000001</v>
      </c>
      <c r="N109" s="7" t="n">
        <v>163</v>
      </c>
      <c r="O109" s="7" t="n">
        <v>23.3</v>
      </c>
      <c r="P109" s="7" t="n">
        <v>53.1</v>
      </c>
      <c r="Q109" s="3" t="n"/>
      <c r="R109" s="3" t="n"/>
      <c r="S109" s="3" t="n"/>
      <c r="T109" s="3" t="n"/>
      <c r="U109" s="3" t="n"/>
      <c r="V109" s="3" t="n"/>
      <c r="W109" s="3" t="n"/>
      <c r="X109" s="3" t="n"/>
      <c r="Y109" s="7" t="n">
        <v>209</v>
      </c>
      <c r="Z109" s="7" t="n">
        <v>18.3</v>
      </c>
    </row>
  </sheetData>
  <autoFilter ref="A1:Z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2" customWidth="1" min="20" max="20"/>
    <col width="12" customWidth="1" min="21" max="21"/>
    <col width="13" customWidth="1" min="22" max="22"/>
    <col width="12" customWidth="1" min="23" max="23"/>
    <col width="13" customWidth="1" min="24" max="24"/>
    <col width="13" customWidth="1" min="25" max="25"/>
    <col width="22" customWidth="1" min="26" max="26"/>
  </cols>
  <sheetData>
    <row r="1" ht="24" customHeight="1">
      <c r="A1" s="1" t="inlineStr">
        <is>
          <t>Record_ID</t>
        </is>
      </c>
      <c r="B1" s="1" t="inlineStr">
        <is>
          <t>Thickener_Flocculant_Dose_gpt</t>
        </is>
      </c>
      <c r="C1" s="1" t="inlineStr">
        <is>
          <t>Thickener_Overflow_Turbidity_NTU</t>
        </is>
      </c>
      <c r="D1" s="1" t="inlineStr">
        <is>
          <t>Thickener_Underflow_Solids_pct</t>
        </is>
      </c>
      <c r="E1" s="1" t="inlineStr">
        <is>
          <t>Thickener_Bed_Level_pct</t>
        </is>
      </c>
      <c r="F1" s="1" t="inlineStr">
        <is>
          <t>Thickener_Rake_Torque_pct</t>
        </is>
      </c>
      <c r="G1" s="1" t="inlineStr">
        <is>
          <t>Filter_Vacuum_kPa</t>
        </is>
      </c>
      <c r="H1" s="1" t="inlineStr">
        <is>
          <t>Filter_Cycle_Time_min</t>
        </is>
      </c>
      <c r="I1" s="1" t="inlineStr">
        <is>
          <t>Filter_Cloth_Condition_pct</t>
        </is>
      </c>
      <c r="J1" s="1" t="inlineStr">
        <is>
          <t>Filter_Feed_Solids_pct</t>
        </is>
      </c>
      <c r="K1" s="1" t="inlineStr">
        <is>
          <t>Filter_Cake_Moisture_pct</t>
        </is>
      </c>
      <c r="L1" s="1" t="inlineStr">
        <is>
          <t>Filterate_Turbidity_NTU</t>
        </is>
      </c>
      <c r="M1" s="1" t="inlineStr">
        <is>
          <t>Feed_Dry_tph</t>
        </is>
      </c>
      <c r="N1" s="1" t="inlineStr">
        <is>
          <t>Concentrate_Dry_tph</t>
        </is>
      </c>
      <c r="O1" s="1" t="inlineStr">
        <is>
          <t>Tailings_Dry_tph</t>
        </is>
      </c>
      <c r="P1" s="1" t="inlineStr">
        <is>
          <t>Concentrate_Fe_pct</t>
        </is>
      </c>
      <c r="Q1" s="1" t="inlineStr">
        <is>
          <t>Concentrate_SiO2_pct</t>
        </is>
      </c>
      <c r="R1" s="1" t="inlineStr">
        <is>
          <t>Tailings_Fe_pct</t>
        </is>
      </c>
      <c r="S1" s="1" t="inlineStr">
        <is>
          <t>Tailings_SiO2_pct</t>
        </is>
      </c>
      <c r="T1" s="1" t="inlineStr">
        <is>
          <t>Mass_Yield_pct</t>
        </is>
      </c>
      <c r="U1" s="1" t="inlineStr">
        <is>
          <t>Fe_Recovery_pct</t>
        </is>
      </c>
      <c r="V1" s="1" t="inlineStr">
        <is>
          <t>Tailings_Fe_Recovery_pct</t>
        </is>
      </c>
      <c r="W1" s="1" t="inlineStr">
        <is>
          <t>Rec_Check_pct</t>
        </is>
      </c>
      <c r="X1" s="1" t="inlineStr">
        <is>
          <t>Mass_Balance_Error_pct</t>
        </is>
      </c>
      <c r="Y1" s="1" t="inlineStr">
        <is>
          <t>Fe_Balance_Error_pct</t>
        </is>
      </c>
      <c r="Z1" s="1" t="inlineStr">
        <is>
          <t>Quality_Flag</t>
        </is>
      </c>
    </row>
    <row r="2">
      <c r="A2" s="4" t="n">
        <v>1</v>
      </c>
      <c r="B2" s="5" t="n">
        <v>20.3</v>
      </c>
      <c r="C2" s="5" t="n">
        <v>142.7</v>
      </c>
      <c r="D2" s="5" t="n">
        <v>59.6</v>
      </c>
      <c r="E2" s="5" t="n">
        <v>44.9</v>
      </c>
      <c r="F2" s="5" t="n">
        <v>21.1</v>
      </c>
      <c r="G2" s="5" t="n">
        <v>74.7</v>
      </c>
      <c r="H2" s="5" t="n">
        <v>5.6</v>
      </c>
      <c r="I2" s="5" t="n">
        <v>95.8</v>
      </c>
      <c r="J2" s="5" t="n">
        <v>58.4</v>
      </c>
      <c r="K2" s="5" t="n">
        <v>10.2</v>
      </c>
      <c r="L2" s="5" t="n">
        <v>91.7</v>
      </c>
      <c r="M2" s="2">
        <f>Process_Data!F2*Process_Data!G2/100</f>
        <v/>
      </c>
      <c r="N2" s="5" t="n">
        <v>96.09999999999999</v>
      </c>
      <c r="O2" s="5" t="n">
        <v>109.4</v>
      </c>
      <c r="P2" s="5" t="n">
        <v>66.29000000000001</v>
      </c>
      <c r="Q2" s="5" t="n">
        <v>5.52</v>
      </c>
      <c r="R2" s="5" t="n">
        <v>12.73</v>
      </c>
      <c r="S2" s="5" t="n">
        <v>60.62</v>
      </c>
      <c r="T2" s="2">
        <f>N2/M2*100</f>
        <v/>
      </c>
      <c r="U2" s="2">
        <f>N2*P2/(M2*Process_Data!I2)*100</f>
        <v/>
      </c>
      <c r="V2" s="2">
        <f>O2*R2/(M2*Process_Data!I2)*100</f>
        <v/>
      </c>
      <c r="W2" s="2">
        <f>U2+V2</f>
        <v/>
      </c>
      <c r="X2" s="2">
        <f>(M2-(N2+O2))/M2*100</f>
        <v/>
      </c>
      <c r="Y2" s="2">
        <f>(M2*Process_Data!I2-(N2*P2+O2*R2))/(M2*Process_Data!I2)*100</f>
        <v/>
      </c>
      <c r="Z2" s="2" t="inlineStr">
        <is>
          <t>OK</t>
        </is>
      </c>
    </row>
    <row r="3">
      <c r="A3" s="6" t="n">
        <v>2</v>
      </c>
      <c r="B3" s="7" t="n">
        <v>21.6</v>
      </c>
      <c r="C3" s="7" t="n">
        <v>70.40000000000001</v>
      </c>
      <c r="D3" s="7" t="n">
        <v>62.9</v>
      </c>
      <c r="E3" s="7" t="n">
        <v>45.6</v>
      </c>
      <c r="F3" s="7" t="n">
        <v>25.3</v>
      </c>
      <c r="G3" s="7" t="n">
        <v>76.2</v>
      </c>
      <c r="H3" s="7" t="n">
        <v>4.6</v>
      </c>
      <c r="I3" s="7" t="n">
        <v>89.8</v>
      </c>
      <c r="J3" s="7" t="n">
        <v>61.4</v>
      </c>
      <c r="K3" s="7" t="n">
        <v>10.4</v>
      </c>
      <c r="L3" s="7" t="n">
        <v>74.3</v>
      </c>
      <c r="M3" s="3">
        <f>Process_Data!F3*Process_Data!G3/100</f>
        <v/>
      </c>
      <c r="N3" s="7" t="n">
        <v>102.7</v>
      </c>
      <c r="O3" s="7" t="n">
        <v>97.5</v>
      </c>
      <c r="P3" s="7" t="n">
        <v>65.16</v>
      </c>
      <c r="Q3" s="7" t="n">
        <v>4.61</v>
      </c>
      <c r="R3" s="7" t="n">
        <v>10.59</v>
      </c>
      <c r="S3" s="7" t="n">
        <v>62.28</v>
      </c>
      <c r="T3" s="3">
        <f>N3/M3*100</f>
        <v/>
      </c>
      <c r="U3" s="3">
        <f>N3*P3/(M3*Process_Data!I3)*100</f>
        <v/>
      </c>
      <c r="V3" s="3">
        <f>O3*R3/(M3*Process_Data!I3)*100</f>
        <v/>
      </c>
      <c r="W3" s="3">
        <f>U3+V3</f>
        <v/>
      </c>
      <c r="X3" s="3">
        <f>(M3-(N3+O3))/M3*100</f>
        <v/>
      </c>
      <c r="Y3" s="3">
        <f>(M3*Process_Data!I3-(N3*P3+O3*R3))/(M3*Process_Data!I3)*100</f>
        <v/>
      </c>
      <c r="Z3" s="3" t="inlineStr">
        <is>
          <t>OK</t>
        </is>
      </c>
    </row>
    <row r="4">
      <c r="A4" s="4" t="n">
        <v>3</v>
      </c>
      <c r="B4" s="5" t="n">
        <v>20.3</v>
      </c>
      <c r="C4" s="5" t="n">
        <v>120.9</v>
      </c>
      <c r="D4" s="5" t="n">
        <v>59.9</v>
      </c>
      <c r="E4" s="5" t="n">
        <v>42.6</v>
      </c>
      <c r="F4" s="5" t="n">
        <v>27.1</v>
      </c>
      <c r="G4" s="5" t="n">
        <v>79.8</v>
      </c>
      <c r="H4" s="5" t="n">
        <v>5.3</v>
      </c>
      <c r="I4" s="5" t="n">
        <v>90.59999999999999</v>
      </c>
      <c r="J4" s="5" t="n">
        <v>59.1</v>
      </c>
      <c r="K4" s="5" t="n">
        <v>8.9</v>
      </c>
      <c r="L4" s="5" t="n">
        <v>55.9</v>
      </c>
      <c r="M4" s="2">
        <f>Process_Data!F4*Process_Data!G4/100</f>
        <v/>
      </c>
      <c r="N4" s="5" t="n">
        <v>111.3</v>
      </c>
      <c r="O4" s="5" t="n">
        <v>116.4</v>
      </c>
      <c r="P4" s="5" t="n">
        <v>64.81999999999999</v>
      </c>
      <c r="Q4" s="5" t="n">
        <v>6.08</v>
      </c>
      <c r="R4" s="5" t="n">
        <v>12.33</v>
      </c>
      <c r="S4" s="5" t="n">
        <v>64.43000000000001</v>
      </c>
      <c r="T4" s="2">
        <f>N4/M4*100</f>
        <v/>
      </c>
      <c r="U4" s="2">
        <f>N4*P4/(M4*Process_Data!I4)*100</f>
        <v/>
      </c>
      <c r="V4" s="2">
        <f>O4*R4/(M4*Process_Data!I4)*100</f>
        <v/>
      </c>
      <c r="W4" s="2">
        <f>U4+V4</f>
        <v/>
      </c>
      <c r="X4" s="2">
        <f>(M4-(N4+O4))/M4*100</f>
        <v/>
      </c>
      <c r="Y4" s="2">
        <f>(M4*Process_Data!I4-(N4*P4+O4*R4))/(M4*Process_Data!I4)*100</f>
        <v/>
      </c>
      <c r="Z4" s="2" t="inlineStr">
        <is>
          <t>OK</t>
        </is>
      </c>
    </row>
    <row r="5">
      <c r="A5" s="6" t="n">
        <v>4</v>
      </c>
      <c r="B5" s="7" t="n">
        <v>24.1</v>
      </c>
      <c r="C5" s="7" t="n">
        <v>103.4</v>
      </c>
      <c r="D5" s="7" t="n">
        <v>59.3</v>
      </c>
      <c r="E5" s="7" t="n">
        <v>36.8</v>
      </c>
      <c r="F5" s="7" t="n">
        <v>21.4</v>
      </c>
      <c r="G5" s="7" t="n">
        <v>77.7</v>
      </c>
      <c r="H5" s="7" t="n">
        <v>5.1</v>
      </c>
      <c r="I5" s="7" t="n">
        <v>93.90000000000001</v>
      </c>
      <c r="J5" s="7" t="n">
        <v>57.6</v>
      </c>
      <c r="K5" s="7" t="n">
        <v>9.5</v>
      </c>
      <c r="L5" s="7" t="n">
        <v>93.40000000000001</v>
      </c>
      <c r="M5" s="3">
        <f>Process_Data!F5*Process_Data!G5/100</f>
        <v/>
      </c>
      <c r="N5" s="7" t="n">
        <v>106.3</v>
      </c>
      <c r="O5" s="7" t="n">
        <v>100</v>
      </c>
      <c r="P5" s="7" t="n">
        <v>66.42</v>
      </c>
      <c r="Q5" s="7" t="n">
        <v>4.93</v>
      </c>
      <c r="R5" s="7" t="n">
        <v>11.24</v>
      </c>
      <c r="S5" s="7" t="n">
        <v>62.11</v>
      </c>
      <c r="T5" s="3">
        <f>N5/M5*100</f>
        <v/>
      </c>
      <c r="U5" s="3">
        <f>N5*P5/(M5*Process_Data!I5)*100</f>
        <v/>
      </c>
      <c r="V5" s="3">
        <f>O5*R5/(M5*Process_Data!I5)*100</f>
        <v/>
      </c>
      <c r="W5" s="3">
        <f>U5+V5</f>
        <v/>
      </c>
      <c r="X5" s="3">
        <f>(M5-(N5+O5))/M5*100</f>
        <v/>
      </c>
      <c r="Y5" s="3">
        <f>(M5*Process_Data!I5-(N5*P5+O5*R5))/(M5*Process_Data!I5)*100</f>
        <v/>
      </c>
      <c r="Z5" s="3" t="inlineStr">
        <is>
          <t>OK</t>
        </is>
      </c>
    </row>
    <row r="6">
      <c r="A6" s="4" t="n">
        <v>5</v>
      </c>
      <c r="B6" s="5" t="n">
        <v>21.9</v>
      </c>
      <c r="C6" s="5" t="n">
        <v>128.3</v>
      </c>
      <c r="D6" s="5" t="n">
        <v>60.2</v>
      </c>
      <c r="E6" s="5" t="n">
        <v>44.5</v>
      </c>
      <c r="F6" s="5" t="n">
        <v>24.3</v>
      </c>
      <c r="G6" s="5" t="n">
        <v>80.5</v>
      </c>
      <c r="H6" s="5" t="n">
        <v>4.7</v>
      </c>
      <c r="I6" s="5" t="n">
        <v>91.2</v>
      </c>
      <c r="J6" s="5" t="n">
        <v>59</v>
      </c>
      <c r="K6" s="5" t="n">
        <v>9.1</v>
      </c>
      <c r="L6" s="5" t="n">
        <v>42.2</v>
      </c>
      <c r="M6" s="2">
        <f>Process_Data!F6*Process_Data!G6/100</f>
        <v/>
      </c>
      <c r="N6" s="5" t="n">
        <v>107.9</v>
      </c>
      <c r="O6" s="5" t="n">
        <v>107.6</v>
      </c>
      <c r="P6" s="5" t="n">
        <v>65.68000000000001</v>
      </c>
      <c r="Q6" s="5" t="n">
        <v>5.65</v>
      </c>
      <c r="R6" s="5" t="n">
        <v>9.56</v>
      </c>
      <c r="S6" s="5" t="n">
        <v>63.58</v>
      </c>
      <c r="T6" s="2">
        <f>N6/M6*100</f>
        <v/>
      </c>
      <c r="U6" s="2">
        <f>N6*P6/(M6*Process_Data!I6)*100</f>
        <v/>
      </c>
      <c r="V6" s="2">
        <f>O6*R6/(M6*Process_Data!I6)*100</f>
        <v/>
      </c>
      <c r="W6" s="2">
        <f>U6+V6</f>
        <v/>
      </c>
      <c r="X6" s="2">
        <f>(M6-(N6+O6))/M6*100</f>
        <v/>
      </c>
      <c r="Y6" s="2">
        <f>(M6*Process_Data!I6-(N6*P6+O6*R6))/(M6*Process_Data!I6)*100</f>
        <v/>
      </c>
      <c r="Z6" s="2" t="inlineStr">
        <is>
          <t>OK</t>
        </is>
      </c>
    </row>
    <row r="7">
      <c r="A7" s="6" t="n">
        <v>6</v>
      </c>
      <c r="B7" s="7" t="n">
        <v>24.4</v>
      </c>
      <c r="C7" s="7" t="n">
        <v>112.4</v>
      </c>
      <c r="D7" s="7" t="n">
        <v>59.5</v>
      </c>
      <c r="E7" s="7" t="n">
        <v>36.4</v>
      </c>
      <c r="F7" s="7" t="n">
        <v>27</v>
      </c>
      <c r="G7" s="7" t="n">
        <v>76.09999999999999</v>
      </c>
      <c r="H7" s="7" t="n">
        <v>5.8</v>
      </c>
      <c r="I7" s="7" t="n">
        <v>91.40000000000001</v>
      </c>
      <c r="J7" s="7" t="n">
        <v>57.8</v>
      </c>
      <c r="K7" s="7" t="n">
        <v>10.1</v>
      </c>
      <c r="L7" s="7" t="n">
        <v>89.3</v>
      </c>
      <c r="M7" s="3">
        <f>Process_Data!F7*Process_Data!G7/100</f>
        <v/>
      </c>
      <c r="N7" s="7" t="n">
        <v>100.4</v>
      </c>
      <c r="O7" s="7" t="n">
        <v>100.7</v>
      </c>
      <c r="P7" s="7" t="n">
        <v>66.27</v>
      </c>
      <c r="Q7" s="7" t="n">
        <v>5.83</v>
      </c>
      <c r="R7" s="7" t="n">
        <v>11.75</v>
      </c>
      <c r="S7" s="7" t="n">
        <v>60.59</v>
      </c>
      <c r="T7" s="3">
        <f>N7/M7*100</f>
        <v/>
      </c>
      <c r="U7" s="3">
        <f>N7*P7/(M7*Process_Data!I7)*100</f>
        <v/>
      </c>
      <c r="V7" s="3">
        <f>O7*R7/(M7*Process_Data!I7)*100</f>
        <v/>
      </c>
      <c r="W7" s="3">
        <f>U7+V7</f>
        <v/>
      </c>
      <c r="X7" s="3">
        <f>(M7-(N7+O7))/M7*100</f>
        <v/>
      </c>
      <c r="Y7" s="3">
        <f>(M7*Process_Data!I7-(N7*P7+O7*R7))/(M7*Process_Data!I7)*100</f>
        <v/>
      </c>
      <c r="Z7" s="3" t="inlineStr">
        <is>
          <t>OK</t>
        </is>
      </c>
    </row>
    <row r="8">
      <c r="A8" s="4" t="n">
        <v>7</v>
      </c>
      <c r="B8" s="5" t="n">
        <v>22.6</v>
      </c>
      <c r="C8" s="5" t="n">
        <v>129.7</v>
      </c>
      <c r="D8" s="5" t="n">
        <v>61.9</v>
      </c>
      <c r="E8" s="5" t="n">
        <v>47.7</v>
      </c>
      <c r="F8" s="5" t="n">
        <v>24.6</v>
      </c>
      <c r="G8" s="5" t="n">
        <v>76.3</v>
      </c>
      <c r="H8" s="5" t="n">
        <v>4.7</v>
      </c>
      <c r="I8" s="5" t="n">
        <v>90.90000000000001</v>
      </c>
      <c r="J8" s="5" t="n">
        <v>60.7</v>
      </c>
      <c r="K8" s="5" t="n">
        <v>9.199999999999999</v>
      </c>
      <c r="L8" s="5" t="n">
        <v>93.5</v>
      </c>
      <c r="M8" s="2">
        <f>Process_Data!F8*Process_Data!G8/100</f>
        <v/>
      </c>
      <c r="N8" s="5" t="n">
        <v>98.5</v>
      </c>
      <c r="O8" s="5" t="n">
        <v>103</v>
      </c>
      <c r="P8" s="5" t="n">
        <v>65.29000000000001</v>
      </c>
      <c r="Q8" s="5" t="n">
        <v>6.02</v>
      </c>
      <c r="R8" s="5" t="n">
        <v>11.71</v>
      </c>
      <c r="S8" s="5" t="n">
        <v>65.56</v>
      </c>
      <c r="T8" s="2">
        <f>N8/M8*100</f>
        <v/>
      </c>
      <c r="U8" s="2">
        <f>N8*P8/(M8*Process_Data!I8)*100</f>
        <v/>
      </c>
      <c r="V8" s="2">
        <f>O8*R8/(M8*Process_Data!I8)*100</f>
        <v/>
      </c>
      <c r="W8" s="2">
        <f>U8+V8</f>
        <v/>
      </c>
      <c r="X8" s="2">
        <f>(M8-(N8+O8))/M8*100</f>
        <v/>
      </c>
      <c r="Y8" s="2">
        <f>(M8*Process_Data!I8-(N8*P8+O8*R8))/(M8*Process_Data!I8)*100</f>
        <v/>
      </c>
      <c r="Z8" s="2" t="inlineStr">
        <is>
          <t>OK</t>
        </is>
      </c>
    </row>
    <row r="9">
      <c r="A9" s="6" t="n">
        <v>8</v>
      </c>
      <c r="B9" s="7" t="n">
        <v>27.4</v>
      </c>
      <c r="C9" s="7" t="n">
        <v>104.3</v>
      </c>
      <c r="D9" s="7" t="n">
        <v>63.8</v>
      </c>
      <c r="E9" s="7" t="n">
        <v>49.5</v>
      </c>
      <c r="F9" s="7" t="n">
        <v>26.5</v>
      </c>
      <c r="G9" s="7" t="n">
        <v>80.7</v>
      </c>
      <c r="H9" s="7" t="n">
        <v>5.3</v>
      </c>
      <c r="I9" s="7" t="n">
        <v>91.2</v>
      </c>
      <c r="J9" s="7" t="n">
        <v>62.9</v>
      </c>
      <c r="K9" s="7" t="n">
        <v>9.1</v>
      </c>
      <c r="L9" s="7" t="n">
        <v>70.59999999999999</v>
      </c>
      <c r="M9" s="3">
        <f>Process_Data!F9*Process_Data!G9/100</f>
        <v/>
      </c>
      <c r="N9" s="7" t="n">
        <v>106.4</v>
      </c>
      <c r="O9" s="7" t="n">
        <v>96</v>
      </c>
      <c r="P9" s="7" t="n">
        <v>66.37</v>
      </c>
      <c r="Q9" s="7" t="n">
        <v>5.68</v>
      </c>
      <c r="R9" s="7" t="n">
        <v>11.5</v>
      </c>
      <c r="S9" s="7" t="n">
        <v>60.68</v>
      </c>
      <c r="T9" s="3">
        <f>N9/M9*100</f>
        <v/>
      </c>
      <c r="U9" s="3">
        <f>N9*P9/(M9*Process_Data!I9)*100</f>
        <v/>
      </c>
      <c r="V9" s="3">
        <f>O9*R9/(M9*Process_Data!I9)*100</f>
        <v/>
      </c>
      <c r="W9" s="3">
        <f>U9+V9</f>
        <v/>
      </c>
      <c r="X9" s="3">
        <f>(M9-(N9+O9))/M9*100</f>
        <v/>
      </c>
      <c r="Y9" s="3">
        <f>(M9*Process_Data!I9-(N9*P9+O9*R9))/(M9*Process_Data!I9)*100</f>
        <v/>
      </c>
      <c r="Z9" s="3" t="inlineStr">
        <is>
          <t>OK</t>
        </is>
      </c>
    </row>
    <row r="10">
      <c r="A10" s="4" t="n">
        <v>9</v>
      </c>
      <c r="B10" s="5" t="n">
        <v>24.1</v>
      </c>
      <c r="C10" s="5" t="n">
        <v>110.1</v>
      </c>
      <c r="D10" s="5" t="n">
        <v>62.8</v>
      </c>
      <c r="E10" s="5" t="n">
        <v>44.7</v>
      </c>
      <c r="F10" s="5" t="n">
        <v>25</v>
      </c>
      <c r="G10" s="5" t="n">
        <v>76</v>
      </c>
      <c r="H10" s="5" t="n">
        <v>6.3</v>
      </c>
      <c r="I10" s="5" t="n">
        <v>91.59999999999999</v>
      </c>
      <c r="J10" s="5" t="n">
        <v>61.3</v>
      </c>
      <c r="K10" s="5" t="n">
        <v>9</v>
      </c>
      <c r="L10" s="5" t="n">
        <v>71.8</v>
      </c>
      <c r="M10" s="2">
        <f>Process_Data!F10*Process_Data!G10/100</f>
        <v/>
      </c>
      <c r="N10" s="5" t="n">
        <v>108.7</v>
      </c>
      <c r="O10" s="5" t="n">
        <v>86.09999999999999</v>
      </c>
      <c r="P10" s="5" t="n">
        <v>64.56999999999999</v>
      </c>
      <c r="Q10" s="5" t="n">
        <v>5.29</v>
      </c>
      <c r="R10" s="5" t="n">
        <v>11.4</v>
      </c>
      <c r="S10" s="5" t="n">
        <v>62.01</v>
      </c>
      <c r="T10" s="2">
        <f>N10/M10*100</f>
        <v/>
      </c>
      <c r="U10" s="2">
        <f>N10*P10/(M10*Process_Data!I10)*100</f>
        <v/>
      </c>
      <c r="V10" s="2">
        <f>O10*R10/(M10*Process_Data!I10)*100</f>
        <v/>
      </c>
      <c r="W10" s="2">
        <f>U10+V10</f>
        <v/>
      </c>
      <c r="X10" s="2">
        <f>(M10-(N10+O10))/M10*100</f>
        <v/>
      </c>
      <c r="Y10" s="2">
        <f>(M10*Process_Data!I10-(N10*P10+O10*R10))/(M10*Process_Data!I10)*100</f>
        <v/>
      </c>
      <c r="Z10" s="2" t="inlineStr">
        <is>
          <t>OK</t>
        </is>
      </c>
    </row>
    <row r="11">
      <c r="A11" s="6" t="n">
        <v>10</v>
      </c>
      <c r="B11" s="7" t="n">
        <v>25.1</v>
      </c>
      <c r="C11" s="7" t="n">
        <v>128.1</v>
      </c>
      <c r="D11" s="7" t="n">
        <v>63.9</v>
      </c>
      <c r="E11" s="7" t="n">
        <v>42.7</v>
      </c>
      <c r="F11" s="7" t="n">
        <v>21.2</v>
      </c>
      <c r="G11" s="7" t="n">
        <v>77</v>
      </c>
      <c r="H11" s="7" t="n">
        <v>5</v>
      </c>
      <c r="I11" s="7" t="n">
        <v>89.5</v>
      </c>
      <c r="J11" s="7" t="n">
        <v>62.3</v>
      </c>
      <c r="K11" s="7" t="n">
        <v>8.800000000000001</v>
      </c>
      <c r="L11" s="7" t="n">
        <v>92.90000000000001</v>
      </c>
      <c r="M11" s="3">
        <f>Process_Data!F11*Process_Data!G11/100</f>
        <v/>
      </c>
      <c r="N11" s="7" t="n">
        <v>100.2</v>
      </c>
      <c r="O11" s="7" t="n">
        <v>97.5</v>
      </c>
      <c r="P11" s="7" t="n">
        <v>66.17</v>
      </c>
      <c r="Q11" s="7" t="n">
        <v>5.68</v>
      </c>
      <c r="R11" s="7" t="n">
        <v>10.93</v>
      </c>
      <c r="S11" s="7" t="n">
        <v>61.21</v>
      </c>
      <c r="T11" s="3">
        <f>N11/M11*100</f>
        <v/>
      </c>
      <c r="U11" s="3">
        <f>N11*P11/(M11*Process_Data!I11)*100</f>
        <v/>
      </c>
      <c r="V11" s="3">
        <f>O11*R11/(M11*Process_Data!I11)*100</f>
        <v/>
      </c>
      <c r="W11" s="3">
        <f>U11+V11</f>
        <v/>
      </c>
      <c r="X11" s="3">
        <f>(M11-(N11+O11))/M11*100</f>
        <v/>
      </c>
      <c r="Y11" s="3">
        <f>(M11*Process_Data!I11-(N11*P11+O11*R11))/(M11*Process_Data!I11)*100</f>
        <v/>
      </c>
      <c r="Z11" s="3" t="inlineStr">
        <is>
          <t>OK</t>
        </is>
      </c>
    </row>
    <row r="12">
      <c r="A12" s="4" t="n">
        <v>11</v>
      </c>
      <c r="B12" s="5" t="n">
        <v>20.1</v>
      </c>
      <c r="C12" s="5" t="n">
        <v>79.3</v>
      </c>
      <c r="D12" s="5" t="n">
        <v>58.3</v>
      </c>
      <c r="E12" s="5" t="n">
        <v>35.6</v>
      </c>
      <c r="F12" s="5" t="n">
        <v>26.6</v>
      </c>
      <c r="G12" s="5" t="n">
        <v>73.90000000000001</v>
      </c>
      <c r="H12" s="5" t="n">
        <v>5.4</v>
      </c>
      <c r="I12" s="5" t="n">
        <v>92.40000000000001</v>
      </c>
      <c r="J12" s="5" t="n">
        <v>56.9</v>
      </c>
      <c r="K12" s="5" t="n">
        <v>9.699999999999999</v>
      </c>
      <c r="L12" s="5" t="n">
        <v>49.5</v>
      </c>
      <c r="M12" s="2">
        <f>Process_Data!F12*Process_Data!G12/100</f>
        <v/>
      </c>
      <c r="N12" s="5" t="n">
        <v>115.6</v>
      </c>
      <c r="O12" s="5" t="n">
        <v>102.7</v>
      </c>
      <c r="P12" s="5" t="n">
        <v>65.37</v>
      </c>
      <c r="Q12" s="5" t="n">
        <v>5.18</v>
      </c>
      <c r="R12" s="5" t="n">
        <v>11.66</v>
      </c>
      <c r="S12" s="5" t="n">
        <v>64.45</v>
      </c>
      <c r="T12" s="2">
        <f>N12/M12*100</f>
        <v/>
      </c>
      <c r="U12" s="2">
        <f>N12*P12/(M12*Process_Data!I12)*100</f>
        <v/>
      </c>
      <c r="V12" s="2">
        <f>O12*R12/(M12*Process_Data!I12)*100</f>
        <v/>
      </c>
      <c r="W12" s="2">
        <f>U12+V12</f>
        <v/>
      </c>
      <c r="X12" s="2">
        <f>(M12-(N12+O12))/M12*100</f>
        <v/>
      </c>
      <c r="Y12" s="2">
        <f>(M12*Process_Data!I12-(N12*P12+O12*R12))/(M12*Process_Data!I12)*100</f>
        <v/>
      </c>
      <c r="Z12" s="2" t="inlineStr">
        <is>
          <t>OK</t>
        </is>
      </c>
    </row>
    <row r="13">
      <c r="A13" s="6" t="n">
        <v>12</v>
      </c>
      <c r="B13" s="7" t="n">
        <v>25.1</v>
      </c>
      <c r="C13" s="7" t="n">
        <v>106.7</v>
      </c>
      <c r="D13" s="7" t="n">
        <v>61.3</v>
      </c>
      <c r="E13" s="7" t="n">
        <v>49.1</v>
      </c>
      <c r="F13" s="7" t="n">
        <v>21.9</v>
      </c>
      <c r="G13" s="7" t="n">
        <v>74.8</v>
      </c>
      <c r="H13" s="7" t="n">
        <v>6.3</v>
      </c>
      <c r="I13" s="7" t="n">
        <v>89.5</v>
      </c>
      <c r="J13" s="7" t="n">
        <v>59.5</v>
      </c>
      <c r="K13" s="7" t="n">
        <v>9</v>
      </c>
      <c r="L13" s="7" t="n">
        <v>41</v>
      </c>
      <c r="M13" s="3">
        <f>Process_Data!F13*Process_Data!G13/100</f>
        <v/>
      </c>
      <c r="N13" s="7" t="n">
        <v>123.1</v>
      </c>
      <c r="O13" s="7" t="n">
        <v>93.2</v>
      </c>
      <c r="P13" s="7" t="n">
        <v>64.69</v>
      </c>
      <c r="Q13" s="7" t="n">
        <v>5.66</v>
      </c>
      <c r="R13" s="7" t="n">
        <v>9.75</v>
      </c>
      <c r="S13" s="7" t="n">
        <v>62.23</v>
      </c>
      <c r="T13" s="3">
        <f>N13/M13*100</f>
        <v/>
      </c>
      <c r="U13" s="3">
        <f>N13*P13/(M13*Process_Data!I13)*100</f>
        <v/>
      </c>
      <c r="V13" s="3">
        <f>O13*R13/(M13*Process_Data!I13)*100</f>
        <v/>
      </c>
      <c r="W13" s="3">
        <f>U13+V13</f>
        <v/>
      </c>
      <c r="X13" s="3">
        <f>(M13-(N13+O13))/M13*100</f>
        <v/>
      </c>
      <c r="Y13" s="3">
        <f>(M13*Process_Data!I13-(N13*P13+O13*R13))/(M13*Process_Data!I13)*100</f>
        <v/>
      </c>
      <c r="Z13" s="3" t="inlineStr">
        <is>
          <t>OK</t>
        </is>
      </c>
    </row>
    <row r="14">
      <c r="A14" s="4" t="n">
        <v>13</v>
      </c>
      <c r="B14" s="5" t="n">
        <v>23.3</v>
      </c>
      <c r="C14" s="5" t="n">
        <v>99.8</v>
      </c>
      <c r="D14" s="5" t="n">
        <v>62.7</v>
      </c>
      <c r="E14" s="5" t="n">
        <v>40.1</v>
      </c>
      <c r="F14" s="5" t="n">
        <v>27.3</v>
      </c>
      <c r="G14" s="5" t="n">
        <v>79.8</v>
      </c>
      <c r="H14" s="5" t="n">
        <v>5.4</v>
      </c>
      <c r="I14" s="5" t="n">
        <v>94.3</v>
      </c>
      <c r="J14" s="5" t="n">
        <v>61</v>
      </c>
      <c r="K14" s="5" t="n">
        <v>9</v>
      </c>
      <c r="L14" s="5" t="n">
        <v>89.59999999999999</v>
      </c>
      <c r="M14" s="2">
        <f>Process_Data!F14*Process_Data!G14/100</f>
        <v/>
      </c>
      <c r="N14" s="5" t="n">
        <v>103.9</v>
      </c>
      <c r="O14" s="5" t="n">
        <v>113.8</v>
      </c>
      <c r="P14" s="5" t="n">
        <v>65.51000000000001</v>
      </c>
      <c r="Q14" s="5" t="n">
        <v>5.9</v>
      </c>
      <c r="R14" s="5" t="n">
        <v>10.62</v>
      </c>
      <c r="S14" s="5" t="n">
        <v>66.27</v>
      </c>
      <c r="T14" s="2">
        <f>N14/M14*100</f>
        <v/>
      </c>
      <c r="U14" s="2">
        <f>N14*P14/(M14*Process_Data!I14)*100</f>
        <v/>
      </c>
      <c r="V14" s="2">
        <f>O14*R14/(M14*Process_Data!I14)*100</f>
        <v/>
      </c>
      <c r="W14" s="2">
        <f>U14+V14</f>
        <v/>
      </c>
      <c r="X14" s="2">
        <f>(M14-(N14+O14))/M14*100</f>
        <v/>
      </c>
      <c r="Y14" s="2">
        <f>(M14*Process_Data!I14-(N14*P14+O14*R14))/(M14*Process_Data!I14)*100</f>
        <v/>
      </c>
      <c r="Z14" s="2" t="inlineStr">
        <is>
          <t>OK</t>
        </is>
      </c>
    </row>
    <row r="15">
      <c r="A15" s="6" t="n">
        <v>14</v>
      </c>
      <c r="B15" s="7" t="n">
        <v>26.3</v>
      </c>
      <c r="C15" s="7" t="n">
        <v>77.3</v>
      </c>
      <c r="D15" s="7" t="n">
        <v>61</v>
      </c>
      <c r="E15" s="7" t="n">
        <v>35.9</v>
      </c>
      <c r="F15" s="7" t="n">
        <v>23.5</v>
      </c>
      <c r="G15" s="7" t="n">
        <v>76.2</v>
      </c>
      <c r="H15" s="7" t="n">
        <v>6.3</v>
      </c>
      <c r="I15" s="7" t="n">
        <v>89.8</v>
      </c>
      <c r="J15" s="7" t="n">
        <v>59.9</v>
      </c>
      <c r="K15" s="7" t="n">
        <v>9.1</v>
      </c>
      <c r="L15" s="7" t="n">
        <v>81.90000000000001</v>
      </c>
      <c r="M15" s="3">
        <f>Process_Data!F15*Process_Data!G15/100</f>
        <v/>
      </c>
      <c r="N15" s="7" t="n">
        <v>106.1</v>
      </c>
      <c r="O15" s="7" t="n">
        <v>110.2</v>
      </c>
      <c r="P15" s="7" t="n">
        <v>65.73999999999999</v>
      </c>
      <c r="Q15" s="7" t="n">
        <v>4.67</v>
      </c>
      <c r="R15" s="7" t="n">
        <v>9.789999999999999</v>
      </c>
      <c r="S15" s="7" t="n">
        <v>64.91</v>
      </c>
      <c r="T15" s="3">
        <f>N15/M15*100</f>
        <v/>
      </c>
      <c r="U15" s="3">
        <f>N15*P15/(M15*Process_Data!I15)*100</f>
        <v/>
      </c>
      <c r="V15" s="3">
        <f>O15*R15/(M15*Process_Data!I15)*100</f>
        <v/>
      </c>
      <c r="W15" s="3">
        <f>U15+V15</f>
        <v/>
      </c>
      <c r="X15" s="3">
        <f>(M15-(N15+O15))/M15*100</f>
        <v/>
      </c>
      <c r="Y15" s="3">
        <f>(M15*Process_Data!I15-(N15*P15+O15*R15))/(M15*Process_Data!I15)*100</f>
        <v/>
      </c>
      <c r="Z15" s="3" t="inlineStr">
        <is>
          <t>OK</t>
        </is>
      </c>
    </row>
    <row r="16">
      <c r="A16" s="4" t="n">
        <v>15</v>
      </c>
      <c r="B16" s="5" t="n">
        <v>24.5</v>
      </c>
      <c r="C16" s="5" t="n">
        <v>103.9</v>
      </c>
      <c r="D16" s="5" t="n">
        <v>63.4</v>
      </c>
      <c r="E16" s="5" t="n">
        <v>36.7</v>
      </c>
      <c r="F16" s="5" t="n">
        <v>22.9</v>
      </c>
      <c r="G16" s="5" t="n">
        <v>73.5</v>
      </c>
      <c r="H16" s="5" t="n">
        <v>5.4</v>
      </c>
      <c r="I16" s="5" t="n">
        <v>89.8</v>
      </c>
      <c r="J16" s="5" t="n">
        <v>62.9</v>
      </c>
      <c r="K16" s="5" t="n">
        <v>9</v>
      </c>
      <c r="L16" s="5" t="n">
        <v>75.7</v>
      </c>
      <c r="M16" s="2">
        <f>Process_Data!F16*Process_Data!G16/100</f>
        <v/>
      </c>
      <c r="N16" s="5" t="n">
        <v>91.7</v>
      </c>
      <c r="O16" s="5" t="n">
        <v>116.2</v>
      </c>
      <c r="P16" s="5" t="n">
        <v>65.98999999999999</v>
      </c>
      <c r="Q16" s="5" t="n">
        <v>5.49</v>
      </c>
      <c r="R16" s="5" t="n">
        <v>12.87</v>
      </c>
      <c r="S16" s="5" t="n">
        <v>62.62</v>
      </c>
      <c r="T16" s="2">
        <f>N16/M16*100</f>
        <v/>
      </c>
      <c r="U16" s="2">
        <f>N16*P16/(M16*Process_Data!I16)*100</f>
        <v/>
      </c>
      <c r="V16" s="2">
        <f>O16*R16/(M16*Process_Data!I16)*100</f>
        <v/>
      </c>
      <c r="W16" s="2">
        <f>U16+V16</f>
        <v/>
      </c>
      <c r="X16" s="2">
        <f>(M16-(N16+O16))/M16*100</f>
        <v/>
      </c>
      <c r="Y16" s="2">
        <f>(M16*Process_Data!I16-(N16*P16+O16*R16))/(M16*Process_Data!I16)*100</f>
        <v/>
      </c>
      <c r="Z16" s="2" t="inlineStr">
        <is>
          <t>OK</t>
        </is>
      </c>
    </row>
    <row r="17">
      <c r="A17" s="6" t="n">
        <v>16</v>
      </c>
      <c r="B17" s="7" t="n">
        <v>25.6</v>
      </c>
      <c r="C17" s="7" t="n">
        <v>106.4</v>
      </c>
      <c r="D17" s="7" t="n">
        <v>61.8</v>
      </c>
      <c r="E17" s="7" t="n">
        <v>43.8</v>
      </c>
      <c r="F17" s="7" t="n">
        <v>27</v>
      </c>
      <c r="G17" s="7" t="n">
        <v>81.59999999999999</v>
      </c>
      <c r="H17" s="7" t="n">
        <v>5.1</v>
      </c>
      <c r="I17" s="7" t="n">
        <v>95.2</v>
      </c>
      <c r="J17" s="7" t="n">
        <v>61.2</v>
      </c>
      <c r="K17" s="7" t="n">
        <v>9.6</v>
      </c>
      <c r="L17" s="7" t="n">
        <v>74.09999999999999</v>
      </c>
      <c r="M17" s="3">
        <f>Process_Data!F17*Process_Data!G17/100</f>
        <v/>
      </c>
      <c r="N17" s="7" t="n">
        <v>97.40000000000001</v>
      </c>
      <c r="O17" s="7" t="n">
        <v>112.7</v>
      </c>
      <c r="P17" s="7" t="n">
        <v>65.05</v>
      </c>
      <c r="Q17" s="7" t="n">
        <v>4.82</v>
      </c>
      <c r="R17" s="7" t="n">
        <v>11.12</v>
      </c>
      <c r="S17" s="7" t="n">
        <v>62.47</v>
      </c>
      <c r="T17" s="3">
        <f>N17/M17*100</f>
        <v/>
      </c>
      <c r="U17" s="3">
        <f>N17*P17/(M17*Process_Data!I17)*100</f>
        <v/>
      </c>
      <c r="V17" s="3">
        <f>O17*R17/(M17*Process_Data!I17)*100</f>
        <v/>
      </c>
      <c r="W17" s="3">
        <f>U17+V17</f>
        <v/>
      </c>
      <c r="X17" s="3">
        <f>(M17-(N17+O17))/M17*100</f>
        <v/>
      </c>
      <c r="Y17" s="3">
        <f>(M17*Process_Data!I17-(N17*P17+O17*R17))/(M17*Process_Data!I17)*100</f>
        <v/>
      </c>
      <c r="Z17" s="3" t="inlineStr">
        <is>
          <t>OK</t>
        </is>
      </c>
    </row>
    <row r="18">
      <c r="A18" s="4" t="n">
        <v>17</v>
      </c>
      <c r="B18" s="5" t="n">
        <v>23.3</v>
      </c>
      <c r="C18" s="5" t="n">
        <v>144.6</v>
      </c>
      <c r="D18" s="5" t="n">
        <v>63.2</v>
      </c>
      <c r="E18" s="5" t="n">
        <v>35.7</v>
      </c>
      <c r="F18" s="5" t="n">
        <v>18.3</v>
      </c>
      <c r="G18" s="5" t="n">
        <v>81.90000000000001</v>
      </c>
      <c r="H18" s="5" t="n">
        <v>6.1</v>
      </c>
      <c r="I18" s="5" t="n">
        <v>90.09999999999999</v>
      </c>
      <c r="J18" s="5" t="n">
        <v>62.2</v>
      </c>
      <c r="K18" s="5" t="n">
        <v>9.9</v>
      </c>
      <c r="L18" s="5" t="n">
        <v>60.9</v>
      </c>
      <c r="M18" s="2">
        <f>Process_Data!F18*Process_Data!G18/100</f>
        <v/>
      </c>
      <c r="N18" s="5" t="n">
        <v>122.4</v>
      </c>
      <c r="O18" s="5" t="n">
        <v>123.9</v>
      </c>
      <c r="P18" s="5" t="n">
        <v>66.44</v>
      </c>
      <c r="Q18" s="5" t="n">
        <v>5.93</v>
      </c>
      <c r="R18" s="5" t="n">
        <v>12.43</v>
      </c>
      <c r="S18" s="5" t="n">
        <v>63.28</v>
      </c>
      <c r="T18" s="2">
        <f>N18/M18*100</f>
        <v/>
      </c>
      <c r="U18" s="2">
        <f>N18*P18/(M18*Process_Data!I18)*100</f>
        <v/>
      </c>
      <c r="V18" s="2">
        <f>O18*R18/(M18*Process_Data!I18)*100</f>
        <v/>
      </c>
      <c r="W18" s="2">
        <f>U18+V18</f>
        <v/>
      </c>
      <c r="X18" s="2">
        <f>(M18-(N18+O18))/M18*100</f>
        <v/>
      </c>
      <c r="Y18" s="2">
        <f>(M18*Process_Data!I18-(N18*P18+O18*R18))/(M18*Process_Data!I18)*100</f>
        <v/>
      </c>
      <c r="Z18" s="2" t="inlineStr">
        <is>
          <t>OK</t>
        </is>
      </c>
    </row>
    <row r="19">
      <c r="A19" s="6" t="n">
        <v>18</v>
      </c>
      <c r="B19" s="7" t="n">
        <v>24.8</v>
      </c>
      <c r="C19" s="7" t="n">
        <v>88.3</v>
      </c>
      <c r="D19" s="7" t="n">
        <v>62</v>
      </c>
      <c r="E19" s="7" t="n">
        <v>44.3</v>
      </c>
      <c r="F19" s="7" t="n">
        <v>21.6</v>
      </c>
      <c r="G19" s="7" t="n">
        <v>77.7</v>
      </c>
      <c r="H19" s="7" t="n">
        <v>5.8</v>
      </c>
      <c r="I19" s="7" t="n">
        <v>94.40000000000001</v>
      </c>
      <c r="J19" s="7" t="n">
        <v>61.4</v>
      </c>
      <c r="K19" s="7" t="n">
        <v>9.699999999999999</v>
      </c>
      <c r="L19" s="7" t="n">
        <v>86.90000000000001</v>
      </c>
      <c r="M19" s="3">
        <f>Process_Data!F19*Process_Data!G19/100</f>
        <v/>
      </c>
      <c r="N19" s="7" t="n">
        <v>100.3</v>
      </c>
      <c r="O19" s="7" t="n">
        <v>99</v>
      </c>
      <c r="P19" s="7" t="n">
        <v>65.59999999999999</v>
      </c>
      <c r="Q19" s="7" t="n">
        <v>5.45</v>
      </c>
      <c r="R19" s="7" t="n">
        <v>12.57</v>
      </c>
      <c r="S19" s="7" t="n">
        <v>62.82</v>
      </c>
      <c r="T19" s="3">
        <f>N19/M19*100</f>
        <v/>
      </c>
      <c r="U19" s="3">
        <f>N19*P19/(M19*Process_Data!I19)*100</f>
        <v/>
      </c>
      <c r="V19" s="3">
        <f>O19*R19/(M19*Process_Data!I19)*100</f>
        <v/>
      </c>
      <c r="W19" s="3">
        <f>U19+V19</f>
        <v/>
      </c>
      <c r="X19" s="3">
        <f>(M19-(N19+O19))/M19*100</f>
        <v/>
      </c>
      <c r="Y19" s="3">
        <f>(M19*Process_Data!I19-(N19*P19+O19*R19))/(M19*Process_Data!I19)*100</f>
        <v/>
      </c>
      <c r="Z19" s="3" t="inlineStr">
        <is>
          <t>OK</t>
        </is>
      </c>
    </row>
    <row r="20">
      <c r="A20" s="4" t="n">
        <v>19</v>
      </c>
      <c r="B20" s="5" t="n">
        <v>26.3</v>
      </c>
      <c r="C20" s="5" t="n">
        <v>101.7</v>
      </c>
      <c r="D20" s="5" t="n">
        <v>61.7</v>
      </c>
      <c r="E20" s="5" t="n">
        <v>47.9</v>
      </c>
      <c r="F20" s="5" t="n">
        <v>27.5</v>
      </c>
      <c r="G20" s="5" t="n">
        <v>77.40000000000001</v>
      </c>
      <c r="H20" s="5" t="n">
        <v>6.4</v>
      </c>
      <c r="I20" s="5" t="n">
        <v>90.8</v>
      </c>
      <c r="J20" s="5" t="n">
        <v>61</v>
      </c>
      <c r="K20" s="5" t="n">
        <v>9.6</v>
      </c>
      <c r="L20" s="5" t="n">
        <v>93.90000000000001</v>
      </c>
      <c r="M20" s="2">
        <f>Process_Data!F20*Process_Data!G20/100</f>
        <v/>
      </c>
      <c r="N20" s="5" t="n">
        <v>116.6</v>
      </c>
      <c r="O20" s="5" t="n">
        <v>108.2</v>
      </c>
      <c r="P20" s="5" t="n">
        <v>65.48999999999999</v>
      </c>
      <c r="Q20" s="5" t="n">
        <v>5.06</v>
      </c>
      <c r="R20" s="5" t="n">
        <v>11.72</v>
      </c>
      <c r="S20" s="5" t="n">
        <v>61.68</v>
      </c>
      <c r="T20" s="2">
        <f>N20/M20*100</f>
        <v/>
      </c>
      <c r="U20" s="2">
        <f>N20*P20/(M20*Process_Data!I20)*100</f>
        <v/>
      </c>
      <c r="V20" s="2">
        <f>O20*R20/(M20*Process_Data!I20)*100</f>
        <v/>
      </c>
      <c r="W20" s="2">
        <f>U20+V20</f>
        <v/>
      </c>
      <c r="X20" s="2">
        <f>(M20-(N20+O20))/M20*100</f>
        <v/>
      </c>
      <c r="Y20" s="2">
        <f>(M20*Process_Data!I20-(N20*P20+O20*R20))/(M20*Process_Data!I20)*100</f>
        <v/>
      </c>
      <c r="Z20" s="2" t="inlineStr">
        <is>
          <t>OK</t>
        </is>
      </c>
    </row>
    <row r="21">
      <c r="A21" s="6" t="n">
        <v>20</v>
      </c>
      <c r="B21" s="7" t="n">
        <v>22.2</v>
      </c>
      <c r="C21" s="7" t="n">
        <v>84.2</v>
      </c>
      <c r="D21" s="7" t="n">
        <v>58.5</v>
      </c>
      <c r="E21" s="7" t="n">
        <v>36.8</v>
      </c>
      <c r="F21" s="7" t="n">
        <v>22.6</v>
      </c>
      <c r="G21" s="7" t="n">
        <v>77.5</v>
      </c>
      <c r="H21" s="7" t="n">
        <v>5.2</v>
      </c>
      <c r="I21" s="7" t="n">
        <v>93.8</v>
      </c>
      <c r="J21" s="7" t="n">
        <v>57.8</v>
      </c>
      <c r="K21" s="7" t="n">
        <v>8.9</v>
      </c>
      <c r="L21" s="7" t="n">
        <v>84</v>
      </c>
      <c r="M21" s="3">
        <f>Process_Data!F21*Process_Data!G21/100</f>
        <v/>
      </c>
      <c r="N21" s="7" t="n">
        <v>84.5</v>
      </c>
      <c r="O21" s="7" t="n">
        <v>100.2</v>
      </c>
      <c r="P21" s="7" t="n">
        <v>65.76000000000001</v>
      </c>
      <c r="Q21" s="7" t="n">
        <v>4.64</v>
      </c>
      <c r="R21" s="7" t="n">
        <v>12.56</v>
      </c>
      <c r="S21" s="7" t="n">
        <v>66.45</v>
      </c>
      <c r="T21" s="3">
        <f>N21/M21*100</f>
        <v/>
      </c>
      <c r="U21" s="3">
        <f>N21*P21/(M21*Process_Data!I21)*100</f>
        <v/>
      </c>
      <c r="V21" s="3">
        <f>O21*R21/(M21*Process_Data!I21)*100</f>
        <v/>
      </c>
      <c r="W21" s="3">
        <f>U21+V21</f>
        <v/>
      </c>
      <c r="X21" s="3">
        <f>(M21-(N21+O21))/M21*100</f>
        <v/>
      </c>
      <c r="Y21" s="3">
        <f>(M21*Process_Data!I21-(N21*P21+O21*R21))/(M21*Process_Data!I21)*100</f>
        <v/>
      </c>
      <c r="Z21" s="3" t="inlineStr">
        <is>
          <t>OK</t>
        </is>
      </c>
    </row>
    <row r="22">
      <c r="A22" s="4" t="n">
        <v>21</v>
      </c>
      <c r="B22" s="5" t="n">
        <v>27.2</v>
      </c>
      <c r="C22" s="5" t="n">
        <v>110.9</v>
      </c>
      <c r="D22" s="5" t="n">
        <v>61.2</v>
      </c>
      <c r="E22" s="5" t="n">
        <v>36.6</v>
      </c>
      <c r="F22" s="5" t="n">
        <v>22.5</v>
      </c>
      <c r="G22" s="5" t="n">
        <v>75.40000000000001</v>
      </c>
      <c r="H22" s="5" t="n">
        <v>5</v>
      </c>
      <c r="I22" s="5" t="n">
        <v>91.59999999999999</v>
      </c>
      <c r="J22" s="5" t="n">
        <v>60</v>
      </c>
      <c r="K22" s="5" t="n">
        <v>8.800000000000001</v>
      </c>
      <c r="L22" s="5" t="n">
        <v>57.7</v>
      </c>
      <c r="M22" s="2">
        <f>Process_Data!F22*Process_Data!G22/100</f>
        <v/>
      </c>
      <c r="N22" s="5" t="n">
        <v>116.3</v>
      </c>
      <c r="O22" s="5" t="n">
        <v>115.5</v>
      </c>
      <c r="P22" s="5" t="n">
        <v>64.92</v>
      </c>
      <c r="Q22" s="5" t="n">
        <v>5.06</v>
      </c>
      <c r="R22" s="5" t="n">
        <v>9.92</v>
      </c>
      <c r="S22" s="5" t="n">
        <v>66.23</v>
      </c>
      <c r="T22" s="2">
        <f>N22/M22*100</f>
        <v/>
      </c>
      <c r="U22" s="2">
        <f>N22*P22/(M22*Process_Data!I22)*100</f>
        <v/>
      </c>
      <c r="V22" s="2">
        <f>O22*R22/(M22*Process_Data!I22)*100</f>
        <v/>
      </c>
      <c r="W22" s="2">
        <f>U22+V22</f>
        <v/>
      </c>
      <c r="X22" s="2">
        <f>(M22-(N22+O22))/M22*100</f>
        <v/>
      </c>
      <c r="Y22" s="2">
        <f>(M22*Process_Data!I22-(N22*P22+O22*R22))/(M22*Process_Data!I22)*100</f>
        <v/>
      </c>
      <c r="Z22" s="2" t="inlineStr">
        <is>
          <t>OK</t>
        </is>
      </c>
    </row>
    <row r="23">
      <c r="A23" s="6" t="n">
        <v>22</v>
      </c>
      <c r="B23" s="7" t="n">
        <v>27.9</v>
      </c>
      <c r="C23" s="7" t="n">
        <v>118.5</v>
      </c>
      <c r="D23" s="7" t="n">
        <v>59.4</v>
      </c>
      <c r="E23" s="7" t="n">
        <v>36.5</v>
      </c>
      <c r="F23" s="7" t="n">
        <v>19.5</v>
      </c>
      <c r="G23" s="7" t="n">
        <v>74.7</v>
      </c>
      <c r="H23" s="7" t="n">
        <v>4.8</v>
      </c>
      <c r="I23" s="7" t="n">
        <v>91</v>
      </c>
      <c r="J23" s="7" t="n">
        <v>58.6</v>
      </c>
      <c r="K23" s="7" t="n">
        <v>9.1</v>
      </c>
      <c r="L23" s="7" t="n">
        <v>89.3</v>
      </c>
      <c r="M23" s="3">
        <f>Process_Data!F23*Process_Data!G23/100</f>
        <v/>
      </c>
      <c r="N23" s="7" t="n">
        <v>107.3</v>
      </c>
      <c r="O23" s="7" t="n">
        <v>115.7</v>
      </c>
      <c r="P23" s="7" t="n">
        <v>64.66</v>
      </c>
      <c r="Q23" s="7" t="n">
        <v>5.39</v>
      </c>
      <c r="R23" s="7" t="n">
        <v>10.94</v>
      </c>
      <c r="S23" s="7" t="n">
        <v>66.88</v>
      </c>
      <c r="T23" s="3">
        <f>N23/M23*100</f>
        <v/>
      </c>
      <c r="U23" s="3">
        <f>N23*P23/(M23*Process_Data!I23)*100</f>
        <v/>
      </c>
      <c r="V23" s="3">
        <f>O23*R23/(M23*Process_Data!I23)*100</f>
        <v/>
      </c>
      <c r="W23" s="3">
        <f>U23+V23</f>
        <v/>
      </c>
      <c r="X23" s="3">
        <f>(M23-(N23+O23))/M23*100</f>
        <v/>
      </c>
      <c r="Y23" s="3">
        <f>(M23*Process_Data!I23-(N23*P23+O23*R23))/(M23*Process_Data!I23)*100</f>
        <v/>
      </c>
      <c r="Z23" s="3" t="inlineStr">
        <is>
          <t>OK</t>
        </is>
      </c>
    </row>
    <row r="24">
      <c r="A24" s="4" t="n">
        <v>23</v>
      </c>
      <c r="B24" s="5" t="n">
        <v>23.4</v>
      </c>
      <c r="C24" s="5" t="n">
        <v>110.6</v>
      </c>
      <c r="D24" s="5" t="n">
        <v>59.5</v>
      </c>
      <c r="E24" s="5" t="n">
        <v>36.7</v>
      </c>
      <c r="F24" s="5" t="n">
        <v>24.1</v>
      </c>
      <c r="G24" s="5" t="n">
        <v>74.40000000000001</v>
      </c>
      <c r="H24" s="5" t="n">
        <v>5.7</v>
      </c>
      <c r="I24" s="5" t="n">
        <v>92.40000000000001</v>
      </c>
      <c r="J24" s="5" t="n">
        <v>58.6</v>
      </c>
      <c r="K24" s="5" t="n">
        <v>9.800000000000001</v>
      </c>
      <c r="L24" s="5" t="n">
        <v>42.9</v>
      </c>
      <c r="M24" s="2">
        <f>Process_Data!F24*Process_Data!G24/100</f>
        <v/>
      </c>
      <c r="N24" s="5" t="n">
        <v>132.4</v>
      </c>
      <c r="O24" s="5" t="n">
        <v>110.4</v>
      </c>
      <c r="P24" s="5" t="n">
        <v>65.17</v>
      </c>
      <c r="Q24" s="5" t="n">
        <v>4.73</v>
      </c>
      <c r="R24" s="5" t="n">
        <v>9.720000000000001</v>
      </c>
      <c r="S24" s="5" t="n">
        <v>66.93000000000001</v>
      </c>
      <c r="T24" s="2">
        <f>N24/M24*100</f>
        <v/>
      </c>
      <c r="U24" s="2">
        <f>N24*P24/(M24*Process_Data!I24)*100</f>
        <v/>
      </c>
      <c r="V24" s="2">
        <f>O24*R24/(M24*Process_Data!I24)*100</f>
        <v/>
      </c>
      <c r="W24" s="2">
        <f>U24+V24</f>
        <v/>
      </c>
      <c r="X24" s="2">
        <f>(M24-(N24+O24))/M24*100</f>
        <v/>
      </c>
      <c r="Y24" s="2">
        <f>(M24*Process_Data!I24-(N24*P24+O24*R24))/(M24*Process_Data!I24)*100</f>
        <v/>
      </c>
      <c r="Z24" s="2" t="inlineStr">
        <is>
          <t>OK</t>
        </is>
      </c>
    </row>
    <row r="25">
      <c r="A25" s="6" t="n">
        <v>24</v>
      </c>
      <c r="B25" s="7" t="n">
        <v>21.4</v>
      </c>
      <c r="C25" s="7" t="n">
        <v>75.3</v>
      </c>
      <c r="D25" s="7" t="n">
        <v>62.4</v>
      </c>
      <c r="E25" s="7" t="n">
        <v>43.6</v>
      </c>
      <c r="F25" s="7" t="n">
        <v>26.4</v>
      </c>
      <c r="G25" s="7" t="n">
        <v>74.8</v>
      </c>
      <c r="H25" s="7" t="n">
        <v>6.1</v>
      </c>
      <c r="I25" s="7" t="n">
        <v>90.09999999999999</v>
      </c>
      <c r="J25" s="7" t="n">
        <v>61.8</v>
      </c>
      <c r="K25" s="7" t="n">
        <v>9.1</v>
      </c>
      <c r="L25" s="7" t="n">
        <v>84.8</v>
      </c>
      <c r="M25" s="3">
        <f>Process_Data!F25*Process_Data!G25/100</f>
        <v/>
      </c>
      <c r="N25" s="7" t="n">
        <v>106.4</v>
      </c>
      <c r="O25" s="7" t="n">
        <v>98.2</v>
      </c>
      <c r="P25" s="7" t="n">
        <v>65.83</v>
      </c>
      <c r="Q25" s="7" t="n">
        <v>5.39</v>
      </c>
      <c r="R25" s="7" t="n">
        <v>10.76</v>
      </c>
      <c r="S25" s="7" t="n">
        <v>66.14</v>
      </c>
      <c r="T25" s="3">
        <f>N25/M25*100</f>
        <v/>
      </c>
      <c r="U25" s="3">
        <f>N25*P25/(M25*Process_Data!I25)*100</f>
        <v/>
      </c>
      <c r="V25" s="3">
        <f>O25*R25/(M25*Process_Data!I25)*100</f>
        <v/>
      </c>
      <c r="W25" s="3">
        <f>U25+V25</f>
        <v/>
      </c>
      <c r="X25" s="3">
        <f>(M25-(N25+O25))/M25*100</f>
        <v/>
      </c>
      <c r="Y25" s="3">
        <f>(M25*Process_Data!I25-(N25*P25+O25*R25))/(M25*Process_Data!I25)*100</f>
        <v/>
      </c>
      <c r="Z25" s="3" t="inlineStr">
        <is>
          <t>OK</t>
        </is>
      </c>
    </row>
    <row r="26">
      <c r="A26" s="4" t="n">
        <v>25</v>
      </c>
      <c r="B26" s="5" t="n">
        <v>27.5</v>
      </c>
      <c r="C26" s="5" t="n">
        <v>120.2</v>
      </c>
      <c r="D26" s="5" t="n">
        <v>60</v>
      </c>
      <c r="E26" s="5" t="n">
        <v>37.1</v>
      </c>
      <c r="F26" s="5" t="n">
        <v>25.9</v>
      </c>
      <c r="G26" s="5" t="n">
        <v>81</v>
      </c>
      <c r="H26" s="5" t="n">
        <v>5.6</v>
      </c>
      <c r="I26" s="5" t="n">
        <v>94.5</v>
      </c>
      <c r="J26" s="5" t="n">
        <v>58.7</v>
      </c>
      <c r="K26" s="5" t="n">
        <v>9.1</v>
      </c>
      <c r="L26" s="5" t="n">
        <v>57.1</v>
      </c>
      <c r="M26" s="2">
        <f>Process_Data!F26*Process_Data!G26/100</f>
        <v/>
      </c>
      <c r="N26" s="5" t="n">
        <v>113</v>
      </c>
      <c r="O26" s="5" t="n">
        <v>92.09999999999999</v>
      </c>
      <c r="P26" s="5" t="n">
        <v>65</v>
      </c>
      <c r="Q26" s="5" t="n">
        <v>5.76</v>
      </c>
      <c r="R26" s="5" t="n">
        <v>9.619999999999999</v>
      </c>
      <c r="S26" s="5" t="n">
        <v>63.99</v>
      </c>
      <c r="T26" s="2">
        <f>N26/M26*100</f>
        <v/>
      </c>
      <c r="U26" s="2">
        <f>N26*P26/(M26*Process_Data!I26)*100</f>
        <v/>
      </c>
      <c r="V26" s="2">
        <f>O26*R26/(M26*Process_Data!I26)*100</f>
        <v/>
      </c>
      <c r="W26" s="2">
        <f>U26+V26</f>
        <v/>
      </c>
      <c r="X26" s="2">
        <f>(M26-(N26+O26))/M26*100</f>
        <v/>
      </c>
      <c r="Y26" s="2">
        <f>(M26*Process_Data!I26-(N26*P26+O26*R26))/(M26*Process_Data!I26)*100</f>
        <v/>
      </c>
      <c r="Z26" s="2" t="inlineStr">
        <is>
          <t>OK</t>
        </is>
      </c>
    </row>
    <row r="27">
      <c r="A27" s="6" t="n">
        <v>26</v>
      </c>
      <c r="B27" s="7" t="n">
        <v>24.3</v>
      </c>
      <c r="C27" s="7" t="n">
        <v>90.09999999999999</v>
      </c>
      <c r="D27" s="7" t="n">
        <v>60.1</v>
      </c>
      <c r="E27" s="7" t="n">
        <v>37.7</v>
      </c>
      <c r="F27" s="7" t="n">
        <v>27.1</v>
      </c>
      <c r="G27" s="7" t="n">
        <v>77.2</v>
      </c>
      <c r="H27" s="7" t="n">
        <v>5.3</v>
      </c>
      <c r="I27" s="7" t="n">
        <v>95.59999999999999</v>
      </c>
      <c r="J27" s="7" t="n">
        <v>58.8</v>
      </c>
      <c r="K27" s="7" t="n">
        <v>9.1</v>
      </c>
      <c r="L27" s="7" t="n">
        <v>72.2</v>
      </c>
      <c r="M27" s="3">
        <f>Process_Data!F27*Process_Data!G27/100</f>
        <v/>
      </c>
      <c r="N27" s="7" t="n">
        <v>113.1</v>
      </c>
      <c r="O27" s="7" t="n">
        <v>99.5</v>
      </c>
      <c r="P27" s="7" t="n">
        <v>65.51000000000001</v>
      </c>
      <c r="Q27" s="7" t="n">
        <v>5.54</v>
      </c>
      <c r="R27" s="7" t="n">
        <v>9.56</v>
      </c>
      <c r="S27" s="7" t="n">
        <v>66.09999999999999</v>
      </c>
      <c r="T27" s="3">
        <f>N27/M27*100</f>
        <v/>
      </c>
      <c r="U27" s="3">
        <f>N27*P27/(M27*Process_Data!I27)*100</f>
        <v/>
      </c>
      <c r="V27" s="3">
        <f>O27*R27/(M27*Process_Data!I27)*100</f>
        <v/>
      </c>
      <c r="W27" s="3">
        <f>U27+V27</f>
        <v/>
      </c>
      <c r="X27" s="3">
        <f>(M27-(N27+O27))/M27*100</f>
        <v/>
      </c>
      <c r="Y27" s="3">
        <f>(M27*Process_Data!I27-(N27*P27+O27*R27))/(M27*Process_Data!I27)*100</f>
        <v/>
      </c>
      <c r="Z27" s="3" t="inlineStr">
        <is>
          <t>OK</t>
        </is>
      </c>
    </row>
    <row r="28">
      <c r="A28" s="4" t="n">
        <v>27</v>
      </c>
      <c r="B28" s="5" t="n">
        <v>26.7</v>
      </c>
      <c r="C28" s="5" t="n">
        <v>80</v>
      </c>
      <c r="D28" s="5" t="n">
        <v>63.5</v>
      </c>
      <c r="E28" s="5" t="n">
        <v>48</v>
      </c>
      <c r="F28" s="5" t="n">
        <v>23.2</v>
      </c>
      <c r="G28" s="5" t="n">
        <v>73.5</v>
      </c>
      <c r="H28" s="5" t="n">
        <v>5.3</v>
      </c>
      <c r="I28" s="5" t="n">
        <v>91.3</v>
      </c>
      <c r="J28" s="5" t="n">
        <v>62.3</v>
      </c>
      <c r="K28" s="5" t="n">
        <v>10.2</v>
      </c>
      <c r="L28" s="5" t="n">
        <v>40.3</v>
      </c>
      <c r="M28" s="2">
        <f>Process_Data!F28*Process_Data!G28/100</f>
        <v/>
      </c>
      <c r="N28" s="5" t="n">
        <v>127.3</v>
      </c>
      <c r="O28" s="5" t="n">
        <v>104</v>
      </c>
      <c r="P28" s="5" t="n">
        <v>65.17</v>
      </c>
      <c r="Q28" s="5" t="n">
        <v>5.18</v>
      </c>
      <c r="R28" s="5" t="n">
        <v>11.38</v>
      </c>
      <c r="S28" s="5" t="n">
        <v>66.44</v>
      </c>
      <c r="T28" s="2">
        <f>N28/M28*100</f>
        <v/>
      </c>
      <c r="U28" s="2">
        <f>N28*P28/(M28*Process_Data!I28)*100</f>
        <v/>
      </c>
      <c r="V28" s="2">
        <f>O28*R28/(M28*Process_Data!I28)*100</f>
        <v/>
      </c>
      <c r="W28" s="2">
        <f>U28+V28</f>
        <v/>
      </c>
      <c r="X28" s="2">
        <f>(M28-(N28+O28))/M28*100</f>
        <v/>
      </c>
      <c r="Y28" s="2">
        <f>(M28*Process_Data!I28-(N28*P28+O28*R28))/(M28*Process_Data!I28)*100</f>
        <v/>
      </c>
      <c r="Z28" s="2" t="inlineStr">
        <is>
          <t>OK</t>
        </is>
      </c>
    </row>
    <row r="29">
      <c r="A29" s="6" t="n">
        <v>28</v>
      </c>
      <c r="B29" s="7" t="n">
        <v>25.3</v>
      </c>
      <c r="C29" s="7" t="n">
        <v>84.2</v>
      </c>
      <c r="D29" s="7" t="n">
        <v>63.8</v>
      </c>
      <c r="E29" s="7" t="n">
        <v>37.2</v>
      </c>
      <c r="F29" s="7" t="n">
        <v>22.1</v>
      </c>
      <c r="G29" s="7" t="n">
        <v>77.5</v>
      </c>
      <c r="H29" s="7" t="n">
        <v>6.5</v>
      </c>
      <c r="I29" s="7" t="n">
        <v>93.2</v>
      </c>
      <c r="J29" s="7" t="n">
        <v>63.2</v>
      </c>
      <c r="K29" s="7" t="n">
        <v>8.9</v>
      </c>
      <c r="L29" s="7" t="n">
        <v>81.2</v>
      </c>
      <c r="M29" s="3">
        <f>Process_Data!F29*Process_Data!G29/100</f>
        <v/>
      </c>
      <c r="N29" s="7" t="n">
        <v>116.6</v>
      </c>
      <c r="O29" s="7" t="n">
        <v>102.7</v>
      </c>
      <c r="P29" s="7" t="n">
        <v>64.92</v>
      </c>
      <c r="Q29" s="7" t="n">
        <v>6.03</v>
      </c>
      <c r="R29" s="7" t="n">
        <v>10.22</v>
      </c>
      <c r="S29" s="7" t="n">
        <v>61.33</v>
      </c>
      <c r="T29" s="3">
        <f>N29/M29*100</f>
        <v/>
      </c>
      <c r="U29" s="3">
        <f>N29*P29/(M29*Process_Data!I29)*100</f>
        <v/>
      </c>
      <c r="V29" s="3">
        <f>O29*R29/(M29*Process_Data!I29)*100</f>
        <v/>
      </c>
      <c r="W29" s="3">
        <f>U29+V29</f>
        <v/>
      </c>
      <c r="X29" s="3">
        <f>(M29-(N29+O29))/M29*100</f>
        <v/>
      </c>
      <c r="Y29" s="3">
        <f>(M29*Process_Data!I29-(N29*P29+O29*R29))/(M29*Process_Data!I29)*100</f>
        <v/>
      </c>
      <c r="Z29" s="3" t="inlineStr">
        <is>
          <t>OK</t>
        </is>
      </c>
    </row>
    <row r="30">
      <c r="A30" s="4" t="n">
        <v>29</v>
      </c>
      <c r="B30" s="5" t="n">
        <v>22.2</v>
      </c>
      <c r="C30" s="5" t="n">
        <v>121.5</v>
      </c>
      <c r="D30" s="5" t="n">
        <v>60.5</v>
      </c>
      <c r="E30" s="5" t="n">
        <v>35.4</v>
      </c>
      <c r="F30" s="5" t="n">
        <v>19.6</v>
      </c>
      <c r="G30" s="5" t="n">
        <v>73.2</v>
      </c>
      <c r="H30" s="5" t="n">
        <v>5.8</v>
      </c>
      <c r="I30" s="5" t="n">
        <v>90.59999999999999</v>
      </c>
      <c r="J30" s="5" t="n">
        <v>59</v>
      </c>
      <c r="K30" s="5" t="n">
        <v>9.199999999999999</v>
      </c>
      <c r="L30" s="5" t="n">
        <v>77</v>
      </c>
      <c r="M30" s="2">
        <f>Process_Data!F30*Process_Data!G30/100</f>
        <v/>
      </c>
      <c r="N30" s="5" t="n">
        <v>112.9</v>
      </c>
      <c r="O30" s="5" t="n">
        <v>88.40000000000001</v>
      </c>
      <c r="P30" s="5" t="n">
        <v>64.54000000000001</v>
      </c>
      <c r="Q30" s="5" t="n">
        <v>4.68</v>
      </c>
      <c r="R30" s="5" t="n">
        <v>12.3</v>
      </c>
      <c r="S30" s="5" t="n">
        <v>61.25</v>
      </c>
      <c r="T30" s="2">
        <f>N30/M30*100</f>
        <v/>
      </c>
      <c r="U30" s="2">
        <f>N30*P30/(M30*Process_Data!I30)*100</f>
        <v/>
      </c>
      <c r="V30" s="2">
        <f>O30*R30/(M30*Process_Data!I30)*100</f>
        <v/>
      </c>
      <c r="W30" s="2">
        <f>U30+V30</f>
        <v/>
      </c>
      <c r="X30" s="2">
        <f>(M30-(N30+O30))/M30*100</f>
        <v/>
      </c>
      <c r="Y30" s="2">
        <f>(M30*Process_Data!I30-(N30*P30+O30*R30))/(M30*Process_Data!I30)*100</f>
        <v/>
      </c>
      <c r="Z30" s="2" t="inlineStr">
        <is>
          <t>OK</t>
        </is>
      </c>
    </row>
    <row r="31">
      <c r="A31" s="6" t="n">
        <v>30</v>
      </c>
      <c r="B31" s="7" t="n">
        <v>20.2</v>
      </c>
      <c r="C31" s="7" t="n">
        <v>84.5</v>
      </c>
      <c r="D31" s="7" t="n">
        <v>61.5</v>
      </c>
      <c r="E31" s="7" t="n">
        <v>41.3</v>
      </c>
      <c r="F31" s="7" t="n">
        <v>26.9</v>
      </c>
      <c r="G31" s="7" t="n">
        <v>75.3</v>
      </c>
      <c r="H31" s="7" t="n">
        <v>5.2</v>
      </c>
      <c r="I31" s="7" t="n">
        <v>91.7</v>
      </c>
      <c r="J31" s="7" t="n">
        <v>59.9</v>
      </c>
      <c r="K31" s="7" t="n">
        <v>9.9</v>
      </c>
      <c r="L31" s="7" t="n">
        <v>54.7</v>
      </c>
      <c r="M31" s="3">
        <f>Process_Data!F31*Process_Data!G31/100</f>
        <v/>
      </c>
      <c r="N31" s="7" t="n">
        <v>103.8</v>
      </c>
      <c r="O31" s="7" t="n">
        <v>82.59999999999999</v>
      </c>
      <c r="P31" s="7" t="n">
        <v>65.75</v>
      </c>
      <c r="Q31" s="7" t="n">
        <v>5.2</v>
      </c>
      <c r="R31" s="7" t="n">
        <v>11.43</v>
      </c>
      <c r="S31" s="7" t="n">
        <v>63.05</v>
      </c>
      <c r="T31" s="3">
        <f>N31/M31*100</f>
        <v/>
      </c>
      <c r="U31" s="3">
        <f>N31*P31/(M31*Process_Data!I31)*100</f>
        <v/>
      </c>
      <c r="V31" s="3">
        <f>O31*R31/(M31*Process_Data!I31)*100</f>
        <v/>
      </c>
      <c r="W31" s="3">
        <f>U31+V31</f>
        <v/>
      </c>
      <c r="X31" s="3">
        <f>(M31-(N31+O31))/M31*100</f>
        <v/>
      </c>
      <c r="Y31" s="3">
        <f>(M31*Process_Data!I31-(N31*P31+O31*R31))/(M31*Process_Data!I31)*100</f>
        <v/>
      </c>
      <c r="Z31" s="3" t="inlineStr">
        <is>
          <t>OK</t>
        </is>
      </c>
    </row>
    <row r="32">
      <c r="A32" s="4" t="n">
        <v>31</v>
      </c>
      <c r="B32" s="5" t="n">
        <v>26.7</v>
      </c>
      <c r="C32" s="5" t="n">
        <v>148.8</v>
      </c>
      <c r="D32" s="5" t="n">
        <v>61.2</v>
      </c>
      <c r="E32" s="5" t="n">
        <v>37.6</v>
      </c>
      <c r="F32" s="5" t="n">
        <v>20.7</v>
      </c>
      <c r="G32" s="5" t="n">
        <v>74.09999999999999</v>
      </c>
      <c r="H32" s="5" t="n">
        <v>6.3</v>
      </c>
      <c r="I32" s="5" t="n">
        <v>93</v>
      </c>
      <c r="J32" s="5" t="n">
        <v>60.6</v>
      </c>
      <c r="K32" s="5" t="n">
        <v>9.300000000000001</v>
      </c>
      <c r="L32" s="5" t="n">
        <v>70.5</v>
      </c>
      <c r="M32" s="2">
        <f>Process_Data!F32*Process_Data!G32/100</f>
        <v/>
      </c>
      <c r="N32" s="5" t="n">
        <v>120.6</v>
      </c>
      <c r="O32" s="5" t="n">
        <v>91.2</v>
      </c>
      <c r="P32" s="5" t="n">
        <v>65.8</v>
      </c>
      <c r="Q32" s="5" t="n">
        <v>5.91</v>
      </c>
      <c r="R32" s="5" t="n">
        <v>10.22</v>
      </c>
      <c r="S32" s="5" t="n">
        <v>60.08</v>
      </c>
      <c r="T32" s="2">
        <f>N32/M32*100</f>
        <v/>
      </c>
      <c r="U32" s="2">
        <f>N32*P32/(M32*Process_Data!I32)*100</f>
        <v/>
      </c>
      <c r="V32" s="2">
        <f>O32*R32/(M32*Process_Data!I32)*100</f>
        <v/>
      </c>
      <c r="W32" s="2">
        <f>U32+V32</f>
        <v/>
      </c>
      <c r="X32" s="2">
        <f>(M32-(N32+O32))/M32*100</f>
        <v/>
      </c>
      <c r="Y32" s="2">
        <f>(M32*Process_Data!I32-(N32*P32+O32*R32))/(M32*Process_Data!I32)*100</f>
        <v/>
      </c>
      <c r="Z32" s="2" t="inlineStr">
        <is>
          <t>OK</t>
        </is>
      </c>
    </row>
    <row r="33">
      <c r="A33" s="6" t="n">
        <v>32</v>
      </c>
      <c r="B33" s="7" t="n">
        <v>24.8</v>
      </c>
      <c r="C33" s="7" t="n">
        <v>89.59999999999999</v>
      </c>
      <c r="D33" s="7" t="n">
        <v>60.3</v>
      </c>
      <c r="E33" s="7" t="n">
        <v>39.3</v>
      </c>
      <c r="F33" s="7" t="n">
        <v>21.6</v>
      </c>
      <c r="G33" s="7" t="n">
        <v>78.09999999999999</v>
      </c>
      <c r="H33" s="7" t="n">
        <v>5.1</v>
      </c>
      <c r="I33" s="7" t="n">
        <v>92.3</v>
      </c>
      <c r="J33" s="7" t="n">
        <v>58.9</v>
      </c>
      <c r="K33" s="7" t="n">
        <v>10</v>
      </c>
      <c r="L33" s="7" t="n">
        <v>91.5</v>
      </c>
      <c r="M33" s="3">
        <f>Process_Data!F33*Process_Data!G33/100</f>
        <v/>
      </c>
      <c r="N33" s="7" t="n">
        <v>128.6</v>
      </c>
      <c r="O33" s="7" t="n">
        <v>101.3</v>
      </c>
      <c r="P33" s="7" t="n">
        <v>65.97</v>
      </c>
      <c r="Q33" s="7" t="n">
        <v>4.87</v>
      </c>
      <c r="R33" s="7" t="n">
        <v>9.609999999999999</v>
      </c>
      <c r="S33" s="7" t="n">
        <v>61.84</v>
      </c>
      <c r="T33" s="3">
        <f>N33/M33*100</f>
        <v/>
      </c>
      <c r="U33" s="3">
        <f>N33*P33/(M33*Process_Data!I33)*100</f>
        <v/>
      </c>
      <c r="V33" s="3">
        <f>O33*R33/(M33*Process_Data!I33)*100</f>
        <v/>
      </c>
      <c r="W33" s="3">
        <f>U33+V33</f>
        <v/>
      </c>
      <c r="X33" s="3">
        <f>(M33-(N33+O33))/M33*100</f>
        <v/>
      </c>
      <c r="Y33" s="3">
        <f>(M33*Process_Data!I33-(N33*P33+O33*R33))/(M33*Process_Data!I33)*100</f>
        <v/>
      </c>
      <c r="Z33" s="3" t="inlineStr">
        <is>
          <t>OK</t>
        </is>
      </c>
    </row>
    <row r="34">
      <c r="A34" s="4" t="n">
        <v>33</v>
      </c>
      <c r="B34" s="5" t="n">
        <v>25.6</v>
      </c>
      <c r="C34" s="5" t="n">
        <v>91.8</v>
      </c>
      <c r="D34" s="5" t="n">
        <v>61.5</v>
      </c>
      <c r="E34" s="5" t="n">
        <v>40.4</v>
      </c>
      <c r="F34" s="5" t="n">
        <v>18.9</v>
      </c>
      <c r="G34" s="5" t="n">
        <v>81.59999999999999</v>
      </c>
      <c r="H34" s="5" t="n">
        <v>4.8</v>
      </c>
      <c r="I34" s="5" t="n">
        <v>92.09999999999999</v>
      </c>
      <c r="J34" s="5" t="n">
        <v>59.8</v>
      </c>
      <c r="K34" s="5" t="n">
        <v>9.1</v>
      </c>
      <c r="L34" s="5" t="n">
        <v>69.8</v>
      </c>
      <c r="M34" s="2">
        <f>Process_Data!F34*Process_Data!G34/100</f>
        <v/>
      </c>
      <c r="N34" s="5" t="n">
        <v>110</v>
      </c>
      <c r="O34" s="5" t="n">
        <v>103.6</v>
      </c>
      <c r="P34" s="5" t="n">
        <v>66.25</v>
      </c>
      <c r="Q34" s="5" t="n">
        <v>5.74</v>
      </c>
      <c r="R34" s="5" t="n">
        <v>12.32</v>
      </c>
      <c r="S34" s="5" t="n">
        <v>64.61</v>
      </c>
      <c r="T34" s="2">
        <f>N34/M34*100</f>
        <v/>
      </c>
      <c r="U34" s="2">
        <f>N34*P34/(M34*Process_Data!I34)*100</f>
        <v/>
      </c>
      <c r="V34" s="2">
        <f>O34*R34/(M34*Process_Data!I34)*100</f>
        <v/>
      </c>
      <c r="W34" s="2">
        <f>U34+V34</f>
        <v/>
      </c>
      <c r="X34" s="2">
        <f>(M34-(N34+O34))/M34*100</f>
        <v/>
      </c>
      <c r="Y34" s="2">
        <f>(M34*Process_Data!I34-(N34*P34+O34*R34))/(M34*Process_Data!I34)*100</f>
        <v/>
      </c>
      <c r="Z34" s="2" t="inlineStr">
        <is>
          <t>OK</t>
        </is>
      </c>
    </row>
    <row r="35">
      <c r="A35" s="6" t="n">
        <v>34</v>
      </c>
      <c r="B35" s="7" t="n">
        <v>22.4</v>
      </c>
      <c r="C35" s="7" t="n">
        <v>144</v>
      </c>
      <c r="D35" s="7" t="n">
        <v>63.8</v>
      </c>
      <c r="E35" s="7" t="n">
        <v>49.2</v>
      </c>
      <c r="F35" s="7" t="n">
        <v>22.7</v>
      </c>
      <c r="G35" s="7" t="n">
        <v>75.90000000000001</v>
      </c>
      <c r="H35" s="7" t="n">
        <v>6.2</v>
      </c>
      <c r="I35" s="7" t="n">
        <v>94.8</v>
      </c>
      <c r="J35" s="7" t="n">
        <v>62.2</v>
      </c>
      <c r="K35" s="7" t="n">
        <v>8.9</v>
      </c>
      <c r="L35" s="7" t="n">
        <v>72.8</v>
      </c>
      <c r="M35" s="3">
        <f>Process_Data!F35*Process_Data!G35/100</f>
        <v/>
      </c>
      <c r="N35" s="7" t="n">
        <v>108.5</v>
      </c>
      <c r="O35" s="7" t="n">
        <v>90.7</v>
      </c>
      <c r="P35" s="7" t="n">
        <v>64.95999999999999</v>
      </c>
      <c r="Q35" s="7" t="n">
        <v>4.7</v>
      </c>
      <c r="R35" s="7" t="n">
        <v>9.77</v>
      </c>
      <c r="S35" s="7" t="n">
        <v>64.87</v>
      </c>
      <c r="T35" s="3">
        <f>N35/M35*100</f>
        <v/>
      </c>
      <c r="U35" s="3">
        <f>N35*P35/(M35*Process_Data!I35)*100</f>
        <v/>
      </c>
      <c r="V35" s="3">
        <f>O35*R35/(M35*Process_Data!I35)*100</f>
        <v/>
      </c>
      <c r="W35" s="3">
        <f>U35+V35</f>
        <v/>
      </c>
      <c r="X35" s="3">
        <f>(M35-(N35+O35))/M35*100</f>
        <v/>
      </c>
      <c r="Y35" s="3">
        <f>(M35*Process_Data!I35-(N35*P35+O35*R35))/(M35*Process_Data!I35)*100</f>
        <v/>
      </c>
      <c r="Z35" s="3" t="inlineStr">
        <is>
          <t>OK</t>
        </is>
      </c>
    </row>
    <row r="36">
      <c r="A36" s="4" t="n">
        <v>35</v>
      </c>
      <c r="B36" s="5" t="n">
        <v>24.2</v>
      </c>
      <c r="C36" s="5" t="n">
        <v>145.1</v>
      </c>
      <c r="D36" s="5" t="n">
        <v>62.8</v>
      </c>
      <c r="E36" s="5" t="n">
        <v>50</v>
      </c>
      <c r="F36" s="5" t="n">
        <v>21.5</v>
      </c>
      <c r="G36" s="5" t="n">
        <v>77.3</v>
      </c>
      <c r="H36" s="5" t="n">
        <v>5.3</v>
      </c>
      <c r="I36" s="5" t="n">
        <v>93.40000000000001</v>
      </c>
      <c r="J36" s="5" t="n">
        <v>61.3</v>
      </c>
      <c r="K36" s="5" t="n">
        <v>10.4</v>
      </c>
      <c r="L36" s="5" t="n">
        <v>94.09999999999999</v>
      </c>
      <c r="M36" s="2">
        <f>Process_Data!F36*Process_Data!G36/100</f>
        <v/>
      </c>
      <c r="N36" s="5" t="n">
        <v>101.4</v>
      </c>
      <c r="O36" s="5" t="n">
        <v>84.8</v>
      </c>
      <c r="P36" s="5" t="n">
        <v>66.04000000000001</v>
      </c>
      <c r="Q36" s="5" t="n">
        <v>5.21</v>
      </c>
      <c r="R36" s="5" t="n">
        <v>10.97</v>
      </c>
      <c r="S36" s="5" t="n">
        <v>65.16</v>
      </c>
      <c r="T36" s="2">
        <f>N36/M36*100</f>
        <v/>
      </c>
      <c r="U36" s="2">
        <f>N36*P36/(M36*Process_Data!I36)*100</f>
        <v/>
      </c>
      <c r="V36" s="2">
        <f>O36*R36/(M36*Process_Data!I36)*100</f>
        <v/>
      </c>
      <c r="W36" s="2">
        <f>U36+V36</f>
        <v/>
      </c>
      <c r="X36" s="2">
        <f>(M36-(N36+O36))/M36*100</f>
        <v/>
      </c>
      <c r="Y36" s="2">
        <f>(M36*Process_Data!I36-(N36*P36+O36*R36))/(M36*Process_Data!I36)*100</f>
        <v/>
      </c>
      <c r="Z36" s="2" t="inlineStr">
        <is>
          <t>OK</t>
        </is>
      </c>
    </row>
    <row r="37">
      <c r="A37" s="6" t="n">
        <v>36</v>
      </c>
      <c r="B37" s="7" t="n">
        <v>20.7</v>
      </c>
      <c r="C37" s="7" t="n">
        <v>103.4</v>
      </c>
      <c r="D37" s="7" t="n">
        <v>63.3</v>
      </c>
      <c r="E37" s="7" t="n">
        <v>49.2</v>
      </c>
      <c r="F37" s="7" t="n">
        <v>22.7</v>
      </c>
      <c r="G37" s="7" t="n">
        <v>81.90000000000001</v>
      </c>
      <c r="H37" s="7" t="n">
        <v>4.8</v>
      </c>
      <c r="I37" s="7" t="n">
        <v>90.59999999999999</v>
      </c>
      <c r="J37" s="7" t="n">
        <v>62</v>
      </c>
      <c r="K37" s="7" t="n">
        <v>10.5</v>
      </c>
      <c r="L37" s="7" t="n">
        <v>75.7</v>
      </c>
      <c r="M37" s="3">
        <f>Process_Data!F37*Process_Data!G37/100</f>
        <v/>
      </c>
      <c r="N37" s="7" t="n">
        <v>104</v>
      </c>
      <c r="O37" s="7" t="n">
        <v>94</v>
      </c>
      <c r="P37" s="7" t="n">
        <v>65.72</v>
      </c>
      <c r="Q37" s="7" t="n">
        <v>5.37</v>
      </c>
      <c r="R37" s="7" t="n">
        <v>10.31</v>
      </c>
      <c r="S37" s="7" t="n">
        <v>61.24</v>
      </c>
      <c r="T37" s="3">
        <f>N37/M37*100</f>
        <v/>
      </c>
      <c r="U37" s="3">
        <f>N37*P37/(M37*Process_Data!I37)*100</f>
        <v/>
      </c>
      <c r="V37" s="3">
        <f>O37*R37/(M37*Process_Data!I37)*100</f>
        <v/>
      </c>
      <c r="W37" s="3">
        <f>U37+V37</f>
        <v/>
      </c>
      <c r="X37" s="3">
        <f>(M37-(N37+O37))/M37*100</f>
        <v/>
      </c>
      <c r="Y37" s="3">
        <f>(M37*Process_Data!I37-(N37*P37+O37*R37))/(M37*Process_Data!I37)*100</f>
        <v/>
      </c>
      <c r="Z37" s="3" t="inlineStr">
        <is>
          <t>OK</t>
        </is>
      </c>
    </row>
    <row r="38">
      <c r="A38" s="4" t="n">
        <v>37</v>
      </c>
      <c r="B38" s="5" t="n">
        <v>26.5</v>
      </c>
      <c r="C38" s="5" t="n">
        <v>88</v>
      </c>
      <c r="D38" s="5" t="n">
        <v>59.3</v>
      </c>
      <c r="E38" s="5" t="n">
        <v>43.1</v>
      </c>
      <c r="F38" s="5" t="n">
        <v>23.9</v>
      </c>
      <c r="G38" s="5" t="n">
        <v>80.90000000000001</v>
      </c>
      <c r="H38" s="5" t="n">
        <v>4.7</v>
      </c>
      <c r="I38" s="5" t="n">
        <v>90.90000000000001</v>
      </c>
      <c r="J38" s="5" t="n">
        <v>58.1</v>
      </c>
      <c r="K38" s="5" t="n">
        <v>9</v>
      </c>
      <c r="L38" s="5" t="n">
        <v>88.90000000000001</v>
      </c>
      <c r="M38" s="2">
        <f>Process_Data!F38*Process_Data!G38/100</f>
        <v/>
      </c>
      <c r="N38" s="5" t="n">
        <v>102.8</v>
      </c>
      <c r="O38" s="5" t="n">
        <v>115.6</v>
      </c>
      <c r="P38" s="5" t="n">
        <v>66.41</v>
      </c>
      <c r="Q38" s="5" t="n">
        <v>5.97</v>
      </c>
      <c r="R38" s="5" t="n">
        <v>12.33</v>
      </c>
      <c r="S38" s="5" t="n">
        <v>64.59</v>
      </c>
      <c r="T38" s="2">
        <f>N38/M38*100</f>
        <v/>
      </c>
      <c r="U38" s="2">
        <f>N38*P38/(M38*Process_Data!I38)*100</f>
        <v/>
      </c>
      <c r="V38" s="2">
        <f>O38*R38/(M38*Process_Data!I38)*100</f>
        <v/>
      </c>
      <c r="W38" s="2">
        <f>U38+V38</f>
        <v/>
      </c>
      <c r="X38" s="2">
        <f>(M38-(N38+O38))/M38*100</f>
        <v/>
      </c>
      <c r="Y38" s="2">
        <f>(M38*Process_Data!I38-(N38*P38+O38*R38))/(M38*Process_Data!I38)*100</f>
        <v/>
      </c>
      <c r="Z38" s="2" t="inlineStr">
        <is>
          <t>OK</t>
        </is>
      </c>
    </row>
    <row r="39">
      <c r="A39" s="6" t="n">
        <v>38</v>
      </c>
      <c r="B39" s="7" t="n">
        <v>24.7</v>
      </c>
      <c r="C39" s="7" t="n">
        <v>136</v>
      </c>
      <c r="D39" s="7" t="n">
        <v>60.1</v>
      </c>
      <c r="E39" s="7" t="n">
        <v>45.2</v>
      </c>
      <c r="F39" s="7" t="n">
        <v>23.7</v>
      </c>
      <c r="G39" s="7" t="n">
        <v>80.2</v>
      </c>
      <c r="H39" s="7" t="n">
        <v>6.3</v>
      </c>
      <c r="I39" s="7" t="n">
        <v>93.59999999999999</v>
      </c>
      <c r="J39" s="7" t="n">
        <v>59.2</v>
      </c>
      <c r="K39" s="7" t="n">
        <v>10.3</v>
      </c>
      <c r="L39" s="7" t="n">
        <v>87.7</v>
      </c>
      <c r="M39" s="3">
        <f>Process_Data!F39*Process_Data!G39/100</f>
        <v/>
      </c>
      <c r="N39" s="7" t="n">
        <v>100.2</v>
      </c>
      <c r="O39" s="7" t="n">
        <v>103.2</v>
      </c>
      <c r="P39" s="7" t="n">
        <v>65.92</v>
      </c>
      <c r="Q39" s="7" t="n">
        <v>5.92</v>
      </c>
      <c r="R39" s="7" t="n">
        <v>11.94</v>
      </c>
      <c r="S39" s="7" t="n">
        <v>64.76000000000001</v>
      </c>
      <c r="T39" s="3">
        <f>N39/M39*100</f>
        <v/>
      </c>
      <c r="U39" s="3">
        <f>N39*P39/(M39*Process_Data!I39)*100</f>
        <v/>
      </c>
      <c r="V39" s="3">
        <f>O39*R39/(M39*Process_Data!I39)*100</f>
        <v/>
      </c>
      <c r="W39" s="3">
        <f>U39+V39</f>
        <v/>
      </c>
      <c r="X39" s="3">
        <f>(M39-(N39+O39))/M39*100</f>
        <v/>
      </c>
      <c r="Y39" s="3">
        <f>(M39*Process_Data!I39-(N39*P39+O39*R39))/(M39*Process_Data!I39)*100</f>
        <v/>
      </c>
      <c r="Z39" s="3" t="inlineStr">
        <is>
          <t>OK</t>
        </is>
      </c>
    </row>
    <row r="40">
      <c r="A40" s="4" t="n">
        <v>39</v>
      </c>
      <c r="B40" s="5" t="n">
        <v>20.1</v>
      </c>
      <c r="C40" s="5" t="n">
        <v>93</v>
      </c>
      <c r="D40" s="5" t="n">
        <v>61.7</v>
      </c>
      <c r="E40" s="5" t="n">
        <v>49.7</v>
      </c>
      <c r="F40" s="5" t="n">
        <v>24.3</v>
      </c>
      <c r="G40" s="5" t="n">
        <v>77.90000000000001</v>
      </c>
      <c r="H40" s="5" t="n">
        <v>5.8</v>
      </c>
      <c r="I40" s="5" t="n">
        <v>94.5</v>
      </c>
      <c r="J40" s="5" t="n">
        <v>60.9</v>
      </c>
      <c r="K40" s="5" t="n">
        <v>9</v>
      </c>
      <c r="L40" s="5" t="n">
        <v>81.90000000000001</v>
      </c>
      <c r="M40" s="2">
        <f>Process_Data!F40*Process_Data!G40/100</f>
        <v/>
      </c>
      <c r="N40" s="5" t="n">
        <v>113.6</v>
      </c>
      <c r="O40" s="5" t="n">
        <v>91.7</v>
      </c>
      <c r="P40" s="5" t="n">
        <v>65.58</v>
      </c>
      <c r="Q40" s="5" t="n">
        <v>6.14</v>
      </c>
      <c r="R40" s="5" t="n">
        <v>10.7</v>
      </c>
      <c r="S40" s="5" t="n">
        <v>64.43000000000001</v>
      </c>
      <c r="T40" s="2">
        <f>N40/M40*100</f>
        <v/>
      </c>
      <c r="U40" s="2">
        <f>N40*P40/(M40*Process_Data!I40)*100</f>
        <v/>
      </c>
      <c r="V40" s="2">
        <f>O40*R40/(M40*Process_Data!I40)*100</f>
        <v/>
      </c>
      <c r="W40" s="2">
        <f>U40+V40</f>
        <v/>
      </c>
      <c r="X40" s="2">
        <f>(M40-(N40+O40))/M40*100</f>
        <v/>
      </c>
      <c r="Y40" s="2">
        <f>(M40*Process_Data!I40-(N40*P40+O40*R40))/(M40*Process_Data!I40)*100</f>
        <v/>
      </c>
      <c r="Z40" s="2" t="inlineStr">
        <is>
          <t>OK</t>
        </is>
      </c>
    </row>
    <row r="41">
      <c r="A41" s="6" t="n">
        <v>40</v>
      </c>
      <c r="B41" s="7" t="n">
        <v>27.8</v>
      </c>
      <c r="C41" s="7" t="n">
        <v>130</v>
      </c>
      <c r="D41" s="7" t="n">
        <v>58.8</v>
      </c>
      <c r="E41" s="7" t="n">
        <v>46.4</v>
      </c>
      <c r="F41" s="7" t="n">
        <v>18.2</v>
      </c>
      <c r="G41" s="7" t="n">
        <v>77.40000000000001</v>
      </c>
      <c r="H41" s="7" t="n">
        <v>5.1</v>
      </c>
      <c r="I41" s="7" t="n">
        <v>94.40000000000001</v>
      </c>
      <c r="J41" s="7" t="n">
        <v>58.3</v>
      </c>
      <c r="K41" s="7" t="n">
        <v>10</v>
      </c>
      <c r="L41" s="7" t="n">
        <v>64.5</v>
      </c>
      <c r="M41" s="3">
        <f>Process_Data!F41*Process_Data!G41/100</f>
        <v/>
      </c>
      <c r="N41" s="7" t="n">
        <v>116.5</v>
      </c>
      <c r="O41" s="7" t="n">
        <v>119.3</v>
      </c>
      <c r="P41" s="7" t="n">
        <v>65.05</v>
      </c>
      <c r="Q41" s="7" t="n">
        <v>6.2</v>
      </c>
      <c r="R41" s="7" t="n">
        <v>10.99</v>
      </c>
      <c r="S41" s="7" t="n">
        <v>63.16</v>
      </c>
      <c r="T41" s="3">
        <f>N41/M41*100</f>
        <v/>
      </c>
      <c r="U41" s="3">
        <f>N41*P41/(M41*Process_Data!I41)*100</f>
        <v/>
      </c>
      <c r="V41" s="3">
        <f>O41*R41/(M41*Process_Data!I41)*100</f>
        <v/>
      </c>
      <c r="W41" s="3">
        <f>U41+V41</f>
        <v/>
      </c>
      <c r="X41" s="3">
        <f>(M41-(N41+O41))/M41*100</f>
        <v/>
      </c>
      <c r="Y41" s="3">
        <f>(M41*Process_Data!I41-(N41*P41+O41*R41))/(M41*Process_Data!I41)*100</f>
        <v/>
      </c>
      <c r="Z41" s="3" t="inlineStr">
        <is>
          <t>OK</t>
        </is>
      </c>
    </row>
    <row r="42">
      <c r="A42" s="4" t="n">
        <v>41</v>
      </c>
      <c r="B42" s="5" t="n">
        <v>23.2</v>
      </c>
      <c r="C42" s="5" t="n">
        <v>91.90000000000001</v>
      </c>
      <c r="D42" s="5" t="n">
        <v>63.9</v>
      </c>
      <c r="E42" s="5" t="n">
        <v>41.1</v>
      </c>
      <c r="F42" s="5" t="n">
        <v>26.9</v>
      </c>
      <c r="G42" s="5" t="n">
        <v>73.3</v>
      </c>
      <c r="H42" s="5" t="n">
        <v>4.9</v>
      </c>
      <c r="I42" s="5" t="n">
        <v>93.59999999999999</v>
      </c>
      <c r="J42" s="5" t="n">
        <v>63.1</v>
      </c>
      <c r="K42" s="5" t="n">
        <v>9.5</v>
      </c>
      <c r="L42" s="5" t="n">
        <v>87.5</v>
      </c>
      <c r="M42" s="2">
        <f>Process_Data!F42*Process_Data!G42/100</f>
        <v/>
      </c>
      <c r="N42" s="5" t="n">
        <v>106</v>
      </c>
      <c r="O42" s="5" t="n">
        <v>105.7</v>
      </c>
      <c r="P42" s="5" t="n">
        <v>65.45</v>
      </c>
      <c r="Q42" s="5" t="n">
        <v>6.15</v>
      </c>
      <c r="R42" s="5" t="n">
        <v>10.15</v>
      </c>
      <c r="S42" s="5" t="n">
        <v>66.08</v>
      </c>
      <c r="T42" s="2">
        <f>N42/M42*100</f>
        <v/>
      </c>
      <c r="U42" s="2">
        <f>N42*P42/(M42*Process_Data!I42)*100</f>
        <v/>
      </c>
      <c r="V42" s="2">
        <f>O42*R42/(M42*Process_Data!I42)*100</f>
        <v/>
      </c>
      <c r="W42" s="2">
        <f>U42+V42</f>
        <v/>
      </c>
      <c r="X42" s="2">
        <f>(M42-(N42+O42))/M42*100</f>
        <v/>
      </c>
      <c r="Y42" s="2">
        <f>(M42*Process_Data!I42-(N42*P42+O42*R42))/(M42*Process_Data!I42)*100</f>
        <v/>
      </c>
      <c r="Z42" s="2" t="inlineStr">
        <is>
          <t>OK</t>
        </is>
      </c>
    </row>
    <row r="43">
      <c r="A43" s="6" t="n">
        <v>42</v>
      </c>
      <c r="B43" s="7" t="n">
        <v>23.4</v>
      </c>
      <c r="C43" s="7" t="n">
        <v>86</v>
      </c>
      <c r="D43" s="7" t="n">
        <v>60.9</v>
      </c>
      <c r="E43" s="7" t="n">
        <v>36</v>
      </c>
      <c r="F43" s="7" t="n">
        <v>23.8</v>
      </c>
      <c r="G43" s="7" t="n">
        <v>75.8</v>
      </c>
      <c r="H43" s="7" t="n">
        <v>6.1</v>
      </c>
      <c r="I43" s="7" t="n">
        <v>92.2</v>
      </c>
      <c r="J43" s="7" t="n">
        <v>60.1</v>
      </c>
      <c r="K43" s="7" t="n">
        <v>8.800000000000001</v>
      </c>
      <c r="L43" s="7" t="n">
        <v>44</v>
      </c>
      <c r="M43" s="3">
        <f>Process_Data!F43*Process_Data!G43/100</f>
        <v/>
      </c>
      <c r="N43" s="7" t="n">
        <v>123.9</v>
      </c>
      <c r="O43" s="7" t="n">
        <v>110.4</v>
      </c>
      <c r="P43" s="7" t="n">
        <v>65.28</v>
      </c>
      <c r="Q43" s="7" t="n">
        <v>5.32</v>
      </c>
      <c r="R43" s="7" t="n">
        <v>11.6</v>
      </c>
      <c r="S43" s="7" t="n">
        <v>62.04</v>
      </c>
      <c r="T43" s="3">
        <f>N43/M43*100</f>
        <v/>
      </c>
      <c r="U43" s="3">
        <f>N43*P43/(M43*Process_Data!I43)*100</f>
        <v/>
      </c>
      <c r="V43" s="3">
        <f>O43*R43/(M43*Process_Data!I43)*100</f>
        <v/>
      </c>
      <c r="W43" s="3">
        <f>U43+V43</f>
        <v/>
      </c>
      <c r="X43" s="3">
        <f>(M43-(N43+O43))/M43*100</f>
        <v/>
      </c>
      <c r="Y43" s="3">
        <f>(M43*Process_Data!I43-(N43*P43+O43*R43))/(M43*Process_Data!I43)*100</f>
        <v/>
      </c>
      <c r="Z43" s="3" t="inlineStr">
        <is>
          <t>OK</t>
        </is>
      </c>
    </row>
    <row r="44">
      <c r="A44" s="4" t="n">
        <v>43</v>
      </c>
      <c r="B44" s="5" t="n">
        <v>22.6</v>
      </c>
      <c r="C44" s="5" t="n">
        <v>111.4</v>
      </c>
      <c r="D44" s="5" t="n">
        <v>58.5</v>
      </c>
      <c r="E44" s="5" t="n">
        <v>40.3</v>
      </c>
      <c r="F44" s="5" t="n">
        <v>18.3</v>
      </c>
      <c r="G44" s="5" t="n">
        <v>74.2</v>
      </c>
      <c r="H44" s="5" t="n">
        <v>5.3</v>
      </c>
      <c r="I44" s="5" t="n">
        <v>93</v>
      </c>
      <c r="J44" s="5" t="n">
        <v>57.9</v>
      </c>
      <c r="K44" s="5" t="n">
        <v>10</v>
      </c>
      <c r="L44" s="5" t="n">
        <v>84</v>
      </c>
      <c r="M44" s="2">
        <f>Process_Data!F44*Process_Data!G44/100</f>
        <v/>
      </c>
      <c r="N44" s="5" t="n">
        <v>112.8</v>
      </c>
      <c r="O44" s="5" t="n">
        <v>96.7</v>
      </c>
      <c r="P44" s="5" t="n">
        <v>64.90000000000001</v>
      </c>
      <c r="Q44" s="5" t="n">
        <v>4.78</v>
      </c>
      <c r="R44" s="5" t="n">
        <v>9.869999999999999</v>
      </c>
      <c r="S44" s="5" t="n">
        <v>64.45999999999999</v>
      </c>
      <c r="T44" s="2">
        <f>N44/M44*100</f>
        <v/>
      </c>
      <c r="U44" s="2">
        <f>N44*P44/(M44*Process_Data!I44)*100</f>
        <v/>
      </c>
      <c r="V44" s="2">
        <f>O44*R44/(M44*Process_Data!I44)*100</f>
        <v/>
      </c>
      <c r="W44" s="2">
        <f>U44+V44</f>
        <v/>
      </c>
      <c r="X44" s="2">
        <f>(M44-(N44+O44))/M44*100</f>
        <v/>
      </c>
      <c r="Y44" s="2">
        <f>(M44*Process_Data!I44-(N44*P44+O44*R44))/(M44*Process_Data!I44)*100</f>
        <v/>
      </c>
      <c r="Z44" s="2" t="inlineStr">
        <is>
          <t>OK</t>
        </is>
      </c>
    </row>
    <row r="45">
      <c r="A45" s="6" t="n">
        <v>44</v>
      </c>
      <c r="B45" s="7" t="n">
        <v>26.5</v>
      </c>
      <c r="C45" s="7" t="n">
        <v>106.2</v>
      </c>
      <c r="D45" s="7" t="n">
        <v>61.9</v>
      </c>
      <c r="E45" s="7" t="n">
        <v>42.9</v>
      </c>
      <c r="F45" s="7" t="n">
        <v>25.3</v>
      </c>
      <c r="G45" s="7" t="n">
        <v>75.2</v>
      </c>
      <c r="H45" s="7" t="n">
        <v>4.6</v>
      </c>
      <c r="I45" s="7" t="n">
        <v>90.09999999999999</v>
      </c>
      <c r="J45" s="7" t="n">
        <v>61.3</v>
      </c>
      <c r="K45" s="7" t="n">
        <v>10.4</v>
      </c>
      <c r="L45" s="7" t="n">
        <v>52.1</v>
      </c>
      <c r="M45" s="3">
        <f>Process_Data!F45*Process_Data!G45/100</f>
        <v/>
      </c>
      <c r="N45" s="7" t="n">
        <v>113.7</v>
      </c>
      <c r="O45" s="7" t="n">
        <v>103</v>
      </c>
      <c r="P45" s="7" t="n">
        <v>66.45</v>
      </c>
      <c r="Q45" s="7" t="n">
        <v>5.07</v>
      </c>
      <c r="R45" s="7" t="n">
        <v>10.14</v>
      </c>
      <c r="S45" s="7" t="n">
        <v>65.53</v>
      </c>
      <c r="T45" s="3">
        <f>N45/M45*100</f>
        <v/>
      </c>
      <c r="U45" s="3">
        <f>N45*P45/(M45*Process_Data!I45)*100</f>
        <v/>
      </c>
      <c r="V45" s="3">
        <f>O45*R45/(M45*Process_Data!I45)*100</f>
        <v/>
      </c>
      <c r="W45" s="3">
        <f>U45+V45</f>
        <v/>
      </c>
      <c r="X45" s="3">
        <f>(M45-(N45+O45))/M45*100</f>
        <v/>
      </c>
      <c r="Y45" s="3">
        <f>(M45*Process_Data!I45-(N45*P45+O45*R45))/(M45*Process_Data!I45)*100</f>
        <v/>
      </c>
      <c r="Z45" s="3" t="inlineStr">
        <is>
          <t>OK</t>
        </is>
      </c>
    </row>
    <row r="46">
      <c r="A46" s="4" t="n">
        <v>45</v>
      </c>
      <c r="B46" s="5" t="n">
        <v>26.9</v>
      </c>
      <c r="C46" s="5" t="n">
        <v>128.2</v>
      </c>
      <c r="D46" s="5" t="n">
        <v>62.5</v>
      </c>
      <c r="E46" s="5" t="n">
        <v>41.4</v>
      </c>
      <c r="F46" s="5" t="n">
        <v>21.5</v>
      </c>
      <c r="G46" s="5" t="n">
        <v>73.40000000000001</v>
      </c>
      <c r="H46" s="5" t="n">
        <v>6.5</v>
      </c>
      <c r="I46" s="5" t="n">
        <v>95.09999999999999</v>
      </c>
      <c r="J46" s="5" t="n">
        <v>61.5</v>
      </c>
      <c r="K46" s="5" t="n">
        <v>9.800000000000001</v>
      </c>
      <c r="L46" s="5" t="n">
        <v>64.09999999999999</v>
      </c>
      <c r="M46" s="2">
        <f>Process_Data!F46*Process_Data!G46/100</f>
        <v/>
      </c>
      <c r="N46" s="5" t="n">
        <v>106.1</v>
      </c>
      <c r="O46" s="5" t="n">
        <v>112.9</v>
      </c>
      <c r="P46" s="5" t="n">
        <v>65.95</v>
      </c>
      <c r="Q46" s="5" t="n">
        <v>5.33</v>
      </c>
      <c r="R46" s="5" t="n">
        <v>12.56</v>
      </c>
      <c r="S46" s="5" t="n">
        <v>66.3</v>
      </c>
      <c r="T46" s="2">
        <f>N46/M46*100</f>
        <v/>
      </c>
      <c r="U46" s="2">
        <f>N46*P46/(M46*Process_Data!I46)*100</f>
        <v/>
      </c>
      <c r="V46" s="2">
        <f>O46*R46/(M46*Process_Data!I46)*100</f>
        <v/>
      </c>
      <c r="W46" s="2">
        <f>U46+V46</f>
        <v/>
      </c>
      <c r="X46" s="2">
        <f>(M46-(N46+O46))/M46*100</f>
        <v/>
      </c>
      <c r="Y46" s="2">
        <f>(M46*Process_Data!I46-(N46*P46+O46*R46))/(M46*Process_Data!I46)*100</f>
        <v/>
      </c>
      <c r="Z46" s="2" t="inlineStr">
        <is>
          <t>OK</t>
        </is>
      </c>
    </row>
    <row r="47">
      <c r="A47" s="6" t="n">
        <v>46</v>
      </c>
      <c r="B47" s="7" t="n">
        <v>21.4</v>
      </c>
      <c r="C47" s="7" t="n">
        <v>138.4</v>
      </c>
      <c r="D47" s="7" t="n">
        <v>61</v>
      </c>
      <c r="E47" s="7" t="n">
        <v>38.7</v>
      </c>
      <c r="F47" s="7" t="n">
        <v>26.7</v>
      </c>
      <c r="G47" s="7" t="n">
        <v>76.2</v>
      </c>
      <c r="H47" s="7" t="n">
        <v>5.5</v>
      </c>
      <c r="I47" s="7" t="n">
        <v>93.2</v>
      </c>
      <c r="J47" s="7" t="n">
        <v>59.9</v>
      </c>
      <c r="K47" s="7" t="n">
        <v>9.1</v>
      </c>
      <c r="L47" s="7" t="n">
        <v>61.5</v>
      </c>
      <c r="M47" s="3">
        <f>Process_Data!F47*Process_Data!G47/100</f>
        <v/>
      </c>
      <c r="N47" s="7" t="n">
        <v>110.2</v>
      </c>
      <c r="O47" s="7" t="n">
        <v>116.1</v>
      </c>
      <c r="P47" s="7" t="n">
        <v>66.44</v>
      </c>
      <c r="Q47" s="7" t="n">
        <v>4.94</v>
      </c>
      <c r="R47" s="7" t="n">
        <v>11.8</v>
      </c>
      <c r="S47" s="7" t="n">
        <v>62.28</v>
      </c>
      <c r="T47" s="3">
        <f>N47/M47*100</f>
        <v/>
      </c>
      <c r="U47" s="3">
        <f>N47*P47/(M47*Process_Data!I47)*100</f>
        <v/>
      </c>
      <c r="V47" s="3">
        <f>O47*R47/(M47*Process_Data!I47)*100</f>
        <v/>
      </c>
      <c r="W47" s="3">
        <f>U47+V47</f>
        <v/>
      </c>
      <c r="X47" s="3">
        <f>(M47-(N47+O47))/M47*100</f>
        <v/>
      </c>
      <c r="Y47" s="3">
        <f>(M47*Process_Data!I47-(N47*P47+O47*R47))/(M47*Process_Data!I47)*100</f>
        <v/>
      </c>
      <c r="Z47" s="3" t="inlineStr">
        <is>
          <t>OK</t>
        </is>
      </c>
    </row>
    <row r="48">
      <c r="A48" s="4" t="n">
        <v>47</v>
      </c>
      <c r="B48" s="5" t="n">
        <v>21.3</v>
      </c>
      <c r="C48" s="5" t="n">
        <v>83.40000000000001</v>
      </c>
      <c r="D48" s="5" t="n">
        <v>58.2</v>
      </c>
      <c r="E48" s="5" t="n">
        <v>46</v>
      </c>
      <c r="F48" s="5" t="n">
        <v>24.6</v>
      </c>
      <c r="G48" s="5" t="n">
        <v>80.3</v>
      </c>
      <c r="H48" s="5" t="n">
        <v>6.2</v>
      </c>
      <c r="I48" s="5" t="n">
        <v>93.09999999999999</v>
      </c>
      <c r="J48" s="5" t="n">
        <v>57.1</v>
      </c>
      <c r="K48" s="5" t="n">
        <v>10.4</v>
      </c>
      <c r="L48" s="5" t="n">
        <v>51.3</v>
      </c>
      <c r="M48" s="2">
        <f>Process_Data!F48*Process_Data!G48/100</f>
        <v/>
      </c>
      <c r="N48" s="5" t="n">
        <v>120.6</v>
      </c>
      <c r="O48" s="5" t="n">
        <v>109.5</v>
      </c>
      <c r="P48" s="5" t="n">
        <v>64.72</v>
      </c>
      <c r="Q48" s="5" t="n">
        <v>4.96</v>
      </c>
      <c r="R48" s="5" t="n">
        <v>9.699999999999999</v>
      </c>
      <c r="S48" s="5" t="n">
        <v>63.72</v>
      </c>
      <c r="T48" s="2">
        <f>N48/M48*100</f>
        <v/>
      </c>
      <c r="U48" s="2">
        <f>N48*P48/(M48*Process_Data!I48)*100</f>
        <v/>
      </c>
      <c r="V48" s="2">
        <f>O48*R48/(M48*Process_Data!I48)*100</f>
        <v/>
      </c>
      <c r="W48" s="2">
        <f>U48+V48</f>
        <v/>
      </c>
      <c r="X48" s="2">
        <f>(M48-(N48+O48))/M48*100</f>
        <v/>
      </c>
      <c r="Y48" s="2">
        <f>(M48*Process_Data!I48-(N48*P48+O48*R48))/(M48*Process_Data!I48)*100</f>
        <v/>
      </c>
      <c r="Z48" s="2" t="inlineStr">
        <is>
          <t>OK</t>
        </is>
      </c>
    </row>
    <row r="49">
      <c r="A49" s="6" t="n">
        <v>48</v>
      </c>
      <c r="B49" s="7" t="n">
        <v>26.9</v>
      </c>
      <c r="C49" s="7" t="n">
        <v>106.4</v>
      </c>
      <c r="D49" s="7" t="n">
        <v>61.1</v>
      </c>
      <c r="E49" s="7" t="n">
        <v>42.3</v>
      </c>
      <c r="F49" s="7" t="n">
        <v>24.7</v>
      </c>
      <c r="G49" s="7" t="n">
        <v>75.8</v>
      </c>
      <c r="H49" s="7" t="n">
        <v>4.6</v>
      </c>
      <c r="I49" s="7" t="n">
        <v>93.90000000000001</v>
      </c>
      <c r="J49" s="7" t="n">
        <v>60.4</v>
      </c>
      <c r="K49" s="7" t="n">
        <v>9.199999999999999</v>
      </c>
      <c r="L49" s="7" t="n">
        <v>77</v>
      </c>
      <c r="M49" s="3">
        <f>Process_Data!F49*Process_Data!G49/100</f>
        <v/>
      </c>
      <c r="N49" s="7" t="n">
        <v>104</v>
      </c>
      <c r="O49" s="7" t="n">
        <v>88.7</v>
      </c>
      <c r="P49" s="7" t="n">
        <v>66.44</v>
      </c>
      <c r="Q49" s="7" t="n">
        <v>4.66</v>
      </c>
      <c r="R49" s="7" t="n">
        <v>11.85</v>
      </c>
      <c r="S49" s="7" t="n">
        <v>63.11</v>
      </c>
      <c r="T49" s="3">
        <f>N49/M49*100</f>
        <v/>
      </c>
      <c r="U49" s="3">
        <f>N49*P49/(M49*Process_Data!I49)*100</f>
        <v/>
      </c>
      <c r="V49" s="3">
        <f>O49*R49/(M49*Process_Data!I49)*100</f>
        <v/>
      </c>
      <c r="W49" s="3">
        <f>U49+V49</f>
        <v/>
      </c>
      <c r="X49" s="3">
        <f>(M49-(N49+O49))/M49*100</f>
        <v/>
      </c>
      <c r="Y49" s="3">
        <f>(M49*Process_Data!I49-(N49*P49+O49*R49))/(M49*Process_Data!I49)*100</f>
        <v/>
      </c>
      <c r="Z49" s="3" t="inlineStr">
        <is>
          <t>OK</t>
        </is>
      </c>
    </row>
    <row r="50">
      <c r="A50" s="4" t="n">
        <v>49</v>
      </c>
      <c r="B50" s="5" t="n">
        <v>21.7</v>
      </c>
      <c r="C50" s="5" t="n">
        <v>122.7</v>
      </c>
      <c r="D50" s="5" t="n">
        <v>60.4</v>
      </c>
      <c r="E50" s="5" t="n">
        <v>44.8</v>
      </c>
      <c r="F50" s="5" t="n">
        <v>19.1</v>
      </c>
      <c r="G50" s="5" t="n">
        <v>73.40000000000001</v>
      </c>
      <c r="H50" s="5" t="n">
        <v>6.5</v>
      </c>
      <c r="I50" s="5" t="n">
        <v>95.8</v>
      </c>
      <c r="J50" s="5" t="n">
        <v>59</v>
      </c>
      <c r="K50" s="5" t="n">
        <v>9.5</v>
      </c>
      <c r="L50" s="5" t="n">
        <v>87.90000000000001</v>
      </c>
      <c r="M50" s="2">
        <f>Process_Data!F50*Process_Data!G50/100</f>
        <v/>
      </c>
      <c r="N50" s="5" t="n">
        <v>123.7</v>
      </c>
      <c r="O50" s="5" t="n">
        <v>105</v>
      </c>
      <c r="P50" s="5" t="n">
        <v>66.06</v>
      </c>
      <c r="Q50" s="5" t="n">
        <v>5.46</v>
      </c>
      <c r="R50" s="5" t="n">
        <v>12.08</v>
      </c>
      <c r="S50" s="5" t="n">
        <v>66.15000000000001</v>
      </c>
      <c r="T50" s="2">
        <f>N50/M50*100</f>
        <v/>
      </c>
      <c r="U50" s="2">
        <f>N50*P50/(M50*Process_Data!I50)*100</f>
        <v/>
      </c>
      <c r="V50" s="2">
        <f>O50*R50/(M50*Process_Data!I50)*100</f>
        <v/>
      </c>
      <c r="W50" s="2">
        <f>U50+V50</f>
        <v/>
      </c>
      <c r="X50" s="2">
        <f>(M50-(N50+O50))/M50*100</f>
        <v/>
      </c>
      <c r="Y50" s="2">
        <f>(M50*Process_Data!I50-(N50*P50+O50*R50))/(M50*Process_Data!I50)*100</f>
        <v/>
      </c>
      <c r="Z50" s="2" t="inlineStr">
        <is>
          <t>OK</t>
        </is>
      </c>
    </row>
    <row r="51">
      <c r="A51" s="6" t="n">
        <v>50</v>
      </c>
      <c r="B51" s="7" t="n">
        <v>25.6</v>
      </c>
      <c r="C51" s="7" t="n">
        <v>101.1</v>
      </c>
      <c r="D51" s="7" t="n">
        <v>60.7</v>
      </c>
      <c r="E51" s="7" t="n">
        <v>38.6</v>
      </c>
      <c r="F51" s="7" t="n">
        <v>21.7</v>
      </c>
      <c r="G51" s="7" t="n">
        <v>78.40000000000001</v>
      </c>
      <c r="H51" s="7" t="n">
        <v>4.6</v>
      </c>
      <c r="I51" s="7" t="n">
        <v>93.7</v>
      </c>
      <c r="J51" s="7" t="n">
        <v>59.9</v>
      </c>
      <c r="K51" s="7" t="n">
        <v>9.9</v>
      </c>
      <c r="L51" s="7" t="n">
        <v>65.5</v>
      </c>
      <c r="M51" s="3">
        <f>Process_Data!F51*Process_Data!G51/100</f>
        <v/>
      </c>
      <c r="N51" s="7" t="n">
        <v>122.5</v>
      </c>
      <c r="O51" s="7" t="n">
        <v>103.8</v>
      </c>
      <c r="P51" s="7" t="n">
        <v>65.26000000000001</v>
      </c>
      <c r="Q51" s="7" t="n">
        <v>5.97</v>
      </c>
      <c r="R51" s="7" t="n">
        <v>11.32</v>
      </c>
      <c r="S51" s="7" t="n">
        <v>63.35</v>
      </c>
      <c r="T51" s="3">
        <f>N51/M51*100</f>
        <v/>
      </c>
      <c r="U51" s="3">
        <f>N51*P51/(M51*Process_Data!I51)*100</f>
        <v/>
      </c>
      <c r="V51" s="3">
        <f>O51*R51/(M51*Process_Data!I51)*100</f>
        <v/>
      </c>
      <c r="W51" s="3">
        <f>U51+V51</f>
        <v/>
      </c>
      <c r="X51" s="3">
        <f>(M51-(N51+O51))/M51*100</f>
        <v/>
      </c>
      <c r="Y51" s="3">
        <f>(M51*Process_Data!I51-(N51*P51+O51*R51))/(M51*Process_Data!I51)*100</f>
        <v/>
      </c>
      <c r="Z51" s="3" t="inlineStr">
        <is>
          <t>OK</t>
        </is>
      </c>
    </row>
    <row r="52">
      <c r="A52" s="4" t="n">
        <v>51</v>
      </c>
      <c r="B52" s="5" t="n">
        <v>25.2</v>
      </c>
      <c r="C52" s="5" t="n">
        <v>141.8</v>
      </c>
      <c r="D52" s="5" t="n">
        <v>59.5</v>
      </c>
      <c r="E52" s="5" t="n">
        <v>48.9</v>
      </c>
      <c r="F52" s="5" t="n">
        <v>18.6</v>
      </c>
      <c r="G52" s="5" t="n">
        <v>73.90000000000001</v>
      </c>
      <c r="H52" s="5" t="n">
        <v>5.2</v>
      </c>
      <c r="I52" s="5" t="n">
        <v>92.40000000000001</v>
      </c>
      <c r="J52" s="5" t="n">
        <v>57.7</v>
      </c>
      <c r="K52" s="5" t="n">
        <v>9.300000000000001</v>
      </c>
      <c r="L52" s="5" t="n">
        <v>55.7</v>
      </c>
      <c r="M52" s="2">
        <f>Process_Data!F52*Process_Data!G52/100</f>
        <v/>
      </c>
      <c r="N52" s="5" t="n">
        <v>107.3</v>
      </c>
      <c r="O52" s="5" t="n">
        <v>95.5</v>
      </c>
      <c r="P52" s="5" t="n">
        <v>65.11</v>
      </c>
      <c r="Q52" s="5" t="n">
        <v>5.87</v>
      </c>
      <c r="R52" s="5" t="n">
        <v>11.39</v>
      </c>
      <c r="S52" s="5" t="n">
        <v>62.18</v>
      </c>
      <c r="T52" s="2">
        <f>N52/M52*100</f>
        <v/>
      </c>
      <c r="U52" s="2">
        <f>N52*P52/(M52*Process_Data!I52)*100</f>
        <v/>
      </c>
      <c r="V52" s="2">
        <f>O52*R52/(M52*Process_Data!I52)*100</f>
        <v/>
      </c>
      <c r="W52" s="2">
        <f>U52+V52</f>
        <v/>
      </c>
      <c r="X52" s="2">
        <f>(M52-(N52+O52))/M52*100</f>
        <v/>
      </c>
      <c r="Y52" s="2">
        <f>(M52*Process_Data!I52-(N52*P52+O52*R52))/(M52*Process_Data!I52)*100</f>
        <v/>
      </c>
      <c r="Z52" s="2" t="inlineStr">
        <is>
          <t>OK</t>
        </is>
      </c>
    </row>
    <row r="53">
      <c r="A53" s="6" t="n">
        <v>52</v>
      </c>
      <c r="B53" s="7" t="n">
        <v>23.9</v>
      </c>
      <c r="C53" s="7" t="n">
        <v>134.5</v>
      </c>
      <c r="D53" s="7" t="n">
        <v>61.3</v>
      </c>
      <c r="E53" s="7" t="n">
        <v>35.7</v>
      </c>
      <c r="F53" s="7" t="n">
        <v>24.3</v>
      </c>
      <c r="G53" s="7" t="n">
        <v>80.40000000000001</v>
      </c>
      <c r="H53" s="7" t="n">
        <v>5.7</v>
      </c>
      <c r="I53" s="7" t="n">
        <v>95.2</v>
      </c>
      <c r="J53" s="7" t="n">
        <v>59.6</v>
      </c>
      <c r="K53" s="7" t="n">
        <v>9.199999999999999</v>
      </c>
      <c r="L53" s="7" t="n">
        <v>51.7</v>
      </c>
      <c r="M53" s="3">
        <f>Process_Data!F53*Process_Data!G53/100</f>
        <v/>
      </c>
      <c r="N53" s="7" t="n">
        <v>94.90000000000001</v>
      </c>
      <c r="O53" s="7" t="n">
        <v>103</v>
      </c>
      <c r="P53" s="7" t="n">
        <v>65.72</v>
      </c>
      <c r="Q53" s="7" t="n">
        <v>5.2</v>
      </c>
      <c r="R53" s="7" t="n">
        <v>12.44</v>
      </c>
      <c r="S53" s="7" t="n">
        <v>66.3</v>
      </c>
      <c r="T53" s="3">
        <f>N53/M53*100</f>
        <v/>
      </c>
      <c r="U53" s="3">
        <f>N53*P53/(M53*Process_Data!I53)*100</f>
        <v/>
      </c>
      <c r="V53" s="3">
        <f>O53*R53/(M53*Process_Data!I53)*100</f>
        <v/>
      </c>
      <c r="W53" s="3">
        <f>U53+V53</f>
        <v/>
      </c>
      <c r="X53" s="3">
        <f>(M53-(N53+O53))/M53*100</f>
        <v/>
      </c>
      <c r="Y53" s="3">
        <f>(M53*Process_Data!I53-(N53*P53+O53*R53))/(M53*Process_Data!I53)*100</f>
        <v/>
      </c>
      <c r="Z53" s="3" t="inlineStr">
        <is>
          <t>OK</t>
        </is>
      </c>
    </row>
    <row r="54">
      <c r="A54" s="4" t="n">
        <v>53</v>
      </c>
      <c r="B54" s="5" t="n">
        <v>21.7</v>
      </c>
      <c r="C54" s="5" t="n">
        <v>77.7</v>
      </c>
      <c r="D54" s="5" t="n">
        <v>58.1</v>
      </c>
      <c r="E54" s="5" t="n">
        <v>44.6</v>
      </c>
      <c r="F54" s="5" t="n">
        <v>24.1</v>
      </c>
      <c r="G54" s="5" t="n">
        <v>76.5</v>
      </c>
      <c r="H54" s="5" t="n">
        <v>5</v>
      </c>
      <c r="I54" s="5" t="n">
        <v>93.2</v>
      </c>
      <c r="J54" s="5" t="n">
        <v>56.9</v>
      </c>
      <c r="K54" s="5" t="n">
        <v>9.699999999999999</v>
      </c>
      <c r="L54" s="5" t="n">
        <v>94.3</v>
      </c>
      <c r="M54" s="2">
        <f>Process_Data!F54*Process_Data!G54/100</f>
        <v/>
      </c>
      <c r="N54" s="5" t="n">
        <v>120.3</v>
      </c>
      <c r="O54" s="5" t="n">
        <v>96.59999999999999</v>
      </c>
      <c r="P54" s="5" t="n">
        <v>64.77</v>
      </c>
      <c r="Q54" s="5" t="n">
        <v>5.68</v>
      </c>
      <c r="R54" s="5" t="n">
        <v>10.92</v>
      </c>
      <c r="S54" s="5" t="n">
        <v>63</v>
      </c>
      <c r="T54" s="2">
        <f>N54/M54*100</f>
        <v/>
      </c>
      <c r="U54" s="2">
        <f>N54*P54/(M54*Process_Data!I54)*100</f>
        <v/>
      </c>
      <c r="V54" s="2">
        <f>O54*R54/(M54*Process_Data!I54)*100</f>
        <v/>
      </c>
      <c r="W54" s="2">
        <f>U54+V54</f>
        <v/>
      </c>
      <c r="X54" s="2">
        <f>(M54-(N54+O54))/M54*100</f>
        <v/>
      </c>
      <c r="Y54" s="2">
        <f>(M54*Process_Data!I54-(N54*P54+O54*R54))/(M54*Process_Data!I54)*100</f>
        <v/>
      </c>
      <c r="Z54" s="2" t="inlineStr">
        <is>
          <t>OK</t>
        </is>
      </c>
    </row>
    <row r="55">
      <c r="A55" s="6" t="n">
        <v>54</v>
      </c>
      <c r="B55" s="7" t="n">
        <v>22.8</v>
      </c>
      <c r="C55" s="7" t="n">
        <v>75.59999999999999</v>
      </c>
      <c r="D55" s="7" t="n">
        <v>61.1</v>
      </c>
      <c r="E55" s="7" t="n">
        <v>36</v>
      </c>
      <c r="F55" s="7" t="n">
        <v>26</v>
      </c>
      <c r="G55" s="7" t="n">
        <v>80.90000000000001</v>
      </c>
      <c r="H55" s="7" t="n">
        <v>5.6</v>
      </c>
      <c r="I55" s="7" t="n">
        <v>93.59999999999999</v>
      </c>
      <c r="J55" s="7" t="n">
        <v>60.3</v>
      </c>
      <c r="K55" s="7" t="n">
        <v>9.800000000000001</v>
      </c>
      <c r="L55" s="7" t="n">
        <v>57.8</v>
      </c>
      <c r="M55" s="3">
        <f>Process_Data!F55*Process_Data!G55/100</f>
        <v/>
      </c>
      <c r="N55" s="7" t="n">
        <v>105.7</v>
      </c>
      <c r="O55" s="7" t="n">
        <v>115.7</v>
      </c>
      <c r="P55" s="7" t="n">
        <v>65.17</v>
      </c>
      <c r="Q55" s="7" t="n">
        <v>5.64</v>
      </c>
      <c r="R55" s="7" t="n">
        <v>12.98</v>
      </c>
      <c r="S55" s="7" t="n">
        <v>64.63</v>
      </c>
      <c r="T55" s="3">
        <f>N55/M55*100</f>
        <v/>
      </c>
      <c r="U55" s="3">
        <f>N55*P55/(M55*Process_Data!I55)*100</f>
        <v/>
      </c>
      <c r="V55" s="3">
        <f>O55*R55/(M55*Process_Data!I55)*100</f>
        <v/>
      </c>
      <c r="W55" s="3">
        <f>U55+V55</f>
        <v/>
      </c>
      <c r="X55" s="3">
        <f>(M55-(N55+O55))/M55*100</f>
        <v/>
      </c>
      <c r="Y55" s="3">
        <f>(M55*Process_Data!I55-(N55*P55+O55*R55))/(M55*Process_Data!I55)*100</f>
        <v/>
      </c>
      <c r="Z55" s="3" t="inlineStr">
        <is>
          <t>OK</t>
        </is>
      </c>
    </row>
    <row r="56">
      <c r="A56" s="4" t="n">
        <v>55</v>
      </c>
      <c r="B56" s="5" t="n">
        <v>25.3</v>
      </c>
      <c r="C56" s="5" t="n">
        <v>133.6</v>
      </c>
      <c r="D56" s="5" t="n">
        <v>63.6</v>
      </c>
      <c r="E56" s="5" t="n">
        <v>38.5</v>
      </c>
      <c r="F56" s="5" t="n">
        <v>22</v>
      </c>
      <c r="G56" s="5" t="n">
        <v>81.3</v>
      </c>
      <c r="H56" s="5" t="n">
        <v>6.5</v>
      </c>
      <c r="I56" s="5" t="n">
        <v>92.8</v>
      </c>
      <c r="J56" s="5" t="n">
        <v>62.9</v>
      </c>
      <c r="K56" s="5" t="n">
        <v>10.3</v>
      </c>
      <c r="L56" s="5" t="n">
        <v>68.7</v>
      </c>
      <c r="M56" s="2">
        <f>Process_Data!F56*Process_Data!G56/100</f>
        <v/>
      </c>
      <c r="N56" s="5" t="n">
        <v>101.7</v>
      </c>
      <c r="O56" s="5" t="n">
        <v>95.8</v>
      </c>
      <c r="P56" s="5" t="n">
        <v>65.75</v>
      </c>
      <c r="Q56" s="5" t="n">
        <v>4.65</v>
      </c>
      <c r="R56" s="5" t="n">
        <v>12.14</v>
      </c>
      <c r="S56" s="5" t="n">
        <v>60.89</v>
      </c>
      <c r="T56" s="2">
        <f>N56/M56*100</f>
        <v/>
      </c>
      <c r="U56" s="2">
        <f>N56*P56/(M56*Process_Data!I56)*100</f>
        <v/>
      </c>
      <c r="V56" s="2">
        <f>O56*R56/(M56*Process_Data!I56)*100</f>
        <v/>
      </c>
      <c r="W56" s="2">
        <f>U56+V56</f>
        <v/>
      </c>
      <c r="X56" s="2">
        <f>(M56-(N56+O56))/M56*100</f>
        <v/>
      </c>
      <c r="Y56" s="2">
        <f>(M56*Process_Data!I56-(N56*P56+O56*R56))/(M56*Process_Data!I56)*100</f>
        <v/>
      </c>
      <c r="Z56" s="2" t="inlineStr">
        <is>
          <t>OK</t>
        </is>
      </c>
    </row>
    <row r="57">
      <c r="A57" s="6" t="n">
        <v>56</v>
      </c>
      <c r="B57" s="7" t="n">
        <v>24.1</v>
      </c>
      <c r="C57" s="7" t="n">
        <v>143.6</v>
      </c>
      <c r="D57" s="7" t="n">
        <v>61</v>
      </c>
      <c r="E57" s="7" t="n">
        <v>49.9</v>
      </c>
      <c r="F57" s="7" t="n">
        <v>26.5</v>
      </c>
      <c r="G57" s="7" t="n">
        <v>74</v>
      </c>
      <c r="H57" s="7" t="n">
        <v>6.4</v>
      </c>
      <c r="I57" s="7" t="n">
        <v>94.7</v>
      </c>
      <c r="J57" s="7" t="n">
        <v>60.2</v>
      </c>
      <c r="K57" s="7" t="n">
        <v>9.5</v>
      </c>
      <c r="L57" s="7" t="n">
        <v>88.3</v>
      </c>
      <c r="M57" s="3">
        <f>Process_Data!F57*Process_Data!G57/100</f>
        <v/>
      </c>
      <c r="N57" s="7" t="n">
        <v>100.9</v>
      </c>
      <c r="O57" s="7" t="n">
        <v>105.2</v>
      </c>
      <c r="P57" s="7" t="n">
        <v>66.23999999999999</v>
      </c>
      <c r="Q57" s="7" t="n">
        <v>5.87</v>
      </c>
      <c r="R57" s="7" t="n">
        <v>12.27</v>
      </c>
      <c r="S57" s="7" t="n">
        <v>62.13</v>
      </c>
      <c r="T57" s="3">
        <f>N57/M57*100</f>
        <v/>
      </c>
      <c r="U57" s="3">
        <f>N57*P57/(M57*Process_Data!I57)*100</f>
        <v/>
      </c>
      <c r="V57" s="3">
        <f>O57*R57/(M57*Process_Data!I57)*100</f>
        <v/>
      </c>
      <c r="W57" s="3">
        <f>U57+V57</f>
        <v/>
      </c>
      <c r="X57" s="3">
        <f>(M57-(N57+O57))/M57*100</f>
        <v/>
      </c>
      <c r="Y57" s="3">
        <f>(M57*Process_Data!I57-(N57*P57+O57*R57))/(M57*Process_Data!I57)*100</f>
        <v/>
      </c>
      <c r="Z57" s="3" t="inlineStr">
        <is>
          <t>OK</t>
        </is>
      </c>
    </row>
    <row r="58">
      <c r="A58" s="4" t="n">
        <v>57</v>
      </c>
      <c r="B58" s="5" t="n">
        <v>21.4</v>
      </c>
      <c r="C58" s="5" t="n">
        <v>110.2</v>
      </c>
      <c r="D58" s="5" t="n">
        <v>60.4</v>
      </c>
      <c r="E58" s="5" t="n">
        <v>37.2</v>
      </c>
      <c r="F58" s="5" t="n">
        <v>21.7</v>
      </c>
      <c r="G58" s="5" t="n">
        <v>74.2</v>
      </c>
      <c r="H58" s="5" t="n">
        <v>4.6</v>
      </c>
      <c r="I58" s="5" t="n">
        <v>95.7</v>
      </c>
      <c r="J58" s="5" t="n">
        <v>59.8</v>
      </c>
      <c r="K58" s="5" t="n">
        <v>9.800000000000001</v>
      </c>
      <c r="L58" s="5" t="n">
        <v>93.09999999999999</v>
      </c>
      <c r="M58" s="2">
        <f>Process_Data!F58*Process_Data!G58/100</f>
        <v/>
      </c>
      <c r="N58" s="5" t="n">
        <v>102.3</v>
      </c>
      <c r="O58" s="5" t="n">
        <v>98.59999999999999</v>
      </c>
      <c r="P58" s="5" t="n">
        <v>65.36</v>
      </c>
      <c r="Q58" s="5" t="n">
        <v>5.03</v>
      </c>
      <c r="R58" s="5" t="n">
        <v>11.27</v>
      </c>
      <c r="S58" s="5" t="n">
        <v>63.08</v>
      </c>
      <c r="T58" s="2">
        <f>N58/M58*100</f>
        <v/>
      </c>
      <c r="U58" s="2">
        <f>N58*P58/(M58*Process_Data!I58)*100</f>
        <v/>
      </c>
      <c r="V58" s="2">
        <f>O58*R58/(M58*Process_Data!I58)*100</f>
        <v/>
      </c>
      <c r="W58" s="2">
        <f>U58+V58</f>
        <v/>
      </c>
      <c r="X58" s="2">
        <f>(M58-(N58+O58))/M58*100</f>
        <v/>
      </c>
      <c r="Y58" s="2">
        <f>(M58*Process_Data!I58-(N58*P58+O58*R58))/(M58*Process_Data!I58)*100</f>
        <v/>
      </c>
      <c r="Z58" s="2" t="inlineStr">
        <is>
          <t>OK</t>
        </is>
      </c>
    </row>
    <row r="59">
      <c r="A59" s="6" t="n">
        <v>58</v>
      </c>
      <c r="B59" s="7" t="n">
        <v>21.9</v>
      </c>
      <c r="C59" s="7" t="n">
        <v>81.40000000000001</v>
      </c>
      <c r="D59" s="7" t="n">
        <v>58.7</v>
      </c>
      <c r="E59" s="7" t="n">
        <v>39.5</v>
      </c>
      <c r="F59" s="7" t="n">
        <v>19</v>
      </c>
      <c r="G59" s="7" t="n">
        <v>77.59999999999999</v>
      </c>
      <c r="H59" s="7" t="n">
        <v>4.6</v>
      </c>
      <c r="I59" s="7" t="n">
        <v>96</v>
      </c>
      <c r="J59" s="7" t="n">
        <v>57.3</v>
      </c>
      <c r="K59" s="7" t="n">
        <v>10.3</v>
      </c>
      <c r="L59" s="7" t="n">
        <v>73.8</v>
      </c>
      <c r="M59" s="3">
        <f>Process_Data!F59*Process_Data!G59/100</f>
        <v/>
      </c>
      <c r="N59" s="7" t="n">
        <v>107.2</v>
      </c>
      <c r="O59" s="7" t="n">
        <v>93.8</v>
      </c>
      <c r="P59" s="7" t="n">
        <v>65.11</v>
      </c>
      <c r="Q59" s="7" t="n">
        <v>5.56</v>
      </c>
      <c r="R59" s="7" t="n">
        <v>11.34</v>
      </c>
      <c r="S59" s="7" t="n">
        <v>62.98</v>
      </c>
      <c r="T59" s="3">
        <f>N59/M59*100</f>
        <v/>
      </c>
      <c r="U59" s="3">
        <f>N59*P59/(M59*Process_Data!I59)*100</f>
        <v/>
      </c>
      <c r="V59" s="3">
        <f>O59*R59/(M59*Process_Data!I59)*100</f>
        <v/>
      </c>
      <c r="W59" s="3">
        <f>U59+V59</f>
        <v/>
      </c>
      <c r="X59" s="3">
        <f>(M59-(N59+O59))/M59*100</f>
        <v/>
      </c>
      <c r="Y59" s="3">
        <f>(M59*Process_Data!I59-(N59*P59+O59*R59))/(M59*Process_Data!I59)*100</f>
        <v/>
      </c>
      <c r="Z59" s="3" t="inlineStr">
        <is>
          <t>OK</t>
        </is>
      </c>
    </row>
    <row r="60">
      <c r="A60" s="4" t="n">
        <v>59</v>
      </c>
      <c r="B60" s="5" t="n">
        <v>26.1</v>
      </c>
      <c r="C60" s="5" t="n">
        <v>81</v>
      </c>
      <c r="D60" s="5" t="n">
        <v>61.2</v>
      </c>
      <c r="E60" s="5" t="n">
        <v>38.2</v>
      </c>
      <c r="F60" s="5" t="n">
        <v>18.1</v>
      </c>
      <c r="G60" s="5" t="n">
        <v>80.2</v>
      </c>
      <c r="H60" s="5" t="n">
        <v>6.5</v>
      </c>
      <c r="I60" s="5" t="n">
        <v>95.7</v>
      </c>
      <c r="J60" s="5" t="n">
        <v>60.4</v>
      </c>
      <c r="K60" s="5" t="n">
        <v>9.699999999999999</v>
      </c>
      <c r="L60" s="5" t="n">
        <v>46</v>
      </c>
      <c r="M60" s="2">
        <f>Process_Data!F60*Process_Data!G60/100</f>
        <v/>
      </c>
      <c r="N60" s="5" t="n">
        <v>99.8</v>
      </c>
      <c r="O60" s="5" t="n">
        <v>99.90000000000001</v>
      </c>
      <c r="P60" s="5" t="n">
        <v>65.59999999999999</v>
      </c>
      <c r="Q60" s="5" t="n">
        <v>5.27</v>
      </c>
      <c r="R60" s="5" t="n">
        <v>12.46</v>
      </c>
      <c r="S60" s="5" t="n">
        <v>60.69</v>
      </c>
      <c r="T60" s="2">
        <f>N60/M60*100</f>
        <v/>
      </c>
      <c r="U60" s="2">
        <f>N60*P60/(M60*Process_Data!I60)*100</f>
        <v/>
      </c>
      <c r="V60" s="2">
        <f>O60*R60/(M60*Process_Data!I60)*100</f>
        <v/>
      </c>
      <c r="W60" s="2">
        <f>U60+V60</f>
        <v/>
      </c>
      <c r="X60" s="2">
        <f>(M60-(N60+O60))/M60*100</f>
        <v/>
      </c>
      <c r="Y60" s="2">
        <f>(M60*Process_Data!I60-(N60*P60+O60*R60))/(M60*Process_Data!I60)*100</f>
        <v/>
      </c>
      <c r="Z60" s="2" t="inlineStr">
        <is>
          <t>OK</t>
        </is>
      </c>
    </row>
    <row r="61">
      <c r="A61" s="6" t="n">
        <v>60</v>
      </c>
      <c r="B61" s="7" t="n">
        <v>23.5</v>
      </c>
      <c r="C61" s="7" t="n">
        <v>90.40000000000001</v>
      </c>
      <c r="D61" s="7" t="n">
        <v>63</v>
      </c>
      <c r="E61" s="7" t="n">
        <v>35.6</v>
      </c>
      <c r="F61" s="7" t="n">
        <v>27</v>
      </c>
      <c r="G61" s="7" t="n">
        <v>78.90000000000001</v>
      </c>
      <c r="H61" s="7" t="n">
        <v>5.8</v>
      </c>
      <c r="I61" s="7" t="n">
        <v>95.3</v>
      </c>
      <c r="J61" s="7" t="n">
        <v>61.9</v>
      </c>
      <c r="K61" s="7" t="n">
        <v>9.9</v>
      </c>
      <c r="L61" s="7" t="n">
        <v>73.8</v>
      </c>
      <c r="M61" s="3">
        <f>Process_Data!F61*Process_Data!G61/100</f>
        <v/>
      </c>
      <c r="N61" s="7" t="n">
        <v>112.5</v>
      </c>
      <c r="O61" s="7" t="n">
        <v>96.8</v>
      </c>
      <c r="P61" s="7" t="n">
        <v>64.63</v>
      </c>
      <c r="Q61" s="7" t="n">
        <v>5.38</v>
      </c>
      <c r="R61" s="7" t="n">
        <v>10.03</v>
      </c>
      <c r="S61" s="7" t="n">
        <v>65.16</v>
      </c>
      <c r="T61" s="3">
        <f>N61/M61*100</f>
        <v/>
      </c>
      <c r="U61" s="3">
        <f>N61*P61/(M61*Process_Data!I61)*100</f>
        <v/>
      </c>
      <c r="V61" s="3">
        <f>O61*R61/(M61*Process_Data!I61)*100</f>
        <v/>
      </c>
      <c r="W61" s="3">
        <f>U61+V61</f>
        <v/>
      </c>
      <c r="X61" s="3">
        <f>(M61-(N61+O61))/M61*100</f>
        <v/>
      </c>
      <c r="Y61" s="3">
        <f>(M61*Process_Data!I61-(N61*P61+O61*R61))/(M61*Process_Data!I61)*100</f>
        <v/>
      </c>
      <c r="Z61" s="3" t="inlineStr">
        <is>
          <t>OK</t>
        </is>
      </c>
    </row>
    <row r="62">
      <c r="A62" s="4" t="n">
        <v>61</v>
      </c>
      <c r="B62" s="5" t="n">
        <v>29.6</v>
      </c>
      <c r="C62" s="5" t="n">
        <v>242.2</v>
      </c>
      <c r="D62" s="5" t="n">
        <v>52.7</v>
      </c>
      <c r="E62" s="5" t="n">
        <v>46.5</v>
      </c>
      <c r="F62" s="5" t="n">
        <v>34.6</v>
      </c>
      <c r="G62" s="5" t="n">
        <v>68.2</v>
      </c>
      <c r="H62" s="5" t="n">
        <v>5</v>
      </c>
      <c r="I62" s="5" t="n">
        <v>80.7</v>
      </c>
      <c r="J62" s="5" t="n">
        <v>51.2</v>
      </c>
      <c r="K62" s="5" t="n">
        <v>12.4</v>
      </c>
      <c r="L62" s="5" t="n">
        <v>107.7</v>
      </c>
      <c r="M62" s="2">
        <f>Process_Data!F62*Process_Data!G62/100</f>
        <v/>
      </c>
      <c r="N62" s="5" t="n">
        <v>90</v>
      </c>
      <c r="O62" s="5" t="n">
        <v>89.59999999999999</v>
      </c>
      <c r="P62" s="5" t="n">
        <v>63.81</v>
      </c>
      <c r="Q62" s="5" t="n">
        <v>7.75</v>
      </c>
      <c r="R62" s="5" t="n">
        <v>16.72</v>
      </c>
      <c r="S62" s="5" t="n">
        <v>57.23</v>
      </c>
      <c r="T62" s="2">
        <f>N62/M62*100</f>
        <v/>
      </c>
      <c r="U62" s="2">
        <f>N62*P62/(M62*Process_Data!I62)*100</f>
        <v/>
      </c>
      <c r="V62" s="2">
        <f>O62*R62/(M62*Process_Data!I62)*100</f>
        <v/>
      </c>
      <c r="W62" s="2">
        <f>U62+V62</f>
        <v/>
      </c>
      <c r="X62" s="2">
        <f>(M62-(N62+O62))/M62*100</f>
        <v/>
      </c>
      <c r="Y62" s="2">
        <f>(M62*Process_Data!I62-(N62*P62+O62*R62))/(M62*Process_Data!I62)*100</f>
        <v/>
      </c>
      <c r="Z62" s="2" t="inlineStr">
        <is>
          <t>Slimes_High</t>
        </is>
      </c>
    </row>
    <row r="63">
      <c r="A63" s="6" t="n">
        <v>62</v>
      </c>
      <c r="B63" s="7" t="n">
        <v>29.6</v>
      </c>
      <c r="C63" s="7" t="n">
        <v>235.4</v>
      </c>
      <c r="D63" s="7" t="n">
        <v>53.4</v>
      </c>
      <c r="E63" s="7" t="n">
        <v>58.9</v>
      </c>
      <c r="F63" s="7" t="n">
        <v>30.2</v>
      </c>
      <c r="G63" s="7" t="n">
        <v>71.5</v>
      </c>
      <c r="H63" s="7" t="n">
        <v>5.4</v>
      </c>
      <c r="I63" s="7" t="n">
        <v>84.90000000000001</v>
      </c>
      <c r="J63" s="7" t="n">
        <v>52.4</v>
      </c>
      <c r="K63" s="7" t="n">
        <v>12.4</v>
      </c>
      <c r="L63" s="7" t="n">
        <v>104.4</v>
      </c>
      <c r="M63" s="3">
        <f>Process_Data!F63*Process_Data!G63/100</f>
        <v/>
      </c>
      <c r="N63" s="7" t="n">
        <v>107</v>
      </c>
      <c r="O63" s="7" t="n">
        <v>120.2</v>
      </c>
      <c r="P63" s="7" t="n">
        <v>62.71</v>
      </c>
      <c r="Q63" s="7" t="n">
        <v>6.89</v>
      </c>
      <c r="R63" s="7" t="n">
        <v>18.99</v>
      </c>
      <c r="S63" s="7" t="n">
        <v>59.87</v>
      </c>
      <c r="T63" s="3">
        <f>N63/M63*100</f>
        <v/>
      </c>
      <c r="U63" s="3">
        <f>N63*P63/(M63*Process_Data!I63)*100</f>
        <v/>
      </c>
      <c r="V63" s="3">
        <f>O63*R63/(M63*Process_Data!I63)*100</f>
        <v/>
      </c>
      <c r="W63" s="3">
        <f>U63+V63</f>
        <v/>
      </c>
      <c r="X63" s="3">
        <f>(M63-(N63+O63))/M63*100</f>
        <v/>
      </c>
      <c r="Y63" s="3">
        <f>(M63*Process_Data!I63-(N63*P63+O63*R63))/(M63*Process_Data!I63)*100</f>
        <v/>
      </c>
      <c r="Z63" s="3" t="inlineStr">
        <is>
          <t>Slimes_High</t>
        </is>
      </c>
    </row>
    <row r="64">
      <c r="A64" s="4" t="n">
        <v>63</v>
      </c>
      <c r="B64" s="5" t="n">
        <v>31.9</v>
      </c>
      <c r="C64" s="5" t="n">
        <v>332.5</v>
      </c>
      <c r="D64" s="5" t="n">
        <v>52.2</v>
      </c>
      <c r="E64" s="5" t="n">
        <v>47.5</v>
      </c>
      <c r="F64" s="5" t="n">
        <v>29.3</v>
      </c>
      <c r="G64" s="5" t="n">
        <v>69.7</v>
      </c>
      <c r="H64" s="5" t="n">
        <v>6.1</v>
      </c>
      <c r="I64" s="5" t="n">
        <v>84</v>
      </c>
      <c r="J64" s="5" t="n">
        <v>50.7</v>
      </c>
      <c r="K64" s="5" t="n">
        <v>12.2</v>
      </c>
      <c r="L64" s="5" t="n">
        <v>134</v>
      </c>
      <c r="M64" s="2">
        <f>Process_Data!F64*Process_Data!G64/100</f>
        <v/>
      </c>
      <c r="N64" s="5" t="n">
        <v>122.8</v>
      </c>
      <c r="O64" s="5" t="n">
        <v>114.5</v>
      </c>
      <c r="P64" s="5" t="n">
        <v>63.42</v>
      </c>
      <c r="Q64" s="5" t="n">
        <v>7.68</v>
      </c>
      <c r="R64" s="5" t="n">
        <v>17.29</v>
      </c>
      <c r="S64" s="5" t="n">
        <v>57.79</v>
      </c>
      <c r="T64" s="2">
        <f>N64/M64*100</f>
        <v/>
      </c>
      <c r="U64" s="2">
        <f>N64*P64/(M64*Process_Data!I64)*100</f>
        <v/>
      </c>
      <c r="V64" s="2">
        <f>O64*R64/(M64*Process_Data!I64)*100</f>
        <v/>
      </c>
      <c r="W64" s="2">
        <f>U64+V64</f>
        <v/>
      </c>
      <c r="X64" s="2">
        <f>(M64-(N64+O64))/M64*100</f>
        <v/>
      </c>
      <c r="Y64" s="2">
        <f>(M64*Process_Data!I64-(N64*P64+O64*R64))/(M64*Process_Data!I64)*100</f>
        <v/>
      </c>
      <c r="Z64" s="2" t="inlineStr">
        <is>
          <t>Slimes_High</t>
        </is>
      </c>
    </row>
    <row r="65">
      <c r="A65" s="6" t="n">
        <v>64</v>
      </c>
      <c r="B65" s="7" t="n">
        <v>26.4</v>
      </c>
      <c r="C65" s="7" t="n">
        <v>286.6</v>
      </c>
      <c r="D65" s="7" t="n">
        <v>54.9</v>
      </c>
      <c r="E65" s="7" t="n">
        <v>54.2</v>
      </c>
      <c r="F65" s="7" t="n">
        <v>29.9</v>
      </c>
      <c r="G65" s="7" t="n">
        <v>72.40000000000001</v>
      </c>
      <c r="H65" s="7" t="n">
        <v>6.1</v>
      </c>
      <c r="I65" s="7" t="n">
        <v>80</v>
      </c>
      <c r="J65" s="7" t="n">
        <v>54</v>
      </c>
      <c r="K65" s="7" t="n">
        <v>12.1</v>
      </c>
      <c r="L65" s="7" t="n">
        <v>92.09999999999999</v>
      </c>
      <c r="M65" s="3">
        <f>Process_Data!F65*Process_Data!G65/100</f>
        <v/>
      </c>
      <c r="N65" s="7" t="n">
        <v>110.3</v>
      </c>
      <c r="O65" s="7" t="n">
        <v>120.5</v>
      </c>
      <c r="P65" s="7" t="n">
        <v>63.77</v>
      </c>
      <c r="Q65" s="7" t="n">
        <v>6.9</v>
      </c>
      <c r="R65" s="7" t="n">
        <v>19.31</v>
      </c>
      <c r="S65" s="7" t="n">
        <v>58.21</v>
      </c>
      <c r="T65" s="3">
        <f>N65/M65*100</f>
        <v/>
      </c>
      <c r="U65" s="3">
        <f>N65*P65/(M65*Process_Data!I65)*100</f>
        <v/>
      </c>
      <c r="V65" s="3">
        <f>O65*R65/(M65*Process_Data!I65)*100</f>
        <v/>
      </c>
      <c r="W65" s="3">
        <f>U65+V65</f>
        <v/>
      </c>
      <c r="X65" s="3">
        <f>(M65-(N65+O65))/M65*100</f>
        <v/>
      </c>
      <c r="Y65" s="3">
        <f>(M65*Process_Data!I65-(N65*P65+O65*R65))/(M65*Process_Data!I65)*100</f>
        <v/>
      </c>
      <c r="Z65" s="3" t="inlineStr">
        <is>
          <t>Slimes_High</t>
        </is>
      </c>
    </row>
    <row r="66">
      <c r="A66" s="4" t="n">
        <v>65</v>
      </c>
      <c r="B66" s="5" t="n">
        <v>29.3</v>
      </c>
      <c r="C66" s="5" t="n">
        <v>262.7</v>
      </c>
      <c r="D66" s="5" t="n">
        <v>55.2</v>
      </c>
      <c r="E66" s="5" t="n">
        <v>46.4</v>
      </c>
      <c r="F66" s="5" t="n">
        <v>33.9</v>
      </c>
      <c r="G66" s="5" t="n">
        <v>68.5</v>
      </c>
      <c r="H66" s="5" t="n">
        <v>5.8</v>
      </c>
      <c r="I66" s="5" t="n">
        <v>84.59999999999999</v>
      </c>
      <c r="J66" s="5" t="n">
        <v>54.1</v>
      </c>
      <c r="K66" s="5" t="n">
        <v>11.8</v>
      </c>
      <c r="L66" s="5" t="n">
        <v>123.6</v>
      </c>
      <c r="M66" s="2">
        <f>Process_Data!F66*Process_Data!G66/100</f>
        <v/>
      </c>
      <c r="N66" s="5" t="n">
        <v>108.2</v>
      </c>
      <c r="O66" s="5" t="n">
        <v>104</v>
      </c>
      <c r="P66" s="5" t="n">
        <v>63.53</v>
      </c>
      <c r="Q66" s="5" t="n">
        <v>7.85</v>
      </c>
      <c r="R66" s="5" t="n">
        <v>18.62</v>
      </c>
      <c r="S66" s="5" t="n">
        <v>57.62</v>
      </c>
      <c r="T66" s="2">
        <f>N66/M66*100</f>
        <v/>
      </c>
      <c r="U66" s="2">
        <f>N66*P66/(M66*Process_Data!I66)*100</f>
        <v/>
      </c>
      <c r="V66" s="2">
        <f>O66*R66/(M66*Process_Data!I66)*100</f>
        <v/>
      </c>
      <c r="W66" s="2">
        <f>U66+V66</f>
        <v/>
      </c>
      <c r="X66" s="2">
        <f>(M66-(N66+O66))/M66*100</f>
        <v/>
      </c>
      <c r="Y66" s="2">
        <f>(M66*Process_Data!I66-(N66*P66+O66*R66))/(M66*Process_Data!I66)*100</f>
        <v/>
      </c>
      <c r="Z66" s="2" t="inlineStr">
        <is>
          <t>Slimes_High</t>
        </is>
      </c>
    </row>
    <row r="67">
      <c r="A67" s="6" t="n">
        <v>66</v>
      </c>
      <c r="B67" s="7" t="n">
        <v>26.5</v>
      </c>
      <c r="C67" s="7" t="n">
        <v>291.8</v>
      </c>
      <c r="D67" s="7" t="n">
        <v>54.9</v>
      </c>
      <c r="E67" s="7" t="n">
        <v>60</v>
      </c>
      <c r="F67" s="7" t="n">
        <v>37.3</v>
      </c>
      <c r="G67" s="7" t="n">
        <v>73.09999999999999</v>
      </c>
      <c r="H67" s="7" t="n">
        <v>5.3</v>
      </c>
      <c r="I67" s="7" t="n">
        <v>86.3</v>
      </c>
      <c r="J67" s="7" t="n">
        <v>53.6</v>
      </c>
      <c r="K67" s="7" t="n">
        <v>11</v>
      </c>
      <c r="L67" s="7" t="n">
        <v>114.6</v>
      </c>
      <c r="M67" s="3">
        <f>Process_Data!F67*Process_Data!G67/100</f>
        <v/>
      </c>
      <c r="N67" s="7" t="n">
        <v>82.7</v>
      </c>
      <c r="O67" s="7" t="n">
        <v>97.7</v>
      </c>
      <c r="P67" s="7" t="n">
        <v>63.93</v>
      </c>
      <c r="Q67" s="7" t="n">
        <v>7.27</v>
      </c>
      <c r="R67" s="7" t="n">
        <v>17.57</v>
      </c>
      <c r="S67" s="7" t="n">
        <v>59.53</v>
      </c>
      <c r="T67" s="3">
        <f>N67/M67*100</f>
        <v/>
      </c>
      <c r="U67" s="3">
        <f>N67*P67/(M67*Process_Data!I67)*100</f>
        <v/>
      </c>
      <c r="V67" s="3">
        <f>O67*R67/(M67*Process_Data!I67)*100</f>
        <v/>
      </c>
      <c r="W67" s="3">
        <f>U67+V67</f>
        <v/>
      </c>
      <c r="X67" s="3">
        <f>(M67-(N67+O67))/M67*100</f>
        <v/>
      </c>
      <c r="Y67" s="3">
        <f>(M67*Process_Data!I67-(N67*P67+O67*R67))/(M67*Process_Data!I67)*100</f>
        <v/>
      </c>
      <c r="Z67" s="3" t="inlineStr">
        <is>
          <t>Slimes_High</t>
        </is>
      </c>
    </row>
    <row r="68">
      <c r="A68" s="4" t="n">
        <v>67</v>
      </c>
      <c r="B68" s="5" t="n">
        <v>26.3</v>
      </c>
      <c r="C68" s="5" t="n">
        <v>316.3</v>
      </c>
      <c r="D68" s="5" t="n">
        <v>53.8</v>
      </c>
      <c r="E68" s="5" t="n">
        <v>52.2</v>
      </c>
      <c r="F68" s="5" t="n">
        <v>29.3</v>
      </c>
      <c r="G68" s="5" t="n">
        <v>72</v>
      </c>
      <c r="H68" s="5" t="n">
        <v>6</v>
      </c>
      <c r="I68" s="5" t="n">
        <v>83.5</v>
      </c>
      <c r="J68" s="5" t="n">
        <v>53.2</v>
      </c>
      <c r="K68" s="5" t="n">
        <v>12</v>
      </c>
      <c r="L68" s="5" t="n">
        <v>135.9</v>
      </c>
      <c r="M68" s="2">
        <f>Process_Data!F68*Process_Data!G68/100</f>
        <v/>
      </c>
      <c r="N68" s="5" t="n">
        <v>89</v>
      </c>
      <c r="O68" s="5" t="n">
        <v>102.1</v>
      </c>
      <c r="P68" s="5" t="n">
        <v>62.77</v>
      </c>
      <c r="Q68" s="5" t="n">
        <v>7.72</v>
      </c>
      <c r="R68" s="5" t="n">
        <v>15.61</v>
      </c>
      <c r="S68" s="5" t="n">
        <v>60.51</v>
      </c>
      <c r="T68" s="2">
        <f>N68/M68*100</f>
        <v/>
      </c>
      <c r="U68" s="2">
        <f>N68*P68/(M68*Process_Data!I68)*100</f>
        <v/>
      </c>
      <c r="V68" s="2">
        <f>O68*R68/(M68*Process_Data!I68)*100</f>
        <v/>
      </c>
      <c r="W68" s="2">
        <f>U68+V68</f>
        <v/>
      </c>
      <c r="X68" s="2">
        <f>(M68-(N68+O68))/M68*100</f>
        <v/>
      </c>
      <c r="Y68" s="2">
        <f>(M68*Process_Data!I68-(N68*P68+O68*R68))/(M68*Process_Data!I68)*100</f>
        <v/>
      </c>
      <c r="Z68" s="2" t="inlineStr">
        <is>
          <t>Slimes_High</t>
        </is>
      </c>
    </row>
    <row r="69">
      <c r="A69" s="6" t="n">
        <v>68</v>
      </c>
      <c r="B69" s="7" t="n">
        <v>28.4</v>
      </c>
      <c r="C69" s="7" t="n">
        <v>224</v>
      </c>
      <c r="D69" s="7" t="n">
        <v>52.3</v>
      </c>
      <c r="E69" s="7" t="n">
        <v>58.6</v>
      </c>
      <c r="F69" s="7" t="n">
        <v>29.4</v>
      </c>
      <c r="G69" s="7" t="n">
        <v>70.8</v>
      </c>
      <c r="H69" s="7" t="n">
        <v>5.3</v>
      </c>
      <c r="I69" s="7" t="n">
        <v>87.2</v>
      </c>
      <c r="J69" s="7" t="n">
        <v>51.1</v>
      </c>
      <c r="K69" s="7" t="n">
        <v>10.8</v>
      </c>
      <c r="L69" s="7" t="n">
        <v>129.8</v>
      </c>
      <c r="M69" s="3">
        <f>Process_Data!F69*Process_Data!G69/100</f>
        <v/>
      </c>
      <c r="N69" s="7" t="n">
        <v>77.90000000000001</v>
      </c>
      <c r="O69" s="7" t="n">
        <v>102.2</v>
      </c>
      <c r="P69" s="7" t="n">
        <v>64.14</v>
      </c>
      <c r="Q69" s="7" t="n">
        <v>7.62</v>
      </c>
      <c r="R69" s="7" t="n">
        <v>19.22</v>
      </c>
      <c r="S69" s="7" t="n">
        <v>56.31</v>
      </c>
      <c r="T69" s="3">
        <f>N69/M69*100</f>
        <v/>
      </c>
      <c r="U69" s="3">
        <f>N69*P69/(M69*Process_Data!I69)*100</f>
        <v/>
      </c>
      <c r="V69" s="3">
        <f>O69*R69/(M69*Process_Data!I69)*100</f>
        <v/>
      </c>
      <c r="W69" s="3">
        <f>U69+V69</f>
        <v/>
      </c>
      <c r="X69" s="3">
        <f>(M69-(N69+O69))/M69*100</f>
        <v/>
      </c>
      <c r="Y69" s="3">
        <f>(M69*Process_Data!I69-(N69*P69+O69*R69))/(M69*Process_Data!I69)*100</f>
        <v/>
      </c>
      <c r="Z69" s="3" t="inlineStr">
        <is>
          <t>Slimes_High</t>
        </is>
      </c>
    </row>
    <row r="70">
      <c r="A70" s="4" t="n">
        <v>69</v>
      </c>
      <c r="B70" s="5" t="n">
        <v>26.6</v>
      </c>
      <c r="C70" s="5" t="n">
        <v>250.1</v>
      </c>
      <c r="D70" s="5" t="n">
        <v>55.4</v>
      </c>
      <c r="E70" s="5" t="n">
        <v>53.4</v>
      </c>
      <c r="F70" s="5" t="n">
        <v>33.2</v>
      </c>
      <c r="G70" s="5" t="n">
        <v>73.8</v>
      </c>
      <c r="H70" s="5" t="n">
        <v>6.2</v>
      </c>
      <c r="I70" s="5" t="n">
        <v>80.5</v>
      </c>
      <c r="J70" s="5" t="n">
        <v>54.8</v>
      </c>
      <c r="K70" s="5" t="n">
        <v>12</v>
      </c>
      <c r="L70" s="5" t="n">
        <v>122.6</v>
      </c>
      <c r="M70" s="2">
        <f>Process_Data!F70*Process_Data!G70/100</f>
        <v/>
      </c>
      <c r="N70" s="5" t="n">
        <v>110.7</v>
      </c>
      <c r="O70" s="5" t="n">
        <v>124.9</v>
      </c>
      <c r="P70" s="5" t="n">
        <v>62.64</v>
      </c>
      <c r="Q70" s="5" t="n">
        <v>7.42</v>
      </c>
      <c r="R70" s="5" t="n">
        <v>17.18</v>
      </c>
      <c r="S70" s="5" t="n">
        <v>56.99</v>
      </c>
      <c r="T70" s="2">
        <f>N70/M70*100</f>
        <v/>
      </c>
      <c r="U70" s="2">
        <f>N70*P70/(M70*Process_Data!I70)*100</f>
        <v/>
      </c>
      <c r="V70" s="2">
        <f>O70*R70/(M70*Process_Data!I70)*100</f>
        <v/>
      </c>
      <c r="W70" s="2">
        <f>U70+V70</f>
        <v/>
      </c>
      <c r="X70" s="2">
        <f>(M70-(N70+O70))/M70*100</f>
        <v/>
      </c>
      <c r="Y70" s="2">
        <f>(M70*Process_Data!I70-(N70*P70+O70*R70))/(M70*Process_Data!I70)*100</f>
        <v/>
      </c>
      <c r="Z70" s="2" t="inlineStr">
        <is>
          <t>Slimes_High</t>
        </is>
      </c>
    </row>
    <row r="71">
      <c r="A71" s="6" t="n">
        <v>70</v>
      </c>
      <c r="B71" s="7" t="n">
        <v>26.8</v>
      </c>
      <c r="C71" s="7" t="n">
        <v>239.8</v>
      </c>
      <c r="D71" s="7" t="n">
        <v>53.3</v>
      </c>
      <c r="E71" s="7" t="n">
        <v>56.4</v>
      </c>
      <c r="F71" s="7" t="n">
        <v>33.2</v>
      </c>
      <c r="G71" s="7" t="n">
        <v>75</v>
      </c>
      <c r="H71" s="7" t="n">
        <v>6.3</v>
      </c>
      <c r="I71" s="7" t="n">
        <v>87</v>
      </c>
      <c r="J71" s="7" t="n">
        <v>52.6</v>
      </c>
      <c r="K71" s="7" t="n">
        <v>11.2</v>
      </c>
      <c r="L71" s="7" t="n">
        <v>117.1</v>
      </c>
      <c r="M71" s="3">
        <f>Process_Data!F71*Process_Data!G71/100</f>
        <v/>
      </c>
      <c r="N71" s="7" t="n">
        <v>106.3</v>
      </c>
      <c r="O71" s="7" t="n">
        <v>111.1</v>
      </c>
      <c r="P71" s="7" t="n">
        <v>64.17</v>
      </c>
      <c r="Q71" s="7" t="n">
        <v>8.039999999999999</v>
      </c>
      <c r="R71" s="7" t="n">
        <v>15.12</v>
      </c>
      <c r="S71" s="7" t="n">
        <v>56.39</v>
      </c>
      <c r="T71" s="3">
        <f>N71/M71*100</f>
        <v/>
      </c>
      <c r="U71" s="3">
        <f>N71*P71/(M71*Process_Data!I71)*100</f>
        <v/>
      </c>
      <c r="V71" s="3">
        <f>O71*R71/(M71*Process_Data!I71)*100</f>
        <v/>
      </c>
      <c r="W71" s="3">
        <f>U71+V71</f>
        <v/>
      </c>
      <c r="X71" s="3">
        <f>(M71-(N71+O71))/M71*100</f>
        <v/>
      </c>
      <c r="Y71" s="3">
        <f>(M71*Process_Data!I71-(N71*P71+O71*R71))/(M71*Process_Data!I71)*100</f>
        <v/>
      </c>
      <c r="Z71" s="3" t="inlineStr">
        <is>
          <t>Slimes_High</t>
        </is>
      </c>
    </row>
    <row r="72">
      <c r="A72" s="4" t="n">
        <v>71</v>
      </c>
      <c r="B72" s="5" t="n">
        <v>29</v>
      </c>
      <c r="C72" s="5" t="n">
        <v>296.1</v>
      </c>
      <c r="D72" s="5" t="n">
        <v>55.2</v>
      </c>
      <c r="E72" s="5" t="n">
        <v>50.9</v>
      </c>
      <c r="F72" s="5" t="n">
        <v>37.2</v>
      </c>
      <c r="G72" s="5" t="n">
        <v>73.59999999999999</v>
      </c>
      <c r="H72" s="5" t="n">
        <v>4.8</v>
      </c>
      <c r="I72" s="5" t="n">
        <v>86.3</v>
      </c>
      <c r="J72" s="5" t="n">
        <v>54</v>
      </c>
      <c r="K72" s="5" t="n">
        <v>11.3</v>
      </c>
      <c r="L72" s="5" t="n">
        <v>141.4</v>
      </c>
      <c r="M72" s="2">
        <f>Process_Data!F72*Process_Data!G72/100</f>
        <v/>
      </c>
      <c r="N72" s="5" t="n">
        <v>87.8</v>
      </c>
      <c r="O72" s="5" t="n">
        <v>124</v>
      </c>
      <c r="P72" s="5" t="n">
        <v>64.04000000000001</v>
      </c>
      <c r="Q72" s="5" t="n">
        <v>7.05</v>
      </c>
      <c r="R72" s="5" t="n">
        <v>19.43</v>
      </c>
      <c r="S72" s="5" t="n">
        <v>56.84</v>
      </c>
      <c r="T72" s="2">
        <f>N72/M72*100</f>
        <v/>
      </c>
      <c r="U72" s="2">
        <f>N72*P72/(M72*Process_Data!I72)*100</f>
        <v/>
      </c>
      <c r="V72" s="2">
        <f>O72*R72/(M72*Process_Data!I72)*100</f>
        <v/>
      </c>
      <c r="W72" s="2">
        <f>U72+V72</f>
        <v/>
      </c>
      <c r="X72" s="2">
        <f>(M72-(N72+O72))/M72*100</f>
        <v/>
      </c>
      <c r="Y72" s="2">
        <f>(M72*Process_Data!I72-(N72*P72+O72*R72))/(M72*Process_Data!I72)*100</f>
        <v/>
      </c>
      <c r="Z72" s="2" t="inlineStr">
        <is>
          <t>Slimes_High</t>
        </is>
      </c>
    </row>
    <row r="73">
      <c r="A73" s="6" t="n">
        <v>72</v>
      </c>
      <c r="B73" s="7" t="n">
        <v>29.7</v>
      </c>
      <c r="C73" s="7" t="n">
        <v>296.2</v>
      </c>
      <c r="D73" s="7" t="n">
        <v>52.7</v>
      </c>
      <c r="E73" s="7" t="n">
        <v>58.2</v>
      </c>
      <c r="F73" s="7" t="n">
        <v>32.3</v>
      </c>
      <c r="G73" s="7" t="n">
        <v>72.5</v>
      </c>
      <c r="H73" s="7" t="n">
        <v>4.5</v>
      </c>
      <c r="I73" s="7" t="n">
        <v>84.2</v>
      </c>
      <c r="J73" s="7" t="n">
        <v>52</v>
      </c>
      <c r="K73" s="7" t="n">
        <v>12</v>
      </c>
      <c r="L73" s="7" t="n">
        <v>143.4</v>
      </c>
      <c r="M73" s="3">
        <f>Process_Data!F73*Process_Data!G73/100</f>
        <v/>
      </c>
      <c r="N73" s="7" t="n">
        <v>111.1</v>
      </c>
      <c r="O73" s="7" t="n">
        <v>122.1</v>
      </c>
      <c r="P73" s="7" t="n">
        <v>62.63</v>
      </c>
      <c r="Q73" s="7" t="n">
        <v>7.96</v>
      </c>
      <c r="R73" s="7" t="n">
        <v>15.84</v>
      </c>
      <c r="S73" s="7" t="n">
        <v>61.15</v>
      </c>
      <c r="T73" s="3">
        <f>N73/M73*100</f>
        <v/>
      </c>
      <c r="U73" s="3">
        <f>N73*P73/(M73*Process_Data!I73)*100</f>
        <v/>
      </c>
      <c r="V73" s="3">
        <f>O73*R73/(M73*Process_Data!I73)*100</f>
        <v/>
      </c>
      <c r="W73" s="3">
        <f>U73+V73</f>
        <v/>
      </c>
      <c r="X73" s="3">
        <f>(M73-(N73+O73))/M73*100</f>
        <v/>
      </c>
      <c r="Y73" s="3">
        <f>(M73*Process_Data!I73-(N73*P73+O73*R73))/(M73*Process_Data!I73)*100</f>
        <v/>
      </c>
      <c r="Z73" s="3" t="inlineStr">
        <is>
          <t>Slimes_High</t>
        </is>
      </c>
    </row>
    <row r="74">
      <c r="A74" s="4" t="n">
        <v>73</v>
      </c>
      <c r="B74" s="5" t="n">
        <v>25.7</v>
      </c>
      <c r="C74" s="5" t="n">
        <v>248.8</v>
      </c>
      <c r="D74" s="5" t="n">
        <v>52.6</v>
      </c>
      <c r="E74" s="5" t="n">
        <v>50.2</v>
      </c>
      <c r="F74" s="5" t="n">
        <v>32.5</v>
      </c>
      <c r="G74" s="5" t="n">
        <v>73</v>
      </c>
      <c r="H74" s="5" t="n">
        <v>5.8</v>
      </c>
      <c r="I74" s="5" t="n">
        <v>82.8</v>
      </c>
      <c r="J74" s="5" t="n">
        <v>51.1</v>
      </c>
      <c r="K74" s="5" t="n">
        <v>12.2</v>
      </c>
      <c r="L74" s="5" t="n">
        <v>118.3</v>
      </c>
      <c r="M74" s="2">
        <f>Process_Data!F74*Process_Data!G74/100</f>
        <v/>
      </c>
      <c r="N74" s="5" t="n">
        <v>105</v>
      </c>
      <c r="O74" s="5" t="n">
        <v>109.6</v>
      </c>
      <c r="P74" s="5" t="n">
        <v>64.16</v>
      </c>
      <c r="Q74" s="5" t="n">
        <v>7.77</v>
      </c>
      <c r="R74" s="5" t="n">
        <v>15.57</v>
      </c>
      <c r="S74" s="5" t="n">
        <v>60.06</v>
      </c>
      <c r="T74" s="2">
        <f>N74/M74*100</f>
        <v/>
      </c>
      <c r="U74" s="2">
        <f>N74*P74/(M74*Process_Data!I74)*100</f>
        <v/>
      </c>
      <c r="V74" s="2">
        <f>O74*R74/(M74*Process_Data!I74)*100</f>
        <v/>
      </c>
      <c r="W74" s="2">
        <f>U74+V74</f>
        <v/>
      </c>
      <c r="X74" s="2">
        <f>(M74-(N74+O74))/M74*100</f>
        <v/>
      </c>
      <c r="Y74" s="2">
        <f>(M74*Process_Data!I74-(N74*P74+O74*R74))/(M74*Process_Data!I74)*100</f>
        <v/>
      </c>
      <c r="Z74" s="2" t="inlineStr">
        <is>
          <t>Slimes_High</t>
        </is>
      </c>
    </row>
  </sheetData>
  <autoFilter ref="A1:Z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52" customWidth="1" min="3" max="3"/>
    <col width="70" customWidth="1" min="4" max="4"/>
  </cols>
  <sheetData>
    <row r="1" ht="24" customHeight="1">
      <c r="A1" s="1" t="inlineStr">
        <is>
          <t>شاخص</t>
        </is>
      </c>
      <c r="B1" s="1" t="inlineStr">
        <is>
          <t>رابطه</t>
        </is>
      </c>
      <c r="C1" s="1" t="inlineStr">
        <is>
          <t>فرمول Excel</t>
        </is>
      </c>
      <c r="D1" s="1" t="inlineStr">
        <is>
          <t>توضیح فارسی</t>
        </is>
      </c>
    </row>
    <row r="2">
      <c r="A2" s="2" t="inlineStr">
        <is>
          <t>بازده جرمی کنسانتره (Mass Yield)</t>
        </is>
      </c>
      <c r="B2" s="2" t="inlineStr">
        <is>
          <t>Y_c = (C / F_dry) × 100</t>
        </is>
      </c>
      <c r="C2" s="2" t="inlineStr">
        <is>
          <t>Dewatering_Balance!N2/(Process_Data!F2*Process_Data!G2/100)*100</t>
        </is>
      </c>
      <c r="D2" s="2" t="inlineStr">
        <is>
          <t>درصد جرمی خوراک خشک ورودی که به کنسانتره تبدیل شده است. مبنای توناژ خشک است.</t>
        </is>
      </c>
    </row>
    <row r="3">
      <c r="A3" s="3" t="inlineStr">
        <is>
          <t>بازیابی آهن کنسانتره (Fe Recovery)</t>
        </is>
      </c>
      <c r="B3" s="3" t="inlineStr">
        <is>
          <t>R_Fe = (C × f_c) / (F_dry × f_f) × 100</t>
        </is>
      </c>
      <c r="C3" s="3" t="inlineStr">
        <is>
          <t>(Dewatering_Balance!N2*Dewatering_Balance!P2)/((Process_Data!F2*Process_Data!G2/100)*Process_Data!I2)*100</t>
        </is>
      </c>
      <c r="D3" s="3" t="inlineStr">
        <is>
          <t>درصد کل آهن موجود در خوراک که در محصول نهایی جذب شده است؛ شاخص اصلی متالورژیکی.</t>
        </is>
      </c>
    </row>
    <row r="4">
      <c r="A4" s="2" t="inlineStr">
        <is>
          <t>بازیابی آهن باطله (Tailings Fe Recovery)</t>
        </is>
      </c>
      <c r="B4" s="2" t="inlineStr">
        <is>
          <t>R_Fe,t = (T × f_t) / (F_dry × f_f) × 100</t>
        </is>
      </c>
      <c r="C4" s="2" t="inlineStr">
        <is>
          <t>(Dewatering_Balance!O2*Dewatering_Balance!R2)/((Process_Data!F2*Process_Data!G2/100)*Process_Data!I2)*100</t>
        </is>
      </c>
      <c r="D4" s="2" t="inlineStr">
        <is>
          <t>درصد آهن تلف‌شده در جریان باطله؛ در شرایط نرمال باید حداقل نگه داشته شود.</t>
        </is>
      </c>
    </row>
    <row r="5">
      <c r="A5" s="3" t="inlineStr">
        <is>
          <t>کنترل جمع بازیابی‌ها (Recovery Sum Check)</t>
        </is>
      </c>
      <c r="B5" s="3" t="inlineStr">
        <is>
          <t>Sum_Rec = R_Fe + R_Fe,t ≈ 100%</t>
        </is>
      </c>
      <c r="C5" s="3" t="inlineStr">
        <is>
          <t>U2+V2</t>
        </is>
      </c>
      <c r="D5" s="3" t="inlineStr">
        <is>
          <t>کنترل منطقی سازگاری؛ انحراف معنادار از 100 نشانه خطای نمونه‌برداری، آنالیز یا اندازه‌گیری است.</t>
        </is>
      </c>
    </row>
    <row r="6">
      <c r="A6" s="2" t="inlineStr">
        <is>
          <t>خطای موازنه جرمی (Mass Balance Error)</t>
        </is>
      </c>
      <c r="B6" s="2" t="inlineStr">
        <is>
          <t>Err_Mass = (F_dry - (C + T)) / F_dry × 100</t>
        </is>
      </c>
      <c r="C6" s="2" t="inlineStr">
        <is>
          <t>((Process_Data!F2*Process_Data!G2/100)-(Dewatering_Balance!N2+Dewatering_Balance!O2))/(Process_Data!F2*Process_Data!G2/100)*100</t>
        </is>
      </c>
      <c r="D6" s="2" t="inlineStr">
        <is>
          <t>درصد اختلاف بین جریان خشک ورودی و مجموع خروجی‌ها؛ در شرایط پایدار معمولاً زیر ۱.۵٪ است.</t>
        </is>
      </c>
    </row>
    <row r="7">
      <c r="A7" s="3" t="inlineStr">
        <is>
          <t>خطای موازنه آهن (Fe Balance Error)</t>
        </is>
      </c>
      <c r="B7" s="3" t="inlineStr">
        <is>
          <t>Err_Fe = (F_dry×f_f - (C×f_c + T×f_t)) / (F_dry×f_f) × 100</t>
        </is>
      </c>
      <c r="C7" s="3" t="inlineStr">
        <is>
          <t>((Process_Data!F2*Process_Data!G2/100)*Process_Data!I2-(Dewatering_Balance!N2*Dewatering_Balance!P2+Dewatering_Balance!O2*Dewatering_Balance!R2))/((Process_Data!F2*Process_Data!G2/100)*Process_Data!I2)*100</t>
        </is>
      </c>
      <c r="D7" s="3" t="inlineStr">
        <is>
          <t>سازگاری عیارها و جریان‌ها؛ ابزار داده‌محور QC برای اعتبارسنجی ارقام پیش از تصمیم‌گیری فرآیندی.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6" customWidth="1" min="4" max="4"/>
    <col width="12" customWidth="1" min="5" max="5"/>
  </cols>
  <sheetData>
    <row r="1" ht="24" customHeight="1">
      <c r="A1" s="1" t="inlineStr">
        <is>
          <t>Record_ID</t>
        </is>
      </c>
      <c r="B1" s="1" t="inlineStr">
        <is>
          <t>DateTime</t>
        </is>
      </c>
      <c r="C1" s="1" t="inlineStr">
        <is>
          <t>Filter_Cake_Moisture_pct</t>
        </is>
      </c>
      <c r="D1" s="1" t="inlineStr">
        <is>
          <t>Thickener_Overflow_Turbidity_NTU</t>
        </is>
      </c>
      <c r="E1" s="1" t="inlineStr">
        <is>
          <t>Tailings_Fe_pct</t>
        </is>
      </c>
    </row>
    <row r="2">
      <c r="A2" s="4" t="n">
        <v>1</v>
      </c>
      <c r="B2" s="2" t="inlineStr">
        <is>
          <t>2026-09-01 00:00</t>
        </is>
      </c>
      <c r="C2" s="5" t="n">
        <v>10.2</v>
      </c>
      <c r="D2" s="5" t="n">
        <v>142.7</v>
      </c>
      <c r="E2" s="5" t="n">
        <v>12.73</v>
      </c>
    </row>
    <row r="3">
      <c r="A3" s="6" t="n">
        <v>3</v>
      </c>
      <c r="B3" s="3" t="inlineStr">
        <is>
          <t>2026-09-01 04:00</t>
        </is>
      </c>
      <c r="C3" s="7" t="n">
        <v>8.9</v>
      </c>
      <c r="D3" s="7" t="n">
        <v>120.9</v>
      </c>
      <c r="E3" s="7" t="n">
        <v>12.33</v>
      </c>
    </row>
    <row r="4">
      <c r="A4" s="4" t="n">
        <v>5</v>
      </c>
      <c r="B4" s="2" t="inlineStr">
        <is>
          <t>2026-09-01 08:00</t>
        </is>
      </c>
      <c r="C4" s="5" t="n">
        <v>9.1</v>
      </c>
      <c r="D4" s="5" t="n">
        <v>128.3</v>
      </c>
      <c r="E4" s="5" t="n">
        <v>9.56</v>
      </c>
    </row>
    <row r="5">
      <c r="A5" s="6" t="n">
        <v>7</v>
      </c>
      <c r="B5" s="3" t="inlineStr">
        <is>
          <t>2026-09-01 12:00</t>
        </is>
      </c>
      <c r="C5" s="7" t="n">
        <v>9.199999999999999</v>
      </c>
      <c r="D5" s="7" t="n">
        <v>129.7</v>
      </c>
      <c r="E5" s="7" t="n">
        <v>11.71</v>
      </c>
    </row>
    <row r="6">
      <c r="A6" s="4" t="n">
        <v>9</v>
      </c>
      <c r="B6" s="2" t="inlineStr">
        <is>
          <t>2026-09-01 16:00</t>
        </is>
      </c>
      <c r="C6" s="5" t="n">
        <v>9</v>
      </c>
      <c r="D6" s="5" t="n">
        <v>110.1</v>
      </c>
      <c r="E6" s="5" t="n">
        <v>11.4</v>
      </c>
    </row>
    <row r="7">
      <c r="A7" s="6" t="n">
        <v>11</v>
      </c>
      <c r="B7" s="3" t="inlineStr">
        <is>
          <t>2026-09-01 20:00</t>
        </is>
      </c>
      <c r="C7" s="7" t="n">
        <v>9.699999999999999</v>
      </c>
      <c r="D7" s="7" t="n">
        <v>79.3</v>
      </c>
      <c r="E7" s="7" t="n">
        <v>11.66</v>
      </c>
    </row>
    <row r="8">
      <c r="A8" s="4" t="n">
        <v>12</v>
      </c>
      <c r="B8" s="2" t="inlineStr">
        <is>
          <t>2026-09-01 22:00</t>
        </is>
      </c>
      <c r="C8" s="5" t="n">
        <v>9</v>
      </c>
      <c r="D8" s="5" t="n">
        <v>106.7</v>
      </c>
      <c r="E8" s="5" t="n">
        <v>9.75</v>
      </c>
    </row>
    <row r="9">
      <c r="A9" s="6" t="n">
        <v>14</v>
      </c>
      <c r="B9" s="3" t="inlineStr">
        <is>
          <t>2026-09-02 02:00</t>
        </is>
      </c>
      <c r="C9" s="7" t="n">
        <v>9.1</v>
      </c>
      <c r="D9" s="7" t="n">
        <v>77.3</v>
      </c>
      <c r="E9" s="7" t="n">
        <v>9.789999999999999</v>
      </c>
    </row>
    <row r="10">
      <c r="A10" s="4" t="n">
        <v>16</v>
      </c>
      <c r="B10" s="2" t="inlineStr">
        <is>
          <t>2026-09-02 06:00</t>
        </is>
      </c>
      <c r="C10" s="5" t="n">
        <v>9.6</v>
      </c>
      <c r="D10" s="5" t="n">
        <v>106.4</v>
      </c>
      <c r="E10" s="5" t="n">
        <v>11.12</v>
      </c>
    </row>
    <row r="11">
      <c r="A11" s="6" t="n">
        <v>18</v>
      </c>
      <c r="B11" s="3" t="inlineStr">
        <is>
          <t>2026-09-02 10:00</t>
        </is>
      </c>
      <c r="C11" s="7" t="n">
        <v>9.699999999999999</v>
      </c>
      <c r="D11" s="7" t="n">
        <v>88.3</v>
      </c>
      <c r="E11" s="7" t="n">
        <v>12.57</v>
      </c>
    </row>
    <row r="12">
      <c r="A12" s="4" t="n">
        <v>20</v>
      </c>
      <c r="B12" s="2" t="inlineStr">
        <is>
          <t>2026-09-02 14:00</t>
        </is>
      </c>
      <c r="C12" s="5" t="n">
        <v>8.9</v>
      </c>
      <c r="D12" s="5" t="n">
        <v>84.2</v>
      </c>
      <c r="E12" s="5" t="n">
        <v>12.56</v>
      </c>
    </row>
    <row r="13">
      <c r="A13" s="6" t="n">
        <v>22</v>
      </c>
      <c r="B13" s="3" t="inlineStr">
        <is>
          <t>2026-09-02 18:00</t>
        </is>
      </c>
      <c r="C13" s="7" t="n">
        <v>9.1</v>
      </c>
      <c r="D13" s="7" t="n">
        <v>118.5</v>
      </c>
      <c r="E13" s="7" t="n">
        <v>10.94</v>
      </c>
    </row>
    <row r="14">
      <c r="A14" s="4" t="n">
        <v>24</v>
      </c>
      <c r="B14" s="2" t="inlineStr">
        <is>
          <t>2026-09-02 22:00</t>
        </is>
      </c>
      <c r="C14" s="5" t="n">
        <v>9.1</v>
      </c>
      <c r="D14" s="5" t="n">
        <v>75.3</v>
      </c>
      <c r="E14" s="5" t="n">
        <v>10.76</v>
      </c>
    </row>
    <row r="15">
      <c r="A15" s="6" t="n">
        <v>26</v>
      </c>
      <c r="B15" s="3" t="inlineStr">
        <is>
          <t>2026-09-03 02:00</t>
        </is>
      </c>
      <c r="C15" s="7" t="n">
        <v>9.1</v>
      </c>
      <c r="D15" s="7" t="n">
        <v>90.09999999999999</v>
      </c>
      <c r="E15" s="7" t="n">
        <v>9.56</v>
      </c>
    </row>
    <row r="16">
      <c r="A16" s="4" t="n">
        <v>28</v>
      </c>
      <c r="B16" s="2" t="inlineStr">
        <is>
          <t>2026-09-03 06:00</t>
        </is>
      </c>
      <c r="C16" s="5" t="n">
        <v>8.9</v>
      </c>
      <c r="D16" s="5" t="n">
        <v>84.2</v>
      </c>
      <c r="E16" s="5" t="n">
        <v>10.22</v>
      </c>
    </row>
    <row r="17">
      <c r="A17" s="6" t="n">
        <v>29</v>
      </c>
      <c r="B17" s="3" t="inlineStr">
        <is>
          <t>2026-09-03 08:00</t>
        </is>
      </c>
      <c r="C17" s="7" t="n">
        <v>9.199999999999999</v>
      </c>
      <c r="D17" s="7" t="n">
        <v>121.5</v>
      </c>
      <c r="E17" s="7" t="n">
        <v>12.3</v>
      </c>
    </row>
    <row r="18">
      <c r="A18" s="4" t="n">
        <v>31</v>
      </c>
      <c r="B18" s="2" t="inlineStr">
        <is>
          <t>2026-09-03 12:00</t>
        </is>
      </c>
      <c r="C18" s="5" t="n">
        <v>9.300000000000001</v>
      </c>
      <c r="D18" s="5" t="n">
        <v>148.8</v>
      </c>
      <c r="E18" s="5" t="n">
        <v>10.22</v>
      </c>
    </row>
    <row r="19">
      <c r="A19" s="6" t="n">
        <v>33</v>
      </c>
      <c r="B19" s="3" t="inlineStr">
        <is>
          <t>2026-09-03 16:00</t>
        </is>
      </c>
      <c r="C19" s="7" t="n">
        <v>9.1</v>
      </c>
      <c r="D19" s="7" t="n">
        <v>91.8</v>
      </c>
      <c r="E19" s="7" t="n">
        <v>12.32</v>
      </c>
    </row>
    <row r="20">
      <c r="A20" s="4" t="n">
        <v>35</v>
      </c>
      <c r="B20" s="2" t="inlineStr">
        <is>
          <t>2026-09-03 20:00</t>
        </is>
      </c>
      <c r="C20" s="5" t="n">
        <v>10.4</v>
      </c>
      <c r="D20" s="5" t="n">
        <v>145.1</v>
      </c>
      <c r="E20" s="5" t="n">
        <v>10.97</v>
      </c>
    </row>
    <row r="21">
      <c r="A21" s="6" t="n">
        <v>37</v>
      </c>
      <c r="B21" s="3" t="inlineStr">
        <is>
          <t>2026-09-04 00:00</t>
        </is>
      </c>
      <c r="C21" s="7" t="n">
        <v>9</v>
      </c>
      <c r="D21" s="7" t="n">
        <v>88</v>
      </c>
      <c r="E21" s="7" t="n">
        <v>12.33</v>
      </c>
    </row>
    <row r="22">
      <c r="A22" s="4" t="n">
        <v>39</v>
      </c>
      <c r="B22" s="2" t="inlineStr">
        <is>
          <t>2026-09-04 04:00</t>
        </is>
      </c>
      <c r="C22" s="5" t="n">
        <v>9</v>
      </c>
      <c r="D22" s="5" t="n">
        <v>93</v>
      </c>
      <c r="E22" s="5" t="n">
        <v>10.7</v>
      </c>
    </row>
    <row r="23">
      <c r="A23" s="6" t="n">
        <v>41</v>
      </c>
      <c r="B23" s="3" t="inlineStr">
        <is>
          <t>2026-09-04 08:00</t>
        </is>
      </c>
      <c r="C23" s="7" t="n">
        <v>9.5</v>
      </c>
      <c r="D23" s="7" t="n">
        <v>91.90000000000001</v>
      </c>
      <c r="E23" s="7" t="n">
        <v>10.15</v>
      </c>
    </row>
    <row r="24">
      <c r="A24" s="4" t="n">
        <v>43</v>
      </c>
      <c r="B24" s="2" t="inlineStr">
        <is>
          <t>2026-09-04 12:00</t>
        </is>
      </c>
      <c r="C24" s="5" t="n">
        <v>10</v>
      </c>
      <c r="D24" s="5" t="n">
        <v>111.4</v>
      </c>
      <c r="E24" s="5" t="n">
        <v>9.869999999999999</v>
      </c>
    </row>
    <row r="25">
      <c r="A25" s="6" t="n">
        <v>45</v>
      </c>
      <c r="B25" s="3" t="inlineStr">
        <is>
          <t>2026-09-04 16:00</t>
        </is>
      </c>
      <c r="C25" s="7" t="n">
        <v>9.800000000000001</v>
      </c>
      <c r="D25" s="7" t="n">
        <v>128.2</v>
      </c>
      <c r="E25" s="7" t="n">
        <v>12.56</v>
      </c>
    </row>
    <row r="26">
      <c r="A26" s="4" t="n">
        <v>47</v>
      </c>
      <c r="B26" s="2" t="inlineStr">
        <is>
          <t>2026-09-04 20:00</t>
        </is>
      </c>
      <c r="C26" s="5" t="n">
        <v>10.4</v>
      </c>
      <c r="D26" s="5" t="n">
        <v>83.40000000000001</v>
      </c>
      <c r="E26" s="5" t="n">
        <v>9.699999999999999</v>
      </c>
    </row>
    <row r="27">
      <c r="A27" s="6" t="n">
        <v>49</v>
      </c>
      <c r="B27" s="3" t="inlineStr">
        <is>
          <t>2026-09-05 00:00</t>
        </is>
      </c>
      <c r="C27" s="7" t="n">
        <v>9.5</v>
      </c>
      <c r="D27" s="7" t="n">
        <v>122.7</v>
      </c>
      <c r="E27" s="7" t="n">
        <v>12.08</v>
      </c>
    </row>
    <row r="28">
      <c r="A28" s="4" t="n">
        <v>50</v>
      </c>
      <c r="B28" s="2" t="inlineStr">
        <is>
          <t>2026-09-05 02:00</t>
        </is>
      </c>
      <c r="C28" s="5" t="n">
        <v>9.9</v>
      </c>
      <c r="D28" s="5" t="n">
        <v>101.1</v>
      </c>
      <c r="E28" s="5" t="n">
        <v>11.32</v>
      </c>
    </row>
    <row r="29">
      <c r="A29" s="6" t="n">
        <v>52</v>
      </c>
      <c r="B29" s="3" t="inlineStr">
        <is>
          <t>2026-09-05 06:00</t>
        </is>
      </c>
      <c r="C29" s="7" t="n">
        <v>9.199999999999999</v>
      </c>
      <c r="D29" s="7" t="n">
        <v>134.5</v>
      </c>
      <c r="E29" s="7" t="n">
        <v>12.44</v>
      </c>
    </row>
    <row r="30">
      <c r="A30" s="4" t="n">
        <v>54</v>
      </c>
      <c r="B30" s="2" t="inlineStr">
        <is>
          <t>2026-09-05 10:00</t>
        </is>
      </c>
      <c r="C30" s="5" t="n">
        <v>9.800000000000001</v>
      </c>
      <c r="D30" s="5" t="n">
        <v>75.59999999999999</v>
      </c>
      <c r="E30" s="5" t="n">
        <v>12.98</v>
      </c>
    </row>
    <row r="31">
      <c r="A31" s="6" t="n">
        <v>56</v>
      </c>
      <c r="B31" s="3" t="inlineStr">
        <is>
          <t>2026-09-05 14:00</t>
        </is>
      </c>
      <c r="C31" s="7" t="n">
        <v>9.5</v>
      </c>
      <c r="D31" s="7" t="n">
        <v>143.6</v>
      </c>
      <c r="E31" s="7" t="n">
        <v>12.27</v>
      </c>
    </row>
  </sheetData>
  <autoFilter ref="A1:E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Date</t>
        </is>
      </c>
      <c r="B1" s="1" t="inlineStr">
        <is>
          <t>Shift</t>
        </is>
      </c>
      <c r="C1" s="1" t="inlineStr">
        <is>
          <t>Feed_Fe_avg</t>
        </is>
      </c>
      <c r="D1" s="1" t="inlineStr">
        <is>
          <t>Conc_Fe_avg</t>
        </is>
      </c>
      <c r="E1" s="1" t="inlineStr">
        <is>
          <t>Conc_SiO2_avg</t>
        </is>
      </c>
      <c r="F1" s="1" t="inlineStr">
        <is>
          <t>Fe_Rec_avg</t>
        </is>
      </c>
      <c r="G1" s="1" t="inlineStr">
        <is>
          <t>Cake_Moist_avg</t>
        </is>
      </c>
      <c r="H1" s="1" t="inlineStr">
        <is>
          <t>Ovf_Turb_avg</t>
        </is>
      </c>
      <c r="I1" s="1" t="inlineStr">
        <is>
          <t>Slimes_avg</t>
        </is>
      </c>
      <c r="J1" s="1" t="inlineStr">
        <is>
          <t>Flocc_avg</t>
        </is>
      </c>
      <c r="K1" s="1" t="inlineStr">
        <is>
          <t>MBErr_avg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</cols>
  <sheetData>
    <row r="1" ht="24" customHeight="1">
      <c r="A1" s="1" t="inlineStr">
        <is>
          <t>Feed_Solids_pct</t>
        </is>
      </c>
      <c r="B1" s="1" t="inlineStr">
        <is>
          <t>Feed_Fe_pct</t>
        </is>
      </c>
      <c r="C1" s="1" t="inlineStr">
        <is>
          <t>Feed_Slimes_pct</t>
        </is>
      </c>
      <c r="D1" s="1" t="inlineStr">
        <is>
          <t>Liberation_pct</t>
        </is>
      </c>
      <c r="E1" s="1" t="inlineStr">
        <is>
          <t>LIMS_Field_mT</t>
        </is>
      </c>
      <c r="F1" s="1" t="inlineStr">
        <is>
          <t>LIMS_Drum_Speed_rpm</t>
        </is>
      </c>
      <c r="G1" s="1" t="inlineStr">
        <is>
          <t>WHIMS_Field_T</t>
        </is>
      </c>
      <c r="H1" s="1" t="inlineStr">
        <is>
          <t>Matrix_Condition_pct</t>
        </is>
      </c>
      <c r="I1" s="1" t="inlineStr">
        <is>
          <t>Flotation_pH</t>
        </is>
      </c>
      <c r="J1" s="1" t="inlineStr">
        <is>
          <t>Amine_Dose_gpt</t>
        </is>
      </c>
      <c r="K1" s="1" t="inlineStr">
        <is>
          <t>Starch_Dose_gpt</t>
        </is>
      </c>
      <c r="L1" s="1" t="inlineStr">
        <is>
          <t>Flocculant_Dose_gpt</t>
        </is>
      </c>
      <c r="M1" s="1" t="inlineStr">
        <is>
          <t>Overflow_Turbidity_NTU</t>
        </is>
      </c>
      <c r="N1" s="1" t="inlineStr">
        <is>
          <t>Underflow_Solids_pct</t>
        </is>
      </c>
      <c r="O1" s="1" t="inlineStr">
        <is>
          <t>Filter_Vacuum_kPa</t>
        </is>
      </c>
      <c r="P1" s="1" t="inlineStr">
        <is>
          <t>Filter_Feed_Solids_pct</t>
        </is>
      </c>
      <c r="Q1" s="1" t="inlineStr">
        <is>
          <t>Cake_Moisture_pct</t>
        </is>
      </c>
      <c r="R1" s="1" t="inlineStr">
        <is>
          <t>Conc_Fe_pct</t>
        </is>
      </c>
      <c r="S1" s="1" t="inlineStr">
        <is>
          <t>Conc_SiO2_pct</t>
        </is>
      </c>
      <c r="T1" s="1" t="inlineStr">
        <is>
          <t>Tail_Fe_pct</t>
        </is>
      </c>
      <c r="U1" s="1" t="inlineStr">
        <is>
          <t>Mass_Yield_pct</t>
        </is>
      </c>
      <c r="V1" s="1" t="inlineStr">
        <is>
          <t>Fe_Recovery_pct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2026-10-02T12:37:10Z</dcterms:created>
  <dcterms:modified xmlns:dcterms="http://purl.org/dc/terms/" xmlns:xsi="http://www.w3.org/2001/XMLSchema-instance" xsi:type="dcterms:W3CDTF">2026-10-02T12:37:11Z</dcterms:modified>
</cp:coreProperties>
</file>