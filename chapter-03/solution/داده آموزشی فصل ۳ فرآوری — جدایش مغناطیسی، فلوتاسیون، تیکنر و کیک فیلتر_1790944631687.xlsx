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C\Downloads\Solutions\ch-03\"/>
    </mc:Choice>
  </mc:AlternateContent>
  <xr:revisionPtr revIDLastSave="0" documentId="13_ncr:1_{51F84BC4-3AAB-4C83-A224-5EC912B22563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README" sheetId="1" r:id="rId1"/>
    <sheet name="Data_Dictionary" sheetId="2" r:id="rId2"/>
    <sheet name="Process_Data" sheetId="3" r:id="rId3"/>
    <sheet name="Dewatering_Balance" sheetId="4" r:id="rId4"/>
    <sheet name="Calculations" sheetId="5" r:id="rId5"/>
    <sheet name="SPC_Sample" sheetId="6" r:id="rId6"/>
    <sheet name="Dashboard_Data" sheetId="7" r:id="rId7"/>
    <sheet name="Minitab_Import" sheetId="8" r:id="rId8"/>
  </sheets>
  <definedNames>
    <definedName name="_xlnm._FilterDatabase" localSheetId="4" hidden="1">Calculations!$A$1:$D$7</definedName>
    <definedName name="_xlnm._FilterDatabase" localSheetId="1" hidden="1">Data_Dictionary!$A$1:$G$52</definedName>
    <definedName name="_xlnm._FilterDatabase" localSheetId="3" hidden="1">Dewatering_Balance!$A$1:$Z$74</definedName>
    <definedName name="_xlnm._FilterDatabase" localSheetId="2" hidden="1">Process_Data!$B$1:$AA$109</definedName>
    <definedName name="_xlnm._FilterDatabase" localSheetId="0" hidden="1">README!$A$1:$B$16</definedName>
    <definedName name="_xlnm._FilterDatabase" localSheetId="5" hidden="1">SPC_Sample!$A$1:$H$31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" i="3" l="1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66" i="3"/>
  <c r="AS67" i="3"/>
  <c r="AS68" i="3"/>
  <c r="AS69" i="3"/>
  <c r="AS70" i="3"/>
  <c r="AS71" i="3"/>
  <c r="AS72" i="3"/>
  <c r="AS73" i="3"/>
  <c r="AS74" i="3"/>
  <c r="AO3" i="3"/>
  <c r="AP3" i="3"/>
  <c r="AQ3" i="3"/>
  <c r="AR3" i="3"/>
  <c r="AO4" i="3"/>
  <c r="AP4" i="3"/>
  <c r="AQ4" i="3"/>
  <c r="AR4" i="3"/>
  <c r="AO5" i="3"/>
  <c r="AP5" i="3"/>
  <c r="AQ5" i="3"/>
  <c r="AR5" i="3"/>
  <c r="AO6" i="3"/>
  <c r="AP6" i="3"/>
  <c r="AQ6" i="3"/>
  <c r="AR6" i="3"/>
  <c r="AO7" i="3"/>
  <c r="AP7" i="3"/>
  <c r="AQ7" i="3"/>
  <c r="AR7" i="3"/>
  <c r="AO8" i="3"/>
  <c r="AP8" i="3"/>
  <c r="AQ8" i="3"/>
  <c r="AR8" i="3"/>
  <c r="AO9" i="3"/>
  <c r="AP9" i="3"/>
  <c r="AQ9" i="3"/>
  <c r="AR9" i="3"/>
  <c r="AO10" i="3"/>
  <c r="AP10" i="3"/>
  <c r="AQ10" i="3"/>
  <c r="AR10" i="3"/>
  <c r="AO11" i="3"/>
  <c r="AP11" i="3"/>
  <c r="AQ11" i="3"/>
  <c r="AR11" i="3"/>
  <c r="AO12" i="3"/>
  <c r="AP12" i="3"/>
  <c r="AQ12" i="3"/>
  <c r="AR12" i="3"/>
  <c r="AO13" i="3"/>
  <c r="AP13" i="3"/>
  <c r="AQ13" i="3"/>
  <c r="AR13" i="3"/>
  <c r="AO14" i="3"/>
  <c r="AP14" i="3"/>
  <c r="AQ14" i="3"/>
  <c r="AR14" i="3"/>
  <c r="AO15" i="3"/>
  <c r="AP15" i="3"/>
  <c r="AQ15" i="3"/>
  <c r="AR15" i="3"/>
  <c r="AO16" i="3"/>
  <c r="AP16" i="3"/>
  <c r="AQ16" i="3"/>
  <c r="AR16" i="3"/>
  <c r="AO17" i="3"/>
  <c r="AP17" i="3"/>
  <c r="AQ17" i="3"/>
  <c r="AR17" i="3"/>
  <c r="AO18" i="3"/>
  <c r="AP18" i="3"/>
  <c r="AQ18" i="3"/>
  <c r="AR18" i="3"/>
  <c r="AO19" i="3"/>
  <c r="AP19" i="3"/>
  <c r="AQ19" i="3"/>
  <c r="AR19" i="3"/>
  <c r="AO20" i="3"/>
  <c r="AP20" i="3"/>
  <c r="AQ20" i="3"/>
  <c r="AR20" i="3"/>
  <c r="AO21" i="3"/>
  <c r="AP21" i="3"/>
  <c r="AQ21" i="3"/>
  <c r="AR21" i="3"/>
  <c r="AO22" i="3"/>
  <c r="AP22" i="3"/>
  <c r="AQ22" i="3"/>
  <c r="AR22" i="3"/>
  <c r="AO23" i="3"/>
  <c r="AP23" i="3"/>
  <c r="AQ23" i="3"/>
  <c r="AR23" i="3"/>
  <c r="AO24" i="3"/>
  <c r="AP24" i="3"/>
  <c r="AQ24" i="3"/>
  <c r="AR24" i="3"/>
  <c r="AO25" i="3"/>
  <c r="AP25" i="3"/>
  <c r="AQ25" i="3"/>
  <c r="AR25" i="3"/>
  <c r="AO26" i="3"/>
  <c r="AP26" i="3"/>
  <c r="AQ26" i="3"/>
  <c r="AR26" i="3"/>
  <c r="AO27" i="3"/>
  <c r="AP27" i="3"/>
  <c r="AQ27" i="3"/>
  <c r="AR27" i="3"/>
  <c r="AO28" i="3"/>
  <c r="AP28" i="3"/>
  <c r="AQ28" i="3"/>
  <c r="AR28" i="3"/>
  <c r="AO29" i="3"/>
  <c r="AP29" i="3"/>
  <c r="AQ29" i="3"/>
  <c r="AR29" i="3"/>
  <c r="AO30" i="3"/>
  <c r="AP30" i="3"/>
  <c r="AQ30" i="3"/>
  <c r="AR30" i="3"/>
  <c r="AO31" i="3"/>
  <c r="AP31" i="3"/>
  <c r="AQ31" i="3"/>
  <c r="AR31" i="3"/>
  <c r="AO32" i="3"/>
  <c r="AP32" i="3"/>
  <c r="AQ32" i="3"/>
  <c r="AR32" i="3"/>
  <c r="AO33" i="3"/>
  <c r="AP33" i="3"/>
  <c r="AQ33" i="3"/>
  <c r="AR33" i="3"/>
  <c r="AO34" i="3"/>
  <c r="AP34" i="3"/>
  <c r="AQ34" i="3"/>
  <c r="AR34" i="3"/>
  <c r="AO35" i="3"/>
  <c r="AP35" i="3"/>
  <c r="AQ35" i="3"/>
  <c r="AR35" i="3"/>
  <c r="AO36" i="3"/>
  <c r="AP36" i="3"/>
  <c r="AQ36" i="3"/>
  <c r="AR36" i="3"/>
  <c r="AO37" i="3"/>
  <c r="AP37" i="3"/>
  <c r="AQ37" i="3"/>
  <c r="AR37" i="3"/>
  <c r="AO38" i="3"/>
  <c r="AP38" i="3"/>
  <c r="AQ38" i="3"/>
  <c r="AR38" i="3"/>
  <c r="AO39" i="3"/>
  <c r="AP39" i="3"/>
  <c r="AQ39" i="3"/>
  <c r="AR39" i="3"/>
  <c r="AO40" i="3"/>
  <c r="AP40" i="3"/>
  <c r="AQ40" i="3"/>
  <c r="AR40" i="3"/>
  <c r="AO41" i="3"/>
  <c r="AP41" i="3"/>
  <c r="AQ41" i="3"/>
  <c r="AR41" i="3"/>
  <c r="AO42" i="3"/>
  <c r="AP42" i="3"/>
  <c r="AQ42" i="3"/>
  <c r="AR42" i="3"/>
  <c r="AO43" i="3"/>
  <c r="AP43" i="3"/>
  <c r="AQ43" i="3"/>
  <c r="AR43" i="3"/>
  <c r="AO44" i="3"/>
  <c r="AP44" i="3"/>
  <c r="AQ44" i="3"/>
  <c r="AR44" i="3"/>
  <c r="AO45" i="3"/>
  <c r="AP45" i="3"/>
  <c r="AQ45" i="3"/>
  <c r="AR45" i="3"/>
  <c r="AO46" i="3"/>
  <c r="AP46" i="3"/>
  <c r="AQ46" i="3"/>
  <c r="AR46" i="3"/>
  <c r="AO47" i="3"/>
  <c r="AP47" i="3"/>
  <c r="AQ47" i="3"/>
  <c r="AR47" i="3"/>
  <c r="AO48" i="3"/>
  <c r="AP48" i="3"/>
  <c r="AQ48" i="3"/>
  <c r="AR48" i="3"/>
  <c r="AO49" i="3"/>
  <c r="AP49" i="3"/>
  <c r="AQ49" i="3"/>
  <c r="AR49" i="3"/>
  <c r="AO50" i="3"/>
  <c r="AP50" i="3"/>
  <c r="AQ50" i="3"/>
  <c r="AR50" i="3"/>
  <c r="AO51" i="3"/>
  <c r="AP51" i="3"/>
  <c r="AQ51" i="3"/>
  <c r="AR51" i="3"/>
  <c r="AO52" i="3"/>
  <c r="AP52" i="3"/>
  <c r="AQ52" i="3"/>
  <c r="AR52" i="3"/>
  <c r="AO53" i="3"/>
  <c r="AP53" i="3"/>
  <c r="AQ53" i="3"/>
  <c r="AR53" i="3"/>
  <c r="AO54" i="3"/>
  <c r="AP54" i="3"/>
  <c r="AQ54" i="3"/>
  <c r="AR54" i="3"/>
  <c r="AO55" i="3"/>
  <c r="AP55" i="3"/>
  <c r="AQ55" i="3"/>
  <c r="AR55" i="3"/>
  <c r="AO56" i="3"/>
  <c r="AP56" i="3"/>
  <c r="AQ56" i="3"/>
  <c r="AR56" i="3"/>
  <c r="AO57" i="3"/>
  <c r="AP57" i="3"/>
  <c r="AQ57" i="3"/>
  <c r="AR57" i="3"/>
  <c r="AO58" i="3"/>
  <c r="AP58" i="3"/>
  <c r="AQ58" i="3"/>
  <c r="AR58" i="3"/>
  <c r="AO59" i="3"/>
  <c r="AP59" i="3"/>
  <c r="AQ59" i="3"/>
  <c r="AR59" i="3"/>
  <c r="AO60" i="3"/>
  <c r="AP60" i="3"/>
  <c r="AQ60" i="3"/>
  <c r="AR60" i="3"/>
  <c r="AO61" i="3"/>
  <c r="AP61" i="3"/>
  <c r="AQ61" i="3"/>
  <c r="AR61" i="3"/>
  <c r="AO62" i="3"/>
  <c r="AP62" i="3"/>
  <c r="AQ62" i="3"/>
  <c r="AR62" i="3"/>
  <c r="AO63" i="3"/>
  <c r="AP63" i="3"/>
  <c r="AQ63" i="3"/>
  <c r="AR63" i="3"/>
  <c r="AO64" i="3"/>
  <c r="AP64" i="3"/>
  <c r="AQ64" i="3"/>
  <c r="AR64" i="3"/>
  <c r="AO65" i="3"/>
  <c r="AP65" i="3"/>
  <c r="AQ65" i="3"/>
  <c r="AR65" i="3"/>
  <c r="AO66" i="3"/>
  <c r="AP66" i="3"/>
  <c r="AQ66" i="3"/>
  <c r="AR66" i="3"/>
  <c r="AO67" i="3"/>
  <c r="AP67" i="3"/>
  <c r="AQ67" i="3"/>
  <c r="AR67" i="3"/>
  <c r="AO68" i="3"/>
  <c r="AP68" i="3"/>
  <c r="AQ68" i="3"/>
  <c r="AR68" i="3"/>
  <c r="AO69" i="3"/>
  <c r="AP69" i="3"/>
  <c r="AQ69" i="3"/>
  <c r="AR69" i="3"/>
  <c r="AO70" i="3"/>
  <c r="AP70" i="3"/>
  <c r="AQ70" i="3"/>
  <c r="AR70" i="3"/>
  <c r="AO71" i="3"/>
  <c r="AP71" i="3"/>
  <c r="AQ71" i="3"/>
  <c r="AR71" i="3"/>
  <c r="AO72" i="3"/>
  <c r="AP72" i="3"/>
  <c r="AQ72" i="3"/>
  <c r="AR72" i="3"/>
  <c r="AO73" i="3"/>
  <c r="AP73" i="3"/>
  <c r="AQ73" i="3"/>
  <c r="AR73" i="3"/>
  <c r="AO74" i="3"/>
  <c r="AP74" i="3"/>
  <c r="AQ74" i="3"/>
  <c r="AR74" i="3"/>
  <c r="AR2" i="3"/>
  <c r="AP2" i="3"/>
  <c r="AO2" i="3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T52" i="4" l="1"/>
  <c r="X52" i="4"/>
  <c r="Y52" i="4"/>
  <c r="V52" i="4"/>
  <c r="U52" i="4"/>
  <c r="Y74" i="4"/>
  <c r="X74" i="4"/>
  <c r="V74" i="4"/>
  <c r="U74" i="4"/>
  <c r="T74" i="4"/>
  <c r="Y73" i="4"/>
  <c r="X73" i="4"/>
  <c r="T73" i="4"/>
  <c r="U73" i="4"/>
  <c r="V73" i="4"/>
  <c r="V72" i="4"/>
  <c r="U72" i="4"/>
  <c r="W72" i="4" s="1"/>
  <c r="T72" i="4"/>
  <c r="Y72" i="4"/>
  <c r="X72" i="4"/>
  <c r="Y71" i="4"/>
  <c r="V71" i="4"/>
  <c r="X71" i="4"/>
  <c r="T71" i="4"/>
  <c r="U71" i="4"/>
  <c r="W71" i="4" s="1"/>
  <c r="V70" i="4"/>
  <c r="U70" i="4"/>
  <c r="W70" i="4" s="1"/>
  <c r="T70" i="4"/>
  <c r="X70" i="4"/>
  <c r="Y70" i="4"/>
  <c r="V69" i="4"/>
  <c r="U69" i="4"/>
  <c r="W69" i="4" s="1"/>
  <c r="T69" i="4"/>
  <c r="Y69" i="4"/>
  <c r="X69" i="4"/>
  <c r="V68" i="4"/>
  <c r="X68" i="4"/>
  <c r="Y68" i="4"/>
  <c r="T68" i="4"/>
  <c r="U68" i="4"/>
  <c r="W68" i="4" s="1"/>
  <c r="X67" i="4"/>
  <c r="Y67" i="4"/>
  <c r="U67" i="4"/>
  <c r="T67" i="4"/>
  <c r="V67" i="4"/>
  <c r="U66" i="4"/>
  <c r="T66" i="4"/>
  <c r="V66" i="4"/>
  <c r="X66" i="4"/>
  <c r="Y66" i="4"/>
  <c r="Y65" i="4"/>
  <c r="V65" i="4"/>
  <c r="X65" i="4"/>
  <c r="U65" i="4"/>
  <c r="W65" i="4" s="1"/>
  <c r="T65" i="4"/>
  <c r="T64" i="4"/>
  <c r="U64" i="4"/>
  <c r="V64" i="4"/>
  <c r="X64" i="4"/>
  <c r="Y64" i="4"/>
  <c r="X63" i="4"/>
  <c r="Y63" i="4"/>
  <c r="V63" i="4"/>
  <c r="T63" i="4"/>
  <c r="U63" i="4"/>
  <c r="W63" i="4" s="1"/>
  <c r="T62" i="4"/>
  <c r="U62" i="4"/>
  <c r="V62" i="4"/>
  <c r="X62" i="4"/>
  <c r="Y62" i="4"/>
  <c r="V61" i="4"/>
  <c r="X61" i="4"/>
  <c r="Y61" i="4"/>
  <c r="T61" i="4"/>
  <c r="U61" i="4"/>
  <c r="Y60" i="4"/>
  <c r="X60" i="4"/>
  <c r="V60" i="4"/>
  <c r="T60" i="4"/>
  <c r="U60" i="4"/>
  <c r="W60" i="4" s="1"/>
  <c r="U59" i="4"/>
  <c r="V59" i="4"/>
  <c r="Y59" i="4"/>
  <c r="X59" i="4"/>
  <c r="T59" i="4"/>
  <c r="X58" i="4"/>
  <c r="V58" i="4"/>
  <c r="U58" i="4"/>
  <c r="W58" i="4" s="1"/>
  <c r="T58" i="4"/>
  <c r="Y58" i="4"/>
  <c r="Y57" i="4"/>
  <c r="U57" i="4"/>
  <c r="X57" i="4"/>
  <c r="V57" i="4"/>
  <c r="T57" i="4"/>
  <c r="U56" i="4"/>
  <c r="Y56" i="4"/>
  <c r="T56" i="4"/>
  <c r="V56" i="4"/>
  <c r="X56" i="4"/>
  <c r="T55" i="4"/>
  <c r="V55" i="4"/>
  <c r="X55" i="4"/>
  <c r="Y55" i="4"/>
  <c r="U55" i="4"/>
  <c r="W55" i="4" s="1"/>
  <c r="T54" i="4"/>
  <c r="U54" i="4"/>
  <c r="V54" i="4"/>
  <c r="X54" i="4"/>
  <c r="Y54" i="4"/>
  <c r="X53" i="4"/>
  <c r="T53" i="4"/>
  <c r="U53" i="4"/>
  <c r="V53" i="4"/>
  <c r="Y53" i="4"/>
  <c r="Y51" i="4"/>
  <c r="V51" i="4"/>
  <c r="U51" i="4"/>
  <c r="W51" i="4" s="1"/>
  <c r="T51" i="4"/>
  <c r="X51" i="4"/>
  <c r="Y50" i="4"/>
  <c r="X50" i="4"/>
  <c r="V50" i="4"/>
  <c r="U50" i="4"/>
  <c r="W50" i="4" s="1"/>
  <c r="T50" i="4"/>
  <c r="Y49" i="4"/>
  <c r="X49" i="4"/>
  <c r="T49" i="4"/>
  <c r="U49" i="4"/>
  <c r="V49" i="4"/>
  <c r="T48" i="4"/>
  <c r="V48" i="4"/>
  <c r="X48" i="4"/>
  <c r="Y48" i="4"/>
  <c r="U48" i="4"/>
  <c r="W48" i="4" s="1"/>
  <c r="X47" i="4"/>
  <c r="Y47" i="4"/>
  <c r="T47" i="4"/>
  <c r="V47" i="4"/>
  <c r="U47" i="4"/>
  <c r="W47" i="4" s="1"/>
  <c r="Y46" i="4"/>
  <c r="X46" i="4"/>
  <c r="V46" i="4"/>
  <c r="T46" i="4"/>
  <c r="U46" i="4"/>
  <c r="W46" i="4" s="1"/>
  <c r="Y45" i="4"/>
  <c r="X45" i="4"/>
  <c r="V45" i="4"/>
  <c r="U45" i="4"/>
  <c r="W45" i="4" s="1"/>
  <c r="T45" i="4"/>
  <c r="Y44" i="4"/>
  <c r="X44" i="4"/>
  <c r="V44" i="4"/>
  <c r="U44" i="4"/>
  <c r="T44" i="4"/>
  <c r="Y43" i="4"/>
  <c r="X43" i="4"/>
  <c r="V43" i="4"/>
  <c r="U43" i="4"/>
  <c r="T43" i="4"/>
  <c r="Y42" i="4"/>
  <c r="X42" i="4"/>
  <c r="V42" i="4"/>
  <c r="U42" i="4"/>
  <c r="W42" i="4" s="1"/>
  <c r="T42" i="4"/>
  <c r="Y41" i="4"/>
  <c r="X41" i="4"/>
  <c r="V41" i="4"/>
  <c r="U41" i="4"/>
  <c r="W41" i="4" s="1"/>
  <c r="T41" i="4"/>
  <c r="Y40" i="4"/>
  <c r="X40" i="4"/>
  <c r="V40" i="4"/>
  <c r="U40" i="4"/>
  <c r="W40" i="4" s="1"/>
  <c r="T40" i="4"/>
  <c r="Y39" i="4"/>
  <c r="X39" i="4"/>
  <c r="V39" i="4"/>
  <c r="U39" i="4"/>
  <c r="W39" i="4" s="1"/>
  <c r="T39" i="4"/>
  <c r="Y38" i="4"/>
  <c r="X38" i="4"/>
  <c r="T38" i="4"/>
  <c r="U38" i="4"/>
  <c r="V38" i="4"/>
  <c r="Y37" i="4"/>
  <c r="X37" i="4"/>
  <c r="V37" i="4"/>
  <c r="T37" i="4"/>
  <c r="U37" i="4"/>
  <c r="W37" i="4" s="1"/>
  <c r="T36" i="4"/>
  <c r="X36" i="4"/>
  <c r="V36" i="4"/>
  <c r="U36" i="4"/>
  <c r="W36" i="4" s="1"/>
  <c r="Y36" i="4"/>
  <c r="Y35" i="4"/>
  <c r="X35" i="4"/>
  <c r="V35" i="4"/>
  <c r="U35" i="4"/>
  <c r="W35" i="4" s="1"/>
  <c r="T35" i="4"/>
  <c r="X34" i="4"/>
  <c r="V34" i="4"/>
  <c r="U34" i="4"/>
  <c r="W34" i="4" s="1"/>
  <c r="T34" i="4"/>
  <c r="Y34" i="4"/>
  <c r="T33" i="4"/>
  <c r="U33" i="4"/>
  <c r="V33" i="4"/>
  <c r="X33" i="4"/>
  <c r="Y33" i="4"/>
  <c r="Y32" i="4"/>
  <c r="X32" i="4"/>
  <c r="V32" i="4"/>
  <c r="U32" i="4"/>
  <c r="W32" i="4" s="1"/>
  <c r="T32" i="4"/>
  <c r="X31" i="4"/>
  <c r="V31" i="4"/>
  <c r="U31" i="4"/>
  <c r="W31" i="4" s="1"/>
  <c r="T31" i="4"/>
  <c r="Y31" i="4"/>
  <c r="Y30" i="4"/>
  <c r="X30" i="4"/>
  <c r="V30" i="4"/>
  <c r="U30" i="4"/>
  <c r="W30" i="4" s="1"/>
  <c r="T30" i="4"/>
  <c r="Y29" i="4"/>
  <c r="V29" i="4"/>
  <c r="X29" i="4"/>
  <c r="U29" i="4"/>
  <c r="W29" i="4" s="1"/>
  <c r="T29" i="4"/>
  <c r="U28" i="4"/>
  <c r="T28" i="4"/>
  <c r="Y28" i="4"/>
  <c r="X28" i="4"/>
  <c r="V28" i="4"/>
  <c r="U27" i="4"/>
  <c r="Y27" i="4"/>
  <c r="X27" i="4"/>
  <c r="V27" i="4"/>
  <c r="T27" i="4"/>
  <c r="V26" i="4"/>
  <c r="X26" i="4"/>
  <c r="Y26" i="4"/>
  <c r="U26" i="4"/>
  <c r="W26" i="4" s="1"/>
  <c r="T26" i="4"/>
  <c r="Y25" i="4"/>
  <c r="X25" i="4"/>
  <c r="V25" i="4"/>
  <c r="U25" i="4"/>
  <c r="W25" i="4" s="1"/>
  <c r="T25" i="4"/>
  <c r="T24" i="4"/>
  <c r="U24" i="4"/>
  <c r="V24" i="4"/>
  <c r="X24" i="4"/>
  <c r="Y24" i="4"/>
  <c r="V23" i="4"/>
  <c r="X23" i="4"/>
  <c r="Y23" i="4"/>
  <c r="T23" i="4"/>
  <c r="U23" i="4"/>
  <c r="W23" i="4" s="1"/>
  <c r="Y22" i="4"/>
  <c r="T22" i="4"/>
  <c r="V22" i="4"/>
  <c r="X22" i="4"/>
  <c r="U22" i="4"/>
  <c r="W22" i="4" s="1"/>
  <c r="T21" i="4"/>
  <c r="U21" i="4"/>
  <c r="V21" i="4"/>
  <c r="X21" i="4"/>
  <c r="Y21" i="4"/>
  <c r="T20" i="4"/>
  <c r="U20" i="4"/>
  <c r="V20" i="4"/>
  <c r="X20" i="4"/>
  <c r="Y20" i="4"/>
  <c r="X19" i="4"/>
  <c r="Y19" i="4"/>
  <c r="T19" i="4"/>
  <c r="U19" i="4"/>
  <c r="V19" i="4"/>
  <c r="T18" i="4"/>
  <c r="V18" i="4"/>
  <c r="Y18" i="4"/>
  <c r="U18" i="4"/>
  <c r="W18" i="4" s="1"/>
  <c r="X18" i="4"/>
  <c r="V17" i="4"/>
  <c r="X17" i="4"/>
  <c r="Y17" i="4"/>
  <c r="U17" i="4"/>
  <c r="W17" i="4" s="1"/>
  <c r="T17" i="4"/>
  <c r="T16" i="4"/>
  <c r="U16" i="4"/>
  <c r="Y16" i="4"/>
  <c r="X16" i="4"/>
  <c r="V16" i="4"/>
  <c r="X15" i="4"/>
  <c r="T15" i="4"/>
  <c r="Y15" i="4"/>
  <c r="V15" i="4"/>
  <c r="U15" i="4"/>
  <c r="W15" i="4" s="1"/>
  <c r="Y14" i="4"/>
  <c r="T14" i="4"/>
  <c r="U14" i="4"/>
  <c r="X14" i="4"/>
  <c r="V14" i="4"/>
  <c r="X13" i="4"/>
  <c r="V13" i="4"/>
  <c r="Y13" i="4"/>
  <c r="U13" i="4"/>
  <c r="W13" i="4" s="1"/>
  <c r="T13" i="4"/>
  <c r="U12" i="4"/>
  <c r="V12" i="4"/>
  <c r="X12" i="4"/>
  <c r="Y12" i="4"/>
  <c r="T12" i="4"/>
  <c r="T11" i="4"/>
  <c r="U11" i="4"/>
  <c r="V11" i="4"/>
  <c r="X11" i="4"/>
  <c r="Y11" i="4"/>
  <c r="T10" i="4"/>
  <c r="U10" i="4"/>
  <c r="V10" i="4"/>
  <c r="X10" i="4"/>
  <c r="Y10" i="4"/>
  <c r="X9" i="4"/>
  <c r="Y9" i="4"/>
  <c r="U9" i="4"/>
  <c r="T9" i="4"/>
  <c r="V9" i="4"/>
  <c r="X8" i="4"/>
  <c r="Y8" i="4"/>
  <c r="V8" i="4"/>
  <c r="U8" i="4"/>
  <c r="W8" i="4" s="1"/>
  <c r="T8" i="4"/>
  <c r="X7" i="4"/>
  <c r="Y7" i="4"/>
  <c r="T7" i="4"/>
  <c r="U7" i="4"/>
  <c r="V7" i="4"/>
  <c r="T6" i="4"/>
  <c r="X6" i="4"/>
  <c r="Y6" i="4"/>
  <c r="V6" i="4"/>
  <c r="U6" i="4"/>
  <c r="W6" i="4" s="1"/>
  <c r="U5" i="4"/>
  <c r="V5" i="4"/>
  <c r="X5" i="4"/>
  <c r="Y5" i="4"/>
  <c r="T5" i="4"/>
  <c r="V4" i="4"/>
  <c r="U4" i="4"/>
  <c r="W4" i="4" s="1"/>
  <c r="T4" i="4"/>
  <c r="Y4" i="4"/>
  <c r="X4" i="4"/>
  <c r="V3" i="4"/>
  <c r="Y3" i="4"/>
  <c r="X3" i="4"/>
  <c r="U3" i="4"/>
  <c r="W3" i="4" s="1"/>
  <c r="T3" i="4"/>
  <c r="Y2" i="4"/>
  <c r="X2" i="4"/>
  <c r="V2" i="4"/>
  <c r="U2" i="4"/>
  <c r="W2" i="4" s="1"/>
  <c r="T2" i="4"/>
  <c r="W52" i="4" l="1"/>
  <c r="W43" i="4"/>
  <c r="W44" i="4"/>
  <c r="W74" i="4"/>
  <c r="W61" i="4"/>
  <c r="W59" i="4"/>
  <c r="W57" i="4"/>
  <c r="W56" i="4"/>
  <c r="W54" i="4"/>
  <c r="W53" i="4"/>
  <c r="W49" i="4"/>
  <c r="W38" i="4"/>
  <c r="W33" i="4"/>
  <c r="W28" i="4"/>
  <c r="W27" i="4"/>
  <c r="W24" i="4"/>
  <c r="W21" i="4"/>
  <c r="W20" i="4"/>
  <c r="W19" i="4"/>
  <c r="W16" i="4"/>
  <c r="W14" i="4"/>
  <c r="W12" i="4"/>
  <c r="W11" i="4"/>
  <c r="W10" i="4"/>
  <c r="W9" i="4"/>
  <c r="W7" i="4"/>
  <c r="W5" i="4"/>
  <c r="W73" i="4"/>
  <c r="W67" i="4"/>
  <c r="W66" i="4"/>
  <c r="W64" i="4"/>
  <c r="W62" i="4"/>
  <c r="AQ2" i="3"/>
</calcChain>
</file>

<file path=xl/sharedStrings.xml><?xml version="1.0" encoding="utf-8"?>
<sst xmlns="http://schemas.openxmlformats.org/spreadsheetml/2006/main" count="1122" uniqueCount="492">
  <si>
    <t>بخش</t>
  </si>
  <si>
    <t>توضیح</t>
  </si>
  <si>
    <t>هدف فایل</t>
  </si>
  <si>
    <t>دیتاست آموزشی فصل ۳ فرآوری (جدایش مغناطیسی LIMS/WHIMS، فلوتاسیون معکوس، تیکنر، فیلتراسیون و کیک فیلتر) برای آموزش کنترل کیفیت، SPC، موازنه جرم و فلز، و تحلیل داده در Excel، Minitab، Python و Power BI.</t>
  </si>
  <si>
    <t>مصنوعی بودن داده</t>
  </si>
  <si>
    <t>تمام داده‌ها مصنوعی، تصادفی اما مهندسی‌شده (seed تکرارپذیر) تولید شده‌اند و روابط واقع‌گرایانه بین متغیرها دارند. این داده‌ها به هیچ وجه داده واقعی کارخانه نیستند و نباید برای ارزیابی عملکرد کارخانه یا تصمیم‌گیری صنعتی استفاده شوند.</t>
  </si>
  <si>
    <t>دامنه کاربرد آموزشی</t>
  </si>
  <si>
    <t>آموزش نمودارهای کنترلی (I-MR)، تحلیل قابلیت فرآیند، عیب‌یابی چندمتغیره رخدادها، ساخت داشبورد Power BI، تمرین موازنه جرم/فلز و آموزش محاسبه Yield و Recovery.</t>
  </si>
  <si>
    <t>تعریف شیت Process_Data</t>
  </si>
  <si>
    <t>ثبت‌های هر ۲ ساعت به مدت ۳۰ روز (۳۶۰ ردیف): متغیرهای خوراک، LIMS/WHIMS، فلوتاسیون و کیفیت آب. ستون‌های خالی در هر مدار عملیاتی به معنی غیرفعال بودن آن واحد در آن مدار است.</t>
  </si>
  <si>
    <t>تعریف شیت Dewatering_Balance</t>
  </si>
  <si>
    <t>هم‌تراز ردیف‌به‌ردیف با Process_Data از طریق Record_ID: متغیرهای تیکنر و فیلتر، جریان‌های خشک، عیارها و KPIهای موازنه با فرمول Excel زنده.</t>
  </si>
  <si>
    <t>تعریف شیت Calculations</t>
  </si>
  <si>
    <t>روابط Yield، Recovery و خطاهای موازنه، فرمول‌های Excel قابل کپی برای کل داده، نمونه محاسبه و کنترل‌های منطقی.</t>
  </si>
  <si>
    <t>تعریف شیت SPC_Sample</t>
  </si>
  <si>
    <t>زیرمجموعه تمیز ۱۲۰ ردیفه (فقط Quality_Flag=OK) برای نمودار I-MR رطوبت کیک و نمودار کنترل کدورت اورفلو و آهن باطله، به‌همراه Target/LSL/USL آموزشی.</t>
  </si>
  <si>
    <t>تعریف شیت Dashboard_Data</t>
  </si>
  <si>
    <t>خلاصه روزانه/شیفت‌بندی ۹۰ ردیفی شاخص‌های کلیدی؛ مناسب مدل ستاره‌ای Power BI با کلید Date+Shift.</t>
  </si>
  <si>
    <t>تعریف شیت Minitab_Import</t>
  </si>
  <si>
    <t>نسخه عددی تمیز ۱۲۰ ردیفه بدون ستون متنی، آماده Paste یا Import در Minitab.</t>
  </si>
  <si>
    <t>نکات Excel</t>
  </si>
  <si>
    <t>ردیف اول هر شیت Header است؛ از View &gt; Freeze Panes و Data &gt; Filter استفاده کنید. فرمول‌های KPI در شیت Dewatering_Balance زنده‌اند و با تغییر داده به‌روز می‌شوند.</t>
  </si>
  <si>
    <t>نکات Minitab</t>
  </si>
  <si>
    <t>ستون‌های شیت Minitab_Import را Copy و در Minitab Paste یا از مسیر File &gt; Import استفاده کنید؛ نام ستون‌ها انگلیسی استاندارد است.</t>
  </si>
  <si>
    <t>نکات Python</t>
  </si>
  <si>
    <t>خواندن با pandas.read_excel و sheet_name مربوطه؛ ستون DateTime از نوع ISO است و مستقیماً با pd.to_datetime تبدیل می‌شود.</t>
  </si>
  <si>
    <t>نکات Power BI</t>
  </si>
  <si>
    <t>Process_Data و Dewatering_Balance را با کلید Record_ID رابطه دهید؛ Dashboard_Data برای مصورسازی روند روزانه/شیفت آماده است.</t>
  </si>
  <si>
    <t>هشدار حدود آموزشی</t>
  </si>
  <si>
    <t>مقادیر Target/LSL/USL در شیت SPC_Sample و هر حد کنترلی محاسبه‌شده از این داده‌ها صرفاً نمونه آموزشی هستند و برای هیچ فرآیند واقعی معتبر نیستند. درصد‌ها به‌صورت 0-100 ذخیره شده‌اند.</t>
  </si>
  <si>
    <t>رفتارهای آموزشی نهفته</t>
  </si>
  <si>
    <t>شش رخداد علت ویژه در داده تعبیه شده است (افزایش اسلایم، گرفتگی ماتریکس WHIMS، اختلال فلوکولانت/تیکنر، افت وکیوم/گرفتگی پارچه، تغییر کیفیت آب، خطای موازنه آموزشی) بدون ستون Root_Cause؛ کیفیت از روی متغیرها قابل تشخیص است.</t>
  </si>
  <si>
    <t>Column</t>
  </si>
  <si>
    <t>تعریف</t>
  </si>
  <si>
    <t>واحد</t>
  </si>
  <si>
    <t>نوع داده</t>
  </si>
  <si>
    <t>محل اندازه‌گیری</t>
  </si>
  <si>
    <t>نقش</t>
  </si>
  <si>
    <t>رابطه مورد انتظار با خروجی‌ها</t>
  </si>
  <si>
    <t>Record_ID</t>
  </si>
  <si>
    <t>شناسه یکتای ردیف</t>
  </si>
  <si>
    <t>-</t>
  </si>
  <si>
    <t>integer</t>
  </si>
  <si>
    <t>پایگاه داده فرآیند</t>
  </si>
  <si>
    <t>شناسه</t>
  </si>
  <si>
    <t>کلید اتصال با Process_Data و Dewatering_Balance</t>
  </si>
  <si>
    <t>DateTime</t>
  </si>
  <si>
    <t>تاریخ و زمان ثبت (هر ۲ ساعت، استاندارد ISO)</t>
  </si>
  <si>
    <t>text</t>
  </si>
  <si>
    <t>اتوماسیون/SCADA</t>
  </si>
  <si>
    <t>زمان‌بندی</t>
  </si>
  <si>
    <t>مبنای تحلیل سری زمانی؛ مستقیماً در Power BI/Python قابل تبدیل است</t>
  </si>
  <si>
    <t>Shift</t>
  </si>
  <si>
    <t>شیفت کاری (A=00-08، B=08-16، C=16-24)</t>
  </si>
  <si>
    <t>گزارش شیفت</t>
  </si>
  <si>
    <t>دسته‌بندی</t>
  </si>
  <si>
    <t>مقایسه عملکرد بین شیفت‌ها</t>
  </si>
  <si>
    <t>Ore_Blend</t>
  </si>
  <si>
    <t>نوع خوراک ورودی کارخانه</t>
  </si>
  <si>
    <t>انباشت و برداشت</t>
  </si>
  <si>
    <t>علت‌یابی</t>
  </si>
  <si>
    <t>تغییر ترکیب خوراک روی عیار و بازیابی اثر دارد</t>
  </si>
  <si>
    <t>Circuit_Mode</t>
  </si>
  <si>
    <t>آرایش مدار جدایش (LIMS / LIMS_WHIMS / LIMS_Flotation)</t>
  </si>
  <si>
    <t>پانل کنترل مرکزی</t>
  </si>
  <si>
    <t>شرایط مدار</t>
  </si>
  <si>
    <t>تغییر رژیم فرآیندی؛ تعیین‌کننده ستون‌های فعال داده</t>
  </si>
  <si>
    <t>Feed_Wet_tph</t>
  </si>
  <si>
    <t>دبی جرمی تر خوراک ورودی</t>
  </si>
  <si>
    <t>t/h</t>
  </si>
  <si>
    <t>number</t>
  </si>
  <si>
    <t>توزین‌کننده نوار خوراک</t>
  </si>
  <si>
    <t>متغیر فرآیند</t>
  </si>
  <si>
    <t>افزایش بار هیدرولیکی تیکنر و فیلتر را در پی دارد</t>
  </si>
  <si>
    <t>Feed_Solids_pct</t>
  </si>
  <si>
    <t>درصد جامد پالپ خوراک ورودی</t>
  </si>
  <si>
    <t>%</t>
  </si>
  <si>
    <t>دانسیته‌سنج خط خوراک</t>
  </si>
  <si>
    <t>درصد جامد بالا → حمل مکانیکی گانگ در LIMS و افت عیار کنسانتره</t>
  </si>
  <si>
    <t>Feed_Moisture_pct</t>
  </si>
  <si>
    <t>درصد رطوبت خوراک (100 منهای Feed_Solids_pct)</t>
  </si>
  <si>
    <t>محاسبه‌شده</t>
  </si>
  <si>
    <t>مبنای تبدیل جریان تر به خشک</t>
  </si>
  <si>
    <t>Feed_Fe_pct</t>
  </si>
  <si>
    <t>عیار آهن کل خوراک ورودی</t>
  </si>
  <si>
    <t>آنالایزر برخط / آزمایشگاه</t>
  </si>
  <si>
    <t>کیفیت خوراک</t>
  </si>
  <si>
    <t>مخرج محاسبه Fe_Recovery و Fe_Balance_Error</t>
  </si>
  <si>
    <t>Feed_SiO2_pct</t>
  </si>
  <si>
    <t>عیار سیلیس خوراک ورودی</t>
  </si>
  <si>
    <t>آزمایشگاه XRF</t>
  </si>
  <si>
    <t>سیلیس بالا نیازمند معرف و میدان بیشتر است</t>
  </si>
  <si>
    <t>Feed_P80_um</t>
  </si>
  <si>
    <t>اندازه ۸۰٪ عبوری ذرات خوراک</t>
  </si>
  <si>
    <t>µm</t>
  </si>
  <si>
    <t>PSI / آزمایشگاه دانه‌بندی</t>
  </si>
  <si>
    <t>خارج از پنجره بهینه روی آزادی و اسلایم اثر می‌گذارد</t>
  </si>
  <si>
    <t>Feed_Slimes_pct</t>
  </si>
  <si>
    <t>درصد ذرات بسیار ریز (زیر ۲۰ میکرون)</t>
  </si>
  <si>
    <t>آزمایشگاه دانه‌بندی</t>
  </si>
  <si>
    <t>علت ویژه</t>
  </si>
  <si>
    <t>افزایش آن رطوبت کیک، کدورت اورفلو و مصرف معرف را بالا می‌برد</t>
  </si>
  <si>
    <t>Liberation_pct</t>
  </si>
  <si>
    <t>درجه آزادی کانی‌های آهن‌دار</t>
  </si>
  <si>
    <t>کانی‌شناسی QEMSCAN</t>
  </si>
  <si>
    <t>پتانسیل جدایش</t>
  </si>
  <si>
    <t>افت آزادی سقف انتخاب‌پذیری LIMS را محدود می‌کند؛ WHIMS خوراک کم‌آزادی را بهتر بازیابی می‌کند</t>
  </si>
  <si>
    <t>LIMS_Field_mT</t>
  </si>
  <si>
    <t>شدت میدان مغناطیسی LIMS</t>
  </si>
  <si>
    <t>mT</t>
  </si>
  <si>
    <t>درام LIMS</t>
  </si>
  <si>
    <t>تنظیم فرآیند</t>
  </si>
  <si>
    <t>میدان ناکافی باعث افزایش Tailings_Fe می‌شود</t>
  </si>
  <si>
    <t>LIMS_Drum_Speed_rpm</t>
  </si>
  <si>
    <t>سرعت چرخش درام LIMS</t>
  </si>
  <si>
    <t>rpm</t>
  </si>
  <si>
    <t>درایو درام</t>
  </si>
  <si>
    <t>سرعت بالا حمل باطله و سرعت پایین افت بازیابی</t>
  </si>
  <si>
    <t>LIMS_Splitter_pct</t>
  </si>
  <si>
    <t>موقعیت تیغه جداکننده اسپلینتر</t>
  </si>
  <si>
    <t>شوت تخلیه LIMS</t>
  </si>
  <si>
    <t>کنترل برش کنسانتره/باطله</t>
  </si>
  <si>
    <t>WHIMS_Field_T</t>
  </si>
  <si>
    <t>شدت میدان WHIMS</t>
  </si>
  <si>
    <t>Tesla</t>
  </si>
  <si>
    <t>کویل WHIMS</t>
  </si>
  <si>
    <t>برای ذرات ضعیف‌مغناطیس؛ در مدار LIMS خالی است</t>
  </si>
  <si>
    <t>Matrix_Condition_pct</t>
  </si>
  <si>
    <t>سلامت و تمیزی ماتریکس WHIMS</t>
  </si>
  <si>
    <t>سنسور افت فشار/بازرسی</t>
  </si>
  <si>
    <t>افت آن → افزایش Concentrate_SiO2 و افت بازیابی (گرفتگی ماتریکس)</t>
  </si>
  <si>
    <t>Matrix_Wash_Interval_h</t>
  </si>
  <si>
    <t>فاصله سیکل شستشوی ماتریکس</t>
  </si>
  <si>
    <t>h</t>
  </si>
  <si>
    <t>تایمر اتوماسیون</t>
  </si>
  <si>
    <t>فاصله بلند انباشت ریزدانه و گرفتگی را تشدید می‌کند</t>
  </si>
  <si>
    <t>Flotation_pH</t>
  </si>
  <si>
    <t>pH پالپ فلوتاسیون معکوس کاتیونی</t>
  </si>
  <si>
    <t>pH متر سلول فلوتاسیون</t>
  </si>
  <si>
    <t>تنظیم شیمی سطح</t>
  </si>
  <si>
    <t>پنجره بهینه 9.5 تا 11؛ در مدار LIMS خالی است</t>
  </si>
  <si>
    <t>Amine_Dose_gpt</t>
  </si>
  <si>
    <t>دوز کلکتور آمینی</t>
  </si>
  <si>
    <t>g/t</t>
  </si>
  <si>
    <t>دوزینگ پمپ آمین</t>
  </si>
  <si>
    <t>افزایش دوز Concentrate_SiO2 را کم اما آهن تلف‌شده را زیاد می‌کند</t>
  </si>
  <si>
    <t>Starch_Dose_gpt</t>
  </si>
  <si>
    <t>دوز نشاسته دپرسانت آهن</t>
  </si>
  <si>
    <t>دوزینگ پمپ نشاسته</t>
  </si>
  <si>
    <t>بازدارنده شناوری کانی‌های آهن‌دار</t>
  </si>
  <si>
    <t>Froth_Height_cm</t>
  </si>
  <si>
    <t>ارتفاع کف در سلول‌های فلوتاسیون</t>
  </si>
  <si>
    <t>cm</t>
  </si>
  <si>
    <t>سنسور سطح کف</t>
  </si>
  <si>
    <t>پایش کف</t>
  </si>
  <si>
    <t>کف بلند و ناپایدار حمل مکانیکی را زیاد می‌کند</t>
  </si>
  <si>
    <t>Air_Flow_Nm3_h</t>
  </si>
  <si>
    <t>دبی هوای دمشی سلول‌های فلوتاسیون</t>
  </si>
  <si>
    <t>Nm³/h</t>
  </si>
  <si>
    <t>جریان‌سنج خط هوا</t>
  </si>
  <si>
    <t>تنظیم هیدرودینامیک</t>
  </si>
  <si>
    <t>هوادهی بیش از حد موج شکستن کف و حمل ذرات آهن است</t>
  </si>
  <si>
    <t>Process_Water_Hardness_mgL</t>
  </si>
  <si>
    <t>سختی کل آب فرآیندی (بر مبنای کربنات کلسیم)</t>
  </si>
  <si>
    <t>mg/L</t>
  </si>
  <si>
    <t>آزمایشگاه آب</t>
  </si>
  <si>
    <t>کیفیت آب</t>
  </si>
  <si>
    <t>سختی بالا اثر آمین را خنثی و انتخاب‌پذیری فلوتاسیون را می‌کاهد</t>
  </si>
  <si>
    <t>Process_Water_Turbidity_NTU</t>
  </si>
  <si>
    <t>کدورت آب فرآیندی برگشتی</t>
  </si>
  <si>
    <t>NTU</t>
  </si>
  <si>
    <t>کدورت‌سنج خط آب</t>
  </si>
  <si>
    <t>کدورت بالا نشانه اسلایم در آب برگشتی و افت کف فلوتاسیون است</t>
  </si>
  <si>
    <t>Thickener_Flocculant_Dose_gpt</t>
  </si>
  <si>
    <t>دوز فلوکولانت تیکنر</t>
  </si>
  <si>
    <t>واحد آماده‌سازی فلوکولانت</t>
  </si>
  <si>
    <t>دوز بهینه در بازه 18-30 اورفلو را شفاف و آندرفلو را متراکم می‌کند؛ دوز بیش از حد بخشی از داده‌ها clarification را بدتر کرده است</t>
  </si>
  <si>
    <t>Thickener_Overflow_Turbidity_NTU</t>
  </si>
  <si>
    <t>کدورت سرریز تیکنر</t>
  </si>
  <si>
    <t>کدورت‌سنج سرریز</t>
  </si>
  <si>
    <t>KPI آبگیری</t>
  </si>
  <si>
    <t>کدورت بالا یعنی خروج ریزدانه‌ها از تیکنر و آلودگی آب برگشتی</t>
  </si>
  <si>
    <t>Thickener_Underflow_Solids_pct</t>
  </si>
  <si>
    <t>درصد جامد آندرفلو تیکنر</t>
  </si>
  <si>
    <t>دانسیته‌سنج آندرفلو</t>
  </si>
  <si>
    <t>افت آن همراه گشتاور بالا نشانه اختلال تراکم است</t>
  </si>
  <si>
    <t>Thickener_Bed_Level_pct</t>
  </si>
  <si>
    <t>سطح بستر تیکنر</t>
  </si>
  <si>
    <t>سنسور سطح بستر</t>
  </si>
  <si>
    <t>پایش</t>
  </si>
  <si>
    <t>سطح خیلی بالا ریسک سرریز جامد به اورفلو</t>
  </si>
  <si>
    <t>Thickener_Rake_Torque_pct</t>
  </si>
  <si>
    <t>گشتاور ریک تیکنر</t>
  </si>
  <si>
    <t>درایو ریک</t>
  </si>
  <si>
    <t>گشتاور بالا همراه کدورت اورفلو یا افت جامد آندرفلو = رخداد اختلالی</t>
  </si>
  <si>
    <t>Filter_Vacuum_kPa</t>
  </si>
  <si>
    <t>وکیوم فیلتر</t>
  </si>
  <si>
    <t>kPa</t>
  </si>
  <si>
    <t>ترنسمیتر مکش فیلتر</t>
  </si>
  <si>
    <t>نرمال 70-85؛ افت آن → کیک نازک و مرطوب</t>
  </si>
  <si>
    <t>Filter_Cycle_Time_min</t>
  </si>
  <si>
    <t>زمان سیکل فیلتر</t>
  </si>
  <si>
    <t>min</t>
  </si>
  <si>
    <t>درایو فیلتر</t>
  </si>
  <si>
    <t>سیکل بلند خشک‌کنندگی بیشتر اما ظرفیت کمتر</t>
  </si>
  <si>
    <t>Filter_Cloth_Condition_pct</t>
  </si>
  <si>
    <t>سلامت پارچه فیلتر</t>
  </si>
  <si>
    <t>بازرسی دوره‌ای</t>
  </si>
  <si>
    <t>افت آن رطوبت کیک و کدورت فیلترات را بالا می‌برد</t>
  </si>
  <si>
    <t>Filter_Feed_Solids_pct</t>
  </si>
  <si>
    <t>درصد جامد خوراک فیلتر</t>
  </si>
  <si>
    <t>حوضچه فیلتر</t>
  </si>
  <si>
    <t>شرایط خوراک</t>
  </si>
  <si>
    <t>کم شدن آن (مثلاً از اختلال تیکنر) رطوبت کیک را زیاد می‌کند</t>
  </si>
  <si>
    <t>Filter_Cake_Moisture_pct</t>
  </si>
  <si>
    <t>رطوبت کیک کنسانتره</t>
  </si>
  <si>
    <t>آزمایشگاه کیک</t>
  </si>
  <si>
    <t>KPI اصلی محصول</t>
  </si>
  <si>
    <t>متغیر پاسخ اصلی فیلتر؛ ترکیبی از اسلایم، وکیوم، پارچه و جامد خوراک</t>
  </si>
  <si>
    <t>Filterate_Turbidity_NTU</t>
  </si>
  <si>
    <t>کدورت فیلترات</t>
  </si>
  <si>
    <t>کدورت‌سنج وکیوم</t>
  </si>
  <si>
    <t>سلامت پارچه</t>
  </si>
  <si>
    <t>کدورت بالا = گرفتگی/نشتی پارچه یا بدی تیکنر</t>
  </si>
  <si>
    <t>Feed_Dry_tph</t>
  </si>
  <si>
    <t>دبی خشک خوراک (Feed_Wet×Feed_Solids/100)</t>
  </si>
  <si>
    <t>formula</t>
  </si>
  <si>
    <t>محاسبه</t>
  </si>
  <si>
    <t>پایه موازنه</t>
  </si>
  <si>
    <t>مبنای خشک برای تمام KPIهای موازنه</t>
  </si>
  <si>
    <t>Concentrate_Dry_tph</t>
  </si>
  <si>
    <t>دبی خشک کنسانتره</t>
  </si>
  <si>
    <t>توزین خروجی/محاسبه</t>
  </si>
  <si>
    <t>خروجی</t>
  </si>
  <si>
    <t>صورت بازده جرمی و بازیابی آهن</t>
  </si>
  <si>
    <t>Tailings_Dry_tph</t>
  </si>
  <si>
    <t>دبی خشک باطله</t>
  </si>
  <si>
    <t>توزین باطله/محاسبه</t>
  </si>
  <si>
    <t>همراه کنسانتره باید تقریباً Feed_Dry را بسازد</t>
  </si>
  <si>
    <t>Concentrate_Fe_pct</t>
  </si>
  <si>
    <t>عیار آهن کنسانتره</t>
  </si>
  <si>
    <t>KPI کیفیت محصول</t>
  </si>
  <si>
    <t>هدف محصول؛ با Yield و Recovery هم‌زمان تفسیر شود</t>
  </si>
  <si>
    <t>Concentrate_SiO2_pct</t>
  </si>
  <si>
    <t>عیار سیلیس کنسانتره</t>
  </si>
  <si>
    <t>KPI ناخالصی</t>
  </si>
  <si>
    <t>در اختلال ماتریکس/آب/اسلایم افزایش می‌یابد</t>
  </si>
  <si>
    <t>Tailings_Fe_pct</t>
  </si>
  <si>
    <t>عیار آهن باطله</t>
  </si>
  <si>
    <t>شاخص تلفات</t>
  </si>
  <si>
    <t>بالا رفتن آن با افزایش جامد خوراک/سرعت درام و افت آزادی رخ می‌دهد</t>
  </si>
  <si>
    <t>Tailings_SiO2_pct</t>
  </si>
  <si>
    <t>عیار سیلیس باطله</t>
  </si>
  <si>
    <t>رفتار گانگ</t>
  </si>
  <si>
    <t>بخش عمده سیلیس باید به باطله برود</t>
  </si>
  <si>
    <t>Mass_Yield_pct</t>
  </si>
  <si>
    <t>بازده جرمی کنسانتره = C/F×100</t>
  </si>
  <si>
    <t>KPI متالورژیکی</t>
  </si>
  <si>
    <t>نشان می‌دهد چه سهمی از جرم خوراک به کنسانتره تبدیل شده</t>
  </si>
  <si>
    <t>Fe_Recovery_pct</t>
  </si>
  <si>
    <t>بازیابی آهن = (C×fc)/(F×ff)×100</t>
  </si>
  <si>
    <t>KPI متالورژیکی اصلی</t>
  </si>
  <si>
    <t>افزایش عیار به‌تنهایی بهبود نیست؛ باید با Recovery خوانده شود</t>
  </si>
  <si>
    <t>Tailings_Fe_Recovery_pct</t>
  </si>
  <si>
    <t>بازیابی آهن باطله = (T×ft)/(F×ff)×100</t>
  </si>
  <si>
    <t>تلفات فلز</t>
  </si>
  <si>
    <t>جمع آن با Fe_Recovery باید حدود 100 باشد</t>
  </si>
  <si>
    <t>Rec_Check_pct</t>
  </si>
  <si>
    <t>جمع دو بازیابی (کنترل منطقی)</t>
  </si>
  <si>
    <t>کنترل QC</t>
  </si>
  <si>
    <t>اعتبارسنجی</t>
  </si>
  <si>
    <t>انحراف از 100 نشانه خطای داده یا موازنه است</t>
  </si>
  <si>
    <t>Mass_Balance_Error_pct</t>
  </si>
  <si>
    <t>خطای موازنه جرمی = (F-(C+T))/F×100</t>
  </si>
  <si>
    <t>اعتبارسنجی داده</t>
  </si>
  <si>
    <t>نرمال زیر 1.5؛ در رخدادهای Balance_Check آموزشی 2 تا 5 است</t>
  </si>
  <si>
    <t>Fe_Balance_Error_pct</t>
  </si>
  <si>
    <t>خطای موازنه آهن</t>
  </si>
  <si>
    <t>سازگاری عیارها و دبی‌ها؛ مشابه موازنه جرمی تفسیر می‌شود</t>
  </si>
  <si>
    <t>Quality_Flag</t>
  </si>
  <si>
    <t>برچسب وضعیت کیفی دوره</t>
  </si>
  <si>
    <t>سیستم QC آموزشی</t>
  </si>
  <si>
    <t>برچسب</t>
  </si>
  <si>
    <t>OK / Slimes_High / Matrix_Blinding / Flocculant_Disturbance / Vacuum_Loss / Water_Quality / Balance_Check — برای آموزش عیب‌یابی بدون ستون Root_Cause</t>
  </si>
  <si>
    <t>2026-09-01 00:00</t>
  </si>
  <si>
    <t>A</t>
  </si>
  <si>
    <t>Blend_A</t>
  </si>
  <si>
    <t>LIMS</t>
  </si>
  <si>
    <t>2026-09-01 02:00</t>
  </si>
  <si>
    <t>2026-09-01 04:00</t>
  </si>
  <si>
    <t>2026-09-01 06:00</t>
  </si>
  <si>
    <t>2026-09-01 08:00</t>
  </si>
  <si>
    <t>B</t>
  </si>
  <si>
    <t>2026-09-01 10:00</t>
  </si>
  <si>
    <t>2026-09-01 12:00</t>
  </si>
  <si>
    <t>2026-09-01 14:00</t>
  </si>
  <si>
    <t>2026-09-01 16:00</t>
  </si>
  <si>
    <t>C</t>
  </si>
  <si>
    <t>2026-09-01 18:00</t>
  </si>
  <si>
    <t>2026-09-01 20:00</t>
  </si>
  <si>
    <t>2026-09-01 22:00</t>
  </si>
  <si>
    <t>2026-09-02 00:00</t>
  </si>
  <si>
    <t>Blend_C</t>
  </si>
  <si>
    <t>2026-09-02 02:00</t>
  </si>
  <si>
    <t>2026-09-02 04:00</t>
  </si>
  <si>
    <t>2026-09-02 06:00</t>
  </si>
  <si>
    <t>2026-09-02 08:00</t>
  </si>
  <si>
    <t>2026-09-02 10:00</t>
  </si>
  <si>
    <t>2026-09-02 12:00</t>
  </si>
  <si>
    <t>2026-09-02 14:00</t>
  </si>
  <si>
    <t>2026-09-02 16:00</t>
  </si>
  <si>
    <t>2026-09-02 18:00</t>
  </si>
  <si>
    <t>2026-09-02 20:00</t>
  </si>
  <si>
    <t>2026-09-02 22:00</t>
  </si>
  <si>
    <t>2026-09-03 00:00</t>
  </si>
  <si>
    <t>Blend_B</t>
  </si>
  <si>
    <t>2026-09-03 02:00</t>
  </si>
  <si>
    <t>2026-09-03 04:00</t>
  </si>
  <si>
    <t>2026-09-03 06:00</t>
  </si>
  <si>
    <t>2026-09-03 08:00</t>
  </si>
  <si>
    <t>2026-09-03 10:00</t>
  </si>
  <si>
    <t>2026-09-03 12:00</t>
  </si>
  <si>
    <t>2026-09-03 14:00</t>
  </si>
  <si>
    <t>2026-09-03 16:00</t>
  </si>
  <si>
    <t>2026-09-03 18:00</t>
  </si>
  <si>
    <t>2026-09-03 20:00</t>
  </si>
  <si>
    <t>2026-09-03 22:00</t>
  </si>
  <si>
    <t>2026-09-04 00:00</t>
  </si>
  <si>
    <t>2026-09-04 02:00</t>
  </si>
  <si>
    <t>2026-09-04 04:00</t>
  </si>
  <si>
    <t>2026-09-04 06:00</t>
  </si>
  <si>
    <t>2026-09-04 08:00</t>
  </si>
  <si>
    <t>2026-09-04 10:00</t>
  </si>
  <si>
    <t>2026-09-04 12:00</t>
  </si>
  <si>
    <t>2026-09-04 14:00</t>
  </si>
  <si>
    <t>2026-09-04 16:00</t>
  </si>
  <si>
    <t>2026-09-04 18:00</t>
  </si>
  <si>
    <t>2026-09-04 20:00</t>
  </si>
  <si>
    <t>2026-09-04 22:00</t>
  </si>
  <si>
    <t>2026-09-05 00:00</t>
  </si>
  <si>
    <t>2026-09-05 02:00</t>
  </si>
  <si>
    <t>2026-09-05 04:00</t>
  </si>
  <si>
    <t>2026-09-05 06:00</t>
  </si>
  <si>
    <t>2026-09-05 08:00</t>
  </si>
  <si>
    <t>2026-09-05 10:00</t>
  </si>
  <si>
    <t>2026-09-05 12:00</t>
  </si>
  <si>
    <t>2026-09-05 14:00</t>
  </si>
  <si>
    <t>2026-09-05 16:00</t>
  </si>
  <si>
    <t>2026-09-05 18:00</t>
  </si>
  <si>
    <t>2026-09-05 20:00</t>
  </si>
  <si>
    <t>2026-09-05 22:00</t>
  </si>
  <si>
    <t>2026-09-06 00:00</t>
  </si>
  <si>
    <t>2026-09-06 02:00</t>
  </si>
  <si>
    <t>2026-09-06 04:00</t>
  </si>
  <si>
    <t>2026-09-06 06:00</t>
  </si>
  <si>
    <t>2026-09-06 08:00</t>
  </si>
  <si>
    <t>2026-09-06 10:00</t>
  </si>
  <si>
    <t>2026-09-06 12:00</t>
  </si>
  <si>
    <t>2026-09-06 14:00</t>
  </si>
  <si>
    <t>2026-09-06 16:00</t>
  </si>
  <si>
    <t>2026-09-06 18:00</t>
  </si>
  <si>
    <t>2026-09-06 20:00</t>
  </si>
  <si>
    <t>2026-09-06 22:00</t>
  </si>
  <si>
    <t>2026-09-07 00:00</t>
  </si>
  <si>
    <t>2026-09-07 02:00</t>
  </si>
  <si>
    <t>2026-09-07 04:00</t>
  </si>
  <si>
    <t>2026-09-07 06:00</t>
  </si>
  <si>
    <t>2026-09-07 08:00</t>
  </si>
  <si>
    <t>2026-09-07 10:00</t>
  </si>
  <si>
    <t>2026-09-07 12:00</t>
  </si>
  <si>
    <t>2026-09-07 14:00</t>
  </si>
  <si>
    <t>2026-09-07 16:00</t>
  </si>
  <si>
    <t>2026-09-07 18:00</t>
  </si>
  <si>
    <t>2026-09-07 20:00</t>
  </si>
  <si>
    <t>2026-09-07 22:00</t>
  </si>
  <si>
    <t>2026-09-08 00:00</t>
  </si>
  <si>
    <t>2026-09-08 02:00</t>
  </si>
  <si>
    <t>2026-09-08 04:00</t>
  </si>
  <si>
    <t>2026-09-08 06:00</t>
  </si>
  <si>
    <t>2026-09-08 08:00</t>
  </si>
  <si>
    <t>2026-09-08 10:00</t>
  </si>
  <si>
    <t>2026-09-08 12:00</t>
  </si>
  <si>
    <t>2026-09-08 14:00</t>
  </si>
  <si>
    <t>2026-09-08 16:00</t>
  </si>
  <si>
    <t>2026-09-08 18:00</t>
  </si>
  <si>
    <t>2026-09-08 20:00</t>
  </si>
  <si>
    <t>2026-09-08 22:00</t>
  </si>
  <si>
    <t>2026-09-09 00:00</t>
  </si>
  <si>
    <t>2026-09-09 02:00</t>
  </si>
  <si>
    <t>2026-09-09 04:00</t>
  </si>
  <si>
    <t>2026-09-09 06:00</t>
  </si>
  <si>
    <t>2026-09-09 08:00</t>
  </si>
  <si>
    <t>2026-09-09 10:00</t>
  </si>
  <si>
    <t>2026-09-09 12:00</t>
  </si>
  <si>
    <t>2026-09-09 14:00</t>
  </si>
  <si>
    <t>2026-09-09 16:00</t>
  </si>
  <si>
    <t>2026-09-09 18:00</t>
  </si>
  <si>
    <t>2026-09-09 20:00</t>
  </si>
  <si>
    <t>2026-09-09 22:00</t>
  </si>
  <si>
    <t>OK</t>
  </si>
  <si>
    <t>Slimes_High</t>
  </si>
  <si>
    <t>شاخص</t>
  </si>
  <si>
    <t>رابطه</t>
  </si>
  <si>
    <t>فرمول Excel</t>
  </si>
  <si>
    <t>توضیح فارسی</t>
  </si>
  <si>
    <t>بازده جرمی کنسانتره (Mass Yield)</t>
  </si>
  <si>
    <t>Y_c = (C / F_dry) × 100</t>
  </si>
  <si>
    <t>Dewatering_Balance!N2/(Process_Data!F2*Process_Data!G2/100)*100</t>
  </si>
  <si>
    <t>درصد جرمی خوراک خشک ورودی که به کنسانتره تبدیل شده است. مبنای توناژ خشک است.</t>
  </si>
  <si>
    <t>بازیابی آهن کنسانتره (Fe Recovery)</t>
  </si>
  <si>
    <t>R_Fe = (C × f_c) / (F_dry × f_f) × 100</t>
  </si>
  <si>
    <t>(Dewatering_Balance!N2*Dewatering_Balance!P2)/((Process_Data!F2*Process_Data!G2/100)*Process_Data!I2)*100</t>
  </si>
  <si>
    <t>درصد کل آهن موجود در خوراک که در محصول نهایی جذب شده است؛ شاخص اصلی متالورژیکی.</t>
  </si>
  <si>
    <t>بازیابی آهن باطله (Tailings Fe Recovery)</t>
  </si>
  <si>
    <t>R_Fe,t = (T × f_t) / (F_dry × f_f) × 100</t>
  </si>
  <si>
    <t>(Dewatering_Balance!O2*Dewatering_Balance!R2)/((Process_Data!F2*Process_Data!G2/100)*Process_Data!I2)*100</t>
  </si>
  <si>
    <t>درصد آهن تلف‌شده در جریان باطله؛ در شرایط نرمال باید حداقل نگه داشته شود.</t>
  </si>
  <si>
    <t>کنترل جمع بازیابی‌ها (Recovery Sum Check)</t>
  </si>
  <si>
    <t>Sum_Rec = R_Fe + R_Fe,t ≈ 100%</t>
  </si>
  <si>
    <t>U2+V2</t>
  </si>
  <si>
    <t>کنترل منطقی سازگاری؛ انحراف معنادار از 100 نشانه خطای نمونه‌برداری، آنالیز یا اندازه‌گیری است.</t>
  </si>
  <si>
    <t>خطای موازنه جرمی (Mass Balance Error)</t>
  </si>
  <si>
    <t>Err_Mass = (F_dry - (C + T)) / F_dry × 100</t>
  </si>
  <si>
    <t>((Process_Data!F2*Process_Data!G2/100)-(Dewatering_Balance!N2+Dewatering_Balance!O2))/(Process_Data!F2*Process_Data!G2/100)*100</t>
  </si>
  <si>
    <t>درصد اختلاف بین جریان خشک ورودی و مجموع خروجی‌ها؛ در شرایط پایدار معمولاً زیر ۱.۵٪ است.</t>
  </si>
  <si>
    <t>خطای موازنه آهن (Fe Balance Error)</t>
  </si>
  <si>
    <t>Err_Fe = (F_dry×f_f - (C×f_c + T×f_t)) / (F_dry×f_f) × 100</t>
  </si>
  <si>
    <t>((Process_Data!F2*Process_Data!G2/100)*Process_Data!I2-(Dewatering_Balance!N2*Dewatering_Balance!P2+Dewatering_Balance!O2*Dewatering_Balance!R2))/((Process_Data!F2*Process_Data!G2/100)*Process_Data!I2)*100</t>
  </si>
  <si>
    <t>سازگاری عیارها و جریان‌ها؛ ابزار داده‌محور QC برای اعتبارسنجی ارقام پیش از تصمیم‌گیری فرآیندی.</t>
  </si>
  <si>
    <t>Date</t>
  </si>
  <si>
    <t>Feed_Fe_avg</t>
  </si>
  <si>
    <t>Conc_Fe_avg</t>
  </si>
  <si>
    <t>Conc_SiO2_avg</t>
  </si>
  <si>
    <t>Fe_Rec_avg</t>
  </si>
  <si>
    <t>Cake_Moist_avg</t>
  </si>
  <si>
    <t>Ovf_Turb_avg</t>
  </si>
  <si>
    <t>Slimes_avg</t>
  </si>
  <si>
    <t>Flocc_avg</t>
  </si>
  <si>
    <t>MBErr_avg</t>
  </si>
  <si>
    <t>دبی خشک خوراک</t>
  </si>
  <si>
    <t xml:space="preserve">بازده جرمی کنسانتره </t>
  </si>
  <si>
    <t>بازیابی آهن</t>
  </si>
  <si>
    <t>انحراف موزانه آهن</t>
  </si>
  <si>
    <t>USL</t>
  </si>
  <si>
    <t>Target</t>
  </si>
  <si>
    <t>LSL</t>
  </si>
  <si>
    <t>2026-09-05 14:01</t>
  </si>
  <si>
    <t>2026-09-05 14:02</t>
  </si>
  <si>
    <t>2026-09-05 14:03</t>
  </si>
  <si>
    <t>2026-09-05 14:04</t>
  </si>
  <si>
    <t>2026-09-05 14:05</t>
  </si>
  <si>
    <t>2026-09-05 14:06</t>
  </si>
  <si>
    <t>2026-09-05 14:07</t>
  </si>
  <si>
    <t>2026-09-05 14:08</t>
  </si>
  <si>
    <t>2026-09-05 14:09</t>
  </si>
  <si>
    <t>2026-09-05 14:10</t>
  </si>
  <si>
    <t>2026-09-05 14:11</t>
  </si>
  <si>
    <t>2026-09-05 14:12</t>
  </si>
  <si>
    <t>2026-09-05 14:13</t>
  </si>
  <si>
    <t>2026-09-05 14:14</t>
  </si>
  <si>
    <t>2026-09-05 14:15</t>
  </si>
  <si>
    <t>2026-09-05 14:16</t>
  </si>
  <si>
    <t>2026-09-05 14:17</t>
  </si>
  <si>
    <t>2026-09-05 14:18</t>
  </si>
  <si>
    <t>2026-09-05 14:19</t>
  </si>
  <si>
    <t>2026-09-05 14:20</t>
  </si>
  <si>
    <t>2026-09-05 14:21</t>
  </si>
  <si>
    <t>2026-09-05 14:22</t>
  </si>
  <si>
    <t>2026-09-05 14:23</t>
  </si>
  <si>
    <t>2026-09-05 14:24</t>
  </si>
  <si>
    <t>2026-09-05 14:25</t>
  </si>
  <si>
    <t>2026-09-05 14:26</t>
  </si>
  <si>
    <t>2026-09-05 14:27</t>
  </si>
  <si>
    <t>2026-09-05 14:28</t>
  </si>
  <si>
    <t>2026-09-05 14:29</t>
  </si>
  <si>
    <t>2026-09-05 14:30</t>
  </si>
  <si>
    <t>2026-09-05 14:31</t>
  </si>
  <si>
    <t>2026-09-05 14:32</t>
  </si>
  <si>
    <t>2026-09-05 14:33</t>
  </si>
  <si>
    <t>2026-09-05 14:34</t>
  </si>
  <si>
    <t>2026-09-05 14:35</t>
  </si>
  <si>
    <t>2026-09-05 14:36</t>
  </si>
  <si>
    <t>2026-09-05 14:37</t>
  </si>
  <si>
    <t>2026-09-05 14:38</t>
  </si>
  <si>
    <t>2026-09-05 14:39</t>
  </si>
  <si>
    <t>2026-09-05 14:40</t>
  </si>
  <si>
    <t>2026-09-05 14:41</t>
  </si>
  <si>
    <t>2026-09-05 14:42</t>
  </si>
  <si>
    <t>2026-09-05 14:43</t>
  </si>
  <si>
    <t>Shift_A</t>
  </si>
  <si>
    <t>Shift_B</t>
  </si>
  <si>
    <t>Shift_C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</si>
</sst>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F5F7FA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D7DCE3"/>
      </left>
      <right style="thin">
        <color rgb="FFD7DCE3"/>
      </right>
      <top style="thin">
        <color rgb="FFD7DCE3"/>
      </top>
      <bottom style="thin">
        <color rgb="FFD7DCE3"/>
      </bottom>
      <diagonal/>
    </border>
    <border>
      <left style="thin">
        <color rgb="FFD7DCE3"/>
      </left>
      <right style="thin">
        <color rgb="FFD7DCE3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3" fontId="0" fillId="3" borderId="1" xfId="0" applyNumberFormat="1" applyFill="1" applyBorder="1"/>
    <xf numFmtId="164" fontId="0" fillId="3" borderId="1" xfId="0" applyNumberFormat="1" applyFill="1" applyBorder="1"/>
    <xf numFmtId="3" fontId="0" fillId="0" borderId="1" xfId="0" applyNumberFormat="1" applyBorder="1"/>
    <xf numFmtId="164" fontId="0" fillId="0" borderId="1" xfId="0" applyNumberFormat="1" applyBorder="1"/>
    <xf numFmtId="0" fontId="1" fillId="4" borderId="2" xfId="0" applyFont="1" applyFill="1" applyBorder="1" applyAlignment="1">
      <alignment horizontal="center" vertical="center" wrapText="1"/>
    </xf>
    <xf numFmtId="0" fontId="0" fillId="4" borderId="0" xfId="0" applyFill="1"/>
    <xf numFmtId="14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SPC_Sample!$C$1</c:f>
              <c:strCache>
                <c:ptCount val="1"/>
                <c:pt idx="0">
                  <c:v>Filter_Cake_Moisture_pct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SPC_Sample!$B$2:$B$31</c:f>
              <c:strCache>
                <c:ptCount val="30"/>
                <c:pt idx="0">
                  <c:v>2026-09-01 00:00</c:v>
                </c:pt>
                <c:pt idx="1">
                  <c:v>2026-09-01 04:00</c:v>
                </c:pt>
                <c:pt idx="2">
                  <c:v>2026-09-01 08:00</c:v>
                </c:pt>
                <c:pt idx="3">
                  <c:v>2026-09-01 12:00</c:v>
                </c:pt>
                <c:pt idx="4">
                  <c:v>2026-09-01 16:00</c:v>
                </c:pt>
                <c:pt idx="5">
                  <c:v>2026-09-01 20:00</c:v>
                </c:pt>
                <c:pt idx="6">
                  <c:v>2026-09-01 22:00</c:v>
                </c:pt>
                <c:pt idx="7">
                  <c:v>2026-09-02 02:00</c:v>
                </c:pt>
                <c:pt idx="8">
                  <c:v>2026-09-02 06:00</c:v>
                </c:pt>
                <c:pt idx="9">
                  <c:v>2026-09-02 10:00</c:v>
                </c:pt>
                <c:pt idx="10">
                  <c:v>2026-09-02 14:00</c:v>
                </c:pt>
                <c:pt idx="11">
                  <c:v>2026-09-02 18:00</c:v>
                </c:pt>
                <c:pt idx="12">
                  <c:v>2026-09-02 22:00</c:v>
                </c:pt>
                <c:pt idx="13">
                  <c:v>2026-09-03 02:00</c:v>
                </c:pt>
                <c:pt idx="14">
                  <c:v>2026-09-03 06:00</c:v>
                </c:pt>
                <c:pt idx="15">
                  <c:v>2026-09-03 08:00</c:v>
                </c:pt>
                <c:pt idx="16">
                  <c:v>2026-09-03 12:00</c:v>
                </c:pt>
                <c:pt idx="17">
                  <c:v>2026-09-03 16:00</c:v>
                </c:pt>
                <c:pt idx="18">
                  <c:v>2026-09-03 20:00</c:v>
                </c:pt>
                <c:pt idx="19">
                  <c:v>2026-09-04 00:00</c:v>
                </c:pt>
                <c:pt idx="20">
                  <c:v>2026-09-04 04:00</c:v>
                </c:pt>
                <c:pt idx="21">
                  <c:v>2026-09-04 08:00</c:v>
                </c:pt>
                <c:pt idx="22">
                  <c:v>2026-09-04 12:00</c:v>
                </c:pt>
                <c:pt idx="23">
                  <c:v>2026-09-04 16:00</c:v>
                </c:pt>
                <c:pt idx="24">
                  <c:v>2026-09-04 20:00</c:v>
                </c:pt>
                <c:pt idx="25">
                  <c:v>2026-09-05 00:00</c:v>
                </c:pt>
                <c:pt idx="26">
                  <c:v>2026-09-05 02:00</c:v>
                </c:pt>
                <c:pt idx="27">
                  <c:v>2026-09-05 06:00</c:v>
                </c:pt>
                <c:pt idx="28">
                  <c:v>2026-09-05 10:00</c:v>
                </c:pt>
                <c:pt idx="29">
                  <c:v>2026-09-05 14:00</c:v>
                </c:pt>
              </c:strCache>
            </c:strRef>
          </c:cat>
          <c:val>
            <c:numRef>
              <c:f>SPC_Sample!$C$2:$C$31</c:f>
              <c:numCache>
                <c:formatCode>#,##0.##</c:formatCode>
                <c:ptCount val="30"/>
                <c:pt idx="0">
                  <c:v>10.199999999999999</c:v>
                </c:pt>
                <c:pt idx="1">
                  <c:v>8.9</c:v>
                </c:pt>
                <c:pt idx="2">
                  <c:v>9.1</c:v>
                </c:pt>
                <c:pt idx="3">
                  <c:v>9.1999999999999993</c:v>
                </c:pt>
                <c:pt idx="4">
                  <c:v>9</c:v>
                </c:pt>
                <c:pt idx="5">
                  <c:v>9.6999999999999993</c:v>
                </c:pt>
                <c:pt idx="6">
                  <c:v>9</c:v>
                </c:pt>
                <c:pt idx="7">
                  <c:v>9.1</c:v>
                </c:pt>
                <c:pt idx="8">
                  <c:v>9.6</c:v>
                </c:pt>
                <c:pt idx="9">
                  <c:v>9.6999999999999993</c:v>
                </c:pt>
                <c:pt idx="10">
                  <c:v>8.9</c:v>
                </c:pt>
                <c:pt idx="11">
                  <c:v>9.1</c:v>
                </c:pt>
                <c:pt idx="12">
                  <c:v>9.1</c:v>
                </c:pt>
                <c:pt idx="13">
                  <c:v>9.1</c:v>
                </c:pt>
                <c:pt idx="14">
                  <c:v>8.9</c:v>
                </c:pt>
                <c:pt idx="15">
                  <c:v>9.1999999999999993</c:v>
                </c:pt>
                <c:pt idx="16">
                  <c:v>9.3000000000000007</c:v>
                </c:pt>
                <c:pt idx="17">
                  <c:v>9.1</c:v>
                </c:pt>
                <c:pt idx="18">
                  <c:v>10.4</c:v>
                </c:pt>
                <c:pt idx="19">
                  <c:v>9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9.8000000000000007</c:v>
                </c:pt>
                <c:pt idx="24">
                  <c:v>10.4</c:v>
                </c:pt>
                <c:pt idx="25">
                  <c:v>9.5</c:v>
                </c:pt>
                <c:pt idx="26">
                  <c:v>9.9</c:v>
                </c:pt>
                <c:pt idx="27">
                  <c:v>9.1999999999999993</c:v>
                </c:pt>
                <c:pt idx="28">
                  <c:v>9.8000000000000007</c:v>
                </c:pt>
                <c:pt idx="29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CC-42DC-9549-2ACBF085E2BA}"/>
            </c:ext>
          </c:extLst>
        </c:ser>
        <c:ser>
          <c:idx val="1"/>
          <c:order val="1"/>
          <c:tx>
            <c:strRef>
              <c:f>SPC_Sample!$D$1</c:f>
              <c:strCache>
                <c:ptCount val="1"/>
                <c:pt idx="0">
                  <c:v>USL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SPC_Sample!$B$2:$B$31</c:f>
              <c:strCache>
                <c:ptCount val="30"/>
                <c:pt idx="0">
                  <c:v>2026-09-01 00:00</c:v>
                </c:pt>
                <c:pt idx="1">
                  <c:v>2026-09-01 04:00</c:v>
                </c:pt>
                <c:pt idx="2">
                  <c:v>2026-09-01 08:00</c:v>
                </c:pt>
                <c:pt idx="3">
                  <c:v>2026-09-01 12:00</c:v>
                </c:pt>
                <c:pt idx="4">
                  <c:v>2026-09-01 16:00</c:v>
                </c:pt>
                <c:pt idx="5">
                  <c:v>2026-09-01 20:00</c:v>
                </c:pt>
                <c:pt idx="6">
                  <c:v>2026-09-01 22:00</c:v>
                </c:pt>
                <c:pt idx="7">
                  <c:v>2026-09-02 02:00</c:v>
                </c:pt>
                <c:pt idx="8">
                  <c:v>2026-09-02 06:00</c:v>
                </c:pt>
                <c:pt idx="9">
                  <c:v>2026-09-02 10:00</c:v>
                </c:pt>
                <c:pt idx="10">
                  <c:v>2026-09-02 14:00</c:v>
                </c:pt>
                <c:pt idx="11">
                  <c:v>2026-09-02 18:00</c:v>
                </c:pt>
                <c:pt idx="12">
                  <c:v>2026-09-02 22:00</c:v>
                </c:pt>
                <c:pt idx="13">
                  <c:v>2026-09-03 02:00</c:v>
                </c:pt>
                <c:pt idx="14">
                  <c:v>2026-09-03 06:00</c:v>
                </c:pt>
                <c:pt idx="15">
                  <c:v>2026-09-03 08:00</c:v>
                </c:pt>
                <c:pt idx="16">
                  <c:v>2026-09-03 12:00</c:v>
                </c:pt>
                <c:pt idx="17">
                  <c:v>2026-09-03 16:00</c:v>
                </c:pt>
                <c:pt idx="18">
                  <c:v>2026-09-03 20:00</c:v>
                </c:pt>
                <c:pt idx="19">
                  <c:v>2026-09-04 00:00</c:v>
                </c:pt>
                <c:pt idx="20">
                  <c:v>2026-09-04 04:00</c:v>
                </c:pt>
                <c:pt idx="21">
                  <c:v>2026-09-04 08:00</c:v>
                </c:pt>
                <c:pt idx="22">
                  <c:v>2026-09-04 12:00</c:v>
                </c:pt>
                <c:pt idx="23">
                  <c:v>2026-09-04 16:00</c:v>
                </c:pt>
                <c:pt idx="24">
                  <c:v>2026-09-04 20:00</c:v>
                </c:pt>
                <c:pt idx="25">
                  <c:v>2026-09-05 00:00</c:v>
                </c:pt>
                <c:pt idx="26">
                  <c:v>2026-09-05 02:00</c:v>
                </c:pt>
                <c:pt idx="27">
                  <c:v>2026-09-05 06:00</c:v>
                </c:pt>
                <c:pt idx="28">
                  <c:v>2026-09-05 10:00</c:v>
                </c:pt>
                <c:pt idx="29">
                  <c:v>2026-09-05 14:00</c:v>
                </c:pt>
              </c:strCache>
            </c:strRef>
          </c:cat>
          <c:val>
            <c:numRef>
              <c:f>SPC_Sample!$D$2:$D$31</c:f>
              <c:numCache>
                <c:formatCode>#,##0.##</c:formatCode>
                <c:ptCount val="30"/>
                <c:pt idx="0">
                  <c:v>10.5</c:v>
                </c:pt>
                <c:pt idx="1">
                  <c:v>10.5</c:v>
                </c:pt>
                <c:pt idx="2">
                  <c:v>10.5</c:v>
                </c:pt>
                <c:pt idx="3">
                  <c:v>10.5</c:v>
                </c:pt>
                <c:pt idx="4">
                  <c:v>10.5</c:v>
                </c:pt>
                <c:pt idx="5">
                  <c:v>10.5</c:v>
                </c:pt>
                <c:pt idx="6">
                  <c:v>10.5</c:v>
                </c:pt>
                <c:pt idx="7">
                  <c:v>10.5</c:v>
                </c:pt>
                <c:pt idx="8">
                  <c:v>10.5</c:v>
                </c:pt>
                <c:pt idx="9">
                  <c:v>10.5</c:v>
                </c:pt>
                <c:pt idx="10">
                  <c:v>10.5</c:v>
                </c:pt>
                <c:pt idx="11">
                  <c:v>10.5</c:v>
                </c:pt>
                <c:pt idx="12">
                  <c:v>10.5</c:v>
                </c:pt>
                <c:pt idx="13">
                  <c:v>10.5</c:v>
                </c:pt>
                <c:pt idx="14">
                  <c:v>10.5</c:v>
                </c:pt>
                <c:pt idx="15">
                  <c:v>10.5</c:v>
                </c:pt>
                <c:pt idx="16">
                  <c:v>10.5</c:v>
                </c:pt>
                <c:pt idx="17">
                  <c:v>10.5</c:v>
                </c:pt>
                <c:pt idx="18">
                  <c:v>10.5</c:v>
                </c:pt>
                <c:pt idx="19">
                  <c:v>10.5</c:v>
                </c:pt>
                <c:pt idx="20">
                  <c:v>10.5</c:v>
                </c:pt>
                <c:pt idx="21">
                  <c:v>10.5</c:v>
                </c:pt>
                <c:pt idx="22">
                  <c:v>10.5</c:v>
                </c:pt>
                <c:pt idx="23">
                  <c:v>10.5</c:v>
                </c:pt>
                <c:pt idx="24">
                  <c:v>10.5</c:v>
                </c:pt>
                <c:pt idx="25">
                  <c:v>10.5</c:v>
                </c:pt>
                <c:pt idx="26">
                  <c:v>10.5</c:v>
                </c:pt>
                <c:pt idx="27">
                  <c:v>10.5</c:v>
                </c:pt>
                <c:pt idx="28">
                  <c:v>10.5</c:v>
                </c:pt>
                <c:pt idx="29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CC-42DC-9549-2ACBF085E2BA}"/>
            </c:ext>
          </c:extLst>
        </c:ser>
        <c:ser>
          <c:idx val="2"/>
          <c:order val="2"/>
          <c:tx>
            <c:strRef>
              <c:f>SPC_Sample!$E$1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SPC_Sample!$B$2:$B$31</c:f>
              <c:strCache>
                <c:ptCount val="30"/>
                <c:pt idx="0">
                  <c:v>2026-09-01 00:00</c:v>
                </c:pt>
                <c:pt idx="1">
                  <c:v>2026-09-01 04:00</c:v>
                </c:pt>
                <c:pt idx="2">
                  <c:v>2026-09-01 08:00</c:v>
                </c:pt>
                <c:pt idx="3">
                  <c:v>2026-09-01 12:00</c:v>
                </c:pt>
                <c:pt idx="4">
                  <c:v>2026-09-01 16:00</c:v>
                </c:pt>
                <c:pt idx="5">
                  <c:v>2026-09-01 20:00</c:v>
                </c:pt>
                <c:pt idx="6">
                  <c:v>2026-09-01 22:00</c:v>
                </c:pt>
                <c:pt idx="7">
                  <c:v>2026-09-02 02:00</c:v>
                </c:pt>
                <c:pt idx="8">
                  <c:v>2026-09-02 06:00</c:v>
                </c:pt>
                <c:pt idx="9">
                  <c:v>2026-09-02 10:00</c:v>
                </c:pt>
                <c:pt idx="10">
                  <c:v>2026-09-02 14:00</c:v>
                </c:pt>
                <c:pt idx="11">
                  <c:v>2026-09-02 18:00</c:v>
                </c:pt>
                <c:pt idx="12">
                  <c:v>2026-09-02 22:00</c:v>
                </c:pt>
                <c:pt idx="13">
                  <c:v>2026-09-03 02:00</c:v>
                </c:pt>
                <c:pt idx="14">
                  <c:v>2026-09-03 06:00</c:v>
                </c:pt>
                <c:pt idx="15">
                  <c:v>2026-09-03 08:00</c:v>
                </c:pt>
                <c:pt idx="16">
                  <c:v>2026-09-03 12:00</c:v>
                </c:pt>
                <c:pt idx="17">
                  <c:v>2026-09-03 16:00</c:v>
                </c:pt>
                <c:pt idx="18">
                  <c:v>2026-09-03 20:00</c:v>
                </c:pt>
                <c:pt idx="19">
                  <c:v>2026-09-04 00:00</c:v>
                </c:pt>
                <c:pt idx="20">
                  <c:v>2026-09-04 04:00</c:v>
                </c:pt>
                <c:pt idx="21">
                  <c:v>2026-09-04 08:00</c:v>
                </c:pt>
                <c:pt idx="22">
                  <c:v>2026-09-04 12:00</c:v>
                </c:pt>
                <c:pt idx="23">
                  <c:v>2026-09-04 16:00</c:v>
                </c:pt>
                <c:pt idx="24">
                  <c:v>2026-09-04 20:00</c:v>
                </c:pt>
                <c:pt idx="25">
                  <c:v>2026-09-05 00:00</c:v>
                </c:pt>
                <c:pt idx="26">
                  <c:v>2026-09-05 02:00</c:v>
                </c:pt>
                <c:pt idx="27">
                  <c:v>2026-09-05 06:00</c:v>
                </c:pt>
                <c:pt idx="28">
                  <c:v>2026-09-05 10:00</c:v>
                </c:pt>
                <c:pt idx="29">
                  <c:v>2026-09-05 14:00</c:v>
                </c:pt>
              </c:strCache>
            </c:strRef>
          </c:cat>
          <c:val>
            <c:numRef>
              <c:f>SPC_Sample!$E$2:$E$31</c:f>
              <c:numCache>
                <c:formatCode>#,##0.##</c:formatCode>
                <c:ptCount val="30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9.5</c:v>
                </c:pt>
                <c:pt idx="5">
                  <c:v>9.5</c:v>
                </c:pt>
                <c:pt idx="6">
                  <c:v>9.5</c:v>
                </c:pt>
                <c:pt idx="7">
                  <c:v>9.5</c:v>
                </c:pt>
                <c:pt idx="8">
                  <c:v>9.5</c:v>
                </c:pt>
                <c:pt idx="9">
                  <c:v>9.5</c:v>
                </c:pt>
                <c:pt idx="10">
                  <c:v>9.5</c:v>
                </c:pt>
                <c:pt idx="11">
                  <c:v>9.5</c:v>
                </c:pt>
                <c:pt idx="12">
                  <c:v>9.5</c:v>
                </c:pt>
                <c:pt idx="13">
                  <c:v>9.5</c:v>
                </c:pt>
                <c:pt idx="14">
                  <c:v>9.5</c:v>
                </c:pt>
                <c:pt idx="15">
                  <c:v>9.5</c:v>
                </c:pt>
                <c:pt idx="16">
                  <c:v>9.5</c:v>
                </c:pt>
                <c:pt idx="17">
                  <c:v>9.5</c:v>
                </c:pt>
                <c:pt idx="18">
                  <c:v>9.5</c:v>
                </c:pt>
                <c:pt idx="19">
                  <c:v>9.5</c:v>
                </c:pt>
                <c:pt idx="20">
                  <c:v>9.5</c:v>
                </c:pt>
                <c:pt idx="21">
                  <c:v>9.5</c:v>
                </c:pt>
                <c:pt idx="22">
                  <c:v>9.5</c:v>
                </c:pt>
                <c:pt idx="23">
                  <c:v>9.5</c:v>
                </c:pt>
                <c:pt idx="24">
                  <c:v>9.5</c:v>
                </c:pt>
                <c:pt idx="25">
                  <c:v>9.5</c:v>
                </c:pt>
                <c:pt idx="26">
                  <c:v>9.5</c:v>
                </c:pt>
                <c:pt idx="27">
                  <c:v>9.5</c:v>
                </c:pt>
                <c:pt idx="28">
                  <c:v>9.5</c:v>
                </c:pt>
                <c:pt idx="29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CC-42DC-9549-2ACBF085E2BA}"/>
            </c:ext>
          </c:extLst>
        </c:ser>
        <c:ser>
          <c:idx val="3"/>
          <c:order val="3"/>
          <c:tx>
            <c:strRef>
              <c:f>SPC_Sample!$F$1</c:f>
              <c:strCache>
                <c:ptCount val="1"/>
                <c:pt idx="0">
                  <c:v>LSL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SPC_Sample!$B$2:$B$31</c:f>
              <c:strCache>
                <c:ptCount val="30"/>
                <c:pt idx="0">
                  <c:v>2026-09-01 00:00</c:v>
                </c:pt>
                <c:pt idx="1">
                  <c:v>2026-09-01 04:00</c:v>
                </c:pt>
                <c:pt idx="2">
                  <c:v>2026-09-01 08:00</c:v>
                </c:pt>
                <c:pt idx="3">
                  <c:v>2026-09-01 12:00</c:v>
                </c:pt>
                <c:pt idx="4">
                  <c:v>2026-09-01 16:00</c:v>
                </c:pt>
                <c:pt idx="5">
                  <c:v>2026-09-01 20:00</c:v>
                </c:pt>
                <c:pt idx="6">
                  <c:v>2026-09-01 22:00</c:v>
                </c:pt>
                <c:pt idx="7">
                  <c:v>2026-09-02 02:00</c:v>
                </c:pt>
                <c:pt idx="8">
                  <c:v>2026-09-02 06:00</c:v>
                </c:pt>
                <c:pt idx="9">
                  <c:v>2026-09-02 10:00</c:v>
                </c:pt>
                <c:pt idx="10">
                  <c:v>2026-09-02 14:00</c:v>
                </c:pt>
                <c:pt idx="11">
                  <c:v>2026-09-02 18:00</c:v>
                </c:pt>
                <c:pt idx="12">
                  <c:v>2026-09-02 22:00</c:v>
                </c:pt>
                <c:pt idx="13">
                  <c:v>2026-09-03 02:00</c:v>
                </c:pt>
                <c:pt idx="14">
                  <c:v>2026-09-03 06:00</c:v>
                </c:pt>
                <c:pt idx="15">
                  <c:v>2026-09-03 08:00</c:v>
                </c:pt>
                <c:pt idx="16">
                  <c:v>2026-09-03 12:00</c:v>
                </c:pt>
                <c:pt idx="17">
                  <c:v>2026-09-03 16:00</c:v>
                </c:pt>
                <c:pt idx="18">
                  <c:v>2026-09-03 20:00</c:v>
                </c:pt>
                <c:pt idx="19">
                  <c:v>2026-09-04 00:00</c:v>
                </c:pt>
                <c:pt idx="20">
                  <c:v>2026-09-04 04:00</c:v>
                </c:pt>
                <c:pt idx="21">
                  <c:v>2026-09-04 08:00</c:v>
                </c:pt>
                <c:pt idx="22">
                  <c:v>2026-09-04 12:00</c:v>
                </c:pt>
                <c:pt idx="23">
                  <c:v>2026-09-04 16:00</c:v>
                </c:pt>
                <c:pt idx="24">
                  <c:v>2026-09-04 20:00</c:v>
                </c:pt>
                <c:pt idx="25">
                  <c:v>2026-09-05 00:00</c:v>
                </c:pt>
                <c:pt idx="26">
                  <c:v>2026-09-05 02:00</c:v>
                </c:pt>
                <c:pt idx="27">
                  <c:v>2026-09-05 06:00</c:v>
                </c:pt>
                <c:pt idx="28">
                  <c:v>2026-09-05 10:00</c:v>
                </c:pt>
                <c:pt idx="29">
                  <c:v>2026-09-05 14:00</c:v>
                </c:pt>
              </c:strCache>
            </c:strRef>
          </c:cat>
          <c:val>
            <c:numRef>
              <c:f>SPC_Sample!$F$2:$F$31</c:f>
              <c:numCache>
                <c:formatCode>#,##0.##</c:formatCode>
                <c:ptCount val="30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8.5</c:v>
                </c:pt>
                <c:pt idx="5">
                  <c:v>8.5</c:v>
                </c:pt>
                <c:pt idx="6">
                  <c:v>8.5</c:v>
                </c:pt>
                <c:pt idx="7">
                  <c:v>8.5</c:v>
                </c:pt>
                <c:pt idx="8">
                  <c:v>8.5</c:v>
                </c:pt>
                <c:pt idx="9">
                  <c:v>8.5</c:v>
                </c:pt>
                <c:pt idx="10">
                  <c:v>8.5</c:v>
                </c:pt>
                <c:pt idx="11">
                  <c:v>8.5</c:v>
                </c:pt>
                <c:pt idx="12">
                  <c:v>8.5</c:v>
                </c:pt>
                <c:pt idx="13">
                  <c:v>8.5</c:v>
                </c:pt>
                <c:pt idx="14">
                  <c:v>8.5</c:v>
                </c:pt>
                <c:pt idx="15">
                  <c:v>8.5</c:v>
                </c:pt>
                <c:pt idx="16">
                  <c:v>8.5</c:v>
                </c:pt>
                <c:pt idx="17">
                  <c:v>8.5</c:v>
                </c:pt>
                <c:pt idx="18">
                  <c:v>8.5</c:v>
                </c:pt>
                <c:pt idx="19">
                  <c:v>8.5</c:v>
                </c:pt>
                <c:pt idx="20">
                  <c:v>8.5</c:v>
                </c:pt>
                <c:pt idx="21">
                  <c:v>8.5</c:v>
                </c:pt>
                <c:pt idx="22">
                  <c:v>8.5</c:v>
                </c:pt>
                <c:pt idx="23">
                  <c:v>8.5</c:v>
                </c:pt>
                <c:pt idx="24">
                  <c:v>8.5</c:v>
                </c:pt>
                <c:pt idx="25">
                  <c:v>8.5</c:v>
                </c:pt>
                <c:pt idx="26">
                  <c:v>8.5</c:v>
                </c:pt>
                <c:pt idx="27">
                  <c:v>8.5</c:v>
                </c:pt>
                <c:pt idx="28">
                  <c:v>8.5</c:v>
                </c:pt>
                <c:pt idx="29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CC-42DC-9549-2ACBF085E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647327"/>
        <c:axId val="442378351"/>
      </c:lineChart>
      <c:catAx>
        <c:axId val="21964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378351"/>
        <c:crosses val="autoZero"/>
        <c:auto val="1"/>
        <c:lblAlgn val="ctr"/>
        <c:lblOffset val="100"/>
        <c:noMultiLvlLbl val="0"/>
      </c:catAx>
      <c:valAx>
        <c:axId val="44237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64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0</xdr:row>
      <xdr:rowOff>300990</xdr:rowOff>
    </xdr:from>
    <xdr:to>
      <xdr:col>15</xdr:col>
      <xdr:colOff>457200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7B8A0-04E1-639F-FBB9-E49D4DB12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80" customWidth="1"/>
  </cols>
  <sheetData>
    <row r="1" spans="1:2" ht="24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3" t="s">
        <v>8</v>
      </c>
      <c r="B5" s="3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3" t="s">
        <v>12</v>
      </c>
      <c r="B7" s="3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3" t="s">
        <v>16</v>
      </c>
      <c r="B9" s="3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3" t="s">
        <v>20</v>
      </c>
      <c r="B11" s="3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3" t="s">
        <v>24</v>
      </c>
      <c r="B13" s="3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3" t="s">
        <v>28</v>
      </c>
      <c r="B15" s="3" t="s">
        <v>29</v>
      </c>
    </row>
    <row r="16" spans="1:2" x14ac:dyDescent="0.3">
      <c r="A16" s="2" t="s">
        <v>30</v>
      </c>
      <c r="B16" s="2" t="s">
        <v>31</v>
      </c>
    </row>
  </sheetData>
  <autoFilter ref="A1:B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rightToLeft="1" workbookViewId="0">
      <pane ySplit="1" topLeftCell="A32" activePane="bottomLeft" state="frozen"/>
      <selection pane="bottomLeft"/>
    </sheetView>
  </sheetViews>
  <sheetFormatPr defaultRowHeight="14.4" x14ac:dyDescent="0.3"/>
  <cols>
    <col min="1" max="1" width="34" customWidth="1"/>
    <col min="2" max="2" width="50" customWidth="1"/>
    <col min="3" max="3" width="14" customWidth="1"/>
    <col min="4" max="4" width="12" customWidth="1"/>
    <col min="5" max="5" width="24" customWidth="1"/>
    <col min="6" max="6" width="12" customWidth="1"/>
    <col min="7" max="7" width="60" customWidth="1"/>
  </cols>
  <sheetData>
    <row r="1" spans="1:7" ht="24" customHeight="1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3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 x14ac:dyDescent="0.3">
      <c r="A3" s="3" t="s">
        <v>46</v>
      </c>
      <c r="B3" s="3" t="s">
        <v>47</v>
      </c>
      <c r="C3" s="3" t="s">
        <v>41</v>
      </c>
      <c r="D3" s="3" t="s">
        <v>48</v>
      </c>
      <c r="E3" s="3" t="s">
        <v>49</v>
      </c>
      <c r="F3" s="3" t="s">
        <v>50</v>
      </c>
      <c r="G3" s="3" t="s">
        <v>51</v>
      </c>
    </row>
    <row r="4" spans="1:7" x14ac:dyDescent="0.3">
      <c r="A4" s="2" t="s">
        <v>52</v>
      </c>
      <c r="B4" s="2" t="s">
        <v>53</v>
      </c>
      <c r="C4" s="2" t="s">
        <v>41</v>
      </c>
      <c r="D4" s="2" t="s">
        <v>48</v>
      </c>
      <c r="E4" s="2" t="s">
        <v>54</v>
      </c>
      <c r="F4" s="2" t="s">
        <v>55</v>
      </c>
      <c r="G4" s="2" t="s">
        <v>56</v>
      </c>
    </row>
    <row r="5" spans="1:7" x14ac:dyDescent="0.3">
      <c r="A5" s="3" t="s">
        <v>57</v>
      </c>
      <c r="B5" s="3" t="s">
        <v>58</v>
      </c>
      <c r="C5" s="3" t="s">
        <v>41</v>
      </c>
      <c r="D5" s="3" t="s">
        <v>48</v>
      </c>
      <c r="E5" s="3" t="s">
        <v>59</v>
      </c>
      <c r="F5" s="3" t="s">
        <v>60</v>
      </c>
      <c r="G5" s="3" t="s">
        <v>61</v>
      </c>
    </row>
    <row r="6" spans="1:7" x14ac:dyDescent="0.3">
      <c r="A6" s="2" t="s">
        <v>62</v>
      </c>
      <c r="B6" s="2" t="s">
        <v>63</v>
      </c>
      <c r="C6" s="2" t="s">
        <v>41</v>
      </c>
      <c r="D6" s="2" t="s">
        <v>48</v>
      </c>
      <c r="E6" s="2" t="s">
        <v>64</v>
      </c>
      <c r="F6" s="2" t="s">
        <v>65</v>
      </c>
      <c r="G6" s="2" t="s">
        <v>66</v>
      </c>
    </row>
    <row r="7" spans="1:7" x14ac:dyDescent="0.3">
      <c r="A7" s="3" t="s">
        <v>67</v>
      </c>
      <c r="B7" s="3" t="s">
        <v>68</v>
      </c>
      <c r="C7" s="3" t="s">
        <v>69</v>
      </c>
      <c r="D7" s="3" t="s">
        <v>70</v>
      </c>
      <c r="E7" s="3" t="s">
        <v>71</v>
      </c>
      <c r="F7" s="3" t="s">
        <v>72</v>
      </c>
      <c r="G7" s="3" t="s">
        <v>73</v>
      </c>
    </row>
    <row r="8" spans="1:7" x14ac:dyDescent="0.3">
      <c r="A8" s="2" t="s">
        <v>74</v>
      </c>
      <c r="B8" s="2" t="s">
        <v>75</v>
      </c>
      <c r="C8" s="2" t="s">
        <v>76</v>
      </c>
      <c r="D8" s="2" t="s">
        <v>70</v>
      </c>
      <c r="E8" s="2" t="s">
        <v>77</v>
      </c>
      <c r="F8" s="2" t="s">
        <v>60</v>
      </c>
      <c r="G8" s="2" t="s">
        <v>78</v>
      </c>
    </row>
    <row r="9" spans="1:7" x14ac:dyDescent="0.3">
      <c r="A9" s="3" t="s">
        <v>79</v>
      </c>
      <c r="B9" s="3" t="s">
        <v>80</v>
      </c>
      <c r="C9" s="3" t="s">
        <v>76</v>
      </c>
      <c r="D9" s="3" t="s">
        <v>70</v>
      </c>
      <c r="E9" s="3" t="s">
        <v>81</v>
      </c>
      <c r="F9" s="3" t="s">
        <v>72</v>
      </c>
      <c r="G9" s="3" t="s">
        <v>82</v>
      </c>
    </row>
    <row r="10" spans="1:7" x14ac:dyDescent="0.3">
      <c r="A10" s="2" t="s">
        <v>83</v>
      </c>
      <c r="B10" s="2" t="s">
        <v>84</v>
      </c>
      <c r="C10" s="2" t="s">
        <v>76</v>
      </c>
      <c r="D10" s="2" t="s">
        <v>70</v>
      </c>
      <c r="E10" s="2" t="s">
        <v>85</v>
      </c>
      <c r="F10" s="2" t="s">
        <v>86</v>
      </c>
      <c r="G10" s="2" t="s">
        <v>87</v>
      </c>
    </row>
    <row r="11" spans="1:7" x14ac:dyDescent="0.3">
      <c r="A11" s="3" t="s">
        <v>88</v>
      </c>
      <c r="B11" s="3" t="s">
        <v>89</v>
      </c>
      <c r="C11" s="3" t="s">
        <v>76</v>
      </c>
      <c r="D11" s="3" t="s">
        <v>70</v>
      </c>
      <c r="E11" s="3" t="s">
        <v>90</v>
      </c>
      <c r="F11" s="3" t="s">
        <v>86</v>
      </c>
      <c r="G11" s="3" t="s">
        <v>91</v>
      </c>
    </row>
    <row r="12" spans="1:7" x14ac:dyDescent="0.3">
      <c r="A12" s="2" t="s">
        <v>92</v>
      </c>
      <c r="B12" s="2" t="s">
        <v>93</v>
      </c>
      <c r="C12" s="2" t="s">
        <v>94</v>
      </c>
      <c r="D12" s="2" t="s">
        <v>70</v>
      </c>
      <c r="E12" s="2" t="s">
        <v>95</v>
      </c>
      <c r="F12" s="2" t="s">
        <v>60</v>
      </c>
      <c r="G12" s="2" t="s">
        <v>96</v>
      </c>
    </row>
    <row r="13" spans="1:7" x14ac:dyDescent="0.3">
      <c r="A13" s="3" t="s">
        <v>97</v>
      </c>
      <c r="B13" s="3" t="s">
        <v>98</v>
      </c>
      <c r="C13" s="3" t="s">
        <v>76</v>
      </c>
      <c r="D13" s="3" t="s">
        <v>70</v>
      </c>
      <c r="E13" s="3" t="s">
        <v>99</v>
      </c>
      <c r="F13" s="3" t="s">
        <v>100</v>
      </c>
      <c r="G13" s="3" t="s">
        <v>101</v>
      </c>
    </row>
    <row r="14" spans="1:7" x14ac:dyDescent="0.3">
      <c r="A14" s="2" t="s">
        <v>102</v>
      </c>
      <c r="B14" s="2" t="s">
        <v>103</v>
      </c>
      <c r="C14" s="2" t="s">
        <v>76</v>
      </c>
      <c r="D14" s="2" t="s">
        <v>70</v>
      </c>
      <c r="E14" s="2" t="s">
        <v>104</v>
      </c>
      <c r="F14" s="2" t="s">
        <v>105</v>
      </c>
      <c r="G14" s="2" t="s">
        <v>106</v>
      </c>
    </row>
    <row r="15" spans="1:7" x14ac:dyDescent="0.3">
      <c r="A15" s="3" t="s">
        <v>107</v>
      </c>
      <c r="B15" s="3" t="s">
        <v>108</v>
      </c>
      <c r="C15" s="3" t="s">
        <v>109</v>
      </c>
      <c r="D15" s="3" t="s">
        <v>70</v>
      </c>
      <c r="E15" s="3" t="s">
        <v>110</v>
      </c>
      <c r="F15" s="3" t="s">
        <v>111</v>
      </c>
      <c r="G15" s="3" t="s">
        <v>112</v>
      </c>
    </row>
    <row r="16" spans="1:7" x14ac:dyDescent="0.3">
      <c r="A16" s="2" t="s">
        <v>113</v>
      </c>
      <c r="B16" s="2" t="s">
        <v>114</v>
      </c>
      <c r="C16" s="2" t="s">
        <v>115</v>
      </c>
      <c r="D16" s="2" t="s">
        <v>70</v>
      </c>
      <c r="E16" s="2" t="s">
        <v>116</v>
      </c>
      <c r="F16" s="2" t="s">
        <v>111</v>
      </c>
      <c r="G16" s="2" t="s">
        <v>117</v>
      </c>
    </row>
    <row r="17" spans="1:7" x14ac:dyDescent="0.3">
      <c r="A17" s="3" t="s">
        <v>118</v>
      </c>
      <c r="B17" s="3" t="s">
        <v>119</v>
      </c>
      <c r="C17" s="3" t="s">
        <v>76</v>
      </c>
      <c r="D17" s="3" t="s">
        <v>70</v>
      </c>
      <c r="E17" s="3" t="s">
        <v>120</v>
      </c>
      <c r="F17" s="3" t="s">
        <v>111</v>
      </c>
      <c r="G17" s="3" t="s">
        <v>121</v>
      </c>
    </row>
    <row r="18" spans="1:7" x14ac:dyDescent="0.3">
      <c r="A18" s="2" t="s">
        <v>122</v>
      </c>
      <c r="B18" s="2" t="s">
        <v>123</v>
      </c>
      <c r="C18" s="2" t="s">
        <v>124</v>
      </c>
      <c r="D18" s="2" t="s">
        <v>70</v>
      </c>
      <c r="E18" s="2" t="s">
        <v>125</v>
      </c>
      <c r="F18" s="2" t="s">
        <v>111</v>
      </c>
      <c r="G18" s="2" t="s">
        <v>126</v>
      </c>
    </row>
    <row r="19" spans="1:7" x14ac:dyDescent="0.3">
      <c r="A19" s="3" t="s">
        <v>127</v>
      </c>
      <c r="B19" s="3" t="s">
        <v>128</v>
      </c>
      <c r="C19" s="3" t="s">
        <v>76</v>
      </c>
      <c r="D19" s="3" t="s">
        <v>70</v>
      </c>
      <c r="E19" s="3" t="s">
        <v>129</v>
      </c>
      <c r="F19" s="3" t="s">
        <v>100</v>
      </c>
      <c r="G19" s="3" t="s">
        <v>130</v>
      </c>
    </row>
    <row r="20" spans="1:7" x14ac:dyDescent="0.3">
      <c r="A20" s="2" t="s">
        <v>131</v>
      </c>
      <c r="B20" s="2" t="s">
        <v>132</v>
      </c>
      <c r="C20" s="2" t="s">
        <v>133</v>
      </c>
      <c r="D20" s="2" t="s">
        <v>70</v>
      </c>
      <c r="E20" s="2" t="s">
        <v>134</v>
      </c>
      <c r="F20" s="2" t="s">
        <v>111</v>
      </c>
      <c r="G20" s="2" t="s">
        <v>135</v>
      </c>
    </row>
    <row r="21" spans="1:7" x14ac:dyDescent="0.3">
      <c r="A21" s="3" t="s">
        <v>136</v>
      </c>
      <c r="B21" s="3" t="s">
        <v>137</v>
      </c>
      <c r="C21" s="3" t="s">
        <v>41</v>
      </c>
      <c r="D21" s="3" t="s">
        <v>70</v>
      </c>
      <c r="E21" s="3" t="s">
        <v>138</v>
      </c>
      <c r="F21" s="3" t="s">
        <v>139</v>
      </c>
      <c r="G21" s="3" t="s">
        <v>140</v>
      </c>
    </row>
    <row r="22" spans="1:7" x14ac:dyDescent="0.3">
      <c r="A22" s="2" t="s">
        <v>141</v>
      </c>
      <c r="B22" s="2" t="s">
        <v>142</v>
      </c>
      <c r="C22" s="2" t="s">
        <v>143</v>
      </c>
      <c r="D22" s="2" t="s">
        <v>70</v>
      </c>
      <c r="E22" s="2" t="s">
        <v>144</v>
      </c>
      <c r="F22" s="2" t="s">
        <v>111</v>
      </c>
      <c r="G22" s="2" t="s">
        <v>145</v>
      </c>
    </row>
    <row r="23" spans="1:7" x14ac:dyDescent="0.3">
      <c r="A23" s="3" t="s">
        <v>146</v>
      </c>
      <c r="B23" s="3" t="s">
        <v>147</v>
      </c>
      <c r="C23" s="3" t="s">
        <v>143</v>
      </c>
      <c r="D23" s="3" t="s">
        <v>70</v>
      </c>
      <c r="E23" s="3" t="s">
        <v>148</v>
      </c>
      <c r="F23" s="3" t="s">
        <v>111</v>
      </c>
      <c r="G23" s="3" t="s">
        <v>149</v>
      </c>
    </row>
    <row r="24" spans="1:7" x14ac:dyDescent="0.3">
      <c r="A24" s="2" t="s">
        <v>150</v>
      </c>
      <c r="B24" s="2" t="s">
        <v>151</v>
      </c>
      <c r="C24" s="2" t="s">
        <v>152</v>
      </c>
      <c r="D24" s="2" t="s">
        <v>70</v>
      </c>
      <c r="E24" s="2" t="s">
        <v>153</v>
      </c>
      <c r="F24" s="2" t="s">
        <v>154</v>
      </c>
      <c r="G24" s="2" t="s">
        <v>155</v>
      </c>
    </row>
    <row r="25" spans="1:7" x14ac:dyDescent="0.3">
      <c r="A25" s="3" t="s">
        <v>156</v>
      </c>
      <c r="B25" s="3" t="s">
        <v>157</v>
      </c>
      <c r="C25" s="3" t="s">
        <v>158</v>
      </c>
      <c r="D25" s="3" t="s">
        <v>70</v>
      </c>
      <c r="E25" s="3" t="s">
        <v>159</v>
      </c>
      <c r="F25" s="3" t="s">
        <v>160</v>
      </c>
      <c r="G25" s="3" t="s">
        <v>161</v>
      </c>
    </row>
    <row r="26" spans="1:7" x14ac:dyDescent="0.3">
      <c r="A26" s="2" t="s">
        <v>162</v>
      </c>
      <c r="B26" s="2" t="s">
        <v>163</v>
      </c>
      <c r="C26" s="2" t="s">
        <v>164</v>
      </c>
      <c r="D26" s="2" t="s">
        <v>70</v>
      </c>
      <c r="E26" s="2" t="s">
        <v>165</v>
      </c>
      <c r="F26" s="2" t="s">
        <v>166</v>
      </c>
      <c r="G26" s="2" t="s">
        <v>167</v>
      </c>
    </row>
    <row r="27" spans="1:7" x14ac:dyDescent="0.3">
      <c r="A27" s="3" t="s">
        <v>168</v>
      </c>
      <c r="B27" s="3" t="s">
        <v>169</v>
      </c>
      <c r="C27" s="3" t="s">
        <v>170</v>
      </c>
      <c r="D27" s="3" t="s">
        <v>70</v>
      </c>
      <c r="E27" s="3" t="s">
        <v>171</v>
      </c>
      <c r="F27" s="3" t="s">
        <v>166</v>
      </c>
      <c r="G27" s="3" t="s">
        <v>172</v>
      </c>
    </row>
    <row r="28" spans="1:7" x14ac:dyDescent="0.3">
      <c r="A28" s="2" t="s">
        <v>173</v>
      </c>
      <c r="B28" s="2" t="s">
        <v>174</v>
      </c>
      <c r="C28" s="2" t="s">
        <v>143</v>
      </c>
      <c r="D28" s="2" t="s">
        <v>70</v>
      </c>
      <c r="E28" s="2" t="s">
        <v>175</v>
      </c>
      <c r="F28" s="2" t="s">
        <v>111</v>
      </c>
      <c r="G28" s="2" t="s">
        <v>176</v>
      </c>
    </row>
    <row r="29" spans="1:7" x14ac:dyDescent="0.3">
      <c r="A29" s="3" t="s">
        <v>177</v>
      </c>
      <c r="B29" s="3" t="s">
        <v>178</v>
      </c>
      <c r="C29" s="3" t="s">
        <v>170</v>
      </c>
      <c r="D29" s="3" t="s">
        <v>70</v>
      </c>
      <c r="E29" s="3" t="s">
        <v>179</v>
      </c>
      <c r="F29" s="3" t="s">
        <v>180</v>
      </c>
      <c r="G29" s="3" t="s">
        <v>181</v>
      </c>
    </row>
    <row r="30" spans="1:7" x14ac:dyDescent="0.3">
      <c r="A30" s="2" t="s">
        <v>182</v>
      </c>
      <c r="B30" s="2" t="s">
        <v>183</v>
      </c>
      <c r="C30" s="2" t="s">
        <v>76</v>
      </c>
      <c r="D30" s="2" t="s">
        <v>70</v>
      </c>
      <c r="E30" s="2" t="s">
        <v>184</v>
      </c>
      <c r="F30" s="2" t="s">
        <v>180</v>
      </c>
      <c r="G30" s="2" t="s">
        <v>185</v>
      </c>
    </row>
    <row r="31" spans="1:7" x14ac:dyDescent="0.3">
      <c r="A31" s="3" t="s">
        <v>186</v>
      </c>
      <c r="B31" s="3" t="s">
        <v>187</v>
      </c>
      <c r="C31" s="3" t="s">
        <v>76</v>
      </c>
      <c r="D31" s="3" t="s">
        <v>70</v>
      </c>
      <c r="E31" s="3" t="s">
        <v>188</v>
      </c>
      <c r="F31" s="3" t="s">
        <v>189</v>
      </c>
      <c r="G31" s="3" t="s">
        <v>190</v>
      </c>
    </row>
    <row r="32" spans="1:7" x14ac:dyDescent="0.3">
      <c r="A32" s="2" t="s">
        <v>191</v>
      </c>
      <c r="B32" s="2" t="s">
        <v>192</v>
      </c>
      <c r="C32" s="2" t="s">
        <v>76</v>
      </c>
      <c r="D32" s="2" t="s">
        <v>70</v>
      </c>
      <c r="E32" s="2" t="s">
        <v>193</v>
      </c>
      <c r="F32" s="2" t="s">
        <v>60</v>
      </c>
      <c r="G32" s="2" t="s">
        <v>194</v>
      </c>
    </row>
    <row r="33" spans="1:7" x14ac:dyDescent="0.3">
      <c r="A33" s="3" t="s">
        <v>195</v>
      </c>
      <c r="B33" s="3" t="s">
        <v>196</v>
      </c>
      <c r="C33" s="3" t="s">
        <v>197</v>
      </c>
      <c r="D33" s="3" t="s">
        <v>70</v>
      </c>
      <c r="E33" s="3" t="s">
        <v>198</v>
      </c>
      <c r="F33" s="3" t="s">
        <v>111</v>
      </c>
      <c r="G33" s="3" t="s">
        <v>199</v>
      </c>
    </row>
    <row r="34" spans="1:7" x14ac:dyDescent="0.3">
      <c r="A34" s="2" t="s">
        <v>200</v>
      </c>
      <c r="B34" s="2" t="s">
        <v>201</v>
      </c>
      <c r="C34" s="2" t="s">
        <v>202</v>
      </c>
      <c r="D34" s="2" t="s">
        <v>70</v>
      </c>
      <c r="E34" s="2" t="s">
        <v>203</v>
      </c>
      <c r="F34" s="2" t="s">
        <v>111</v>
      </c>
      <c r="G34" s="2" t="s">
        <v>204</v>
      </c>
    </row>
    <row r="35" spans="1:7" x14ac:dyDescent="0.3">
      <c r="A35" s="3" t="s">
        <v>205</v>
      </c>
      <c r="B35" s="3" t="s">
        <v>206</v>
      </c>
      <c r="C35" s="3" t="s">
        <v>76</v>
      </c>
      <c r="D35" s="3" t="s">
        <v>70</v>
      </c>
      <c r="E35" s="3" t="s">
        <v>207</v>
      </c>
      <c r="F35" s="3" t="s">
        <v>100</v>
      </c>
      <c r="G35" s="3" t="s">
        <v>208</v>
      </c>
    </row>
    <row r="36" spans="1:7" x14ac:dyDescent="0.3">
      <c r="A36" s="2" t="s">
        <v>209</v>
      </c>
      <c r="B36" s="2" t="s">
        <v>210</v>
      </c>
      <c r="C36" s="2" t="s">
        <v>76</v>
      </c>
      <c r="D36" s="2" t="s">
        <v>70</v>
      </c>
      <c r="E36" s="2" t="s">
        <v>211</v>
      </c>
      <c r="F36" s="2" t="s">
        <v>212</v>
      </c>
      <c r="G36" s="2" t="s">
        <v>213</v>
      </c>
    </row>
    <row r="37" spans="1:7" x14ac:dyDescent="0.3">
      <c r="A37" s="3" t="s">
        <v>214</v>
      </c>
      <c r="B37" s="3" t="s">
        <v>215</v>
      </c>
      <c r="C37" s="3" t="s">
        <v>76</v>
      </c>
      <c r="D37" s="3" t="s">
        <v>70</v>
      </c>
      <c r="E37" s="3" t="s">
        <v>216</v>
      </c>
      <c r="F37" s="3" t="s">
        <v>217</v>
      </c>
      <c r="G37" s="3" t="s">
        <v>218</v>
      </c>
    </row>
    <row r="38" spans="1:7" x14ac:dyDescent="0.3">
      <c r="A38" s="2" t="s">
        <v>219</v>
      </c>
      <c r="B38" s="2" t="s">
        <v>220</v>
      </c>
      <c r="C38" s="2" t="s">
        <v>170</v>
      </c>
      <c r="D38" s="2" t="s">
        <v>70</v>
      </c>
      <c r="E38" s="2" t="s">
        <v>221</v>
      </c>
      <c r="F38" s="2" t="s">
        <v>222</v>
      </c>
      <c r="G38" s="2" t="s">
        <v>223</v>
      </c>
    </row>
    <row r="39" spans="1:7" x14ac:dyDescent="0.3">
      <c r="A39" s="3" t="s">
        <v>224</v>
      </c>
      <c r="B39" s="3" t="s">
        <v>225</v>
      </c>
      <c r="C39" s="3" t="s">
        <v>69</v>
      </c>
      <c r="D39" s="3" t="s">
        <v>226</v>
      </c>
      <c r="E39" s="3" t="s">
        <v>227</v>
      </c>
      <c r="F39" s="3" t="s">
        <v>228</v>
      </c>
      <c r="G39" s="3" t="s">
        <v>229</v>
      </c>
    </row>
    <row r="40" spans="1:7" x14ac:dyDescent="0.3">
      <c r="A40" s="2" t="s">
        <v>230</v>
      </c>
      <c r="B40" s="2" t="s">
        <v>231</v>
      </c>
      <c r="C40" s="2" t="s">
        <v>69</v>
      </c>
      <c r="D40" s="2" t="s">
        <v>70</v>
      </c>
      <c r="E40" s="2" t="s">
        <v>232</v>
      </c>
      <c r="F40" s="2" t="s">
        <v>233</v>
      </c>
      <c r="G40" s="2" t="s">
        <v>234</v>
      </c>
    </row>
    <row r="41" spans="1:7" x14ac:dyDescent="0.3">
      <c r="A41" s="3" t="s">
        <v>235</v>
      </c>
      <c r="B41" s="3" t="s">
        <v>236</v>
      </c>
      <c r="C41" s="3" t="s">
        <v>69</v>
      </c>
      <c r="D41" s="3" t="s">
        <v>70</v>
      </c>
      <c r="E41" s="3" t="s">
        <v>237</v>
      </c>
      <c r="F41" s="3" t="s">
        <v>233</v>
      </c>
      <c r="G41" s="3" t="s">
        <v>238</v>
      </c>
    </row>
    <row r="42" spans="1:7" x14ac:dyDescent="0.3">
      <c r="A42" s="2" t="s">
        <v>239</v>
      </c>
      <c r="B42" s="2" t="s">
        <v>240</v>
      </c>
      <c r="C42" s="2" t="s">
        <v>76</v>
      </c>
      <c r="D42" s="2" t="s">
        <v>70</v>
      </c>
      <c r="E42" s="2" t="s">
        <v>90</v>
      </c>
      <c r="F42" s="2" t="s">
        <v>241</v>
      </c>
      <c r="G42" s="2" t="s">
        <v>242</v>
      </c>
    </row>
    <row r="43" spans="1:7" x14ac:dyDescent="0.3">
      <c r="A43" s="3" t="s">
        <v>243</v>
      </c>
      <c r="B43" s="3" t="s">
        <v>244</v>
      </c>
      <c r="C43" s="3" t="s">
        <v>76</v>
      </c>
      <c r="D43" s="3" t="s">
        <v>70</v>
      </c>
      <c r="E43" s="3" t="s">
        <v>90</v>
      </c>
      <c r="F43" s="3" t="s">
        <v>245</v>
      </c>
      <c r="G43" s="3" t="s">
        <v>246</v>
      </c>
    </row>
    <row r="44" spans="1:7" x14ac:dyDescent="0.3">
      <c r="A44" s="2" t="s">
        <v>247</v>
      </c>
      <c r="B44" s="2" t="s">
        <v>248</v>
      </c>
      <c r="C44" s="2" t="s">
        <v>76</v>
      </c>
      <c r="D44" s="2" t="s">
        <v>70</v>
      </c>
      <c r="E44" s="2" t="s">
        <v>90</v>
      </c>
      <c r="F44" s="2" t="s">
        <v>249</v>
      </c>
      <c r="G44" s="2" t="s">
        <v>250</v>
      </c>
    </row>
    <row r="45" spans="1:7" x14ac:dyDescent="0.3">
      <c r="A45" s="3" t="s">
        <v>251</v>
      </c>
      <c r="B45" s="3" t="s">
        <v>252</v>
      </c>
      <c r="C45" s="3" t="s">
        <v>76</v>
      </c>
      <c r="D45" s="3" t="s">
        <v>70</v>
      </c>
      <c r="E45" s="3" t="s">
        <v>90</v>
      </c>
      <c r="F45" s="3" t="s">
        <v>253</v>
      </c>
      <c r="G45" s="3" t="s">
        <v>254</v>
      </c>
    </row>
    <row r="46" spans="1:7" x14ac:dyDescent="0.3">
      <c r="A46" s="2" t="s">
        <v>255</v>
      </c>
      <c r="B46" s="2" t="s">
        <v>256</v>
      </c>
      <c r="C46" s="2" t="s">
        <v>76</v>
      </c>
      <c r="D46" s="2" t="s">
        <v>226</v>
      </c>
      <c r="E46" s="2" t="s">
        <v>227</v>
      </c>
      <c r="F46" s="2" t="s">
        <v>257</v>
      </c>
      <c r="G46" s="2" t="s">
        <v>258</v>
      </c>
    </row>
    <row r="47" spans="1:7" x14ac:dyDescent="0.3">
      <c r="A47" s="3" t="s">
        <v>259</v>
      </c>
      <c r="B47" s="3" t="s">
        <v>260</v>
      </c>
      <c r="C47" s="3" t="s">
        <v>76</v>
      </c>
      <c r="D47" s="3" t="s">
        <v>226</v>
      </c>
      <c r="E47" s="3" t="s">
        <v>227</v>
      </c>
      <c r="F47" s="3" t="s">
        <v>261</v>
      </c>
      <c r="G47" s="3" t="s">
        <v>262</v>
      </c>
    </row>
    <row r="48" spans="1:7" x14ac:dyDescent="0.3">
      <c r="A48" s="2" t="s">
        <v>263</v>
      </c>
      <c r="B48" s="2" t="s">
        <v>264</v>
      </c>
      <c r="C48" s="2" t="s">
        <v>76</v>
      </c>
      <c r="D48" s="2" t="s">
        <v>226</v>
      </c>
      <c r="E48" s="2" t="s">
        <v>227</v>
      </c>
      <c r="F48" s="2" t="s">
        <v>265</v>
      </c>
      <c r="G48" s="2" t="s">
        <v>266</v>
      </c>
    </row>
    <row r="49" spans="1:7" x14ac:dyDescent="0.3">
      <c r="A49" s="3" t="s">
        <v>267</v>
      </c>
      <c r="B49" s="3" t="s">
        <v>268</v>
      </c>
      <c r="C49" s="3" t="s">
        <v>76</v>
      </c>
      <c r="D49" s="3" t="s">
        <v>226</v>
      </c>
      <c r="E49" s="3" t="s">
        <v>269</v>
      </c>
      <c r="F49" s="3" t="s">
        <v>270</v>
      </c>
      <c r="G49" s="3" t="s">
        <v>271</v>
      </c>
    </row>
    <row r="50" spans="1:7" x14ac:dyDescent="0.3">
      <c r="A50" s="2" t="s">
        <v>272</v>
      </c>
      <c r="B50" s="2" t="s">
        <v>273</v>
      </c>
      <c r="C50" s="2" t="s">
        <v>76</v>
      </c>
      <c r="D50" s="2" t="s">
        <v>226</v>
      </c>
      <c r="E50" s="2" t="s">
        <v>269</v>
      </c>
      <c r="F50" s="2" t="s">
        <v>274</v>
      </c>
      <c r="G50" s="2" t="s">
        <v>275</v>
      </c>
    </row>
    <row r="51" spans="1:7" x14ac:dyDescent="0.3">
      <c r="A51" s="3" t="s">
        <v>276</v>
      </c>
      <c r="B51" s="3" t="s">
        <v>277</v>
      </c>
      <c r="C51" s="3" t="s">
        <v>76</v>
      </c>
      <c r="D51" s="3" t="s">
        <v>226</v>
      </c>
      <c r="E51" s="3" t="s">
        <v>269</v>
      </c>
      <c r="F51" s="3" t="s">
        <v>274</v>
      </c>
      <c r="G51" s="3" t="s">
        <v>278</v>
      </c>
    </row>
    <row r="52" spans="1:7" x14ac:dyDescent="0.3">
      <c r="A52" s="2" t="s">
        <v>279</v>
      </c>
      <c r="B52" s="2" t="s">
        <v>280</v>
      </c>
      <c r="C52" s="2" t="s">
        <v>41</v>
      </c>
      <c r="D52" s="2" t="s">
        <v>48</v>
      </c>
      <c r="E52" s="2" t="s">
        <v>281</v>
      </c>
      <c r="F52" s="2" t="s">
        <v>282</v>
      </c>
      <c r="G52" s="2" t="s">
        <v>283</v>
      </c>
    </row>
  </sheetData>
  <autoFilter ref="A1:G5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S109"/>
  <sheetViews>
    <sheetView rightToLeft="1" topLeftCell="K1" workbookViewId="0">
      <pane ySplit="1" topLeftCell="A5" activePane="bottomLeft" state="frozen"/>
      <selection pane="bottomLeft" activeCell="L1" sqref="L1"/>
    </sheetView>
  </sheetViews>
  <sheetFormatPr defaultRowHeight="14.4" x14ac:dyDescent="0.3"/>
  <cols>
    <col min="2" max="2" width="10" customWidth="1"/>
    <col min="3" max="3" width="18" customWidth="1"/>
    <col min="4" max="4" width="8" customWidth="1"/>
    <col min="5" max="5" width="12" customWidth="1"/>
    <col min="6" max="6" width="14" customWidth="1"/>
    <col min="7" max="9" width="12" customWidth="1"/>
    <col min="10" max="10" width="11" customWidth="1"/>
    <col min="11" max="11" width="12" customWidth="1"/>
    <col min="12" max="12" width="11" customWidth="1"/>
    <col min="13" max="13" width="12" customWidth="1"/>
    <col min="14" max="15" width="11" customWidth="1"/>
    <col min="16" max="16" width="13" customWidth="1"/>
    <col min="17" max="17" width="12" customWidth="1"/>
    <col min="18" max="18" width="11" customWidth="1"/>
    <col min="19" max="20" width="13" customWidth="1"/>
    <col min="21" max="21" width="11" customWidth="1"/>
    <col min="22" max="25" width="12" customWidth="1"/>
    <col min="26" max="27" width="14" customWidth="1"/>
    <col min="34" max="34" width="12" customWidth="1"/>
    <col min="35" max="35" width="13" customWidth="1"/>
    <col min="36" max="38" width="12" customWidth="1"/>
    <col min="39" max="40" width="11" customWidth="1"/>
    <col min="41" max="44" width="8.88671875" style="9"/>
  </cols>
  <sheetData>
    <row r="1" spans="2:45" ht="24" customHeight="1" x14ac:dyDescent="0.3">
      <c r="B1" s="1" t="s">
        <v>39</v>
      </c>
      <c r="C1" s="1" t="s">
        <v>46</v>
      </c>
      <c r="D1" s="1" t="s">
        <v>52</v>
      </c>
      <c r="E1" s="1" t="s">
        <v>57</v>
      </c>
      <c r="F1" s="1" t="s">
        <v>62</v>
      </c>
      <c r="G1" s="1" t="s">
        <v>67</v>
      </c>
      <c r="H1" s="1" t="s">
        <v>74</v>
      </c>
      <c r="I1" s="1" t="s">
        <v>79</v>
      </c>
      <c r="J1" s="1" t="s">
        <v>83</v>
      </c>
      <c r="K1" s="1" t="s">
        <v>88</v>
      </c>
      <c r="L1" s="1" t="s">
        <v>92</v>
      </c>
      <c r="M1" s="1" t="s">
        <v>97</v>
      </c>
      <c r="N1" s="1" t="s">
        <v>102</v>
      </c>
      <c r="O1" s="1" t="s">
        <v>107</v>
      </c>
      <c r="P1" s="1" t="s">
        <v>113</v>
      </c>
      <c r="Q1" s="1" t="s">
        <v>118</v>
      </c>
      <c r="R1" s="1" t="s">
        <v>122</v>
      </c>
      <c r="S1" s="1" t="s">
        <v>127</v>
      </c>
      <c r="T1" s="1" t="s">
        <v>131</v>
      </c>
      <c r="U1" s="1" t="s">
        <v>136</v>
      </c>
      <c r="V1" s="1" t="s">
        <v>141</v>
      </c>
      <c r="W1" s="1" t="s">
        <v>146</v>
      </c>
      <c r="X1" s="1" t="s">
        <v>150</v>
      </c>
      <c r="Y1" s="1" t="s">
        <v>156</v>
      </c>
      <c r="Z1" s="1" t="s">
        <v>162</v>
      </c>
      <c r="AA1" s="1" t="s">
        <v>168</v>
      </c>
      <c r="AH1" s="1" t="s">
        <v>224</v>
      </c>
      <c r="AI1" s="1" t="s">
        <v>230</v>
      </c>
      <c r="AJ1" s="1" t="s">
        <v>235</v>
      </c>
      <c r="AK1" s="1" t="s">
        <v>239</v>
      </c>
      <c r="AL1" s="1" t="s">
        <v>243</v>
      </c>
      <c r="AM1" s="1" t="s">
        <v>247</v>
      </c>
      <c r="AN1" s="1" t="s">
        <v>251</v>
      </c>
      <c r="AO1" s="8" t="s">
        <v>439</v>
      </c>
      <c r="AP1" s="8" t="s">
        <v>440</v>
      </c>
      <c r="AQ1" s="8" t="s">
        <v>441</v>
      </c>
      <c r="AR1" s="8" t="s">
        <v>277</v>
      </c>
      <c r="AS1" s="8" t="s">
        <v>442</v>
      </c>
    </row>
    <row r="2" spans="2:45" x14ac:dyDescent="0.3">
      <c r="B2" s="4">
        <v>1</v>
      </c>
      <c r="C2" s="2" t="s">
        <v>284</v>
      </c>
      <c r="D2" s="2" t="s">
        <v>285</v>
      </c>
      <c r="E2" s="2" t="s">
        <v>286</v>
      </c>
      <c r="F2" s="2" t="s">
        <v>287</v>
      </c>
      <c r="G2" s="5">
        <v>629</v>
      </c>
      <c r="H2" s="5">
        <v>32.799999999999997</v>
      </c>
      <c r="I2" s="5">
        <v>67.2</v>
      </c>
      <c r="J2" s="5">
        <v>37.76</v>
      </c>
      <c r="K2" s="5">
        <v>44.65</v>
      </c>
      <c r="L2" s="5">
        <v>104.3</v>
      </c>
      <c r="M2" s="5">
        <v>13</v>
      </c>
      <c r="N2" s="5">
        <v>83</v>
      </c>
      <c r="O2" s="5">
        <v>143</v>
      </c>
      <c r="P2" s="5">
        <v>22.1</v>
      </c>
      <c r="Q2" s="5">
        <v>49.4</v>
      </c>
      <c r="R2" s="2"/>
      <c r="S2" s="2"/>
      <c r="T2" s="2"/>
      <c r="U2" s="2"/>
      <c r="V2" s="2"/>
      <c r="W2" s="2"/>
      <c r="X2" s="2"/>
      <c r="Y2" s="2"/>
      <c r="Z2" s="5">
        <v>152</v>
      </c>
      <c r="AA2" s="5">
        <v>29.9</v>
      </c>
      <c r="AH2" s="2">
        <v>206.31199999999998</v>
      </c>
      <c r="AI2" s="5">
        <v>96.1</v>
      </c>
      <c r="AJ2" s="5">
        <v>109.4</v>
      </c>
      <c r="AK2" s="5">
        <v>66.290000000000006</v>
      </c>
      <c r="AL2" s="5">
        <v>5.52</v>
      </c>
      <c r="AM2" s="5">
        <v>12.73</v>
      </c>
      <c r="AN2" s="5">
        <v>60.62</v>
      </c>
      <c r="AO2" s="9">
        <f>G2*(H2/100)</f>
        <v>206.31199999999998</v>
      </c>
      <c r="AP2" s="9">
        <f>(AI2/AH2)*100</f>
        <v>46.579937182519679</v>
      </c>
      <c r="AQ2" s="9">
        <f>(AI2*AK2)/(AH2*J2)*100</f>
        <v>81.77394162683342</v>
      </c>
      <c r="AR2" s="9">
        <f>((AH2*J2)-(AI2*AK2+AJ2*AM2))/(AH2*J2)*100</f>
        <v>0.34928021226365541</v>
      </c>
      <c r="AS2" t="b">
        <f>ABS(AR2)&gt;5</f>
        <v>0</v>
      </c>
    </row>
    <row r="3" spans="2:45" x14ac:dyDescent="0.3">
      <c r="B3" s="6">
        <v>2</v>
      </c>
      <c r="C3" s="3" t="s">
        <v>288</v>
      </c>
      <c r="D3" s="3" t="s">
        <v>285</v>
      </c>
      <c r="E3" s="3" t="s">
        <v>286</v>
      </c>
      <c r="F3" s="3" t="s">
        <v>287</v>
      </c>
      <c r="G3" s="7">
        <v>592.29999999999995</v>
      </c>
      <c r="H3" s="7">
        <v>33.700000000000003</v>
      </c>
      <c r="I3" s="7">
        <v>66.3</v>
      </c>
      <c r="J3" s="7">
        <v>38.590000000000003</v>
      </c>
      <c r="K3" s="7">
        <v>43.84</v>
      </c>
      <c r="L3" s="7">
        <v>92.1</v>
      </c>
      <c r="M3" s="7">
        <v>10.4</v>
      </c>
      <c r="N3" s="7">
        <v>85.4</v>
      </c>
      <c r="O3" s="7">
        <v>145</v>
      </c>
      <c r="P3" s="7">
        <v>22.8</v>
      </c>
      <c r="Q3" s="7">
        <v>45.7</v>
      </c>
      <c r="R3" s="3"/>
      <c r="S3" s="3"/>
      <c r="T3" s="3"/>
      <c r="U3" s="3"/>
      <c r="V3" s="3"/>
      <c r="W3" s="3"/>
      <c r="X3" s="3"/>
      <c r="Y3" s="3"/>
      <c r="Z3" s="7">
        <v>239</v>
      </c>
      <c r="AA3" s="7">
        <v>38.200000000000003</v>
      </c>
      <c r="AH3" s="3">
        <v>199.60509999999999</v>
      </c>
      <c r="AI3" s="7">
        <v>102.7</v>
      </c>
      <c r="AJ3" s="7">
        <v>97.5</v>
      </c>
      <c r="AK3" s="7">
        <v>65.16</v>
      </c>
      <c r="AL3" s="7">
        <v>4.6100000000000003</v>
      </c>
      <c r="AM3" s="7">
        <v>10.59</v>
      </c>
      <c r="AN3" s="7">
        <v>62.28</v>
      </c>
      <c r="AO3" s="9">
        <f t="shared" ref="AO3:AO66" si="0">G3*(H3/100)</f>
        <v>199.60509999999999</v>
      </c>
      <c r="AP3" s="9">
        <f t="shared" ref="AP3:AP66" si="1">(AI3/AH3)*100</f>
        <v>51.451591166758767</v>
      </c>
      <c r="AQ3" s="9">
        <f t="shared" ref="AQ3:AQ66" si="2">(AI3*AK3)/(AH3*J3)*100</f>
        <v>86.877058316299582</v>
      </c>
      <c r="AR3" s="9">
        <f t="shared" ref="AR3:AR66" si="3">((AH3*J3)-(AI3*AK3+AJ3*AM3))/(AH3*J3)*100</f>
        <v>-0.28166772327461997</v>
      </c>
      <c r="AS3" t="b">
        <f t="shared" ref="AS3:AS66" si="4">ABS(AR3)&gt;5</f>
        <v>0</v>
      </c>
    </row>
    <row r="4" spans="2:45" x14ac:dyDescent="0.3">
      <c r="B4" s="4">
        <v>3</v>
      </c>
      <c r="C4" s="2" t="s">
        <v>289</v>
      </c>
      <c r="D4" s="2" t="s">
        <v>285</v>
      </c>
      <c r="E4" s="2" t="s">
        <v>286</v>
      </c>
      <c r="F4" s="2" t="s">
        <v>287</v>
      </c>
      <c r="G4" s="5">
        <v>665.3</v>
      </c>
      <c r="H4" s="5">
        <v>34.1</v>
      </c>
      <c r="I4" s="5">
        <v>65.900000000000006</v>
      </c>
      <c r="J4" s="5">
        <v>37.979999999999997</v>
      </c>
      <c r="K4" s="5">
        <v>44.95</v>
      </c>
      <c r="L4" s="5">
        <v>100.2</v>
      </c>
      <c r="M4" s="5">
        <v>11.8</v>
      </c>
      <c r="N4" s="5">
        <v>87.7</v>
      </c>
      <c r="O4" s="5">
        <v>157</v>
      </c>
      <c r="P4" s="5">
        <v>21.1</v>
      </c>
      <c r="Q4" s="5">
        <v>49.3</v>
      </c>
      <c r="R4" s="2"/>
      <c r="S4" s="2"/>
      <c r="T4" s="2"/>
      <c r="U4" s="2"/>
      <c r="V4" s="2"/>
      <c r="W4" s="2"/>
      <c r="X4" s="2"/>
      <c r="Y4" s="2"/>
      <c r="Z4" s="5">
        <v>143</v>
      </c>
      <c r="AA4" s="5">
        <v>18.2</v>
      </c>
      <c r="AH4" s="2">
        <v>226.8673</v>
      </c>
      <c r="AI4" s="5">
        <v>111.3</v>
      </c>
      <c r="AJ4" s="5">
        <v>116.4</v>
      </c>
      <c r="AK4" s="5">
        <v>64.819999999999993</v>
      </c>
      <c r="AL4" s="5">
        <v>6.08</v>
      </c>
      <c r="AM4" s="5">
        <v>12.33</v>
      </c>
      <c r="AN4" s="5">
        <v>64.430000000000007</v>
      </c>
      <c r="AO4" s="9">
        <f t="shared" si="0"/>
        <v>226.8673</v>
      </c>
      <c r="AP4" s="9">
        <f t="shared" si="1"/>
        <v>49.059516289919259</v>
      </c>
      <c r="AQ4" s="9">
        <f t="shared" si="2"/>
        <v>83.729274510599424</v>
      </c>
      <c r="AR4" s="9">
        <f t="shared" si="3"/>
        <v>-0.38598334101133319</v>
      </c>
      <c r="AS4" t="b">
        <f t="shared" si="4"/>
        <v>0</v>
      </c>
    </row>
    <row r="5" spans="2:45" x14ac:dyDescent="0.3">
      <c r="B5" s="6">
        <v>4</v>
      </c>
      <c r="C5" s="3" t="s">
        <v>290</v>
      </c>
      <c r="D5" s="3" t="s">
        <v>285</v>
      </c>
      <c r="E5" s="3" t="s">
        <v>286</v>
      </c>
      <c r="F5" s="3" t="s">
        <v>287</v>
      </c>
      <c r="G5" s="7">
        <v>574.29999999999995</v>
      </c>
      <c r="H5" s="7">
        <v>36</v>
      </c>
      <c r="I5" s="7">
        <v>64</v>
      </c>
      <c r="J5" s="7">
        <v>39.659999999999997</v>
      </c>
      <c r="K5" s="7">
        <v>42.44</v>
      </c>
      <c r="L5" s="7">
        <v>102.9</v>
      </c>
      <c r="M5" s="7">
        <v>10.6</v>
      </c>
      <c r="N5" s="7">
        <v>81.099999999999994</v>
      </c>
      <c r="O5" s="7">
        <v>148</v>
      </c>
      <c r="P5" s="7">
        <v>20.6</v>
      </c>
      <c r="Q5" s="7">
        <v>53.2</v>
      </c>
      <c r="R5" s="3"/>
      <c r="S5" s="3"/>
      <c r="T5" s="3"/>
      <c r="U5" s="3"/>
      <c r="V5" s="3"/>
      <c r="W5" s="3"/>
      <c r="X5" s="3"/>
      <c r="Y5" s="3"/>
      <c r="Z5" s="7">
        <v>226</v>
      </c>
      <c r="AA5" s="7">
        <v>15.2</v>
      </c>
      <c r="AH5" s="3">
        <v>206.74799999999999</v>
      </c>
      <c r="AI5" s="7">
        <v>106.3</v>
      </c>
      <c r="AJ5" s="7">
        <v>100</v>
      </c>
      <c r="AK5" s="7">
        <v>66.42</v>
      </c>
      <c r="AL5" s="7">
        <v>4.93</v>
      </c>
      <c r="AM5" s="7">
        <v>11.24</v>
      </c>
      <c r="AN5" s="7">
        <v>62.11</v>
      </c>
      <c r="AO5" s="9">
        <f t="shared" si="0"/>
        <v>206.74799999999996</v>
      </c>
      <c r="AP5" s="9">
        <f t="shared" si="1"/>
        <v>51.415249482461746</v>
      </c>
      <c r="AQ5" s="9">
        <f t="shared" si="2"/>
        <v>86.106930676376933</v>
      </c>
      <c r="AR5" s="9">
        <f t="shared" si="3"/>
        <v>0.18512649957942082</v>
      </c>
      <c r="AS5" t="b">
        <f t="shared" si="4"/>
        <v>0</v>
      </c>
    </row>
    <row r="6" spans="2:45" x14ac:dyDescent="0.3">
      <c r="B6" s="4">
        <v>5</v>
      </c>
      <c r="C6" s="2" t="s">
        <v>291</v>
      </c>
      <c r="D6" s="2" t="s">
        <v>292</v>
      </c>
      <c r="E6" s="2" t="s">
        <v>286</v>
      </c>
      <c r="F6" s="2" t="s">
        <v>287</v>
      </c>
      <c r="G6" s="5">
        <v>629.20000000000005</v>
      </c>
      <c r="H6" s="5">
        <v>34.299999999999997</v>
      </c>
      <c r="I6" s="5">
        <v>65.7</v>
      </c>
      <c r="J6" s="5">
        <v>37.71</v>
      </c>
      <c r="K6" s="5">
        <v>46.4</v>
      </c>
      <c r="L6" s="5">
        <v>103.2</v>
      </c>
      <c r="M6" s="5">
        <v>10.199999999999999</v>
      </c>
      <c r="N6" s="5">
        <v>81.400000000000006</v>
      </c>
      <c r="O6" s="5">
        <v>157</v>
      </c>
      <c r="P6" s="5">
        <v>23.9</v>
      </c>
      <c r="Q6" s="5">
        <v>47.4</v>
      </c>
      <c r="R6" s="2"/>
      <c r="S6" s="2"/>
      <c r="T6" s="2"/>
      <c r="U6" s="2"/>
      <c r="V6" s="2"/>
      <c r="W6" s="2"/>
      <c r="X6" s="2"/>
      <c r="Y6" s="2"/>
      <c r="Z6" s="5">
        <v>207</v>
      </c>
      <c r="AA6" s="5">
        <v>37.799999999999997</v>
      </c>
      <c r="AH6" s="2">
        <v>215.81560000000002</v>
      </c>
      <c r="AI6" s="5">
        <v>107.9</v>
      </c>
      <c r="AJ6" s="5">
        <v>107.6</v>
      </c>
      <c r="AK6" s="5">
        <v>65.680000000000007</v>
      </c>
      <c r="AL6" s="5">
        <v>5.65</v>
      </c>
      <c r="AM6" s="5">
        <v>9.56</v>
      </c>
      <c r="AN6" s="5">
        <v>63.58</v>
      </c>
      <c r="AO6" s="9">
        <f t="shared" si="0"/>
        <v>215.81559999999999</v>
      </c>
      <c r="AP6" s="9">
        <f t="shared" si="1"/>
        <v>49.996385803435892</v>
      </c>
      <c r="AQ6" s="9">
        <f t="shared" si="2"/>
        <v>87.07935877936012</v>
      </c>
      <c r="AR6" s="9">
        <f t="shared" si="3"/>
        <v>0.28111494098625972</v>
      </c>
      <c r="AS6" t="b">
        <f t="shared" si="4"/>
        <v>0</v>
      </c>
    </row>
    <row r="7" spans="2:45" x14ac:dyDescent="0.3">
      <c r="B7" s="6">
        <v>6</v>
      </c>
      <c r="C7" s="3" t="s">
        <v>293</v>
      </c>
      <c r="D7" s="3" t="s">
        <v>292</v>
      </c>
      <c r="E7" s="3" t="s">
        <v>286</v>
      </c>
      <c r="F7" s="3" t="s">
        <v>287</v>
      </c>
      <c r="G7" s="7">
        <v>572.70000000000005</v>
      </c>
      <c r="H7" s="7">
        <v>35.1</v>
      </c>
      <c r="I7" s="7">
        <v>64.900000000000006</v>
      </c>
      <c r="J7" s="7">
        <v>39.049999999999997</v>
      </c>
      <c r="K7" s="7">
        <v>42.94</v>
      </c>
      <c r="L7" s="7">
        <v>87.8</v>
      </c>
      <c r="M7" s="7">
        <v>10.7</v>
      </c>
      <c r="N7" s="7">
        <v>81.099999999999994</v>
      </c>
      <c r="O7" s="7">
        <v>172</v>
      </c>
      <c r="P7" s="7">
        <v>23.3</v>
      </c>
      <c r="Q7" s="7">
        <v>47.6</v>
      </c>
      <c r="R7" s="3"/>
      <c r="S7" s="3"/>
      <c r="T7" s="3"/>
      <c r="U7" s="3"/>
      <c r="V7" s="3"/>
      <c r="W7" s="3"/>
      <c r="X7" s="3"/>
      <c r="Y7" s="3"/>
      <c r="Z7" s="7">
        <v>206</v>
      </c>
      <c r="AA7" s="7">
        <v>39.5</v>
      </c>
      <c r="AH7" s="3">
        <v>201.01770000000005</v>
      </c>
      <c r="AI7" s="7">
        <v>100.4</v>
      </c>
      <c r="AJ7" s="7">
        <v>100.7</v>
      </c>
      <c r="AK7" s="7">
        <v>66.27</v>
      </c>
      <c r="AL7" s="7">
        <v>5.83</v>
      </c>
      <c r="AM7" s="7">
        <v>11.75</v>
      </c>
      <c r="AN7" s="7">
        <v>60.59</v>
      </c>
      <c r="AO7" s="9">
        <f t="shared" si="0"/>
        <v>201.01770000000005</v>
      </c>
      <c r="AP7" s="9">
        <f t="shared" si="1"/>
        <v>49.945850539529594</v>
      </c>
      <c r="AQ7" s="9">
        <f t="shared" si="2"/>
        <v>84.760858265163279</v>
      </c>
      <c r="AR7" s="9">
        <f t="shared" si="3"/>
        <v>0.16571482668573487</v>
      </c>
      <c r="AS7" t="b">
        <f t="shared" si="4"/>
        <v>0</v>
      </c>
    </row>
    <row r="8" spans="2:45" x14ac:dyDescent="0.3">
      <c r="B8" s="4">
        <v>7</v>
      </c>
      <c r="C8" s="2" t="s">
        <v>294</v>
      </c>
      <c r="D8" s="2" t="s">
        <v>292</v>
      </c>
      <c r="E8" s="2" t="s">
        <v>286</v>
      </c>
      <c r="F8" s="2" t="s">
        <v>287</v>
      </c>
      <c r="G8" s="5">
        <v>628.79999999999995</v>
      </c>
      <c r="H8" s="5">
        <v>32</v>
      </c>
      <c r="I8" s="5">
        <v>68</v>
      </c>
      <c r="J8" s="5">
        <v>37.909999999999997</v>
      </c>
      <c r="K8" s="5">
        <v>45.17</v>
      </c>
      <c r="L8" s="5">
        <v>85.1</v>
      </c>
      <c r="M8" s="5">
        <v>9.8000000000000007</v>
      </c>
      <c r="N8" s="5">
        <v>85.5</v>
      </c>
      <c r="O8" s="5">
        <v>164</v>
      </c>
      <c r="P8" s="5">
        <v>21.9</v>
      </c>
      <c r="Q8" s="5">
        <v>47.2</v>
      </c>
      <c r="R8" s="2"/>
      <c r="S8" s="2"/>
      <c r="T8" s="2"/>
      <c r="U8" s="2"/>
      <c r="V8" s="2"/>
      <c r="W8" s="2"/>
      <c r="X8" s="2"/>
      <c r="Y8" s="2"/>
      <c r="Z8" s="5">
        <v>211</v>
      </c>
      <c r="AA8" s="5">
        <v>22.1</v>
      </c>
      <c r="AH8" s="2">
        <v>201.21599999999998</v>
      </c>
      <c r="AI8" s="5">
        <v>98.5</v>
      </c>
      <c r="AJ8" s="5">
        <v>103</v>
      </c>
      <c r="AK8" s="5">
        <v>65.290000000000006</v>
      </c>
      <c r="AL8" s="5">
        <v>6.02</v>
      </c>
      <c r="AM8" s="5">
        <v>11.71</v>
      </c>
      <c r="AN8" s="5">
        <v>65.56</v>
      </c>
      <c r="AO8" s="9">
        <f t="shared" si="0"/>
        <v>201.21599999999998</v>
      </c>
      <c r="AP8" s="9">
        <f t="shared" si="1"/>
        <v>48.952369592875321</v>
      </c>
      <c r="AQ8" s="9">
        <f t="shared" si="2"/>
        <v>84.307576120254041</v>
      </c>
      <c r="AR8" s="9">
        <f t="shared" si="3"/>
        <v>-0.11924911468372634</v>
      </c>
      <c r="AS8" t="b">
        <f t="shared" si="4"/>
        <v>0</v>
      </c>
    </row>
    <row r="9" spans="2:45" x14ac:dyDescent="0.3">
      <c r="B9" s="6">
        <v>8</v>
      </c>
      <c r="C9" s="3" t="s">
        <v>295</v>
      </c>
      <c r="D9" s="3" t="s">
        <v>292</v>
      </c>
      <c r="E9" s="3" t="s">
        <v>286</v>
      </c>
      <c r="F9" s="3" t="s">
        <v>287</v>
      </c>
      <c r="G9" s="7">
        <v>614</v>
      </c>
      <c r="H9" s="7">
        <v>32.9</v>
      </c>
      <c r="I9" s="7">
        <v>67.099999999999994</v>
      </c>
      <c r="J9" s="7">
        <v>40.39</v>
      </c>
      <c r="K9" s="7">
        <v>42.77</v>
      </c>
      <c r="L9" s="7">
        <v>85.5</v>
      </c>
      <c r="M9" s="7">
        <v>12.2</v>
      </c>
      <c r="N9" s="7">
        <v>81.8</v>
      </c>
      <c r="O9" s="7">
        <v>173</v>
      </c>
      <c r="P9" s="7">
        <v>23.7</v>
      </c>
      <c r="Q9" s="7">
        <v>54.1</v>
      </c>
      <c r="R9" s="3"/>
      <c r="S9" s="3"/>
      <c r="T9" s="3"/>
      <c r="U9" s="3"/>
      <c r="V9" s="3"/>
      <c r="W9" s="3"/>
      <c r="X9" s="3"/>
      <c r="Y9" s="3"/>
      <c r="Z9" s="7">
        <v>177</v>
      </c>
      <c r="AA9" s="7">
        <v>15.5</v>
      </c>
      <c r="AH9" s="3">
        <v>202.00599999999997</v>
      </c>
      <c r="AI9" s="7">
        <v>106.4</v>
      </c>
      <c r="AJ9" s="7">
        <v>96</v>
      </c>
      <c r="AK9" s="7">
        <v>66.37</v>
      </c>
      <c r="AL9" s="7">
        <v>5.68</v>
      </c>
      <c r="AM9" s="7">
        <v>11.5</v>
      </c>
      <c r="AN9" s="7">
        <v>60.68</v>
      </c>
      <c r="AO9" s="9">
        <f t="shared" si="0"/>
        <v>202.00599999999997</v>
      </c>
      <c r="AP9" s="9">
        <f t="shared" si="1"/>
        <v>52.671702820708312</v>
      </c>
      <c r="AQ9" s="9">
        <f t="shared" si="2"/>
        <v>86.551644372627152</v>
      </c>
      <c r="AR9" s="9">
        <f t="shared" si="3"/>
        <v>-8.2677307634413444E-2</v>
      </c>
      <c r="AS9" t="b">
        <f t="shared" si="4"/>
        <v>0</v>
      </c>
    </row>
    <row r="10" spans="2:45" x14ac:dyDescent="0.3">
      <c r="B10" s="4">
        <v>9</v>
      </c>
      <c r="C10" s="2" t="s">
        <v>296</v>
      </c>
      <c r="D10" s="2" t="s">
        <v>297</v>
      </c>
      <c r="E10" s="2" t="s">
        <v>286</v>
      </c>
      <c r="F10" s="2" t="s">
        <v>287</v>
      </c>
      <c r="G10" s="5">
        <v>568.20000000000005</v>
      </c>
      <c r="H10" s="5">
        <v>34.299999999999997</v>
      </c>
      <c r="I10" s="5">
        <v>65.7</v>
      </c>
      <c r="J10" s="5">
        <v>41.01</v>
      </c>
      <c r="K10" s="5">
        <v>40.79</v>
      </c>
      <c r="L10" s="5">
        <v>98.9</v>
      </c>
      <c r="M10" s="5">
        <v>12.5</v>
      </c>
      <c r="N10" s="5">
        <v>83.6</v>
      </c>
      <c r="O10" s="5">
        <v>150</v>
      </c>
      <c r="P10" s="5">
        <v>22.9</v>
      </c>
      <c r="Q10" s="5">
        <v>53.1</v>
      </c>
      <c r="R10" s="2"/>
      <c r="S10" s="2"/>
      <c r="T10" s="2"/>
      <c r="U10" s="2"/>
      <c r="V10" s="2"/>
      <c r="W10" s="2"/>
      <c r="X10" s="2"/>
      <c r="Y10" s="2"/>
      <c r="Z10" s="5">
        <v>227</v>
      </c>
      <c r="AA10" s="5">
        <v>42.4</v>
      </c>
      <c r="AH10" s="2">
        <v>194.89259999999999</v>
      </c>
      <c r="AI10" s="5">
        <v>108.7</v>
      </c>
      <c r="AJ10" s="5">
        <v>86.1</v>
      </c>
      <c r="AK10" s="5">
        <v>64.569999999999993</v>
      </c>
      <c r="AL10" s="5">
        <v>5.29</v>
      </c>
      <c r="AM10" s="5">
        <v>11.4</v>
      </c>
      <c r="AN10" s="5">
        <v>62.01</v>
      </c>
      <c r="AO10" s="9">
        <f t="shared" si="0"/>
        <v>194.89259999999999</v>
      </c>
      <c r="AP10" s="9">
        <f t="shared" si="1"/>
        <v>55.774308516588114</v>
      </c>
      <c r="AQ10" s="9">
        <f t="shared" si="2"/>
        <v>87.816315555135191</v>
      </c>
      <c r="AR10" s="9">
        <f t="shared" si="3"/>
        <v>-9.7008818714611075E-2</v>
      </c>
      <c r="AS10" t="b">
        <f t="shared" si="4"/>
        <v>0</v>
      </c>
    </row>
    <row r="11" spans="2:45" x14ac:dyDescent="0.3">
      <c r="B11" s="6">
        <v>10</v>
      </c>
      <c r="C11" s="3" t="s">
        <v>298</v>
      </c>
      <c r="D11" s="3" t="s">
        <v>297</v>
      </c>
      <c r="E11" s="3" t="s">
        <v>286</v>
      </c>
      <c r="F11" s="3" t="s">
        <v>287</v>
      </c>
      <c r="G11" s="7">
        <v>554.9</v>
      </c>
      <c r="H11" s="7">
        <v>35.700000000000003</v>
      </c>
      <c r="I11" s="7">
        <v>64.3</v>
      </c>
      <c r="J11" s="7">
        <v>38.94</v>
      </c>
      <c r="K11" s="7">
        <v>45.11</v>
      </c>
      <c r="L11" s="7">
        <v>95.4</v>
      </c>
      <c r="M11" s="7">
        <v>12.8</v>
      </c>
      <c r="N11" s="7">
        <v>82.2</v>
      </c>
      <c r="O11" s="7">
        <v>162</v>
      </c>
      <c r="P11" s="7">
        <v>18.5</v>
      </c>
      <c r="Q11" s="7">
        <v>45.5</v>
      </c>
      <c r="R11" s="3"/>
      <c r="S11" s="3"/>
      <c r="T11" s="3"/>
      <c r="U11" s="3"/>
      <c r="V11" s="3"/>
      <c r="W11" s="3"/>
      <c r="X11" s="3"/>
      <c r="Y11" s="3"/>
      <c r="Z11" s="7">
        <v>193</v>
      </c>
      <c r="AA11" s="7">
        <v>31.2</v>
      </c>
      <c r="AH11" s="3">
        <v>198.0993</v>
      </c>
      <c r="AI11" s="7">
        <v>100.2</v>
      </c>
      <c r="AJ11" s="7">
        <v>97.5</v>
      </c>
      <c r="AK11" s="7">
        <v>66.17</v>
      </c>
      <c r="AL11" s="7">
        <v>5.68</v>
      </c>
      <c r="AM11" s="7">
        <v>10.93</v>
      </c>
      <c r="AN11" s="7">
        <v>61.21</v>
      </c>
      <c r="AO11" s="9">
        <f t="shared" si="0"/>
        <v>198.09930000000003</v>
      </c>
      <c r="AP11" s="9">
        <f t="shared" si="1"/>
        <v>50.580693621835117</v>
      </c>
      <c r="AQ11" s="9">
        <f t="shared" si="2"/>
        <v>85.950808858675657</v>
      </c>
      <c r="AR11" s="9">
        <f t="shared" si="3"/>
        <v>0.23435018239753388</v>
      </c>
      <c r="AS11" t="b">
        <f t="shared" si="4"/>
        <v>0</v>
      </c>
    </row>
    <row r="12" spans="2:45" x14ac:dyDescent="0.3">
      <c r="B12" s="4">
        <v>11</v>
      </c>
      <c r="C12" s="2" t="s">
        <v>299</v>
      </c>
      <c r="D12" s="2" t="s">
        <v>297</v>
      </c>
      <c r="E12" s="2" t="s">
        <v>286</v>
      </c>
      <c r="F12" s="2" t="s">
        <v>287</v>
      </c>
      <c r="G12" s="5">
        <v>621.4</v>
      </c>
      <c r="H12" s="5">
        <v>35.200000000000003</v>
      </c>
      <c r="I12" s="5">
        <v>64.8</v>
      </c>
      <c r="J12" s="5">
        <v>40.14</v>
      </c>
      <c r="K12" s="5">
        <v>43.11</v>
      </c>
      <c r="L12" s="5">
        <v>104.1</v>
      </c>
      <c r="M12" s="5">
        <v>12.7</v>
      </c>
      <c r="N12" s="5">
        <v>85.5</v>
      </c>
      <c r="O12" s="5">
        <v>161</v>
      </c>
      <c r="P12" s="5">
        <v>20.5</v>
      </c>
      <c r="Q12" s="5">
        <v>47.5</v>
      </c>
      <c r="R12" s="2"/>
      <c r="S12" s="2"/>
      <c r="T12" s="2"/>
      <c r="U12" s="2"/>
      <c r="V12" s="2"/>
      <c r="W12" s="2"/>
      <c r="X12" s="2"/>
      <c r="Y12" s="2"/>
      <c r="Z12" s="5">
        <v>176</v>
      </c>
      <c r="AA12" s="5">
        <v>37.700000000000003</v>
      </c>
      <c r="AH12" s="2">
        <v>218.73280000000003</v>
      </c>
      <c r="AI12" s="5">
        <v>115.6</v>
      </c>
      <c r="AJ12" s="5">
        <v>102.7</v>
      </c>
      <c r="AK12" s="5">
        <v>65.37</v>
      </c>
      <c r="AL12" s="5">
        <v>5.18</v>
      </c>
      <c r="AM12" s="5">
        <v>11.66</v>
      </c>
      <c r="AN12" s="5">
        <v>64.45</v>
      </c>
      <c r="AO12" s="9">
        <f t="shared" si="0"/>
        <v>218.73280000000003</v>
      </c>
      <c r="AP12" s="9">
        <f t="shared" si="1"/>
        <v>52.849869795476479</v>
      </c>
      <c r="AQ12" s="9">
        <f t="shared" si="2"/>
        <v>86.068659405338749</v>
      </c>
      <c r="AR12" s="9">
        <f t="shared" si="3"/>
        <v>0.29249183727860523</v>
      </c>
      <c r="AS12" t="b">
        <f t="shared" si="4"/>
        <v>0</v>
      </c>
    </row>
    <row r="13" spans="2:45" x14ac:dyDescent="0.3">
      <c r="B13" s="6">
        <v>12</v>
      </c>
      <c r="C13" s="3" t="s">
        <v>300</v>
      </c>
      <c r="D13" s="3" t="s">
        <v>297</v>
      </c>
      <c r="E13" s="3" t="s">
        <v>286</v>
      </c>
      <c r="F13" s="3" t="s">
        <v>287</v>
      </c>
      <c r="G13" s="7">
        <v>631.4</v>
      </c>
      <c r="H13" s="7">
        <v>34.299999999999997</v>
      </c>
      <c r="I13" s="7">
        <v>65.7</v>
      </c>
      <c r="J13" s="7">
        <v>40.93</v>
      </c>
      <c r="K13" s="7">
        <v>41.1</v>
      </c>
      <c r="L13" s="7">
        <v>88.3</v>
      </c>
      <c r="M13" s="7">
        <v>9.4</v>
      </c>
      <c r="N13" s="7">
        <v>86.4</v>
      </c>
      <c r="O13" s="7">
        <v>141</v>
      </c>
      <c r="P13" s="7">
        <v>21.5</v>
      </c>
      <c r="Q13" s="7">
        <v>54.4</v>
      </c>
      <c r="R13" s="3"/>
      <c r="S13" s="3"/>
      <c r="T13" s="3"/>
      <c r="U13" s="3"/>
      <c r="V13" s="3"/>
      <c r="W13" s="3"/>
      <c r="X13" s="3"/>
      <c r="Y13" s="3"/>
      <c r="Z13" s="7">
        <v>198</v>
      </c>
      <c r="AA13" s="7">
        <v>26.6</v>
      </c>
      <c r="AH13" s="3">
        <v>216.57019999999997</v>
      </c>
      <c r="AI13" s="7">
        <v>123.1</v>
      </c>
      <c r="AJ13" s="7">
        <v>93.2</v>
      </c>
      <c r="AK13" s="7">
        <v>64.69</v>
      </c>
      <c r="AL13" s="7">
        <v>5.66</v>
      </c>
      <c r="AM13" s="7">
        <v>9.75</v>
      </c>
      <c r="AN13" s="7">
        <v>62.23</v>
      </c>
      <c r="AO13" s="9">
        <f t="shared" si="0"/>
        <v>216.57019999999997</v>
      </c>
      <c r="AP13" s="9">
        <f t="shared" si="1"/>
        <v>56.840691840336298</v>
      </c>
      <c r="AQ13" s="9">
        <f t="shared" si="2"/>
        <v>89.836900932112258</v>
      </c>
      <c r="AR13" s="9">
        <f t="shared" si="3"/>
        <v>-8.8227904003124608E-2</v>
      </c>
      <c r="AS13" t="b">
        <f t="shared" si="4"/>
        <v>0</v>
      </c>
    </row>
    <row r="14" spans="2:45" x14ac:dyDescent="0.3">
      <c r="B14" s="4">
        <v>13</v>
      </c>
      <c r="C14" s="2" t="s">
        <v>301</v>
      </c>
      <c r="D14" s="2" t="s">
        <v>285</v>
      </c>
      <c r="E14" s="2" t="s">
        <v>302</v>
      </c>
      <c r="F14" s="2" t="s">
        <v>287</v>
      </c>
      <c r="G14" s="5">
        <v>655.9</v>
      </c>
      <c r="H14" s="5">
        <v>33.299999999999997</v>
      </c>
      <c r="I14" s="5">
        <v>66.7</v>
      </c>
      <c r="J14" s="5">
        <v>36.78</v>
      </c>
      <c r="K14" s="5">
        <v>46.78</v>
      </c>
      <c r="L14" s="5">
        <v>102.5</v>
      </c>
      <c r="M14" s="5">
        <v>12.7</v>
      </c>
      <c r="N14" s="5">
        <v>88</v>
      </c>
      <c r="O14" s="5">
        <v>150</v>
      </c>
      <c r="P14" s="5">
        <v>19.100000000000001</v>
      </c>
      <c r="Q14" s="5">
        <v>52.5</v>
      </c>
      <c r="R14" s="2"/>
      <c r="S14" s="2"/>
      <c r="T14" s="2"/>
      <c r="U14" s="2"/>
      <c r="V14" s="2"/>
      <c r="W14" s="2"/>
      <c r="X14" s="2"/>
      <c r="Y14" s="2"/>
      <c r="Z14" s="5">
        <v>221</v>
      </c>
      <c r="AA14" s="5">
        <v>44.7</v>
      </c>
      <c r="AH14" s="2">
        <v>218.41469999999998</v>
      </c>
      <c r="AI14" s="5">
        <v>103.9</v>
      </c>
      <c r="AJ14" s="5">
        <v>113.8</v>
      </c>
      <c r="AK14" s="5">
        <v>65.510000000000005</v>
      </c>
      <c r="AL14" s="5">
        <v>5.9</v>
      </c>
      <c r="AM14" s="5">
        <v>10.62</v>
      </c>
      <c r="AN14" s="5">
        <v>66.27</v>
      </c>
      <c r="AO14" s="9">
        <f t="shared" si="0"/>
        <v>218.41469999999998</v>
      </c>
      <c r="AP14" s="9">
        <f t="shared" si="1"/>
        <v>47.570058242416842</v>
      </c>
      <c r="AQ14" s="9">
        <f t="shared" si="2"/>
        <v>84.728507761303078</v>
      </c>
      <c r="AR14" s="9">
        <f t="shared" si="3"/>
        <v>0.22715051920404292</v>
      </c>
      <c r="AS14" t="b">
        <f t="shared" si="4"/>
        <v>0</v>
      </c>
    </row>
    <row r="15" spans="2:45" x14ac:dyDescent="0.3">
      <c r="B15" s="6">
        <v>14</v>
      </c>
      <c r="C15" s="3" t="s">
        <v>303</v>
      </c>
      <c r="D15" s="3" t="s">
        <v>285</v>
      </c>
      <c r="E15" s="3" t="s">
        <v>302</v>
      </c>
      <c r="F15" s="3" t="s">
        <v>287</v>
      </c>
      <c r="G15" s="7">
        <v>667.7</v>
      </c>
      <c r="H15" s="7">
        <v>32.4</v>
      </c>
      <c r="I15" s="7">
        <v>67.599999999999994</v>
      </c>
      <c r="J15" s="7">
        <v>37.33</v>
      </c>
      <c r="K15" s="7">
        <v>45.23</v>
      </c>
      <c r="L15" s="7">
        <v>96.5</v>
      </c>
      <c r="M15" s="7">
        <v>12.2</v>
      </c>
      <c r="N15" s="7">
        <v>84.5</v>
      </c>
      <c r="O15" s="7">
        <v>150</v>
      </c>
      <c r="P15" s="7">
        <v>20</v>
      </c>
      <c r="Q15" s="7">
        <v>51.7</v>
      </c>
      <c r="R15" s="3"/>
      <c r="S15" s="3"/>
      <c r="T15" s="3"/>
      <c r="U15" s="3"/>
      <c r="V15" s="3"/>
      <c r="W15" s="3"/>
      <c r="X15" s="3"/>
      <c r="Y15" s="3"/>
      <c r="Z15" s="7">
        <v>215</v>
      </c>
      <c r="AA15" s="7">
        <v>38.700000000000003</v>
      </c>
      <c r="AH15" s="3">
        <v>216.3348</v>
      </c>
      <c r="AI15" s="7">
        <v>106.1</v>
      </c>
      <c r="AJ15" s="7">
        <v>110.2</v>
      </c>
      <c r="AK15" s="7">
        <v>65.739999999999995</v>
      </c>
      <c r="AL15" s="7">
        <v>4.67</v>
      </c>
      <c r="AM15" s="7">
        <v>9.7899999999999991</v>
      </c>
      <c r="AN15" s="7">
        <v>64.91</v>
      </c>
      <c r="AO15" s="9">
        <f t="shared" si="0"/>
        <v>216.33480000000003</v>
      </c>
      <c r="AP15" s="9">
        <f t="shared" si="1"/>
        <v>49.044351625351077</v>
      </c>
      <c r="AQ15" s="9">
        <f t="shared" si="2"/>
        <v>86.369560028143027</v>
      </c>
      <c r="AR15" s="9">
        <f t="shared" si="3"/>
        <v>0.27125663647693904</v>
      </c>
      <c r="AS15" t="b">
        <f t="shared" si="4"/>
        <v>0</v>
      </c>
    </row>
    <row r="16" spans="2:45" x14ac:dyDescent="0.3">
      <c r="B16" s="4">
        <v>15</v>
      </c>
      <c r="C16" s="2" t="s">
        <v>304</v>
      </c>
      <c r="D16" s="2" t="s">
        <v>285</v>
      </c>
      <c r="E16" s="2" t="s">
        <v>302</v>
      </c>
      <c r="F16" s="2" t="s">
        <v>287</v>
      </c>
      <c r="G16" s="5">
        <v>641.79999999999995</v>
      </c>
      <c r="H16" s="5">
        <v>32.4</v>
      </c>
      <c r="I16" s="5">
        <v>67.599999999999994</v>
      </c>
      <c r="J16" s="5">
        <v>36.35</v>
      </c>
      <c r="K16" s="5">
        <v>47.99</v>
      </c>
      <c r="L16" s="5">
        <v>92.4</v>
      </c>
      <c r="M16" s="5">
        <v>13.1</v>
      </c>
      <c r="N16" s="5">
        <v>89.5</v>
      </c>
      <c r="O16" s="5">
        <v>175</v>
      </c>
      <c r="P16" s="5">
        <v>22.5</v>
      </c>
      <c r="Q16" s="5">
        <v>48.8</v>
      </c>
      <c r="R16" s="2"/>
      <c r="S16" s="2"/>
      <c r="T16" s="2"/>
      <c r="U16" s="2"/>
      <c r="V16" s="2"/>
      <c r="W16" s="2"/>
      <c r="X16" s="2"/>
      <c r="Y16" s="2"/>
      <c r="Z16" s="5">
        <v>148</v>
      </c>
      <c r="AA16" s="5">
        <v>38.299999999999997</v>
      </c>
      <c r="AH16" s="2">
        <v>207.94319999999996</v>
      </c>
      <c r="AI16" s="5">
        <v>91.7</v>
      </c>
      <c r="AJ16" s="5">
        <v>116.2</v>
      </c>
      <c r="AK16" s="5">
        <v>65.989999999999995</v>
      </c>
      <c r="AL16" s="5">
        <v>5.49</v>
      </c>
      <c r="AM16" s="5">
        <v>12.87</v>
      </c>
      <c r="AN16" s="5">
        <v>62.62</v>
      </c>
      <c r="AO16" s="9">
        <f t="shared" si="0"/>
        <v>207.94319999999999</v>
      </c>
      <c r="AP16" s="9">
        <f t="shared" si="1"/>
        <v>44.09858076628619</v>
      </c>
      <c r="AQ16" s="9">
        <f t="shared" si="2"/>
        <v>80.056818287956673</v>
      </c>
      <c r="AR16" s="9">
        <f t="shared" si="3"/>
        <v>0.15820530146569189</v>
      </c>
      <c r="AS16" t="b">
        <f t="shared" si="4"/>
        <v>0</v>
      </c>
    </row>
    <row r="17" spans="2:45" x14ac:dyDescent="0.3">
      <c r="B17" s="6">
        <v>16</v>
      </c>
      <c r="C17" s="3" t="s">
        <v>305</v>
      </c>
      <c r="D17" s="3" t="s">
        <v>285</v>
      </c>
      <c r="E17" s="3" t="s">
        <v>302</v>
      </c>
      <c r="F17" s="3" t="s">
        <v>287</v>
      </c>
      <c r="G17" s="7">
        <v>579.1</v>
      </c>
      <c r="H17" s="7">
        <v>36.299999999999997</v>
      </c>
      <c r="I17" s="7">
        <v>63.7</v>
      </c>
      <c r="J17" s="7">
        <v>36.08</v>
      </c>
      <c r="K17" s="7">
        <v>49.19</v>
      </c>
      <c r="L17" s="7">
        <v>102.8</v>
      </c>
      <c r="M17" s="7">
        <v>11.6</v>
      </c>
      <c r="N17" s="7">
        <v>89.9</v>
      </c>
      <c r="O17" s="7">
        <v>143</v>
      </c>
      <c r="P17" s="7">
        <v>21.3</v>
      </c>
      <c r="Q17" s="7">
        <v>54.7</v>
      </c>
      <c r="R17" s="3"/>
      <c r="S17" s="3"/>
      <c r="T17" s="3"/>
      <c r="U17" s="3"/>
      <c r="V17" s="3"/>
      <c r="W17" s="3"/>
      <c r="X17" s="3"/>
      <c r="Y17" s="3"/>
      <c r="Z17" s="7">
        <v>192</v>
      </c>
      <c r="AA17" s="7">
        <v>33.9</v>
      </c>
      <c r="AH17" s="3">
        <v>210.21329999999998</v>
      </c>
      <c r="AI17" s="7">
        <v>97.4</v>
      </c>
      <c r="AJ17" s="7">
        <v>112.7</v>
      </c>
      <c r="AK17" s="7">
        <v>65.05</v>
      </c>
      <c r="AL17" s="7">
        <v>4.82</v>
      </c>
      <c r="AM17" s="7">
        <v>11.12</v>
      </c>
      <c r="AN17" s="7">
        <v>62.47</v>
      </c>
      <c r="AO17" s="9">
        <f t="shared" si="0"/>
        <v>210.2133</v>
      </c>
      <c r="AP17" s="9">
        <f t="shared" si="1"/>
        <v>46.333890386574026</v>
      </c>
      <c r="AQ17" s="9">
        <f t="shared" si="2"/>
        <v>83.537127761824848</v>
      </c>
      <c r="AR17" s="9">
        <f t="shared" si="3"/>
        <v>-6.062546651026076E-2</v>
      </c>
      <c r="AS17" t="b">
        <f t="shared" si="4"/>
        <v>0</v>
      </c>
    </row>
    <row r="18" spans="2:45" x14ac:dyDescent="0.3">
      <c r="B18" s="4">
        <v>17</v>
      </c>
      <c r="C18" s="2" t="s">
        <v>306</v>
      </c>
      <c r="D18" s="2" t="s">
        <v>292</v>
      </c>
      <c r="E18" s="2" t="s">
        <v>302</v>
      </c>
      <c r="F18" s="2" t="s">
        <v>287</v>
      </c>
      <c r="G18" s="5">
        <v>676.7</v>
      </c>
      <c r="H18" s="5">
        <v>36.4</v>
      </c>
      <c r="I18" s="5">
        <v>63.6</v>
      </c>
      <c r="J18" s="5">
        <v>39.26</v>
      </c>
      <c r="K18" s="5">
        <v>44.23</v>
      </c>
      <c r="L18" s="5">
        <v>101.3</v>
      </c>
      <c r="M18" s="5">
        <v>12.4</v>
      </c>
      <c r="N18" s="5">
        <v>81.599999999999994</v>
      </c>
      <c r="O18" s="5">
        <v>172</v>
      </c>
      <c r="P18" s="5">
        <v>22.9</v>
      </c>
      <c r="Q18" s="5">
        <v>54.5</v>
      </c>
      <c r="R18" s="2"/>
      <c r="S18" s="2"/>
      <c r="T18" s="2"/>
      <c r="U18" s="2"/>
      <c r="V18" s="2"/>
      <c r="W18" s="2"/>
      <c r="X18" s="2"/>
      <c r="Y18" s="2"/>
      <c r="Z18" s="5">
        <v>213</v>
      </c>
      <c r="AA18" s="5">
        <v>33.4</v>
      </c>
      <c r="AH18" s="2">
        <v>246.31880000000001</v>
      </c>
      <c r="AI18" s="5">
        <v>122.4</v>
      </c>
      <c r="AJ18" s="5">
        <v>123.9</v>
      </c>
      <c r="AK18" s="5">
        <v>66.44</v>
      </c>
      <c r="AL18" s="5">
        <v>5.93</v>
      </c>
      <c r="AM18" s="5">
        <v>12.43</v>
      </c>
      <c r="AN18" s="5">
        <v>63.28</v>
      </c>
      <c r="AO18" s="9">
        <f t="shared" si="0"/>
        <v>246.31880000000001</v>
      </c>
      <c r="AP18" s="9">
        <f t="shared" si="1"/>
        <v>49.691700349303424</v>
      </c>
      <c r="AQ18" s="9">
        <f t="shared" si="2"/>
        <v>84.093646744975032</v>
      </c>
      <c r="AR18" s="9">
        <f t="shared" si="3"/>
        <v>-1.9201867447925618E-2</v>
      </c>
      <c r="AS18" t="b">
        <f t="shared" si="4"/>
        <v>0</v>
      </c>
    </row>
    <row r="19" spans="2:45" x14ac:dyDescent="0.3">
      <c r="B19" s="6">
        <v>18</v>
      </c>
      <c r="C19" s="3" t="s">
        <v>307</v>
      </c>
      <c r="D19" s="3" t="s">
        <v>292</v>
      </c>
      <c r="E19" s="3" t="s">
        <v>302</v>
      </c>
      <c r="F19" s="3" t="s">
        <v>287</v>
      </c>
      <c r="G19" s="7">
        <v>557.29999999999995</v>
      </c>
      <c r="H19" s="7">
        <v>35.9</v>
      </c>
      <c r="I19" s="7">
        <v>64.099999999999994</v>
      </c>
      <c r="J19" s="7">
        <v>39.25</v>
      </c>
      <c r="K19" s="7">
        <v>42.52</v>
      </c>
      <c r="L19" s="7">
        <v>96.1</v>
      </c>
      <c r="M19" s="7">
        <v>12.8</v>
      </c>
      <c r="N19" s="7">
        <v>89.4</v>
      </c>
      <c r="O19" s="7">
        <v>170</v>
      </c>
      <c r="P19" s="7">
        <v>19.5</v>
      </c>
      <c r="Q19" s="7">
        <v>49.5</v>
      </c>
      <c r="R19" s="3"/>
      <c r="S19" s="3"/>
      <c r="T19" s="3"/>
      <c r="U19" s="3"/>
      <c r="V19" s="3"/>
      <c r="W19" s="3"/>
      <c r="X19" s="3"/>
      <c r="Y19" s="3"/>
      <c r="Z19" s="7">
        <v>153</v>
      </c>
      <c r="AA19" s="7">
        <v>43.6</v>
      </c>
      <c r="AH19" s="3">
        <v>200.07069999999996</v>
      </c>
      <c r="AI19" s="7">
        <v>100.3</v>
      </c>
      <c r="AJ19" s="7">
        <v>99</v>
      </c>
      <c r="AK19" s="7">
        <v>65.599999999999994</v>
      </c>
      <c r="AL19" s="7">
        <v>5.45</v>
      </c>
      <c r="AM19" s="7">
        <v>12.57</v>
      </c>
      <c r="AN19" s="7">
        <v>62.82</v>
      </c>
      <c r="AO19" s="9">
        <f t="shared" si="0"/>
        <v>200.07069999999999</v>
      </c>
      <c r="AP19" s="9">
        <f t="shared" si="1"/>
        <v>50.132278239642289</v>
      </c>
      <c r="AQ19" s="9">
        <f t="shared" si="2"/>
        <v>83.787960573771585</v>
      </c>
      <c r="AR19" s="9">
        <f t="shared" si="3"/>
        <v>0.36502987913516244</v>
      </c>
      <c r="AS19" t="b">
        <f t="shared" si="4"/>
        <v>0</v>
      </c>
    </row>
    <row r="20" spans="2:45" x14ac:dyDescent="0.3">
      <c r="B20" s="4">
        <v>19</v>
      </c>
      <c r="C20" s="2" t="s">
        <v>308</v>
      </c>
      <c r="D20" s="2" t="s">
        <v>292</v>
      </c>
      <c r="E20" s="2" t="s">
        <v>302</v>
      </c>
      <c r="F20" s="2" t="s">
        <v>287</v>
      </c>
      <c r="G20" s="5">
        <v>648.20000000000005</v>
      </c>
      <c r="H20" s="5">
        <v>34.799999999999997</v>
      </c>
      <c r="I20" s="5">
        <v>65.2</v>
      </c>
      <c r="J20" s="5">
        <v>39.6</v>
      </c>
      <c r="K20" s="5">
        <v>44.19</v>
      </c>
      <c r="L20" s="5">
        <v>85.3</v>
      </c>
      <c r="M20" s="5">
        <v>10.8</v>
      </c>
      <c r="N20" s="5">
        <v>85.9</v>
      </c>
      <c r="O20" s="5">
        <v>154</v>
      </c>
      <c r="P20" s="5">
        <v>20.6</v>
      </c>
      <c r="Q20" s="5">
        <v>54</v>
      </c>
      <c r="R20" s="2"/>
      <c r="S20" s="2"/>
      <c r="T20" s="2"/>
      <c r="U20" s="2"/>
      <c r="V20" s="2"/>
      <c r="W20" s="2"/>
      <c r="X20" s="2"/>
      <c r="Y20" s="2"/>
      <c r="Z20" s="5">
        <v>175</v>
      </c>
      <c r="AA20" s="5">
        <v>30.4</v>
      </c>
      <c r="AH20" s="2">
        <v>225.5736</v>
      </c>
      <c r="AI20" s="5">
        <v>116.6</v>
      </c>
      <c r="AJ20" s="5">
        <v>108.2</v>
      </c>
      <c r="AK20" s="5">
        <v>65.489999999999995</v>
      </c>
      <c r="AL20" s="5">
        <v>5.0599999999999996</v>
      </c>
      <c r="AM20" s="5">
        <v>11.72</v>
      </c>
      <c r="AN20" s="5">
        <v>61.68</v>
      </c>
      <c r="AO20" s="9">
        <f t="shared" si="0"/>
        <v>225.5736</v>
      </c>
      <c r="AP20" s="9">
        <f t="shared" si="1"/>
        <v>51.690446045104565</v>
      </c>
      <c r="AQ20" s="9">
        <f t="shared" si="2"/>
        <v>85.485033118532769</v>
      </c>
      <c r="AR20" s="9">
        <f t="shared" si="3"/>
        <v>0.31878954385844577</v>
      </c>
      <c r="AS20" t="b">
        <f t="shared" si="4"/>
        <v>0</v>
      </c>
    </row>
    <row r="21" spans="2:45" x14ac:dyDescent="0.3">
      <c r="B21" s="6">
        <v>20</v>
      </c>
      <c r="C21" s="3" t="s">
        <v>309</v>
      </c>
      <c r="D21" s="3" t="s">
        <v>292</v>
      </c>
      <c r="E21" s="3" t="s">
        <v>302</v>
      </c>
      <c r="F21" s="3" t="s">
        <v>287</v>
      </c>
      <c r="G21" s="7">
        <v>566.6</v>
      </c>
      <c r="H21" s="7">
        <v>32.700000000000003</v>
      </c>
      <c r="I21" s="7">
        <v>67.3</v>
      </c>
      <c r="J21" s="7">
        <v>36.909999999999997</v>
      </c>
      <c r="K21" s="7">
        <v>47.71</v>
      </c>
      <c r="L21" s="7">
        <v>91.9</v>
      </c>
      <c r="M21" s="7">
        <v>13.5</v>
      </c>
      <c r="N21" s="7">
        <v>84.7</v>
      </c>
      <c r="O21" s="7">
        <v>163</v>
      </c>
      <c r="P21" s="7">
        <v>19</v>
      </c>
      <c r="Q21" s="7">
        <v>46.9</v>
      </c>
      <c r="R21" s="3"/>
      <c r="S21" s="3"/>
      <c r="T21" s="3"/>
      <c r="U21" s="3"/>
      <c r="V21" s="3"/>
      <c r="W21" s="3"/>
      <c r="X21" s="3"/>
      <c r="Y21" s="3"/>
      <c r="Z21" s="7">
        <v>144</v>
      </c>
      <c r="AA21" s="7">
        <v>20.100000000000001</v>
      </c>
      <c r="AH21" s="3">
        <v>185.27820000000003</v>
      </c>
      <c r="AI21" s="7">
        <v>84.5</v>
      </c>
      <c r="AJ21" s="7">
        <v>100.2</v>
      </c>
      <c r="AK21" s="7">
        <v>65.760000000000005</v>
      </c>
      <c r="AL21" s="7">
        <v>4.6399999999999997</v>
      </c>
      <c r="AM21" s="7">
        <v>12.56</v>
      </c>
      <c r="AN21" s="7">
        <v>66.45</v>
      </c>
      <c r="AO21" s="9">
        <f t="shared" si="0"/>
        <v>185.27820000000003</v>
      </c>
      <c r="AP21" s="9">
        <f t="shared" si="1"/>
        <v>45.60709246959437</v>
      </c>
      <c r="AQ21" s="9">
        <f t="shared" si="2"/>
        <v>81.255009504213646</v>
      </c>
      <c r="AR21" s="9">
        <f t="shared" si="3"/>
        <v>0.34197495403385386</v>
      </c>
      <c r="AS21" t="b">
        <f t="shared" si="4"/>
        <v>0</v>
      </c>
    </row>
    <row r="22" spans="2:45" x14ac:dyDescent="0.3">
      <c r="B22" s="4">
        <v>21</v>
      </c>
      <c r="C22" s="2" t="s">
        <v>310</v>
      </c>
      <c r="D22" s="2" t="s">
        <v>297</v>
      </c>
      <c r="E22" s="2" t="s">
        <v>302</v>
      </c>
      <c r="F22" s="2" t="s">
        <v>287</v>
      </c>
      <c r="G22" s="5">
        <v>654.79999999999995</v>
      </c>
      <c r="H22" s="5">
        <v>35.4</v>
      </c>
      <c r="I22" s="5">
        <v>64.599999999999994</v>
      </c>
      <c r="J22" s="5">
        <v>37.53</v>
      </c>
      <c r="K22" s="5">
        <v>46.41</v>
      </c>
      <c r="L22" s="5">
        <v>94.7</v>
      </c>
      <c r="M22" s="5">
        <v>12.1</v>
      </c>
      <c r="N22" s="5">
        <v>83.7</v>
      </c>
      <c r="O22" s="5">
        <v>156</v>
      </c>
      <c r="P22" s="5">
        <v>22.5</v>
      </c>
      <c r="Q22" s="5">
        <v>45.4</v>
      </c>
      <c r="R22" s="2"/>
      <c r="S22" s="2"/>
      <c r="T22" s="2"/>
      <c r="U22" s="2"/>
      <c r="V22" s="2"/>
      <c r="W22" s="2"/>
      <c r="X22" s="2"/>
      <c r="Y22" s="2"/>
      <c r="Z22" s="5">
        <v>165</v>
      </c>
      <c r="AA22" s="5">
        <v>36.4</v>
      </c>
      <c r="AH22" s="2">
        <v>231.79919999999998</v>
      </c>
      <c r="AI22" s="5">
        <v>116.3</v>
      </c>
      <c r="AJ22" s="5">
        <v>115.5</v>
      </c>
      <c r="AK22" s="5">
        <v>64.92</v>
      </c>
      <c r="AL22" s="5">
        <v>5.0599999999999996</v>
      </c>
      <c r="AM22" s="5">
        <v>9.92</v>
      </c>
      <c r="AN22" s="5">
        <v>66.23</v>
      </c>
      <c r="AO22" s="9">
        <f t="shared" si="0"/>
        <v>231.79919999999998</v>
      </c>
      <c r="AP22" s="9">
        <f t="shared" si="1"/>
        <v>50.172735712634044</v>
      </c>
      <c r="AQ22" s="9">
        <f t="shared" si="2"/>
        <v>86.78960837900884</v>
      </c>
      <c r="AR22" s="9">
        <f t="shared" si="3"/>
        <v>3.9864432513777602E-2</v>
      </c>
      <c r="AS22" t="b">
        <f t="shared" si="4"/>
        <v>0</v>
      </c>
    </row>
    <row r="23" spans="2:45" x14ac:dyDescent="0.3">
      <c r="B23" s="6">
        <v>22</v>
      </c>
      <c r="C23" s="3" t="s">
        <v>311</v>
      </c>
      <c r="D23" s="3" t="s">
        <v>297</v>
      </c>
      <c r="E23" s="3" t="s">
        <v>302</v>
      </c>
      <c r="F23" s="3" t="s">
        <v>287</v>
      </c>
      <c r="G23" s="7">
        <v>652.6</v>
      </c>
      <c r="H23" s="7">
        <v>34.200000000000003</v>
      </c>
      <c r="I23" s="7">
        <v>65.8</v>
      </c>
      <c r="J23" s="7">
        <v>36.81</v>
      </c>
      <c r="K23" s="7">
        <v>46.84</v>
      </c>
      <c r="L23" s="7">
        <v>99.9</v>
      </c>
      <c r="M23" s="7">
        <v>11.2</v>
      </c>
      <c r="N23" s="7">
        <v>81.3</v>
      </c>
      <c r="O23" s="7">
        <v>150</v>
      </c>
      <c r="P23" s="7">
        <v>20.2</v>
      </c>
      <c r="Q23" s="7">
        <v>51.5</v>
      </c>
      <c r="R23" s="3"/>
      <c r="S23" s="3"/>
      <c r="T23" s="3"/>
      <c r="U23" s="3"/>
      <c r="V23" s="3"/>
      <c r="W23" s="3"/>
      <c r="X23" s="3"/>
      <c r="Y23" s="3"/>
      <c r="Z23" s="7">
        <v>197</v>
      </c>
      <c r="AA23" s="7">
        <v>25.7</v>
      </c>
      <c r="AH23" s="3">
        <v>223.18920000000003</v>
      </c>
      <c r="AI23" s="7">
        <v>107.3</v>
      </c>
      <c r="AJ23" s="7">
        <v>115.7</v>
      </c>
      <c r="AK23" s="7">
        <v>64.66</v>
      </c>
      <c r="AL23" s="7">
        <v>5.39</v>
      </c>
      <c r="AM23" s="7">
        <v>10.94</v>
      </c>
      <c r="AN23" s="7">
        <v>66.88</v>
      </c>
      <c r="AO23" s="9">
        <f t="shared" si="0"/>
        <v>223.18920000000003</v>
      </c>
      <c r="AP23" s="9">
        <f t="shared" si="1"/>
        <v>48.075802951038845</v>
      </c>
      <c r="AQ23" s="9">
        <f t="shared" si="2"/>
        <v>84.449372964253499</v>
      </c>
      <c r="AR23" s="9">
        <f t="shared" si="3"/>
        <v>0.14385388749470543</v>
      </c>
      <c r="AS23" t="b">
        <f t="shared" si="4"/>
        <v>0</v>
      </c>
    </row>
    <row r="24" spans="2:45" x14ac:dyDescent="0.3">
      <c r="B24" s="4">
        <v>23</v>
      </c>
      <c r="C24" s="2" t="s">
        <v>312</v>
      </c>
      <c r="D24" s="2" t="s">
        <v>297</v>
      </c>
      <c r="E24" s="2" t="s">
        <v>302</v>
      </c>
      <c r="F24" s="2" t="s">
        <v>287</v>
      </c>
      <c r="G24" s="5">
        <v>676</v>
      </c>
      <c r="H24" s="5">
        <v>35.9</v>
      </c>
      <c r="I24" s="5">
        <v>64.099999999999994</v>
      </c>
      <c r="J24" s="5">
        <v>40.01</v>
      </c>
      <c r="K24" s="5">
        <v>43.56</v>
      </c>
      <c r="L24" s="5">
        <v>98.4</v>
      </c>
      <c r="M24" s="5">
        <v>13.6</v>
      </c>
      <c r="N24" s="5">
        <v>85.6</v>
      </c>
      <c r="O24" s="5">
        <v>160</v>
      </c>
      <c r="P24" s="5">
        <v>19.7</v>
      </c>
      <c r="Q24" s="5">
        <v>52.7</v>
      </c>
      <c r="R24" s="2"/>
      <c r="S24" s="2"/>
      <c r="T24" s="2"/>
      <c r="U24" s="2"/>
      <c r="V24" s="2"/>
      <c r="W24" s="2"/>
      <c r="X24" s="2"/>
      <c r="Y24" s="2"/>
      <c r="Z24" s="5">
        <v>159</v>
      </c>
      <c r="AA24" s="5">
        <v>24.7</v>
      </c>
      <c r="AH24" s="2">
        <v>242.68399999999997</v>
      </c>
      <c r="AI24" s="5">
        <v>132.4</v>
      </c>
      <c r="AJ24" s="5">
        <v>110.4</v>
      </c>
      <c r="AK24" s="5">
        <v>65.17</v>
      </c>
      <c r="AL24" s="5">
        <v>4.7300000000000004</v>
      </c>
      <c r="AM24" s="5">
        <v>9.7200000000000006</v>
      </c>
      <c r="AN24" s="5">
        <v>66.930000000000007</v>
      </c>
      <c r="AO24" s="9">
        <f t="shared" si="0"/>
        <v>242.684</v>
      </c>
      <c r="AP24" s="9">
        <f t="shared" si="1"/>
        <v>54.556542664534959</v>
      </c>
      <c r="AQ24" s="9">
        <f t="shared" si="2"/>
        <v>88.864031128411469</v>
      </c>
      <c r="AR24" s="9">
        <f t="shared" si="3"/>
        <v>8.4356537738363976E-2</v>
      </c>
      <c r="AS24" t="b">
        <f t="shared" si="4"/>
        <v>0</v>
      </c>
    </row>
    <row r="25" spans="2:45" x14ac:dyDescent="0.3">
      <c r="B25" s="6">
        <v>24</v>
      </c>
      <c r="C25" s="3" t="s">
        <v>313</v>
      </c>
      <c r="D25" s="3" t="s">
        <v>297</v>
      </c>
      <c r="E25" s="3" t="s">
        <v>302</v>
      </c>
      <c r="F25" s="3" t="s">
        <v>287</v>
      </c>
      <c r="G25" s="7">
        <v>583.1</v>
      </c>
      <c r="H25" s="7">
        <v>35.1</v>
      </c>
      <c r="I25" s="7">
        <v>64.900000000000006</v>
      </c>
      <c r="J25" s="7">
        <v>39.450000000000003</v>
      </c>
      <c r="K25" s="7">
        <v>43.57</v>
      </c>
      <c r="L25" s="7">
        <v>93.2</v>
      </c>
      <c r="M25" s="7">
        <v>10.7</v>
      </c>
      <c r="N25" s="7">
        <v>89.3</v>
      </c>
      <c r="O25" s="7">
        <v>169</v>
      </c>
      <c r="P25" s="7">
        <v>23.8</v>
      </c>
      <c r="Q25" s="7">
        <v>46.2</v>
      </c>
      <c r="R25" s="3"/>
      <c r="S25" s="3"/>
      <c r="T25" s="3"/>
      <c r="U25" s="3"/>
      <c r="V25" s="3"/>
      <c r="W25" s="3"/>
      <c r="X25" s="3"/>
      <c r="Y25" s="3"/>
      <c r="Z25" s="7">
        <v>213</v>
      </c>
      <c r="AA25" s="7">
        <v>43.2</v>
      </c>
      <c r="AH25" s="3">
        <v>204.66810000000001</v>
      </c>
      <c r="AI25" s="7">
        <v>106.4</v>
      </c>
      <c r="AJ25" s="7">
        <v>98.2</v>
      </c>
      <c r="AK25" s="7">
        <v>65.83</v>
      </c>
      <c r="AL25" s="7">
        <v>5.39</v>
      </c>
      <c r="AM25" s="7">
        <v>10.76</v>
      </c>
      <c r="AN25" s="7">
        <v>66.14</v>
      </c>
      <c r="AO25" s="9">
        <f t="shared" si="0"/>
        <v>204.66810000000004</v>
      </c>
      <c r="AP25" s="9">
        <f t="shared" si="1"/>
        <v>51.986606608455347</v>
      </c>
      <c r="AQ25" s="9">
        <f t="shared" si="2"/>
        <v>86.749767123817875</v>
      </c>
      <c r="AR25" s="9">
        <f t="shared" si="3"/>
        <v>0.16363994091968928</v>
      </c>
      <c r="AS25" t="b">
        <f t="shared" si="4"/>
        <v>0</v>
      </c>
    </row>
    <row r="26" spans="2:45" x14ac:dyDescent="0.3">
      <c r="B26" s="4">
        <v>25</v>
      </c>
      <c r="C26" s="2" t="s">
        <v>314</v>
      </c>
      <c r="D26" s="2" t="s">
        <v>285</v>
      </c>
      <c r="E26" s="2" t="s">
        <v>315</v>
      </c>
      <c r="F26" s="2" t="s">
        <v>287</v>
      </c>
      <c r="G26" s="5">
        <v>607.1</v>
      </c>
      <c r="H26" s="5">
        <v>33.700000000000003</v>
      </c>
      <c r="I26" s="5">
        <v>66.3</v>
      </c>
      <c r="J26" s="5">
        <v>40.15</v>
      </c>
      <c r="K26" s="5">
        <v>41.93</v>
      </c>
      <c r="L26" s="5">
        <v>95.1</v>
      </c>
      <c r="M26" s="5">
        <v>10.199999999999999</v>
      </c>
      <c r="N26" s="5">
        <v>89</v>
      </c>
      <c r="O26" s="5">
        <v>153</v>
      </c>
      <c r="P26" s="5">
        <v>21.3</v>
      </c>
      <c r="Q26" s="5">
        <v>54.1</v>
      </c>
      <c r="R26" s="2"/>
      <c r="S26" s="2"/>
      <c r="T26" s="2"/>
      <c r="U26" s="2"/>
      <c r="V26" s="2"/>
      <c r="W26" s="2"/>
      <c r="X26" s="2"/>
      <c r="Y26" s="2"/>
      <c r="Z26" s="5">
        <v>202</v>
      </c>
      <c r="AA26" s="5">
        <v>18.5</v>
      </c>
      <c r="AH26" s="2">
        <v>204.59270000000004</v>
      </c>
      <c r="AI26" s="5">
        <v>113</v>
      </c>
      <c r="AJ26" s="5">
        <v>92.1</v>
      </c>
      <c r="AK26" s="5">
        <v>65</v>
      </c>
      <c r="AL26" s="5">
        <v>5.76</v>
      </c>
      <c r="AM26" s="5">
        <v>9.6199999999999992</v>
      </c>
      <c r="AN26" s="5">
        <v>63.99</v>
      </c>
      <c r="AO26" s="9">
        <f t="shared" si="0"/>
        <v>204.59270000000001</v>
      </c>
      <c r="AP26" s="9">
        <f t="shared" si="1"/>
        <v>55.231687152083133</v>
      </c>
      <c r="AQ26" s="9">
        <f t="shared" si="2"/>
        <v>89.416180943596601</v>
      </c>
      <c r="AR26" s="9">
        <f t="shared" si="3"/>
        <v>-0.20214624630435946</v>
      </c>
      <c r="AS26" t="b">
        <f t="shared" si="4"/>
        <v>0</v>
      </c>
    </row>
    <row r="27" spans="2:45" x14ac:dyDescent="0.3">
      <c r="B27" s="6">
        <v>26</v>
      </c>
      <c r="C27" s="3" t="s">
        <v>316</v>
      </c>
      <c r="D27" s="3" t="s">
        <v>285</v>
      </c>
      <c r="E27" s="3" t="s">
        <v>315</v>
      </c>
      <c r="F27" s="3" t="s">
        <v>287</v>
      </c>
      <c r="G27" s="7">
        <v>594.5</v>
      </c>
      <c r="H27" s="7">
        <v>35.700000000000003</v>
      </c>
      <c r="I27" s="7">
        <v>64.3</v>
      </c>
      <c r="J27" s="7">
        <v>39.29</v>
      </c>
      <c r="K27" s="7">
        <v>44.64</v>
      </c>
      <c r="L27" s="7">
        <v>92.9</v>
      </c>
      <c r="M27" s="7">
        <v>13</v>
      </c>
      <c r="N27" s="7">
        <v>81.5</v>
      </c>
      <c r="O27" s="7">
        <v>148</v>
      </c>
      <c r="P27" s="7">
        <v>22.3</v>
      </c>
      <c r="Q27" s="7">
        <v>52.2</v>
      </c>
      <c r="R27" s="3"/>
      <c r="S27" s="3"/>
      <c r="T27" s="3"/>
      <c r="U27" s="3"/>
      <c r="V27" s="3"/>
      <c r="W27" s="3"/>
      <c r="X27" s="3"/>
      <c r="Y27" s="3"/>
      <c r="Z27" s="7">
        <v>204</v>
      </c>
      <c r="AA27" s="7">
        <v>35.799999999999997</v>
      </c>
      <c r="AH27" s="3">
        <v>212.23650000000001</v>
      </c>
      <c r="AI27" s="7">
        <v>113.1</v>
      </c>
      <c r="AJ27" s="7">
        <v>99.5</v>
      </c>
      <c r="AK27" s="7">
        <v>65.510000000000005</v>
      </c>
      <c r="AL27" s="7">
        <v>5.54</v>
      </c>
      <c r="AM27" s="7">
        <v>9.56</v>
      </c>
      <c r="AN27" s="7">
        <v>66.099999999999994</v>
      </c>
      <c r="AO27" s="9">
        <f t="shared" si="0"/>
        <v>212.23650000000004</v>
      </c>
      <c r="AP27" s="9">
        <f t="shared" si="1"/>
        <v>53.289608526337361</v>
      </c>
      <c r="AQ27" s="9">
        <f t="shared" si="2"/>
        <v>88.852182605252253</v>
      </c>
      <c r="AR27" s="9">
        <f t="shared" si="3"/>
        <v>-0.25937769709410785</v>
      </c>
      <c r="AS27" t="b">
        <f t="shared" si="4"/>
        <v>0</v>
      </c>
    </row>
    <row r="28" spans="2:45" x14ac:dyDescent="0.3">
      <c r="B28" s="4">
        <v>27</v>
      </c>
      <c r="C28" s="2" t="s">
        <v>317</v>
      </c>
      <c r="D28" s="2" t="s">
        <v>285</v>
      </c>
      <c r="E28" s="2" t="s">
        <v>315</v>
      </c>
      <c r="F28" s="2" t="s">
        <v>287</v>
      </c>
      <c r="G28" s="5">
        <v>640.6</v>
      </c>
      <c r="H28" s="5">
        <v>36.200000000000003</v>
      </c>
      <c r="I28" s="5">
        <v>63.8</v>
      </c>
      <c r="J28" s="5">
        <v>40.98</v>
      </c>
      <c r="K28" s="5">
        <v>41.23</v>
      </c>
      <c r="L28" s="5">
        <v>97.1</v>
      </c>
      <c r="M28" s="5">
        <v>11.1</v>
      </c>
      <c r="N28" s="5">
        <v>87.4</v>
      </c>
      <c r="O28" s="5">
        <v>173</v>
      </c>
      <c r="P28" s="5">
        <v>23.6</v>
      </c>
      <c r="Q28" s="5">
        <v>49.5</v>
      </c>
      <c r="R28" s="2"/>
      <c r="S28" s="2"/>
      <c r="T28" s="2"/>
      <c r="U28" s="2"/>
      <c r="V28" s="2"/>
      <c r="W28" s="2"/>
      <c r="X28" s="2"/>
      <c r="Y28" s="2"/>
      <c r="Z28" s="5">
        <v>151</v>
      </c>
      <c r="AA28" s="5">
        <v>44.5</v>
      </c>
      <c r="AH28" s="2">
        <v>231.8972</v>
      </c>
      <c r="AI28" s="5">
        <v>127.3</v>
      </c>
      <c r="AJ28" s="5">
        <v>104</v>
      </c>
      <c r="AK28" s="5">
        <v>65.17</v>
      </c>
      <c r="AL28" s="5">
        <v>5.18</v>
      </c>
      <c r="AM28" s="5">
        <v>11.38</v>
      </c>
      <c r="AN28" s="5">
        <v>66.44</v>
      </c>
      <c r="AO28" s="9">
        <f t="shared" si="0"/>
        <v>231.89720000000003</v>
      </c>
      <c r="AP28" s="9">
        <f t="shared" si="1"/>
        <v>54.895013825091468</v>
      </c>
      <c r="AQ28" s="9">
        <f t="shared" si="2"/>
        <v>87.298878745271139</v>
      </c>
      <c r="AR28" s="9">
        <f t="shared" si="3"/>
        <v>0.24714187171170909</v>
      </c>
      <c r="AS28" t="b">
        <f t="shared" si="4"/>
        <v>0</v>
      </c>
    </row>
    <row r="29" spans="2:45" x14ac:dyDescent="0.3">
      <c r="B29" s="6">
        <v>28</v>
      </c>
      <c r="C29" s="3" t="s">
        <v>318</v>
      </c>
      <c r="D29" s="3" t="s">
        <v>285</v>
      </c>
      <c r="E29" s="3" t="s">
        <v>315</v>
      </c>
      <c r="F29" s="3" t="s">
        <v>287</v>
      </c>
      <c r="G29" s="7">
        <v>645.9</v>
      </c>
      <c r="H29" s="7">
        <v>34</v>
      </c>
      <c r="I29" s="7">
        <v>66</v>
      </c>
      <c r="J29" s="7">
        <v>39.35</v>
      </c>
      <c r="K29" s="7">
        <v>44.52</v>
      </c>
      <c r="L29" s="7">
        <v>88.5</v>
      </c>
      <c r="M29" s="7">
        <v>11.5</v>
      </c>
      <c r="N29" s="7">
        <v>84.2</v>
      </c>
      <c r="O29" s="7">
        <v>172</v>
      </c>
      <c r="P29" s="7">
        <v>20.2</v>
      </c>
      <c r="Q29" s="7">
        <v>50.8</v>
      </c>
      <c r="R29" s="3"/>
      <c r="S29" s="3"/>
      <c r="T29" s="3"/>
      <c r="U29" s="3"/>
      <c r="V29" s="3"/>
      <c r="W29" s="3"/>
      <c r="X29" s="3"/>
      <c r="Y29" s="3"/>
      <c r="Z29" s="7">
        <v>203</v>
      </c>
      <c r="AA29" s="7">
        <v>15.4</v>
      </c>
      <c r="AH29" s="3">
        <v>219.60599999999999</v>
      </c>
      <c r="AI29" s="7">
        <v>116.6</v>
      </c>
      <c r="AJ29" s="7">
        <v>102.7</v>
      </c>
      <c r="AK29" s="7">
        <v>64.92</v>
      </c>
      <c r="AL29" s="7">
        <v>6.03</v>
      </c>
      <c r="AM29" s="7">
        <v>10.220000000000001</v>
      </c>
      <c r="AN29" s="7">
        <v>61.33</v>
      </c>
      <c r="AO29" s="9">
        <f t="shared" si="0"/>
        <v>219.60599999999999</v>
      </c>
      <c r="AP29" s="9">
        <f t="shared" si="1"/>
        <v>53.095088476635432</v>
      </c>
      <c r="AQ29" s="9">
        <f t="shared" si="2"/>
        <v>87.596776211008176</v>
      </c>
      <c r="AR29" s="9">
        <f t="shared" si="3"/>
        <v>0.2572482790335423</v>
      </c>
      <c r="AS29" t="b">
        <f t="shared" si="4"/>
        <v>0</v>
      </c>
    </row>
    <row r="30" spans="2:45" x14ac:dyDescent="0.3">
      <c r="B30" s="4">
        <v>29</v>
      </c>
      <c r="C30" s="2" t="s">
        <v>319</v>
      </c>
      <c r="D30" s="2" t="s">
        <v>292</v>
      </c>
      <c r="E30" s="2" t="s">
        <v>315</v>
      </c>
      <c r="F30" s="2" t="s">
        <v>287</v>
      </c>
      <c r="G30" s="5">
        <v>623.4</v>
      </c>
      <c r="H30" s="5">
        <v>32.299999999999997</v>
      </c>
      <c r="I30" s="5">
        <v>67.7</v>
      </c>
      <c r="J30" s="5">
        <v>41.56</v>
      </c>
      <c r="K30" s="5">
        <v>40.590000000000003</v>
      </c>
      <c r="L30" s="5">
        <v>93.8</v>
      </c>
      <c r="M30" s="5">
        <v>11</v>
      </c>
      <c r="N30" s="5">
        <v>85.6</v>
      </c>
      <c r="O30" s="5">
        <v>145</v>
      </c>
      <c r="P30" s="5">
        <v>19.100000000000001</v>
      </c>
      <c r="Q30" s="5">
        <v>53.6</v>
      </c>
      <c r="R30" s="2"/>
      <c r="S30" s="2"/>
      <c r="T30" s="2"/>
      <c r="U30" s="2"/>
      <c r="V30" s="2"/>
      <c r="W30" s="2"/>
      <c r="X30" s="2"/>
      <c r="Y30" s="2"/>
      <c r="Z30" s="5">
        <v>235</v>
      </c>
      <c r="AA30" s="5">
        <v>26.2</v>
      </c>
      <c r="AH30" s="2">
        <v>201.35819999999995</v>
      </c>
      <c r="AI30" s="5">
        <v>112.9</v>
      </c>
      <c r="AJ30" s="5">
        <v>88.4</v>
      </c>
      <c r="AK30" s="5">
        <v>64.540000000000006</v>
      </c>
      <c r="AL30" s="5">
        <v>4.68</v>
      </c>
      <c r="AM30" s="5">
        <v>12.3</v>
      </c>
      <c r="AN30" s="5">
        <v>61.25</v>
      </c>
      <c r="AO30" s="9">
        <f t="shared" si="0"/>
        <v>201.35819999999995</v>
      </c>
      <c r="AP30" s="9">
        <f t="shared" si="1"/>
        <v>56.069233833039846</v>
      </c>
      <c r="AQ30" s="9">
        <f t="shared" si="2"/>
        <v>87.071904513580151</v>
      </c>
      <c r="AR30" s="9">
        <f t="shared" si="3"/>
        <v>-6.4996625242348796E-2</v>
      </c>
      <c r="AS30" t="b">
        <f t="shared" si="4"/>
        <v>0</v>
      </c>
    </row>
    <row r="31" spans="2:45" x14ac:dyDescent="0.3">
      <c r="B31" s="6">
        <v>30</v>
      </c>
      <c r="C31" s="3" t="s">
        <v>320</v>
      </c>
      <c r="D31" s="3" t="s">
        <v>292</v>
      </c>
      <c r="E31" s="3" t="s">
        <v>315</v>
      </c>
      <c r="F31" s="3" t="s">
        <v>287</v>
      </c>
      <c r="G31" s="7">
        <v>562.9</v>
      </c>
      <c r="H31" s="7">
        <v>33.1</v>
      </c>
      <c r="I31" s="7">
        <v>66.900000000000006</v>
      </c>
      <c r="J31" s="7">
        <v>41.74</v>
      </c>
      <c r="K31" s="7">
        <v>39.57</v>
      </c>
      <c r="L31" s="7">
        <v>92.9</v>
      </c>
      <c r="M31" s="7">
        <v>12.3</v>
      </c>
      <c r="N31" s="7">
        <v>82</v>
      </c>
      <c r="O31" s="7">
        <v>150</v>
      </c>
      <c r="P31" s="7">
        <v>23.4</v>
      </c>
      <c r="Q31" s="7">
        <v>45.1</v>
      </c>
      <c r="R31" s="3"/>
      <c r="S31" s="3"/>
      <c r="T31" s="3"/>
      <c r="U31" s="3"/>
      <c r="V31" s="3"/>
      <c r="W31" s="3"/>
      <c r="X31" s="3"/>
      <c r="Y31" s="3"/>
      <c r="Z31" s="7">
        <v>149</v>
      </c>
      <c r="AA31" s="7">
        <v>21.2</v>
      </c>
      <c r="AH31" s="3">
        <v>186.31990000000002</v>
      </c>
      <c r="AI31" s="7">
        <v>103.8</v>
      </c>
      <c r="AJ31" s="7">
        <v>82.6</v>
      </c>
      <c r="AK31" s="7">
        <v>65.75</v>
      </c>
      <c r="AL31" s="7">
        <v>5.2</v>
      </c>
      <c r="AM31" s="7">
        <v>11.43</v>
      </c>
      <c r="AN31" s="7">
        <v>63.05</v>
      </c>
      <c r="AO31" s="9">
        <f t="shared" si="0"/>
        <v>186.31989999999999</v>
      </c>
      <c r="AP31" s="9">
        <f t="shared" si="1"/>
        <v>55.710635310559951</v>
      </c>
      <c r="AQ31" s="9">
        <f t="shared" si="2"/>
        <v>87.756930322695652</v>
      </c>
      <c r="AR31" s="9">
        <f t="shared" si="3"/>
        <v>0.10318417910252717</v>
      </c>
      <c r="AS31" t="b">
        <f t="shared" si="4"/>
        <v>0</v>
      </c>
    </row>
    <row r="32" spans="2:45" x14ac:dyDescent="0.3">
      <c r="B32" s="4">
        <v>31</v>
      </c>
      <c r="C32" s="2" t="s">
        <v>321</v>
      </c>
      <c r="D32" s="2" t="s">
        <v>292</v>
      </c>
      <c r="E32" s="2" t="s">
        <v>315</v>
      </c>
      <c r="F32" s="2" t="s">
        <v>287</v>
      </c>
      <c r="G32" s="5">
        <v>649.29999999999995</v>
      </c>
      <c r="H32" s="5">
        <v>32.6</v>
      </c>
      <c r="I32" s="5">
        <v>67.400000000000006</v>
      </c>
      <c r="J32" s="5">
        <v>41.96</v>
      </c>
      <c r="K32" s="5">
        <v>39.119999999999997</v>
      </c>
      <c r="L32" s="5">
        <v>101</v>
      </c>
      <c r="M32" s="5">
        <v>11.1</v>
      </c>
      <c r="N32" s="5">
        <v>80.2</v>
      </c>
      <c r="O32" s="5">
        <v>149</v>
      </c>
      <c r="P32" s="5">
        <v>21.2</v>
      </c>
      <c r="Q32" s="5">
        <v>51.3</v>
      </c>
      <c r="R32" s="2"/>
      <c r="S32" s="2"/>
      <c r="T32" s="2"/>
      <c r="U32" s="2"/>
      <c r="V32" s="2"/>
      <c r="W32" s="2"/>
      <c r="X32" s="2"/>
      <c r="Y32" s="2"/>
      <c r="Z32" s="5">
        <v>166</v>
      </c>
      <c r="AA32" s="5">
        <v>19.2</v>
      </c>
      <c r="AH32" s="2">
        <v>211.67179999999999</v>
      </c>
      <c r="AI32" s="5">
        <v>120.6</v>
      </c>
      <c r="AJ32" s="5">
        <v>91.2</v>
      </c>
      <c r="AK32" s="5">
        <v>65.8</v>
      </c>
      <c r="AL32" s="5">
        <v>5.91</v>
      </c>
      <c r="AM32" s="5">
        <v>10.220000000000001</v>
      </c>
      <c r="AN32" s="5">
        <v>60.08</v>
      </c>
      <c r="AO32" s="9">
        <f t="shared" si="0"/>
        <v>211.67179999999999</v>
      </c>
      <c r="AP32" s="9">
        <f t="shared" si="1"/>
        <v>56.974996196942627</v>
      </c>
      <c r="AQ32" s="9">
        <f t="shared" si="2"/>
        <v>89.345918726378088</v>
      </c>
      <c r="AR32" s="9">
        <f t="shared" si="3"/>
        <v>0.15993165799905765</v>
      </c>
      <c r="AS32" t="b">
        <f t="shared" si="4"/>
        <v>0</v>
      </c>
    </row>
    <row r="33" spans="2:45" x14ac:dyDescent="0.3">
      <c r="B33" s="6">
        <v>32</v>
      </c>
      <c r="C33" s="3" t="s">
        <v>322</v>
      </c>
      <c r="D33" s="3" t="s">
        <v>292</v>
      </c>
      <c r="E33" s="3" t="s">
        <v>315</v>
      </c>
      <c r="F33" s="3" t="s">
        <v>287</v>
      </c>
      <c r="G33" s="7">
        <v>663.6</v>
      </c>
      <c r="H33" s="7">
        <v>34.700000000000003</v>
      </c>
      <c r="I33" s="7">
        <v>65.3</v>
      </c>
      <c r="J33" s="7">
        <v>41.07</v>
      </c>
      <c r="K33" s="7">
        <v>42.12</v>
      </c>
      <c r="L33" s="7">
        <v>103.3</v>
      </c>
      <c r="M33" s="7">
        <v>11.1</v>
      </c>
      <c r="N33" s="7">
        <v>83.8</v>
      </c>
      <c r="O33" s="7">
        <v>158</v>
      </c>
      <c r="P33" s="7">
        <v>18.3</v>
      </c>
      <c r="Q33" s="7">
        <v>46.7</v>
      </c>
      <c r="R33" s="3"/>
      <c r="S33" s="3"/>
      <c r="T33" s="3"/>
      <c r="U33" s="3"/>
      <c r="V33" s="3"/>
      <c r="W33" s="3"/>
      <c r="X33" s="3"/>
      <c r="Y33" s="3"/>
      <c r="Z33" s="7">
        <v>214</v>
      </c>
      <c r="AA33" s="7">
        <v>17.5</v>
      </c>
      <c r="AH33" s="3">
        <v>230.26920000000001</v>
      </c>
      <c r="AI33" s="7">
        <v>128.6</v>
      </c>
      <c r="AJ33" s="7">
        <v>101.3</v>
      </c>
      <c r="AK33" s="7">
        <v>65.97</v>
      </c>
      <c r="AL33" s="7">
        <v>4.87</v>
      </c>
      <c r="AM33" s="7">
        <v>9.61</v>
      </c>
      <c r="AN33" s="7">
        <v>61.84</v>
      </c>
      <c r="AO33" s="9">
        <f t="shared" si="0"/>
        <v>230.26920000000004</v>
      </c>
      <c r="AP33" s="9">
        <f t="shared" si="1"/>
        <v>55.847677414087507</v>
      </c>
      <c r="AQ33" s="9">
        <f t="shared" si="2"/>
        <v>89.707116605974008</v>
      </c>
      <c r="AR33" s="9">
        <f t="shared" si="3"/>
        <v>-8.3488101107808939E-4</v>
      </c>
      <c r="AS33" t="b">
        <f t="shared" si="4"/>
        <v>0</v>
      </c>
    </row>
    <row r="34" spans="2:45" x14ac:dyDescent="0.3">
      <c r="B34" s="4">
        <v>33</v>
      </c>
      <c r="C34" s="2" t="s">
        <v>323</v>
      </c>
      <c r="D34" s="2" t="s">
        <v>297</v>
      </c>
      <c r="E34" s="2" t="s">
        <v>315</v>
      </c>
      <c r="F34" s="2" t="s">
        <v>287</v>
      </c>
      <c r="G34" s="5">
        <v>614.5</v>
      </c>
      <c r="H34" s="5">
        <v>34.700000000000003</v>
      </c>
      <c r="I34" s="5">
        <v>65.3</v>
      </c>
      <c r="J34" s="5">
        <v>40.11</v>
      </c>
      <c r="K34" s="5">
        <v>43.59</v>
      </c>
      <c r="L34" s="5">
        <v>86.5</v>
      </c>
      <c r="M34" s="5">
        <v>12.6</v>
      </c>
      <c r="N34" s="5">
        <v>85</v>
      </c>
      <c r="O34" s="5">
        <v>164</v>
      </c>
      <c r="P34" s="5">
        <v>20.6</v>
      </c>
      <c r="Q34" s="5">
        <v>47.5</v>
      </c>
      <c r="R34" s="2"/>
      <c r="S34" s="2"/>
      <c r="T34" s="2"/>
      <c r="U34" s="2"/>
      <c r="V34" s="2"/>
      <c r="W34" s="2"/>
      <c r="X34" s="2"/>
      <c r="Y34" s="2"/>
      <c r="Z34" s="5">
        <v>222</v>
      </c>
      <c r="AA34" s="5">
        <v>39</v>
      </c>
      <c r="AH34" s="2">
        <v>213.23150000000001</v>
      </c>
      <c r="AI34" s="5">
        <v>110</v>
      </c>
      <c r="AJ34" s="5">
        <v>103.6</v>
      </c>
      <c r="AK34" s="5">
        <v>66.25</v>
      </c>
      <c r="AL34" s="5">
        <v>5.74</v>
      </c>
      <c r="AM34" s="5">
        <v>12.32</v>
      </c>
      <c r="AN34" s="5">
        <v>64.61</v>
      </c>
      <c r="AO34" s="9">
        <f t="shared" si="0"/>
        <v>213.23150000000001</v>
      </c>
      <c r="AP34" s="9">
        <f t="shared" si="1"/>
        <v>51.587124791599734</v>
      </c>
      <c r="AQ34" s="9">
        <f t="shared" si="2"/>
        <v>85.206856580490708</v>
      </c>
      <c r="AR34" s="9">
        <f t="shared" si="3"/>
        <v>-0.13021051671333508</v>
      </c>
      <c r="AS34" t="b">
        <f t="shared" si="4"/>
        <v>0</v>
      </c>
    </row>
    <row r="35" spans="2:45" x14ac:dyDescent="0.3">
      <c r="B35" s="6">
        <v>34</v>
      </c>
      <c r="C35" s="3" t="s">
        <v>324</v>
      </c>
      <c r="D35" s="3" t="s">
        <v>297</v>
      </c>
      <c r="E35" s="3" t="s">
        <v>315</v>
      </c>
      <c r="F35" s="3" t="s">
        <v>287</v>
      </c>
      <c r="G35" s="7">
        <v>582.5</v>
      </c>
      <c r="H35" s="7">
        <v>34.200000000000003</v>
      </c>
      <c r="I35" s="7">
        <v>65.8</v>
      </c>
      <c r="J35" s="7">
        <v>39.869999999999997</v>
      </c>
      <c r="K35" s="7">
        <v>41.81</v>
      </c>
      <c r="L35" s="7">
        <v>85.8</v>
      </c>
      <c r="M35" s="7">
        <v>12.5</v>
      </c>
      <c r="N35" s="7">
        <v>89.3</v>
      </c>
      <c r="O35" s="7">
        <v>146</v>
      </c>
      <c r="P35" s="7">
        <v>21.4</v>
      </c>
      <c r="Q35" s="7">
        <v>54.2</v>
      </c>
      <c r="R35" s="3"/>
      <c r="S35" s="3"/>
      <c r="T35" s="3"/>
      <c r="U35" s="3"/>
      <c r="V35" s="3"/>
      <c r="W35" s="3"/>
      <c r="X35" s="3"/>
      <c r="Y35" s="3"/>
      <c r="Z35" s="7">
        <v>143</v>
      </c>
      <c r="AA35" s="7">
        <v>35.9</v>
      </c>
      <c r="AH35" s="3">
        <v>199.215</v>
      </c>
      <c r="AI35" s="7">
        <v>108.5</v>
      </c>
      <c r="AJ35" s="7">
        <v>90.7</v>
      </c>
      <c r="AK35" s="7">
        <v>64.959999999999994</v>
      </c>
      <c r="AL35" s="7">
        <v>4.7</v>
      </c>
      <c r="AM35" s="7">
        <v>9.77</v>
      </c>
      <c r="AN35" s="7">
        <v>64.87</v>
      </c>
      <c r="AO35" s="9">
        <f t="shared" si="0"/>
        <v>199.215</v>
      </c>
      <c r="AP35" s="9">
        <f t="shared" si="1"/>
        <v>54.463770298421302</v>
      </c>
      <c r="AQ35" s="9">
        <f t="shared" si="2"/>
        <v>88.737560034749123</v>
      </c>
      <c r="AR35" s="9">
        <f t="shared" si="3"/>
        <v>0.10579586074238809</v>
      </c>
      <c r="AS35" t="b">
        <f t="shared" si="4"/>
        <v>0</v>
      </c>
    </row>
    <row r="36" spans="2:45" x14ac:dyDescent="0.3">
      <c r="B36" s="4">
        <v>35</v>
      </c>
      <c r="C36" s="2" t="s">
        <v>325</v>
      </c>
      <c r="D36" s="2" t="s">
        <v>297</v>
      </c>
      <c r="E36" s="2" t="s">
        <v>315</v>
      </c>
      <c r="F36" s="2" t="s">
        <v>287</v>
      </c>
      <c r="G36" s="5">
        <v>558.5</v>
      </c>
      <c r="H36" s="5">
        <v>33.4</v>
      </c>
      <c r="I36" s="5">
        <v>66.599999999999994</v>
      </c>
      <c r="J36" s="5">
        <v>40.950000000000003</v>
      </c>
      <c r="K36" s="5">
        <v>41.92</v>
      </c>
      <c r="L36" s="5">
        <v>97.5</v>
      </c>
      <c r="M36" s="5">
        <v>13.4</v>
      </c>
      <c r="N36" s="5">
        <v>86.2</v>
      </c>
      <c r="O36" s="5">
        <v>148</v>
      </c>
      <c r="P36" s="5">
        <v>18.100000000000001</v>
      </c>
      <c r="Q36" s="5">
        <v>53.7</v>
      </c>
      <c r="R36" s="2"/>
      <c r="S36" s="2"/>
      <c r="T36" s="2"/>
      <c r="U36" s="2"/>
      <c r="V36" s="2"/>
      <c r="W36" s="2"/>
      <c r="X36" s="2"/>
      <c r="Y36" s="2"/>
      <c r="Z36" s="5">
        <v>142</v>
      </c>
      <c r="AA36" s="5">
        <v>41.2</v>
      </c>
      <c r="AH36" s="2">
        <v>186.53899999999999</v>
      </c>
      <c r="AI36" s="5">
        <v>101.4</v>
      </c>
      <c r="AJ36" s="5">
        <v>84.8</v>
      </c>
      <c r="AK36" s="5">
        <v>66.040000000000006</v>
      </c>
      <c r="AL36" s="5">
        <v>5.21</v>
      </c>
      <c r="AM36" s="5">
        <v>10.97</v>
      </c>
      <c r="AN36" s="5">
        <v>65.16</v>
      </c>
      <c r="AO36" s="9">
        <f t="shared" si="0"/>
        <v>186.53899999999999</v>
      </c>
      <c r="AP36" s="9">
        <f t="shared" si="1"/>
        <v>54.358605975158014</v>
      </c>
      <c r="AQ36" s="9">
        <f t="shared" si="2"/>
        <v>87.664037572635792</v>
      </c>
      <c r="AR36" s="9">
        <f t="shared" si="3"/>
        <v>0.15787943299078061</v>
      </c>
      <c r="AS36" t="b">
        <f t="shared" si="4"/>
        <v>0</v>
      </c>
    </row>
    <row r="37" spans="2:45" x14ac:dyDescent="0.3">
      <c r="B37" s="6">
        <v>36</v>
      </c>
      <c r="C37" s="3" t="s">
        <v>326</v>
      </c>
      <c r="D37" s="3" t="s">
        <v>297</v>
      </c>
      <c r="E37" s="3" t="s">
        <v>315</v>
      </c>
      <c r="F37" s="3" t="s">
        <v>287</v>
      </c>
      <c r="G37" s="7">
        <v>596.1</v>
      </c>
      <c r="H37" s="7">
        <v>33.299999999999997</v>
      </c>
      <c r="I37" s="7">
        <v>66.7</v>
      </c>
      <c r="J37" s="7">
        <v>39.42</v>
      </c>
      <c r="K37" s="7">
        <v>44.68</v>
      </c>
      <c r="L37" s="7">
        <v>85.4</v>
      </c>
      <c r="M37" s="7">
        <v>13.9</v>
      </c>
      <c r="N37" s="7">
        <v>84.3</v>
      </c>
      <c r="O37" s="7">
        <v>153</v>
      </c>
      <c r="P37" s="7">
        <v>22.1</v>
      </c>
      <c r="Q37" s="7">
        <v>47.2</v>
      </c>
      <c r="R37" s="3"/>
      <c r="S37" s="3"/>
      <c r="T37" s="3"/>
      <c r="U37" s="3"/>
      <c r="V37" s="3"/>
      <c r="W37" s="3"/>
      <c r="X37" s="3"/>
      <c r="Y37" s="3"/>
      <c r="Z37" s="7">
        <v>235</v>
      </c>
      <c r="AA37" s="7">
        <v>38.6</v>
      </c>
      <c r="AH37" s="3">
        <v>198.50129999999999</v>
      </c>
      <c r="AI37" s="7">
        <v>104</v>
      </c>
      <c r="AJ37" s="7">
        <v>94</v>
      </c>
      <c r="AK37" s="7">
        <v>65.72</v>
      </c>
      <c r="AL37" s="7">
        <v>5.37</v>
      </c>
      <c r="AM37" s="7">
        <v>10.31</v>
      </c>
      <c r="AN37" s="7">
        <v>61.24</v>
      </c>
      <c r="AO37" s="9">
        <f t="shared" si="0"/>
        <v>198.50129999999999</v>
      </c>
      <c r="AP37" s="9">
        <f t="shared" si="1"/>
        <v>52.392603977908458</v>
      </c>
      <c r="AQ37" s="9">
        <f t="shared" si="2"/>
        <v>87.347588367025466</v>
      </c>
      <c r="AR37" s="9">
        <f t="shared" si="3"/>
        <v>0.26711126339685393</v>
      </c>
      <c r="AS37" t="b">
        <f t="shared" si="4"/>
        <v>0</v>
      </c>
    </row>
    <row r="38" spans="2:45" x14ac:dyDescent="0.3">
      <c r="B38" s="4">
        <v>37</v>
      </c>
      <c r="C38" s="2" t="s">
        <v>327</v>
      </c>
      <c r="D38" s="2" t="s">
        <v>285</v>
      </c>
      <c r="E38" s="2" t="s">
        <v>286</v>
      </c>
      <c r="F38" s="2" t="s">
        <v>287</v>
      </c>
      <c r="G38" s="5">
        <v>651.29999999999995</v>
      </c>
      <c r="H38" s="5">
        <v>33.6</v>
      </c>
      <c r="I38" s="5">
        <v>66.400000000000006</v>
      </c>
      <c r="J38" s="5">
        <v>37.729999999999997</v>
      </c>
      <c r="K38" s="5">
        <v>44.64</v>
      </c>
      <c r="L38" s="5">
        <v>102.7</v>
      </c>
      <c r="M38" s="5">
        <v>13.6</v>
      </c>
      <c r="N38" s="5">
        <v>89.9</v>
      </c>
      <c r="O38" s="5">
        <v>146</v>
      </c>
      <c r="P38" s="5">
        <v>20.399999999999999</v>
      </c>
      <c r="Q38" s="5">
        <v>52.6</v>
      </c>
      <c r="R38" s="2"/>
      <c r="S38" s="2"/>
      <c r="T38" s="2"/>
      <c r="U38" s="2"/>
      <c r="V38" s="2"/>
      <c r="W38" s="2"/>
      <c r="X38" s="2"/>
      <c r="Y38" s="2"/>
      <c r="Z38" s="5">
        <v>210</v>
      </c>
      <c r="AA38" s="5">
        <v>19.600000000000001</v>
      </c>
      <c r="AH38" s="2">
        <v>218.83680000000001</v>
      </c>
      <c r="AI38" s="5">
        <v>102.8</v>
      </c>
      <c r="AJ38" s="5">
        <v>115.6</v>
      </c>
      <c r="AK38" s="5">
        <v>66.41</v>
      </c>
      <c r="AL38" s="5">
        <v>5.97</v>
      </c>
      <c r="AM38" s="5">
        <v>12.33</v>
      </c>
      <c r="AN38" s="5">
        <v>64.59</v>
      </c>
      <c r="AO38" s="9">
        <f t="shared" si="0"/>
        <v>218.83680000000001</v>
      </c>
      <c r="AP38" s="9">
        <f t="shared" si="1"/>
        <v>46.975645778040985</v>
      </c>
      <c r="AQ38" s="9">
        <f t="shared" si="2"/>
        <v>82.683610816848713</v>
      </c>
      <c r="AR38" s="9">
        <f t="shared" si="3"/>
        <v>5.3489376301498921E-2</v>
      </c>
      <c r="AS38" t="b">
        <f t="shared" si="4"/>
        <v>0</v>
      </c>
    </row>
    <row r="39" spans="2:45" x14ac:dyDescent="0.3">
      <c r="B39" s="6">
        <v>38</v>
      </c>
      <c r="C39" s="3" t="s">
        <v>328</v>
      </c>
      <c r="D39" s="3" t="s">
        <v>285</v>
      </c>
      <c r="E39" s="3" t="s">
        <v>286</v>
      </c>
      <c r="F39" s="3" t="s">
        <v>287</v>
      </c>
      <c r="G39" s="7">
        <v>603.1</v>
      </c>
      <c r="H39" s="7">
        <v>33.700000000000003</v>
      </c>
      <c r="I39" s="7">
        <v>66.3</v>
      </c>
      <c r="J39" s="7">
        <v>38.54</v>
      </c>
      <c r="K39" s="7">
        <v>44.16</v>
      </c>
      <c r="L39" s="7">
        <v>94.9</v>
      </c>
      <c r="M39" s="7">
        <v>9.4</v>
      </c>
      <c r="N39" s="7">
        <v>82.2</v>
      </c>
      <c r="O39" s="7">
        <v>164</v>
      </c>
      <c r="P39" s="7">
        <v>18.5</v>
      </c>
      <c r="Q39" s="7">
        <v>53.5</v>
      </c>
      <c r="R39" s="3"/>
      <c r="S39" s="3"/>
      <c r="T39" s="3"/>
      <c r="U39" s="3"/>
      <c r="V39" s="3"/>
      <c r="W39" s="3"/>
      <c r="X39" s="3"/>
      <c r="Y39" s="3"/>
      <c r="Z39" s="7">
        <v>190</v>
      </c>
      <c r="AA39" s="7">
        <v>29.4</v>
      </c>
      <c r="AH39" s="3">
        <v>203.24470000000002</v>
      </c>
      <c r="AI39" s="7">
        <v>100.2</v>
      </c>
      <c r="AJ39" s="7">
        <v>103.2</v>
      </c>
      <c r="AK39" s="7">
        <v>65.92</v>
      </c>
      <c r="AL39" s="7">
        <v>5.92</v>
      </c>
      <c r="AM39" s="7">
        <v>11.94</v>
      </c>
      <c r="AN39" s="7">
        <v>64.760000000000005</v>
      </c>
      <c r="AO39" s="9">
        <f t="shared" si="0"/>
        <v>203.24470000000002</v>
      </c>
      <c r="AP39" s="9">
        <f t="shared" si="1"/>
        <v>49.30017855324148</v>
      </c>
      <c r="AQ39" s="9">
        <f t="shared" si="2"/>
        <v>84.324539964444185</v>
      </c>
      <c r="AR39" s="9">
        <f t="shared" si="3"/>
        <v>-5.5422365374687366E-2</v>
      </c>
      <c r="AS39" t="b">
        <f t="shared" si="4"/>
        <v>0</v>
      </c>
    </row>
    <row r="40" spans="2:45" x14ac:dyDescent="0.3">
      <c r="B40" s="4">
        <v>39</v>
      </c>
      <c r="C40" s="2" t="s">
        <v>329</v>
      </c>
      <c r="D40" s="2" t="s">
        <v>285</v>
      </c>
      <c r="E40" s="2" t="s">
        <v>286</v>
      </c>
      <c r="F40" s="2" t="s">
        <v>287</v>
      </c>
      <c r="G40" s="5">
        <v>570.6</v>
      </c>
      <c r="H40" s="5">
        <v>36</v>
      </c>
      <c r="I40" s="5">
        <v>64</v>
      </c>
      <c r="J40" s="5">
        <v>40.99</v>
      </c>
      <c r="K40" s="5">
        <v>42.59</v>
      </c>
      <c r="L40" s="5">
        <v>101.5</v>
      </c>
      <c r="M40" s="5">
        <v>9.6</v>
      </c>
      <c r="N40" s="5">
        <v>83.4</v>
      </c>
      <c r="O40" s="5">
        <v>166</v>
      </c>
      <c r="P40" s="5">
        <v>19</v>
      </c>
      <c r="Q40" s="5">
        <v>53.2</v>
      </c>
      <c r="R40" s="2"/>
      <c r="S40" s="2"/>
      <c r="T40" s="2"/>
      <c r="U40" s="2"/>
      <c r="V40" s="2"/>
      <c r="W40" s="2"/>
      <c r="X40" s="2"/>
      <c r="Y40" s="2"/>
      <c r="Z40" s="5">
        <v>223</v>
      </c>
      <c r="AA40" s="5">
        <v>30.2</v>
      </c>
      <c r="AH40" s="2">
        <v>205.41600000000003</v>
      </c>
      <c r="AI40" s="5">
        <v>113.6</v>
      </c>
      <c r="AJ40" s="5">
        <v>91.7</v>
      </c>
      <c r="AK40" s="5">
        <v>65.58</v>
      </c>
      <c r="AL40" s="5">
        <v>6.14</v>
      </c>
      <c r="AM40" s="5">
        <v>10.7</v>
      </c>
      <c r="AN40" s="5">
        <v>64.430000000000007</v>
      </c>
      <c r="AO40" s="9">
        <f t="shared" si="0"/>
        <v>205.416</v>
      </c>
      <c r="AP40" s="9">
        <f t="shared" si="1"/>
        <v>55.302410717762974</v>
      </c>
      <c r="AQ40" s="9">
        <f t="shared" si="2"/>
        <v>88.478460475015737</v>
      </c>
      <c r="AR40" s="9">
        <f t="shared" si="3"/>
        <v>-0.13154581448403468</v>
      </c>
      <c r="AS40" t="b">
        <f t="shared" si="4"/>
        <v>0</v>
      </c>
    </row>
    <row r="41" spans="2:45" x14ac:dyDescent="0.3">
      <c r="B41" s="6">
        <v>40</v>
      </c>
      <c r="C41" s="3" t="s">
        <v>330</v>
      </c>
      <c r="D41" s="3" t="s">
        <v>285</v>
      </c>
      <c r="E41" s="3" t="s">
        <v>286</v>
      </c>
      <c r="F41" s="3" t="s">
        <v>287</v>
      </c>
      <c r="G41" s="7">
        <v>671.8</v>
      </c>
      <c r="H41" s="7">
        <v>35.1</v>
      </c>
      <c r="I41" s="7">
        <v>64.900000000000006</v>
      </c>
      <c r="J41" s="7">
        <v>37.770000000000003</v>
      </c>
      <c r="K41" s="7">
        <v>46.26</v>
      </c>
      <c r="L41" s="7">
        <v>99.2</v>
      </c>
      <c r="M41" s="7">
        <v>9.3000000000000007</v>
      </c>
      <c r="N41" s="7">
        <v>85.8</v>
      </c>
      <c r="O41" s="7">
        <v>152</v>
      </c>
      <c r="P41" s="7">
        <v>21.7</v>
      </c>
      <c r="Q41" s="7">
        <v>45.5</v>
      </c>
      <c r="R41" s="3"/>
      <c r="S41" s="3"/>
      <c r="T41" s="3"/>
      <c r="U41" s="3"/>
      <c r="V41" s="3"/>
      <c r="W41" s="3"/>
      <c r="X41" s="3"/>
      <c r="Y41" s="3"/>
      <c r="Z41" s="7">
        <v>227</v>
      </c>
      <c r="AA41" s="7">
        <v>44.2</v>
      </c>
      <c r="AH41" s="3">
        <v>235.80180000000001</v>
      </c>
      <c r="AI41" s="7">
        <v>116.5</v>
      </c>
      <c r="AJ41" s="7">
        <v>119.3</v>
      </c>
      <c r="AK41" s="7">
        <v>65.05</v>
      </c>
      <c r="AL41" s="7">
        <v>6.2</v>
      </c>
      <c r="AM41" s="7">
        <v>10.99</v>
      </c>
      <c r="AN41" s="7">
        <v>63.16</v>
      </c>
      <c r="AO41" s="9">
        <f t="shared" si="0"/>
        <v>235.80180000000001</v>
      </c>
      <c r="AP41" s="9">
        <f t="shared" si="1"/>
        <v>49.405899361243208</v>
      </c>
      <c r="AQ41" s="9">
        <f t="shared" si="2"/>
        <v>85.090117909686796</v>
      </c>
      <c r="AR41" s="9">
        <f t="shared" si="3"/>
        <v>0.18865421710693864</v>
      </c>
      <c r="AS41" t="b">
        <f t="shared" si="4"/>
        <v>0</v>
      </c>
    </row>
    <row r="42" spans="2:45" x14ac:dyDescent="0.3">
      <c r="B42" s="4">
        <v>41</v>
      </c>
      <c r="C42" s="2" t="s">
        <v>331</v>
      </c>
      <c r="D42" s="2" t="s">
        <v>292</v>
      </c>
      <c r="E42" s="2" t="s">
        <v>286</v>
      </c>
      <c r="F42" s="2" t="s">
        <v>287</v>
      </c>
      <c r="G42" s="5">
        <v>640.20000000000005</v>
      </c>
      <c r="H42" s="5">
        <v>33</v>
      </c>
      <c r="I42" s="5">
        <v>67</v>
      </c>
      <c r="J42" s="5">
        <v>37.83</v>
      </c>
      <c r="K42" s="5">
        <v>45.23</v>
      </c>
      <c r="L42" s="5">
        <v>98.1</v>
      </c>
      <c r="M42" s="5">
        <v>10.4</v>
      </c>
      <c r="N42" s="5">
        <v>89.5</v>
      </c>
      <c r="O42" s="5">
        <v>145</v>
      </c>
      <c r="P42" s="5">
        <v>20.6</v>
      </c>
      <c r="Q42" s="5">
        <v>54.4</v>
      </c>
      <c r="R42" s="2"/>
      <c r="S42" s="2"/>
      <c r="T42" s="2"/>
      <c r="U42" s="2"/>
      <c r="V42" s="2"/>
      <c r="W42" s="2"/>
      <c r="X42" s="2"/>
      <c r="Y42" s="2"/>
      <c r="Z42" s="5">
        <v>182</v>
      </c>
      <c r="AA42" s="5">
        <v>34.200000000000003</v>
      </c>
      <c r="AH42" s="2">
        <v>211.26600000000002</v>
      </c>
      <c r="AI42" s="5">
        <v>106</v>
      </c>
      <c r="AJ42" s="5">
        <v>105.7</v>
      </c>
      <c r="AK42" s="5">
        <v>65.45</v>
      </c>
      <c r="AL42" s="5">
        <v>6.15</v>
      </c>
      <c r="AM42" s="5">
        <v>10.15</v>
      </c>
      <c r="AN42" s="5">
        <v>66.08</v>
      </c>
      <c r="AO42" s="9">
        <f t="shared" si="0"/>
        <v>211.26600000000002</v>
      </c>
      <c r="AP42" s="9">
        <f t="shared" si="1"/>
        <v>50.173714653564694</v>
      </c>
      <c r="AQ42" s="9">
        <f t="shared" si="2"/>
        <v>86.805964157436151</v>
      </c>
      <c r="AR42" s="9">
        <f t="shared" si="3"/>
        <v>-0.22975196551752822</v>
      </c>
      <c r="AS42" t="b">
        <f t="shared" si="4"/>
        <v>0</v>
      </c>
    </row>
    <row r="43" spans="2:45" x14ac:dyDescent="0.3">
      <c r="B43" s="6">
        <v>42</v>
      </c>
      <c r="C43" s="3" t="s">
        <v>332</v>
      </c>
      <c r="D43" s="3" t="s">
        <v>292</v>
      </c>
      <c r="E43" s="3" t="s">
        <v>286</v>
      </c>
      <c r="F43" s="3" t="s">
        <v>287</v>
      </c>
      <c r="G43" s="7">
        <v>659.8</v>
      </c>
      <c r="H43" s="7">
        <v>35.4</v>
      </c>
      <c r="I43" s="7">
        <v>64.599999999999994</v>
      </c>
      <c r="J43" s="7">
        <v>40</v>
      </c>
      <c r="K43" s="7">
        <v>43.67</v>
      </c>
      <c r="L43" s="7">
        <v>85.7</v>
      </c>
      <c r="M43" s="7">
        <v>13.6</v>
      </c>
      <c r="N43" s="7">
        <v>86.2</v>
      </c>
      <c r="O43" s="7">
        <v>168</v>
      </c>
      <c r="P43" s="7">
        <v>20.9</v>
      </c>
      <c r="Q43" s="7">
        <v>46.2</v>
      </c>
      <c r="R43" s="3"/>
      <c r="S43" s="3"/>
      <c r="T43" s="3"/>
      <c r="U43" s="3"/>
      <c r="V43" s="3"/>
      <c r="W43" s="3"/>
      <c r="X43" s="3"/>
      <c r="Y43" s="3"/>
      <c r="Z43" s="7">
        <v>153</v>
      </c>
      <c r="AA43" s="7">
        <v>35.6</v>
      </c>
      <c r="AH43" s="3">
        <v>233.5692</v>
      </c>
      <c r="AI43" s="7">
        <v>123.9</v>
      </c>
      <c r="AJ43" s="7">
        <v>110.4</v>
      </c>
      <c r="AK43" s="7">
        <v>65.28</v>
      </c>
      <c r="AL43" s="7">
        <v>5.32</v>
      </c>
      <c r="AM43" s="7">
        <v>11.6</v>
      </c>
      <c r="AN43" s="7">
        <v>62.04</v>
      </c>
      <c r="AO43" s="9">
        <f t="shared" si="0"/>
        <v>233.56919999999997</v>
      </c>
      <c r="AP43" s="9">
        <f t="shared" si="1"/>
        <v>53.046377690209155</v>
      </c>
      <c r="AQ43" s="9">
        <f t="shared" si="2"/>
        <v>86.571688390421357</v>
      </c>
      <c r="AR43" s="9">
        <f t="shared" si="3"/>
        <v>-0.27897513884536473</v>
      </c>
      <c r="AS43" t="b">
        <f t="shared" si="4"/>
        <v>0</v>
      </c>
    </row>
    <row r="44" spans="2:45" x14ac:dyDescent="0.3">
      <c r="B44" s="4">
        <v>43</v>
      </c>
      <c r="C44" s="2" t="s">
        <v>333</v>
      </c>
      <c r="D44" s="2" t="s">
        <v>292</v>
      </c>
      <c r="E44" s="2" t="s">
        <v>286</v>
      </c>
      <c r="F44" s="2" t="s">
        <v>287</v>
      </c>
      <c r="G44" s="5">
        <v>651.4</v>
      </c>
      <c r="H44" s="5">
        <v>32.200000000000003</v>
      </c>
      <c r="I44" s="5">
        <v>67.8</v>
      </c>
      <c r="J44" s="5">
        <v>39.42</v>
      </c>
      <c r="K44" s="5">
        <v>44.52</v>
      </c>
      <c r="L44" s="5">
        <v>89.8</v>
      </c>
      <c r="M44" s="5">
        <v>13.9</v>
      </c>
      <c r="N44" s="5">
        <v>81.400000000000006</v>
      </c>
      <c r="O44" s="5">
        <v>157</v>
      </c>
      <c r="P44" s="5">
        <v>21.7</v>
      </c>
      <c r="Q44" s="5">
        <v>52</v>
      </c>
      <c r="R44" s="2"/>
      <c r="S44" s="2"/>
      <c r="T44" s="2"/>
      <c r="U44" s="2"/>
      <c r="V44" s="2"/>
      <c r="W44" s="2"/>
      <c r="X44" s="2"/>
      <c r="Y44" s="2"/>
      <c r="Z44" s="5">
        <v>196</v>
      </c>
      <c r="AA44" s="5">
        <v>15.3</v>
      </c>
      <c r="AH44" s="2">
        <v>209.75080000000003</v>
      </c>
      <c r="AI44" s="5">
        <v>112.8</v>
      </c>
      <c r="AJ44" s="5">
        <v>96.7</v>
      </c>
      <c r="AK44" s="5">
        <v>64.900000000000006</v>
      </c>
      <c r="AL44" s="5">
        <v>4.78</v>
      </c>
      <c r="AM44" s="5">
        <v>9.8699999999999992</v>
      </c>
      <c r="AN44" s="5">
        <v>64.459999999999994</v>
      </c>
      <c r="AO44" s="9">
        <f t="shared" si="0"/>
        <v>209.7508</v>
      </c>
      <c r="AP44" s="9">
        <f t="shared" si="1"/>
        <v>53.778102395795379</v>
      </c>
      <c r="AQ44" s="9">
        <f t="shared" si="2"/>
        <v>88.538783497897526</v>
      </c>
      <c r="AR44" s="9">
        <f t="shared" si="3"/>
        <v>-8.1908025965084716E-2</v>
      </c>
      <c r="AS44" t="b">
        <f t="shared" si="4"/>
        <v>0</v>
      </c>
    </row>
    <row r="45" spans="2:45" x14ac:dyDescent="0.3">
      <c r="B45" s="6">
        <v>44</v>
      </c>
      <c r="C45" s="3" t="s">
        <v>334</v>
      </c>
      <c r="D45" s="3" t="s">
        <v>292</v>
      </c>
      <c r="E45" s="3" t="s">
        <v>286</v>
      </c>
      <c r="F45" s="3" t="s">
        <v>287</v>
      </c>
      <c r="G45" s="7">
        <v>671.7</v>
      </c>
      <c r="H45" s="7">
        <v>32.200000000000003</v>
      </c>
      <c r="I45" s="7">
        <v>67.8</v>
      </c>
      <c r="J45" s="7">
        <v>39.67</v>
      </c>
      <c r="K45" s="7">
        <v>42.68</v>
      </c>
      <c r="L45" s="7">
        <v>102.4</v>
      </c>
      <c r="M45" s="7">
        <v>12.6</v>
      </c>
      <c r="N45" s="7">
        <v>88</v>
      </c>
      <c r="O45" s="7">
        <v>152</v>
      </c>
      <c r="P45" s="7">
        <v>22.9</v>
      </c>
      <c r="Q45" s="7">
        <v>45.8</v>
      </c>
      <c r="R45" s="3"/>
      <c r="S45" s="3"/>
      <c r="T45" s="3"/>
      <c r="U45" s="3"/>
      <c r="V45" s="3"/>
      <c r="W45" s="3"/>
      <c r="X45" s="3"/>
      <c r="Y45" s="3"/>
      <c r="Z45" s="7">
        <v>229</v>
      </c>
      <c r="AA45" s="7">
        <v>31.4</v>
      </c>
      <c r="AH45" s="3">
        <v>216.28740000000002</v>
      </c>
      <c r="AI45" s="7">
        <v>113.7</v>
      </c>
      <c r="AJ45" s="7">
        <v>103</v>
      </c>
      <c r="AK45" s="7">
        <v>66.45</v>
      </c>
      <c r="AL45" s="7">
        <v>5.07</v>
      </c>
      <c r="AM45" s="7">
        <v>10.14</v>
      </c>
      <c r="AN45" s="7">
        <v>65.53</v>
      </c>
      <c r="AO45" s="9">
        <f t="shared" si="0"/>
        <v>216.28740000000002</v>
      </c>
      <c r="AP45" s="9">
        <f t="shared" si="1"/>
        <v>52.568942989744194</v>
      </c>
      <c r="AQ45" s="9">
        <f t="shared" si="2"/>
        <v>88.056623687131378</v>
      </c>
      <c r="AR45" s="9">
        <f t="shared" si="3"/>
        <v>-0.22917907145942551</v>
      </c>
      <c r="AS45" t="b">
        <f t="shared" si="4"/>
        <v>0</v>
      </c>
    </row>
    <row r="46" spans="2:45" x14ac:dyDescent="0.3">
      <c r="B46" s="4">
        <v>45</v>
      </c>
      <c r="C46" s="2" t="s">
        <v>335</v>
      </c>
      <c r="D46" s="2" t="s">
        <v>297</v>
      </c>
      <c r="E46" s="2" t="s">
        <v>286</v>
      </c>
      <c r="F46" s="2" t="s">
        <v>287</v>
      </c>
      <c r="G46" s="5">
        <v>622.20000000000005</v>
      </c>
      <c r="H46" s="5">
        <v>35.200000000000003</v>
      </c>
      <c r="I46" s="5">
        <v>64.8</v>
      </c>
      <c r="J46" s="5">
        <v>38.409999999999997</v>
      </c>
      <c r="K46" s="5">
        <v>43.65</v>
      </c>
      <c r="L46" s="5">
        <v>104.5</v>
      </c>
      <c r="M46" s="5">
        <v>12.3</v>
      </c>
      <c r="N46" s="5">
        <v>82</v>
      </c>
      <c r="O46" s="5">
        <v>164</v>
      </c>
      <c r="P46" s="5">
        <v>18.399999999999999</v>
      </c>
      <c r="Q46" s="5">
        <v>45.3</v>
      </c>
      <c r="R46" s="2"/>
      <c r="S46" s="2"/>
      <c r="T46" s="2"/>
      <c r="U46" s="2"/>
      <c r="V46" s="2"/>
      <c r="W46" s="2"/>
      <c r="X46" s="2"/>
      <c r="Y46" s="2"/>
      <c r="Z46" s="5">
        <v>166</v>
      </c>
      <c r="AA46" s="5">
        <v>28.9</v>
      </c>
      <c r="AH46" s="2">
        <v>219.01440000000002</v>
      </c>
      <c r="AI46" s="5">
        <v>106.1</v>
      </c>
      <c r="AJ46" s="5">
        <v>112.9</v>
      </c>
      <c r="AK46" s="5">
        <v>65.95</v>
      </c>
      <c r="AL46" s="5">
        <v>5.33</v>
      </c>
      <c r="AM46" s="5">
        <v>12.56</v>
      </c>
      <c r="AN46" s="5">
        <v>66.3</v>
      </c>
      <c r="AO46" s="9">
        <f t="shared" si="0"/>
        <v>219.01440000000005</v>
      </c>
      <c r="AP46" s="9">
        <f t="shared" si="1"/>
        <v>48.444303205633958</v>
      </c>
      <c r="AQ46" s="9">
        <f t="shared" si="2"/>
        <v>83.178906441331961</v>
      </c>
      <c r="AR46" s="9">
        <f t="shared" si="3"/>
        <v>-3.5375352184398023E-2</v>
      </c>
      <c r="AS46" t="b">
        <f t="shared" si="4"/>
        <v>0</v>
      </c>
    </row>
    <row r="47" spans="2:45" x14ac:dyDescent="0.3">
      <c r="B47" s="6">
        <v>46</v>
      </c>
      <c r="C47" s="3" t="s">
        <v>336</v>
      </c>
      <c r="D47" s="3" t="s">
        <v>297</v>
      </c>
      <c r="E47" s="3" t="s">
        <v>286</v>
      </c>
      <c r="F47" s="3" t="s">
        <v>287</v>
      </c>
      <c r="G47" s="7">
        <v>627</v>
      </c>
      <c r="H47" s="7">
        <v>36.1</v>
      </c>
      <c r="I47" s="7">
        <v>63.9</v>
      </c>
      <c r="J47" s="7">
        <v>38.340000000000003</v>
      </c>
      <c r="K47" s="7">
        <v>44.68</v>
      </c>
      <c r="L47" s="7">
        <v>97.6</v>
      </c>
      <c r="M47" s="7">
        <v>12.7</v>
      </c>
      <c r="N47" s="7">
        <v>81.3</v>
      </c>
      <c r="O47" s="7">
        <v>165</v>
      </c>
      <c r="P47" s="7">
        <v>23.5</v>
      </c>
      <c r="Q47" s="7">
        <v>46.8</v>
      </c>
      <c r="R47" s="3"/>
      <c r="S47" s="3"/>
      <c r="T47" s="3"/>
      <c r="U47" s="3"/>
      <c r="V47" s="3"/>
      <c r="W47" s="3"/>
      <c r="X47" s="3"/>
      <c r="Y47" s="3"/>
      <c r="Z47" s="7">
        <v>164</v>
      </c>
      <c r="AA47" s="7">
        <v>44.1</v>
      </c>
      <c r="AH47" s="3">
        <v>226.34700000000001</v>
      </c>
      <c r="AI47" s="7">
        <v>110.2</v>
      </c>
      <c r="AJ47" s="7">
        <v>116.1</v>
      </c>
      <c r="AK47" s="7">
        <v>66.44</v>
      </c>
      <c r="AL47" s="7">
        <v>4.9400000000000004</v>
      </c>
      <c r="AM47" s="7">
        <v>11.8</v>
      </c>
      <c r="AN47" s="7">
        <v>62.28</v>
      </c>
      <c r="AO47" s="9">
        <f t="shared" si="0"/>
        <v>226.34699999999998</v>
      </c>
      <c r="AP47" s="9">
        <f t="shared" si="1"/>
        <v>48.686309074120707</v>
      </c>
      <c r="AQ47" s="9">
        <f t="shared" si="2"/>
        <v>84.369284686608765</v>
      </c>
      <c r="AR47" s="9">
        <f t="shared" si="3"/>
        <v>-0.15584000485780056</v>
      </c>
      <c r="AS47" t="b">
        <f t="shared" si="4"/>
        <v>0</v>
      </c>
    </row>
    <row r="48" spans="2:45" x14ac:dyDescent="0.3">
      <c r="B48" s="4">
        <v>47</v>
      </c>
      <c r="C48" s="2" t="s">
        <v>337</v>
      </c>
      <c r="D48" s="2" t="s">
        <v>297</v>
      </c>
      <c r="E48" s="2" t="s">
        <v>286</v>
      </c>
      <c r="F48" s="2" t="s">
        <v>287</v>
      </c>
      <c r="G48" s="5">
        <v>676.1</v>
      </c>
      <c r="H48" s="5">
        <v>34</v>
      </c>
      <c r="I48" s="5">
        <v>66</v>
      </c>
      <c r="J48" s="5">
        <v>38.44</v>
      </c>
      <c r="K48" s="5">
        <v>45.92</v>
      </c>
      <c r="L48" s="5">
        <v>88.4</v>
      </c>
      <c r="M48" s="5">
        <v>11.6</v>
      </c>
      <c r="N48" s="5">
        <v>83.4</v>
      </c>
      <c r="O48" s="5">
        <v>169</v>
      </c>
      <c r="P48" s="5">
        <v>20.6</v>
      </c>
      <c r="Q48" s="5">
        <v>47.5</v>
      </c>
      <c r="R48" s="2"/>
      <c r="S48" s="2"/>
      <c r="T48" s="2"/>
      <c r="U48" s="2"/>
      <c r="V48" s="2"/>
      <c r="W48" s="2"/>
      <c r="X48" s="2"/>
      <c r="Y48" s="2"/>
      <c r="Z48" s="5">
        <v>202</v>
      </c>
      <c r="AA48" s="5">
        <v>36.200000000000003</v>
      </c>
      <c r="AH48" s="2">
        <v>229.87400000000002</v>
      </c>
      <c r="AI48" s="5">
        <v>120.6</v>
      </c>
      <c r="AJ48" s="5">
        <v>109.5</v>
      </c>
      <c r="AK48" s="5">
        <v>64.72</v>
      </c>
      <c r="AL48" s="5">
        <v>4.96</v>
      </c>
      <c r="AM48" s="5">
        <v>9.6999999999999993</v>
      </c>
      <c r="AN48" s="5">
        <v>63.72</v>
      </c>
      <c r="AO48" s="9">
        <f t="shared" si="0"/>
        <v>229.87400000000002</v>
      </c>
      <c r="AP48" s="9">
        <f t="shared" si="1"/>
        <v>52.463523495480125</v>
      </c>
      <c r="AQ48" s="9">
        <f t="shared" si="2"/>
        <v>88.330885552223563</v>
      </c>
      <c r="AR48" s="9">
        <f t="shared" si="3"/>
        <v>-0.35111122768001379</v>
      </c>
      <c r="AS48" t="b">
        <f t="shared" si="4"/>
        <v>0</v>
      </c>
    </row>
    <row r="49" spans="2:45" x14ac:dyDescent="0.3">
      <c r="B49" s="6">
        <v>48</v>
      </c>
      <c r="C49" s="3" t="s">
        <v>338</v>
      </c>
      <c r="D49" s="3" t="s">
        <v>297</v>
      </c>
      <c r="E49" s="3" t="s">
        <v>286</v>
      </c>
      <c r="F49" s="3" t="s">
        <v>287</v>
      </c>
      <c r="G49" s="7">
        <v>565.9</v>
      </c>
      <c r="H49" s="7">
        <v>34</v>
      </c>
      <c r="I49" s="7">
        <v>66</v>
      </c>
      <c r="J49" s="7">
        <v>41.24</v>
      </c>
      <c r="K49" s="7">
        <v>41.54</v>
      </c>
      <c r="L49" s="7">
        <v>95.1</v>
      </c>
      <c r="M49" s="7">
        <v>9.1999999999999993</v>
      </c>
      <c r="N49" s="7">
        <v>81.5</v>
      </c>
      <c r="O49" s="7">
        <v>175</v>
      </c>
      <c r="P49" s="7">
        <v>23.8</v>
      </c>
      <c r="Q49" s="7">
        <v>45</v>
      </c>
      <c r="R49" s="3"/>
      <c r="S49" s="3"/>
      <c r="T49" s="3"/>
      <c r="U49" s="3"/>
      <c r="V49" s="3"/>
      <c r="W49" s="3"/>
      <c r="X49" s="3"/>
      <c r="Y49" s="3"/>
      <c r="Z49" s="7">
        <v>235</v>
      </c>
      <c r="AA49" s="7">
        <v>34.200000000000003</v>
      </c>
      <c r="AH49" s="3">
        <v>192.40599999999998</v>
      </c>
      <c r="AI49" s="7">
        <v>104</v>
      </c>
      <c r="AJ49" s="7">
        <v>88.7</v>
      </c>
      <c r="AK49" s="7">
        <v>66.44</v>
      </c>
      <c r="AL49" s="7">
        <v>4.66</v>
      </c>
      <c r="AM49" s="7">
        <v>11.85</v>
      </c>
      <c r="AN49" s="7">
        <v>63.11</v>
      </c>
      <c r="AO49" s="9">
        <f t="shared" si="0"/>
        <v>192.40600000000001</v>
      </c>
      <c r="AP49" s="9">
        <f t="shared" si="1"/>
        <v>54.052368429258969</v>
      </c>
      <c r="AQ49" s="9">
        <f t="shared" si="2"/>
        <v>87.081458740057371</v>
      </c>
      <c r="AR49" s="9">
        <f t="shared" si="3"/>
        <v>-0.32806728715316275</v>
      </c>
      <c r="AS49" t="b">
        <f t="shared" si="4"/>
        <v>0</v>
      </c>
    </row>
    <row r="50" spans="2:45" x14ac:dyDescent="0.3">
      <c r="B50" s="4">
        <v>49</v>
      </c>
      <c r="C50" s="2" t="s">
        <v>339</v>
      </c>
      <c r="D50" s="2" t="s">
        <v>285</v>
      </c>
      <c r="E50" s="2" t="s">
        <v>286</v>
      </c>
      <c r="F50" s="2" t="s">
        <v>287</v>
      </c>
      <c r="G50" s="5">
        <v>640</v>
      </c>
      <c r="H50" s="5">
        <v>35.799999999999997</v>
      </c>
      <c r="I50" s="5">
        <v>64.2</v>
      </c>
      <c r="J50" s="5">
        <v>41.28</v>
      </c>
      <c r="K50" s="5">
        <v>40.57</v>
      </c>
      <c r="L50" s="5">
        <v>94.9</v>
      </c>
      <c r="M50" s="5">
        <v>12.1</v>
      </c>
      <c r="N50" s="5">
        <v>88.7</v>
      </c>
      <c r="O50" s="5">
        <v>160</v>
      </c>
      <c r="P50" s="5">
        <v>18.2</v>
      </c>
      <c r="Q50" s="5">
        <v>54.3</v>
      </c>
      <c r="R50" s="2"/>
      <c r="S50" s="2"/>
      <c r="T50" s="2"/>
      <c r="U50" s="2"/>
      <c r="V50" s="2"/>
      <c r="W50" s="2"/>
      <c r="X50" s="2"/>
      <c r="Y50" s="2"/>
      <c r="Z50" s="5">
        <v>209</v>
      </c>
      <c r="AA50" s="5">
        <v>35.299999999999997</v>
      </c>
      <c r="AH50" s="2">
        <v>229.12</v>
      </c>
      <c r="AI50" s="5">
        <v>123.7</v>
      </c>
      <c r="AJ50" s="5">
        <v>105</v>
      </c>
      <c r="AK50" s="5">
        <v>66.06</v>
      </c>
      <c r="AL50" s="5">
        <v>5.46</v>
      </c>
      <c r="AM50" s="5">
        <v>12.08</v>
      </c>
      <c r="AN50" s="5">
        <v>66.150000000000006</v>
      </c>
      <c r="AO50" s="9">
        <f t="shared" si="0"/>
        <v>229.12</v>
      </c>
      <c r="AP50" s="9">
        <f t="shared" si="1"/>
        <v>53.989175977653638</v>
      </c>
      <c r="AQ50" s="9">
        <f t="shared" si="2"/>
        <v>86.398376092146307</v>
      </c>
      <c r="AR50" s="9">
        <f t="shared" si="3"/>
        <v>0.19085916184876031</v>
      </c>
      <c r="AS50" t="b">
        <f t="shared" si="4"/>
        <v>0</v>
      </c>
    </row>
    <row r="51" spans="2:45" x14ac:dyDescent="0.3">
      <c r="B51" s="6">
        <v>50</v>
      </c>
      <c r="C51" s="3" t="s">
        <v>340</v>
      </c>
      <c r="D51" s="3" t="s">
        <v>285</v>
      </c>
      <c r="E51" s="3" t="s">
        <v>286</v>
      </c>
      <c r="F51" s="3" t="s">
        <v>287</v>
      </c>
      <c r="G51" s="7">
        <v>636.79999999999995</v>
      </c>
      <c r="H51" s="7">
        <v>35.6</v>
      </c>
      <c r="I51" s="7">
        <v>64.400000000000006</v>
      </c>
      <c r="J51" s="7">
        <v>40.549999999999997</v>
      </c>
      <c r="K51" s="7">
        <v>41.26</v>
      </c>
      <c r="L51" s="7">
        <v>93.7</v>
      </c>
      <c r="M51" s="7">
        <v>13.1</v>
      </c>
      <c r="N51" s="7">
        <v>81.2</v>
      </c>
      <c r="O51" s="7">
        <v>159</v>
      </c>
      <c r="P51" s="7">
        <v>18</v>
      </c>
      <c r="Q51" s="7">
        <v>48.2</v>
      </c>
      <c r="R51" s="3"/>
      <c r="S51" s="3"/>
      <c r="T51" s="3"/>
      <c r="U51" s="3"/>
      <c r="V51" s="3"/>
      <c r="W51" s="3"/>
      <c r="X51" s="3"/>
      <c r="Y51" s="3"/>
      <c r="Z51" s="7">
        <v>177</v>
      </c>
      <c r="AA51" s="7">
        <v>26.9</v>
      </c>
      <c r="AH51" s="3">
        <v>226.70079999999999</v>
      </c>
      <c r="AI51" s="7">
        <v>122.5</v>
      </c>
      <c r="AJ51" s="7">
        <v>103.8</v>
      </c>
      <c r="AK51" s="7">
        <v>65.260000000000005</v>
      </c>
      <c r="AL51" s="7">
        <v>5.97</v>
      </c>
      <c r="AM51" s="7">
        <v>11.32</v>
      </c>
      <c r="AN51" s="7">
        <v>63.35</v>
      </c>
      <c r="AO51" s="9">
        <f t="shared" si="0"/>
        <v>226.70080000000002</v>
      </c>
      <c r="AP51" s="9">
        <f t="shared" si="1"/>
        <v>54.035980464118353</v>
      </c>
      <c r="AQ51" s="9">
        <f t="shared" si="2"/>
        <v>86.963947844349292</v>
      </c>
      <c r="AR51" s="9">
        <f t="shared" si="3"/>
        <v>0.25402107866810003</v>
      </c>
      <c r="AS51" t="b">
        <f t="shared" si="4"/>
        <v>0</v>
      </c>
    </row>
    <row r="52" spans="2:45" x14ac:dyDescent="0.3">
      <c r="B52" s="4">
        <v>51</v>
      </c>
      <c r="C52" s="2" t="s">
        <v>341</v>
      </c>
      <c r="D52" s="2" t="s">
        <v>285</v>
      </c>
      <c r="E52" s="2" t="s">
        <v>286</v>
      </c>
      <c r="F52" s="2" t="s">
        <v>287</v>
      </c>
      <c r="G52" s="5">
        <v>599.4</v>
      </c>
      <c r="H52" s="5">
        <v>33.799999999999997</v>
      </c>
      <c r="I52" s="5">
        <v>66.2</v>
      </c>
      <c r="J52" s="5">
        <v>39.82</v>
      </c>
      <c r="K52" s="5">
        <v>42.91</v>
      </c>
      <c r="L52" s="5">
        <v>97.2</v>
      </c>
      <c r="M52" s="5">
        <v>12.8</v>
      </c>
      <c r="N52" s="5">
        <v>88.1</v>
      </c>
      <c r="O52" s="5">
        <v>165</v>
      </c>
      <c r="P52" s="5">
        <v>23.7</v>
      </c>
      <c r="Q52" s="5">
        <v>45.2</v>
      </c>
      <c r="R52" s="2"/>
      <c r="S52" s="2"/>
      <c r="T52" s="2"/>
      <c r="U52" s="2"/>
      <c r="V52" s="2"/>
      <c r="W52" s="2"/>
      <c r="X52" s="2"/>
      <c r="Y52" s="2"/>
      <c r="Z52" s="5">
        <v>160</v>
      </c>
      <c r="AA52" s="5">
        <v>15.2</v>
      </c>
      <c r="AH52" s="2">
        <v>202.59719999999999</v>
      </c>
      <c r="AI52" s="5">
        <v>107.3</v>
      </c>
      <c r="AJ52" s="5">
        <v>95.5</v>
      </c>
      <c r="AK52" s="5">
        <v>65.11</v>
      </c>
      <c r="AL52" s="5">
        <v>5.87</v>
      </c>
      <c r="AM52" s="5">
        <v>11.39</v>
      </c>
      <c r="AN52" s="5">
        <v>62.18</v>
      </c>
      <c r="AO52" s="9">
        <f t="shared" si="0"/>
        <v>202.59719999999999</v>
      </c>
      <c r="AP52" s="9">
        <f t="shared" si="1"/>
        <v>52.962232449411943</v>
      </c>
      <c r="AQ52" s="9">
        <f t="shared" si="2"/>
        <v>86.5989692310701</v>
      </c>
      <c r="AR52" s="9">
        <f t="shared" si="3"/>
        <v>-8.2151364202647056E-2</v>
      </c>
      <c r="AS52" t="b">
        <f t="shared" si="4"/>
        <v>0</v>
      </c>
    </row>
    <row r="53" spans="2:45" x14ac:dyDescent="0.3">
      <c r="B53" s="6">
        <v>52</v>
      </c>
      <c r="C53" s="3" t="s">
        <v>342</v>
      </c>
      <c r="D53" s="3" t="s">
        <v>285</v>
      </c>
      <c r="E53" s="3" t="s">
        <v>286</v>
      </c>
      <c r="F53" s="3" t="s">
        <v>287</v>
      </c>
      <c r="G53" s="7">
        <v>585.4</v>
      </c>
      <c r="H53" s="7">
        <v>33.9</v>
      </c>
      <c r="I53" s="7">
        <v>66.099999999999994</v>
      </c>
      <c r="J53" s="7">
        <v>37.99</v>
      </c>
      <c r="K53" s="7">
        <v>46.26</v>
      </c>
      <c r="L53" s="7">
        <v>98.6</v>
      </c>
      <c r="M53" s="7">
        <v>9.9</v>
      </c>
      <c r="N53" s="7">
        <v>85.3</v>
      </c>
      <c r="O53" s="7">
        <v>165</v>
      </c>
      <c r="P53" s="7">
        <v>18.600000000000001</v>
      </c>
      <c r="Q53" s="7">
        <v>50.7</v>
      </c>
      <c r="R53" s="3"/>
      <c r="S53" s="3"/>
      <c r="T53" s="3"/>
      <c r="U53" s="3"/>
      <c r="V53" s="3"/>
      <c r="W53" s="3"/>
      <c r="X53" s="3"/>
      <c r="Y53" s="3"/>
      <c r="Z53" s="7">
        <v>166</v>
      </c>
      <c r="AA53" s="7">
        <v>43.9</v>
      </c>
      <c r="AH53" s="3">
        <v>198.45059999999998</v>
      </c>
      <c r="AI53" s="7">
        <v>94.9</v>
      </c>
      <c r="AJ53" s="7">
        <v>103</v>
      </c>
      <c r="AK53" s="7">
        <v>65.72</v>
      </c>
      <c r="AL53" s="7">
        <v>5.2</v>
      </c>
      <c r="AM53" s="7">
        <v>12.44</v>
      </c>
      <c r="AN53" s="7">
        <v>66.3</v>
      </c>
      <c r="AO53" s="9">
        <f t="shared" si="0"/>
        <v>198.45059999999998</v>
      </c>
      <c r="AP53" s="9">
        <f t="shared" si="1"/>
        <v>47.820465143466443</v>
      </c>
      <c r="AQ53" s="9">
        <f t="shared" si="2"/>
        <v>82.72600603391983</v>
      </c>
      <c r="AR53" s="9">
        <f t="shared" si="3"/>
        <v>0.27841768092653679</v>
      </c>
      <c r="AS53" t="b">
        <f t="shared" si="4"/>
        <v>0</v>
      </c>
    </row>
    <row r="54" spans="2:45" x14ac:dyDescent="0.3">
      <c r="B54" s="4">
        <v>53</v>
      </c>
      <c r="C54" s="2" t="s">
        <v>343</v>
      </c>
      <c r="D54" s="2" t="s">
        <v>292</v>
      </c>
      <c r="E54" s="2" t="s">
        <v>286</v>
      </c>
      <c r="F54" s="2" t="s">
        <v>287</v>
      </c>
      <c r="G54" s="5">
        <v>651.5</v>
      </c>
      <c r="H54" s="5">
        <v>33.200000000000003</v>
      </c>
      <c r="I54" s="5">
        <v>66.8</v>
      </c>
      <c r="J54" s="5">
        <v>40.79</v>
      </c>
      <c r="K54" s="5">
        <v>41.87</v>
      </c>
      <c r="L54" s="5">
        <v>98.4</v>
      </c>
      <c r="M54" s="5">
        <v>9.5</v>
      </c>
      <c r="N54" s="5">
        <v>86.2</v>
      </c>
      <c r="O54" s="5">
        <v>156</v>
      </c>
      <c r="P54" s="5">
        <v>21.5</v>
      </c>
      <c r="Q54" s="5">
        <v>46.7</v>
      </c>
      <c r="R54" s="2"/>
      <c r="S54" s="2"/>
      <c r="T54" s="2"/>
      <c r="U54" s="2"/>
      <c r="V54" s="2"/>
      <c r="W54" s="2"/>
      <c r="X54" s="2"/>
      <c r="Y54" s="2"/>
      <c r="Z54" s="5">
        <v>214</v>
      </c>
      <c r="AA54" s="5">
        <v>40.9</v>
      </c>
      <c r="AH54" s="2">
        <v>216.29800000000003</v>
      </c>
      <c r="AI54" s="5">
        <v>120.3</v>
      </c>
      <c r="AJ54" s="5">
        <v>96.6</v>
      </c>
      <c r="AK54" s="5">
        <v>64.77</v>
      </c>
      <c r="AL54" s="5">
        <v>5.68</v>
      </c>
      <c r="AM54" s="5">
        <v>10.92</v>
      </c>
      <c r="AN54" s="5">
        <v>63</v>
      </c>
      <c r="AO54" s="9">
        <f t="shared" si="0"/>
        <v>216.298</v>
      </c>
      <c r="AP54" s="9">
        <f t="shared" si="1"/>
        <v>55.617712600208961</v>
      </c>
      <c r="AQ54" s="9">
        <f t="shared" si="2"/>
        <v>88.314764528451448</v>
      </c>
      <c r="AR54" s="9">
        <f t="shared" si="3"/>
        <v>-0.2709751145969464</v>
      </c>
      <c r="AS54" t="b">
        <f t="shared" si="4"/>
        <v>0</v>
      </c>
    </row>
    <row r="55" spans="2:45" x14ac:dyDescent="0.3">
      <c r="B55" s="6">
        <v>54</v>
      </c>
      <c r="C55" s="3" t="s">
        <v>344</v>
      </c>
      <c r="D55" s="3" t="s">
        <v>292</v>
      </c>
      <c r="E55" s="3" t="s">
        <v>286</v>
      </c>
      <c r="F55" s="3" t="s">
        <v>287</v>
      </c>
      <c r="G55" s="7">
        <v>678.9</v>
      </c>
      <c r="H55" s="7">
        <v>32.6</v>
      </c>
      <c r="I55" s="7">
        <v>67.400000000000006</v>
      </c>
      <c r="J55" s="7">
        <v>37.92</v>
      </c>
      <c r="K55" s="7">
        <v>45</v>
      </c>
      <c r="L55" s="7">
        <v>96.6</v>
      </c>
      <c r="M55" s="7">
        <v>10.4</v>
      </c>
      <c r="N55" s="7">
        <v>80.8</v>
      </c>
      <c r="O55" s="7">
        <v>143</v>
      </c>
      <c r="P55" s="7">
        <v>23.4</v>
      </c>
      <c r="Q55" s="7">
        <v>46.9</v>
      </c>
      <c r="R55" s="3"/>
      <c r="S55" s="3"/>
      <c r="T55" s="3"/>
      <c r="U55" s="3"/>
      <c r="V55" s="3"/>
      <c r="W55" s="3"/>
      <c r="X55" s="3"/>
      <c r="Y55" s="3"/>
      <c r="Z55" s="7">
        <v>172</v>
      </c>
      <c r="AA55" s="7">
        <v>21.8</v>
      </c>
      <c r="AH55" s="3">
        <v>221.32139999999998</v>
      </c>
      <c r="AI55" s="7">
        <v>105.7</v>
      </c>
      <c r="AJ55" s="7">
        <v>115.7</v>
      </c>
      <c r="AK55" s="7">
        <v>65.17</v>
      </c>
      <c r="AL55" s="7">
        <v>5.64</v>
      </c>
      <c r="AM55" s="7">
        <v>12.98</v>
      </c>
      <c r="AN55" s="7">
        <v>64.63</v>
      </c>
      <c r="AO55" s="9">
        <f t="shared" si="0"/>
        <v>221.32140000000001</v>
      </c>
      <c r="AP55" s="9">
        <f t="shared" si="1"/>
        <v>47.758599032899667</v>
      </c>
      <c r="AQ55" s="9">
        <f t="shared" si="2"/>
        <v>82.078794804168552</v>
      </c>
      <c r="AR55" s="9">
        <f t="shared" si="3"/>
        <v>2.6839273044664887E-2</v>
      </c>
      <c r="AS55" t="b">
        <f t="shared" si="4"/>
        <v>0</v>
      </c>
    </row>
    <row r="56" spans="2:45" x14ac:dyDescent="0.3">
      <c r="B56" s="4">
        <v>55</v>
      </c>
      <c r="C56" s="2" t="s">
        <v>345</v>
      </c>
      <c r="D56" s="2" t="s">
        <v>292</v>
      </c>
      <c r="E56" s="2" t="s">
        <v>286</v>
      </c>
      <c r="F56" s="2" t="s">
        <v>287</v>
      </c>
      <c r="G56" s="5">
        <v>610.5</v>
      </c>
      <c r="H56" s="5">
        <v>32.299999999999997</v>
      </c>
      <c r="I56" s="5">
        <v>67.7</v>
      </c>
      <c r="J56" s="5">
        <v>39.75</v>
      </c>
      <c r="K56" s="5">
        <v>41.94</v>
      </c>
      <c r="L56" s="5">
        <v>88.5</v>
      </c>
      <c r="M56" s="5">
        <v>12.5</v>
      </c>
      <c r="N56" s="5">
        <v>82</v>
      </c>
      <c r="O56" s="5">
        <v>159</v>
      </c>
      <c r="P56" s="5">
        <v>18.600000000000001</v>
      </c>
      <c r="Q56" s="5">
        <v>49.5</v>
      </c>
      <c r="R56" s="2"/>
      <c r="S56" s="2"/>
      <c r="T56" s="2"/>
      <c r="U56" s="2"/>
      <c r="V56" s="2"/>
      <c r="W56" s="2"/>
      <c r="X56" s="2"/>
      <c r="Y56" s="2"/>
      <c r="Z56" s="5">
        <v>216</v>
      </c>
      <c r="AA56" s="5">
        <v>25.4</v>
      </c>
      <c r="AH56" s="2">
        <v>197.19149999999999</v>
      </c>
      <c r="AI56" s="5">
        <v>101.7</v>
      </c>
      <c r="AJ56" s="5">
        <v>95.8</v>
      </c>
      <c r="AK56" s="5">
        <v>65.75</v>
      </c>
      <c r="AL56" s="5">
        <v>4.6500000000000004</v>
      </c>
      <c r="AM56" s="5">
        <v>12.14</v>
      </c>
      <c r="AN56" s="5">
        <v>60.89</v>
      </c>
      <c r="AO56" s="9">
        <f t="shared" si="0"/>
        <v>197.19149999999996</v>
      </c>
      <c r="AP56" s="9">
        <f t="shared" si="1"/>
        <v>51.574231140794616</v>
      </c>
      <c r="AQ56" s="9">
        <f t="shared" si="2"/>
        <v>85.308319434144551</v>
      </c>
      <c r="AR56" s="9">
        <f t="shared" si="3"/>
        <v>-0.14575589667593486</v>
      </c>
      <c r="AS56" t="b">
        <f t="shared" si="4"/>
        <v>0</v>
      </c>
    </row>
    <row r="57" spans="2:45" x14ac:dyDescent="0.3">
      <c r="B57" s="6">
        <v>56</v>
      </c>
      <c r="C57" s="3" t="s">
        <v>346</v>
      </c>
      <c r="D57" s="3" t="s">
        <v>292</v>
      </c>
      <c r="E57" s="3" t="s">
        <v>286</v>
      </c>
      <c r="F57" s="3" t="s">
        <v>287</v>
      </c>
      <c r="G57" s="7">
        <v>642.1</v>
      </c>
      <c r="H57" s="7">
        <v>32.200000000000003</v>
      </c>
      <c r="I57" s="7">
        <v>67.8</v>
      </c>
      <c r="J57" s="7">
        <v>38.71</v>
      </c>
      <c r="K57" s="7">
        <v>45.08</v>
      </c>
      <c r="L57" s="7">
        <v>92.2</v>
      </c>
      <c r="M57" s="7">
        <v>9.4</v>
      </c>
      <c r="N57" s="7">
        <v>89.4</v>
      </c>
      <c r="O57" s="7">
        <v>159</v>
      </c>
      <c r="P57" s="7">
        <v>19.8</v>
      </c>
      <c r="Q57" s="7">
        <v>49</v>
      </c>
      <c r="R57" s="3"/>
      <c r="S57" s="3"/>
      <c r="T57" s="3"/>
      <c r="U57" s="3"/>
      <c r="V57" s="3"/>
      <c r="W57" s="3"/>
      <c r="X57" s="3"/>
      <c r="Y57" s="3"/>
      <c r="Z57" s="7">
        <v>185</v>
      </c>
      <c r="AA57" s="7">
        <v>33</v>
      </c>
      <c r="AH57" s="3">
        <v>206.75620000000004</v>
      </c>
      <c r="AI57" s="7">
        <v>100.9</v>
      </c>
      <c r="AJ57" s="7">
        <v>105.2</v>
      </c>
      <c r="AK57" s="7">
        <v>66.239999999999995</v>
      </c>
      <c r="AL57" s="7">
        <v>5.87</v>
      </c>
      <c r="AM57" s="7">
        <v>12.27</v>
      </c>
      <c r="AN57" s="7">
        <v>62.13</v>
      </c>
      <c r="AO57" s="9">
        <f t="shared" si="0"/>
        <v>206.75620000000001</v>
      </c>
      <c r="AP57" s="9">
        <f t="shared" si="1"/>
        <v>48.801438602566691</v>
      </c>
      <c r="AQ57" s="9">
        <f t="shared" si="2"/>
        <v>83.508325833996821</v>
      </c>
      <c r="AR57" s="9">
        <f t="shared" si="3"/>
        <v>0.36374565846676887</v>
      </c>
      <c r="AS57" t="b">
        <f t="shared" si="4"/>
        <v>0</v>
      </c>
    </row>
    <row r="58" spans="2:45" x14ac:dyDescent="0.3">
      <c r="B58" s="4">
        <v>57</v>
      </c>
      <c r="C58" s="2" t="s">
        <v>347</v>
      </c>
      <c r="D58" s="2" t="s">
        <v>297</v>
      </c>
      <c r="E58" s="2" t="s">
        <v>286</v>
      </c>
      <c r="F58" s="2" t="s">
        <v>287</v>
      </c>
      <c r="G58" s="5">
        <v>572.6</v>
      </c>
      <c r="H58" s="5">
        <v>35.1</v>
      </c>
      <c r="I58" s="5">
        <v>64.900000000000006</v>
      </c>
      <c r="J58" s="5">
        <v>38.880000000000003</v>
      </c>
      <c r="K58" s="5">
        <v>43.07</v>
      </c>
      <c r="L58" s="5">
        <v>97.8</v>
      </c>
      <c r="M58" s="5">
        <v>13.1</v>
      </c>
      <c r="N58" s="5">
        <v>81.3</v>
      </c>
      <c r="O58" s="5">
        <v>170</v>
      </c>
      <c r="P58" s="5">
        <v>23.5</v>
      </c>
      <c r="Q58" s="5">
        <v>49.9</v>
      </c>
      <c r="R58" s="2"/>
      <c r="S58" s="2"/>
      <c r="T58" s="2"/>
      <c r="U58" s="2"/>
      <c r="V58" s="2"/>
      <c r="W58" s="2"/>
      <c r="X58" s="2"/>
      <c r="Y58" s="2"/>
      <c r="Z58" s="5">
        <v>201</v>
      </c>
      <c r="AA58" s="5">
        <v>37.9</v>
      </c>
      <c r="AH58" s="2">
        <v>200.98260000000002</v>
      </c>
      <c r="AI58" s="5">
        <v>102.3</v>
      </c>
      <c r="AJ58" s="5">
        <v>98.6</v>
      </c>
      <c r="AK58" s="5">
        <v>65.36</v>
      </c>
      <c r="AL58" s="5">
        <v>5.03</v>
      </c>
      <c r="AM58" s="5">
        <v>11.27</v>
      </c>
      <c r="AN58" s="5">
        <v>63.08</v>
      </c>
      <c r="AO58" s="9">
        <f t="shared" si="0"/>
        <v>200.98260000000002</v>
      </c>
      <c r="AP58" s="9">
        <f t="shared" si="1"/>
        <v>50.899928650539891</v>
      </c>
      <c r="AQ58" s="9">
        <f t="shared" si="2"/>
        <v>85.566340961915827</v>
      </c>
      <c r="AR58" s="9">
        <f t="shared" si="3"/>
        <v>0.21311817673517106</v>
      </c>
      <c r="AS58" t="b">
        <f t="shared" si="4"/>
        <v>0</v>
      </c>
    </row>
    <row r="59" spans="2:45" x14ac:dyDescent="0.3">
      <c r="B59" s="6">
        <v>58</v>
      </c>
      <c r="C59" s="3" t="s">
        <v>348</v>
      </c>
      <c r="D59" s="3" t="s">
        <v>297</v>
      </c>
      <c r="E59" s="3" t="s">
        <v>286</v>
      </c>
      <c r="F59" s="3" t="s">
        <v>287</v>
      </c>
      <c r="G59" s="7">
        <v>578.1</v>
      </c>
      <c r="H59" s="7">
        <v>34.799999999999997</v>
      </c>
      <c r="I59" s="7">
        <v>65.2</v>
      </c>
      <c r="J59" s="7">
        <v>40.1</v>
      </c>
      <c r="K59" s="7">
        <v>43.48</v>
      </c>
      <c r="L59" s="7">
        <v>86.2</v>
      </c>
      <c r="M59" s="7">
        <v>12.9</v>
      </c>
      <c r="N59" s="7">
        <v>84.6</v>
      </c>
      <c r="O59" s="7">
        <v>142</v>
      </c>
      <c r="P59" s="7">
        <v>24</v>
      </c>
      <c r="Q59" s="7">
        <v>45.6</v>
      </c>
      <c r="R59" s="3"/>
      <c r="S59" s="3"/>
      <c r="T59" s="3"/>
      <c r="U59" s="3"/>
      <c r="V59" s="3"/>
      <c r="W59" s="3"/>
      <c r="X59" s="3"/>
      <c r="Y59" s="3"/>
      <c r="Z59" s="7">
        <v>210</v>
      </c>
      <c r="AA59" s="7">
        <v>44.5</v>
      </c>
      <c r="AH59" s="3">
        <v>201.17879999999997</v>
      </c>
      <c r="AI59" s="7">
        <v>107.2</v>
      </c>
      <c r="AJ59" s="7">
        <v>93.8</v>
      </c>
      <c r="AK59" s="7">
        <v>65.11</v>
      </c>
      <c r="AL59" s="7">
        <v>5.56</v>
      </c>
      <c r="AM59" s="7">
        <v>11.34</v>
      </c>
      <c r="AN59" s="7">
        <v>62.98</v>
      </c>
      <c r="AO59" s="9">
        <f t="shared" si="0"/>
        <v>201.1788</v>
      </c>
      <c r="AP59" s="9">
        <f t="shared" si="1"/>
        <v>53.285932712591986</v>
      </c>
      <c r="AQ59" s="9">
        <f t="shared" si="2"/>
        <v>86.519877279722309</v>
      </c>
      <c r="AR59" s="9">
        <f t="shared" si="3"/>
        <v>0.29484423297858658</v>
      </c>
      <c r="AS59" t="b">
        <f t="shared" si="4"/>
        <v>0</v>
      </c>
    </row>
    <row r="60" spans="2:45" x14ac:dyDescent="0.3">
      <c r="B60" s="4">
        <v>59</v>
      </c>
      <c r="C60" s="2" t="s">
        <v>349</v>
      </c>
      <c r="D60" s="2" t="s">
        <v>297</v>
      </c>
      <c r="E60" s="2" t="s">
        <v>286</v>
      </c>
      <c r="F60" s="2" t="s">
        <v>287</v>
      </c>
      <c r="G60" s="5">
        <v>608.5</v>
      </c>
      <c r="H60" s="5">
        <v>32.9</v>
      </c>
      <c r="I60" s="5">
        <v>67.099999999999994</v>
      </c>
      <c r="J60" s="5">
        <v>38.97</v>
      </c>
      <c r="K60" s="5">
        <v>44.35</v>
      </c>
      <c r="L60" s="5">
        <v>101.6</v>
      </c>
      <c r="M60" s="5">
        <v>12.7</v>
      </c>
      <c r="N60" s="5">
        <v>87.7</v>
      </c>
      <c r="O60" s="5">
        <v>140</v>
      </c>
      <c r="P60" s="5">
        <v>20.5</v>
      </c>
      <c r="Q60" s="5">
        <v>49.8</v>
      </c>
      <c r="R60" s="2"/>
      <c r="S60" s="2"/>
      <c r="T60" s="2"/>
      <c r="U60" s="2"/>
      <c r="V60" s="2"/>
      <c r="W60" s="2"/>
      <c r="X60" s="2"/>
      <c r="Y60" s="2"/>
      <c r="Z60" s="5">
        <v>142</v>
      </c>
      <c r="AA60" s="5">
        <v>22.8</v>
      </c>
      <c r="AH60" s="2">
        <v>200.19649999999999</v>
      </c>
      <c r="AI60" s="5">
        <v>99.8</v>
      </c>
      <c r="AJ60" s="5">
        <v>99.9</v>
      </c>
      <c r="AK60" s="5">
        <v>65.599999999999994</v>
      </c>
      <c r="AL60" s="5">
        <v>5.27</v>
      </c>
      <c r="AM60" s="5">
        <v>12.46</v>
      </c>
      <c r="AN60" s="5">
        <v>60.69</v>
      </c>
      <c r="AO60" s="9">
        <f t="shared" si="0"/>
        <v>200.19649999999999</v>
      </c>
      <c r="AP60" s="9">
        <f t="shared" si="1"/>
        <v>49.851021371502505</v>
      </c>
      <c r="AQ60" s="9">
        <f t="shared" si="2"/>
        <v>83.916525583027038</v>
      </c>
      <c r="AR60" s="9">
        <f t="shared" si="3"/>
        <v>0.12848045258454169</v>
      </c>
      <c r="AS60" t="b">
        <f t="shared" si="4"/>
        <v>0</v>
      </c>
    </row>
    <row r="61" spans="2:45" x14ac:dyDescent="0.3">
      <c r="B61" s="6">
        <v>60</v>
      </c>
      <c r="C61" s="3" t="s">
        <v>350</v>
      </c>
      <c r="D61" s="3" t="s">
        <v>297</v>
      </c>
      <c r="E61" s="3" t="s">
        <v>286</v>
      </c>
      <c r="F61" s="3" t="s">
        <v>287</v>
      </c>
      <c r="G61" s="7">
        <v>592.20000000000005</v>
      </c>
      <c r="H61" s="7">
        <v>35.299999999999997</v>
      </c>
      <c r="I61" s="7">
        <v>64.7</v>
      </c>
      <c r="J61" s="7">
        <v>39.4</v>
      </c>
      <c r="K61" s="7">
        <v>43.86</v>
      </c>
      <c r="L61" s="7">
        <v>92.9</v>
      </c>
      <c r="M61" s="7">
        <v>11.3</v>
      </c>
      <c r="N61" s="7">
        <v>87.9</v>
      </c>
      <c r="O61" s="7">
        <v>171</v>
      </c>
      <c r="P61" s="7">
        <v>23.7</v>
      </c>
      <c r="Q61" s="7">
        <v>52.9</v>
      </c>
      <c r="R61" s="3"/>
      <c r="S61" s="3"/>
      <c r="T61" s="3"/>
      <c r="U61" s="3"/>
      <c r="V61" s="3"/>
      <c r="W61" s="3"/>
      <c r="X61" s="3"/>
      <c r="Y61" s="3"/>
      <c r="Z61" s="7">
        <v>172</v>
      </c>
      <c r="AA61" s="7">
        <v>35.6</v>
      </c>
      <c r="AH61" s="3">
        <v>209.04660000000001</v>
      </c>
      <c r="AI61" s="7">
        <v>112.5</v>
      </c>
      <c r="AJ61" s="7">
        <v>96.8</v>
      </c>
      <c r="AK61" s="7">
        <v>64.63</v>
      </c>
      <c r="AL61" s="7">
        <v>5.38</v>
      </c>
      <c r="AM61" s="7">
        <v>10.029999999999999</v>
      </c>
      <c r="AN61" s="7">
        <v>65.16</v>
      </c>
      <c r="AO61" s="9">
        <f t="shared" si="0"/>
        <v>209.04660000000001</v>
      </c>
      <c r="AP61" s="9">
        <f t="shared" si="1"/>
        <v>53.815752085898552</v>
      </c>
      <c r="AQ61" s="9">
        <f t="shared" si="2"/>
        <v>88.276955769330527</v>
      </c>
      <c r="AR61" s="9">
        <f t="shared" si="3"/>
        <v>-6.4869805023073171E-2</v>
      </c>
      <c r="AS61" t="b">
        <f t="shared" si="4"/>
        <v>0</v>
      </c>
    </row>
    <row r="62" spans="2:45" x14ac:dyDescent="0.3">
      <c r="B62" s="4">
        <v>61</v>
      </c>
      <c r="C62" s="2" t="s">
        <v>351</v>
      </c>
      <c r="D62" s="2" t="s">
        <v>285</v>
      </c>
      <c r="E62" s="2" t="s">
        <v>286</v>
      </c>
      <c r="F62" s="2" t="s">
        <v>287</v>
      </c>
      <c r="G62" s="5">
        <v>555.4</v>
      </c>
      <c r="H62" s="5">
        <v>32.4</v>
      </c>
      <c r="I62" s="5">
        <v>67.599999999999994</v>
      </c>
      <c r="J62" s="5">
        <v>40.369999999999997</v>
      </c>
      <c r="K62" s="5">
        <v>43.33</v>
      </c>
      <c r="L62" s="5">
        <v>86.4</v>
      </c>
      <c r="M62" s="5">
        <v>16.600000000000001</v>
      </c>
      <c r="N62" s="5">
        <v>75.7</v>
      </c>
      <c r="O62" s="5">
        <v>166</v>
      </c>
      <c r="P62" s="5">
        <v>20.100000000000001</v>
      </c>
      <c r="Q62" s="5">
        <v>48</v>
      </c>
      <c r="R62" s="2"/>
      <c r="S62" s="2"/>
      <c r="T62" s="2"/>
      <c r="U62" s="2"/>
      <c r="V62" s="2"/>
      <c r="W62" s="2"/>
      <c r="X62" s="2"/>
      <c r="Y62" s="2"/>
      <c r="Z62" s="5">
        <v>175</v>
      </c>
      <c r="AA62" s="5">
        <v>38.200000000000003</v>
      </c>
      <c r="AH62" s="2">
        <v>179.9496</v>
      </c>
      <c r="AI62" s="5">
        <v>90</v>
      </c>
      <c r="AJ62" s="5">
        <v>89.6</v>
      </c>
      <c r="AK62" s="5">
        <v>63.81</v>
      </c>
      <c r="AL62" s="5">
        <v>7.75</v>
      </c>
      <c r="AM62" s="5">
        <v>16.72</v>
      </c>
      <c r="AN62" s="5">
        <v>57.23</v>
      </c>
      <c r="AO62" s="9">
        <f t="shared" si="0"/>
        <v>179.9496</v>
      </c>
      <c r="AP62" s="9">
        <f t="shared" si="1"/>
        <v>50.014003921097903</v>
      </c>
      <c r="AQ62" s="9">
        <f t="shared" si="2"/>
        <v>79.053594010534013</v>
      </c>
      <c r="AR62" s="9">
        <f t="shared" si="3"/>
        <v>0.32422245321964854</v>
      </c>
      <c r="AS62" t="b">
        <f t="shared" si="4"/>
        <v>0</v>
      </c>
    </row>
    <row r="63" spans="2:45" x14ac:dyDescent="0.3">
      <c r="B63" s="6">
        <v>62</v>
      </c>
      <c r="C63" s="3" t="s">
        <v>352</v>
      </c>
      <c r="D63" s="3" t="s">
        <v>285</v>
      </c>
      <c r="E63" s="3" t="s">
        <v>286</v>
      </c>
      <c r="F63" s="3" t="s">
        <v>287</v>
      </c>
      <c r="G63" s="7">
        <v>650.70000000000005</v>
      </c>
      <c r="H63" s="7">
        <v>34.9</v>
      </c>
      <c r="I63" s="7">
        <v>65.099999999999994</v>
      </c>
      <c r="J63" s="7">
        <v>39.619999999999997</v>
      </c>
      <c r="K63" s="7">
        <v>44.41</v>
      </c>
      <c r="L63" s="7">
        <v>104.4</v>
      </c>
      <c r="M63" s="7">
        <v>20.5</v>
      </c>
      <c r="N63" s="7">
        <v>71.8</v>
      </c>
      <c r="O63" s="7">
        <v>174</v>
      </c>
      <c r="P63" s="7">
        <v>21.6</v>
      </c>
      <c r="Q63" s="7">
        <v>50.8</v>
      </c>
      <c r="R63" s="3"/>
      <c r="S63" s="3"/>
      <c r="T63" s="3"/>
      <c r="U63" s="3"/>
      <c r="V63" s="3"/>
      <c r="W63" s="3"/>
      <c r="X63" s="3"/>
      <c r="Y63" s="3"/>
      <c r="Z63" s="7">
        <v>215</v>
      </c>
      <c r="AA63" s="7">
        <v>39.4</v>
      </c>
      <c r="AH63" s="3">
        <v>227.0943</v>
      </c>
      <c r="AI63" s="7">
        <v>107</v>
      </c>
      <c r="AJ63" s="7">
        <v>120.2</v>
      </c>
      <c r="AK63" s="7">
        <v>62.71</v>
      </c>
      <c r="AL63" s="7">
        <v>6.89</v>
      </c>
      <c r="AM63" s="7">
        <v>18.989999999999998</v>
      </c>
      <c r="AN63" s="7">
        <v>59.87</v>
      </c>
      <c r="AO63" s="9">
        <f t="shared" si="0"/>
        <v>227.0943</v>
      </c>
      <c r="AP63" s="9">
        <f t="shared" si="1"/>
        <v>47.11699060698573</v>
      </c>
      <c r="AQ63" s="9">
        <f t="shared" si="2"/>
        <v>74.576135309542536</v>
      </c>
      <c r="AR63" s="9">
        <f t="shared" si="3"/>
        <v>5.4550475149333935E-2</v>
      </c>
      <c r="AS63" t="b">
        <f t="shared" si="4"/>
        <v>0</v>
      </c>
    </row>
    <row r="64" spans="2:45" x14ac:dyDescent="0.3">
      <c r="B64" s="4">
        <v>63</v>
      </c>
      <c r="C64" s="2" t="s">
        <v>353</v>
      </c>
      <c r="D64" s="2" t="s">
        <v>285</v>
      </c>
      <c r="E64" s="2" t="s">
        <v>286</v>
      </c>
      <c r="F64" s="2" t="s">
        <v>287</v>
      </c>
      <c r="G64" s="5">
        <v>662</v>
      </c>
      <c r="H64" s="5">
        <v>35.799999999999997</v>
      </c>
      <c r="I64" s="5">
        <v>64.2</v>
      </c>
      <c r="J64" s="5">
        <v>41.18</v>
      </c>
      <c r="K64" s="5">
        <v>41.78</v>
      </c>
      <c r="L64" s="5">
        <v>100.1</v>
      </c>
      <c r="M64" s="5">
        <v>18.8</v>
      </c>
      <c r="N64" s="5">
        <v>75.099999999999994</v>
      </c>
      <c r="O64" s="5">
        <v>165</v>
      </c>
      <c r="P64" s="5">
        <v>22.7</v>
      </c>
      <c r="Q64" s="5">
        <v>51.6</v>
      </c>
      <c r="R64" s="2"/>
      <c r="S64" s="2"/>
      <c r="T64" s="2"/>
      <c r="U64" s="2"/>
      <c r="V64" s="2"/>
      <c r="W64" s="2"/>
      <c r="X64" s="2"/>
      <c r="Y64" s="2"/>
      <c r="Z64" s="5">
        <v>158</v>
      </c>
      <c r="AA64" s="5">
        <v>31.4</v>
      </c>
      <c r="AH64" s="2">
        <v>236.99599999999998</v>
      </c>
      <c r="AI64" s="5">
        <v>122.8</v>
      </c>
      <c r="AJ64" s="5">
        <v>114.5</v>
      </c>
      <c r="AK64" s="5">
        <v>63.42</v>
      </c>
      <c r="AL64" s="5">
        <v>7.68</v>
      </c>
      <c r="AM64" s="5">
        <v>17.29</v>
      </c>
      <c r="AN64" s="5">
        <v>57.79</v>
      </c>
      <c r="AO64" s="9">
        <f t="shared" si="0"/>
        <v>236.99599999999998</v>
      </c>
      <c r="AP64" s="9">
        <f t="shared" si="1"/>
        <v>51.815220510050807</v>
      </c>
      <c r="AQ64" s="9">
        <f t="shared" si="2"/>
        <v>79.798962718490102</v>
      </c>
      <c r="AR64" s="9">
        <f t="shared" si="3"/>
        <v>-8.3874419374700609E-2</v>
      </c>
      <c r="AS64" t="b">
        <f t="shared" si="4"/>
        <v>0</v>
      </c>
    </row>
    <row r="65" spans="2:45" x14ac:dyDescent="0.3">
      <c r="B65" s="6">
        <v>64</v>
      </c>
      <c r="C65" s="3" t="s">
        <v>354</v>
      </c>
      <c r="D65" s="3" t="s">
        <v>285</v>
      </c>
      <c r="E65" s="3" t="s">
        <v>286</v>
      </c>
      <c r="F65" s="3" t="s">
        <v>287</v>
      </c>
      <c r="G65" s="7">
        <v>663.5</v>
      </c>
      <c r="H65" s="7">
        <v>34.9</v>
      </c>
      <c r="I65" s="7">
        <v>65.099999999999994</v>
      </c>
      <c r="J65" s="7">
        <v>40.54</v>
      </c>
      <c r="K65" s="7">
        <v>42.86</v>
      </c>
      <c r="L65" s="7">
        <v>94.2</v>
      </c>
      <c r="M65" s="7">
        <v>16.5</v>
      </c>
      <c r="N65" s="7">
        <v>71.5</v>
      </c>
      <c r="O65" s="7">
        <v>165</v>
      </c>
      <c r="P65" s="7">
        <v>24</v>
      </c>
      <c r="Q65" s="7">
        <v>46</v>
      </c>
      <c r="R65" s="3"/>
      <c r="S65" s="3"/>
      <c r="T65" s="3"/>
      <c r="U65" s="3"/>
      <c r="V65" s="3"/>
      <c r="W65" s="3"/>
      <c r="X65" s="3"/>
      <c r="Y65" s="3"/>
      <c r="Z65" s="7">
        <v>180</v>
      </c>
      <c r="AA65" s="7">
        <v>39</v>
      </c>
      <c r="AH65" s="3">
        <v>231.56149999999997</v>
      </c>
      <c r="AI65" s="7">
        <v>110.3</v>
      </c>
      <c r="AJ65" s="7">
        <v>120.5</v>
      </c>
      <c r="AK65" s="7">
        <v>63.77</v>
      </c>
      <c r="AL65" s="7">
        <v>6.9</v>
      </c>
      <c r="AM65" s="7">
        <v>19.309999999999999</v>
      </c>
      <c r="AN65" s="7">
        <v>58.21</v>
      </c>
      <c r="AO65" s="9">
        <f t="shared" si="0"/>
        <v>231.5615</v>
      </c>
      <c r="AP65" s="9">
        <f t="shared" si="1"/>
        <v>47.633134178177293</v>
      </c>
      <c r="AQ65" s="9">
        <f t="shared" si="2"/>
        <v>74.927601542732276</v>
      </c>
      <c r="AR65" s="9">
        <f t="shared" si="3"/>
        <v>0.28566924985370262</v>
      </c>
      <c r="AS65" t="b">
        <f t="shared" si="4"/>
        <v>0</v>
      </c>
    </row>
    <row r="66" spans="2:45" x14ac:dyDescent="0.3">
      <c r="B66" s="4">
        <v>65</v>
      </c>
      <c r="C66" s="2" t="s">
        <v>355</v>
      </c>
      <c r="D66" s="2" t="s">
        <v>292</v>
      </c>
      <c r="E66" s="2" t="s">
        <v>286</v>
      </c>
      <c r="F66" s="2" t="s">
        <v>287</v>
      </c>
      <c r="G66" s="5">
        <v>589.70000000000005</v>
      </c>
      <c r="H66" s="5">
        <v>35.9</v>
      </c>
      <c r="I66" s="5">
        <v>64.099999999999994</v>
      </c>
      <c r="J66" s="5">
        <v>41.49</v>
      </c>
      <c r="K66" s="5">
        <v>41.07</v>
      </c>
      <c r="L66" s="5">
        <v>94</v>
      </c>
      <c r="M66" s="5">
        <v>20.100000000000001</v>
      </c>
      <c r="N66" s="5">
        <v>75.3</v>
      </c>
      <c r="O66" s="5">
        <v>161</v>
      </c>
      <c r="P66" s="5">
        <v>20.3</v>
      </c>
      <c r="Q66" s="5">
        <v>49.1</v>
      </c>
      <c r="R66" s="2"/>
      <c r="S66" s="2"/>
      <c r="T66" s="2"/>
      <c r="U66" s="2"/>
      <c r="V66" s="2"/>
      <c r="W66" s="2"/>
      <c r="X66" s="2"/>
      <c r="Y66" s="2"/>
      <c r="Z66" s="5">
        <v>210</v>
      </c>
      <c r="AA66" s="5">
        <v>15.1</v>
      </c>
      <c r="AH66" s="2">
        <v>211.70230000000001</v>
      </c>
      <c r="AI66" s="5">
        <v>108.2</v>
      </c>
      <c r="AJ66" s="5">
        <v>104</v>
      </c>
      <c r="AK66" s="5">
        <v>63.53</v>
      </c>
      <c r="AL66" s="5">
        <v>7.85</v>
      </c>
      <c r="AM66" s="5">
        <v>18.62</v>
      </c>
      <c r="AN66" s="5">
        <v>57.62</v>
      </c>
      <c r="AO66" s="9">
        <f t="shared" si="0"/>
        <v>211.70230000000001</v>
      </c>
      <c r="AP66" s="9">
        <f t="shared" si="1"/>
        <v>51.109506131959833</v>
      </c>
      <c r="AQ66" s="9">
        <f t="shared" si="2"/>
        <v>78.259506497069353</v>
      </c>
      <c r="AR66" s="9">
        <f t="shared" si="3"/>
        <v>-0.30622742584081547</v>
      </c>
      <c r="AS66" t="b">
        <f t="shared" si="4"/>
        <v>0</v>
      </c>
    </row>
    <row r="67" spans="2:45" x14ac:dyDescent="0.3">
      <c r="B67" s="6">
        <v>66</v>
      </c>
      <c r="C67" s="3" t="s">
        <v>356</v>
      </c>
      <c r="D67" s="3" t="s">
        <v>292</v>
      </c>
      <c r="E67" s="3" t="s">
        <v>286</v>
      </c>
      <c r="F67" s="3" t="s">
        <v>287</v>
      </c>
      <c r="G67" s="7">
        <v>560</v>
      </c>
      <c r="H67" s="7">
        <v>32.299999999999997</v>
      </c>
      <c r="I67" s="7">
        <v>67.7</v>
      </c>
      <c r="J67" s="7">
        <v>38.840000000000003</v>
      </c>
      <c r="K67" s="7">
        <v>43.61</v>
      </c>
      <c r="L67" s="7">
        <v>99.2</v>
      </c>
      <c r="M67" s="7">
        <v>20.399999999999999</v>
      </c>
      <c r="N67" s="7">
        <v>73.099999999999994</v>
      </c>
      <c r="O67" s="7">
        <v>155</v>
      </c>
      <c r="P67" s="7">
        <v>18.899999999999999</v>
      </c>
      <c r="Q67" s="7">
        <v>48.3</v>
      </c>
      <c r="R67" s="3"/>
      <c r="S67" s="3"/>
      <c r="T67" s="3"/>
      <c r="U67" s="3"/>
      <c r="V67" s="3"/>
      <c r="W67" s="3"/>
      <c r="X67" s="3"/>
      <c r="Y67" s="3"/>
      <c r="Z67" s="7">
        <v>183</v>
      </c>
      <c r="AA67" s="7">
        <v>17.7</v>
      </c>
      <c r="AH67" s="3">
        <v>180.88</v>
      </c>
      <c r="AI67" s="7">
        <v>82.7</v>
      </c>
      <c r="AJ67" s="7">
        <v>97.7</v>
      </c>
      <c r="AK67" s="7">
        <v>63.93</v>
      </c>
      <c r="AL67" s="7">
        <v>7.27</v>
      </c>
      <c r="AM67" s="7">
        <v>17.57</v>
      </c>
      <c r="AN67" s="7">
        <v>59.53</v>
      </c>
      <c r="AO67" s="9">
        <f t="shared" ref="AO67:AO74" si="5">G67*(H67/100)</f>
        <v>180.87999999999997</v>
      </c>
      <c r="AP67" s="9">
        <f t="shared" ref="AP67:AP74" si="6">(AI67/AH67)*100</f>
        <v>45.720919946926145</v>
      </c>
      <c r="AQ67" s="9">
        <f t="shared" ref="AQ67:AQ74" si="7">(AI67*AK67)/(AH67*J67)*100</f>
        <v>75.255880849819462</v>
      </c>
      <c r="AR67" s="9">
        <f t="shared" ref="AR67:AR74" si="8">((AH67*J67)-(AI67*AK67+AJ67*AM67))/(AH67*J67)*100</f>
        <v>0.31000746550449471</v>
      </c>
      <c r="AS67" t="b">
        <f t="shared" ref="AS67:AS74" si="9">ABS(AR67)&gt;5</f>
        <v>0</v>
      </c>
    </row>
    <row r="68" spans="2:45" x14ac:dyDescent="0.3">
      <c r="B68" s="4">
        <v>67</v>
      </c>
      <c r="C68" s="2" t="s">
        <v>357</v>
      </c>
      <c r="D68" s="2" t="s">
        <v>292</v>
      </c>
      <c r="E68" s="2" t="s">
        <v>286</v>
      </c>
      <c r="F68" s="2" t="s">
        <v>287</v>
      </c>
      <c r="G68" s="5">
        <v>593.5</v>
      </c>
      <c r="H68" s="5">
        <v>32.1</v>
      </c>
      <c r="I68" s="5">
        <v>67.900000000000006</v>
      </c>
      <c r="J68" s="5">
        <v>37.6</v>
      </c>
      <c r="K68" s="5">
        <v>45.17</v>
      </c>
      <c r="L68" s="5">
        <v>90.5</v>
      </c>
      <c r="M68" s="5">
        <v>19.100000000000001</v>
      </c>
      <c r="N68" s="5">
        <v>71.8</v>
      </c>
      <c r="O68" s="5">
        <v>173</v>
      </c>
      <c r="P68" s="5">
        <v>19.600000000000001</v>
      </c>
      <c r="Q68" s="5">
        <v>49.3</v>
      </c>
      <c r="R68" s="2"/>
      <c r="S68" s="2"/>
      <c r="T68" s="2"/>
      <c r="U68" s="2"/>
      <c r="V68" s="2"/>
      <c r="W68" s="2"/>
      <c r="X68" s="2"/>
      <c r="Y68" s="2"/>
      <c r="Z68" s="5">
        <v>227</v>
      </c>
      <c r="AA68" s="5">
        <v>40.299999999999997</v>
      </c>
      <c r="AH68" s="2">
        <v>190.51350000000002</v>
      </c>
      <c r="AI68" s="5">
        <v>89</v>
      </c>
      <c r="AJ68" s="5">
        <v>102.1</v>
      </c>
      <c r="AK68" s="5">
        <v>62.77</v>
      </c>
      <c r="AL68" s="5">
        <v>7.72</v>
      </c>
      <c r="AM68" s="5">
        <v>15.61</v>
      </c>
      <c r="AN68" s="5">
        <v>60.51</v>
      </c>
      <c r="AO68" s="9">
        <f t="shared" si="5"/>
        <v>190.51349999999999</v>
      </c>
      <c r="AP68" s="9">
        <f t="shared" si="6"/>
        <v>46.715849532972726</v>
      </c>
      <c r="AQ68" s="9">
        <f t="shared" si="7"/>
        <v>77.988134978316438</v>
      </c>
      <c r="AR68" s="9">
        <f t="shared" si="8"/>
        <v>-0.23736800022380161</v>
      </c>
      <c r="AS68" t="b">
        <f t="shared" si="9"/>
        <v>0</v>
      </c>
    </row>
    <row r="69" spans="2:45" x14ac:dyDescent="0.3">
      <c r="B69" s="6">
        <v>68</v>
      </c>
      <c r="C69" s="3" t="s">
        <v>358</v>
      </c>
      <c r="D69" s="3" t="s">
        <v>292</v>
      </c>
      <c r="E69" s="3" t="s">
        <v>286</v>
      </c>
      <c r="F69" s="3" t="s">
        <v>287</v>
      </c>
      <c r="G69" s="7">
        <v>559</v>
      </c>
      <c r="H69" s="7">
        <v>32.299999999999997</v>
      </c>
      <c r="I69" s="7">
        <v>67.7</v>
      </c>
      <c r="J69" s="7">
        <v>38.630000000000003</v>
      </c>
      <c r="K69" s="7">
        <v>45.2</v>
      </c>
      <c r="L69" s="7">
        <v>89.9</v>
      </c>
      <c r="M69" s="7">
        <v>21</v>
      </c>
      <c r="N69" s="7">
        <v>71.5</v>
      </c>
      <c r="O69" s="7">
        <v>150</v>
      </c>
      <c r="P69" s="7">
        <v>22.6</v>
      </c>
      <c r="Q69" s="7">
        <v>49.5</v>
      </c>
      <c r="R69" s="3"/>
      <c r="S69" s="3"/>
      <c r="T69" s="3"/>
      <c r="U69" s="3"/>
      <c r="V69" s="3"/>
      <c r="W69" s="3"/>
      <c r="X69" s="3"/>
      <c r="Y69" s="3"/>
      <c r="Z69" s="7">
        <v>218</v>
      </c>
      <c r="AA69" s="7">
        <v>17</v>
      </c>
      <c r="AH69" s="3">
        <v>180.55699999999996</v>
      </c>
      <c r="AI69" s="7">
        <v>77.900000000000006</v>
      </c>
      <c r="AJ69" s="7">
        <v>102.2</v>
      </c>
      <c r="AK69" s="7">
        <v>64.14</v>
      </c>
      <c r="AL69" s="7">
        <v>7.62</v>
      </c>
      <c r="AM69" s="7">
        <v>19.22</v>
      </c>
      <c r="AN69" s="7">
        <v>56.31</v>
      </c>
      <c r="AO69" s="9">
        <f t="shared" si="5"/>
        <v>180.55699999999999</v>
      </c>
      <c r="AP69" s="9">
        <f t="shared" si="6"/>
        <v>43.14427023045355</v>
      </c>
      <c r="AQ69" s="9">
        <f t="shared" si="7"/>
        <v>71.635347982948247</v>
      </c>
      <c r="AR69" s="9">
        <f t="shared" si="8"/>
        <v>0.20253875683802297</v>
      </c>
      <c r="AS69" t="b">
        <f t="shared" si="9"/>
        <v>0</v>
      </c>
    </row>
    <row r="70" spans="2:45" x14ac:dyDescent="0.3">
      <c r="B70" s="4">
        <v>69</v>
      </c>
      <c r="C70" s="2" t="s">
        <v>359</v>
      </c>
      <c r="D70" s="2" t="s">
        <v>297</v>
      </c>
      <c r="E70" s="2" t="s">
        <v>286</v>
      </c>
      <c r="F70" s="2" t="s">
        <v>287</v>
      </c>
      <c r="G70" s="5">
        <v>645</v>
      </c>
      <c r="H70" s="5">
        <v>36.4</v>
      </c>
      <c r="I70" s="5">
        <v>63.6</v>
      </c>
      <c r="J70" s="5">
        <v>38.53</v>
      </c>
      <c r="K70" s="5">
        <v>44.35</v>
      </c>
      <c r="L70" s="5">
        <v>89</v>
      </c>
      <c r="M70" s="5">
        <v>19.3</v>
      </c>
      <c r="N70" s="5">
        <v>72.8</v>
      </c>
      <c r="O70" s="5">
        <v>174</v>
      </c>
      <c r="P70" s="5">
        <v>21.7</v>
      </c>
      <c r="Q70" s="5">
        <v>48.5</v>
      </c>
      <c r="R70" s="2"/>
      <c r="S70" s="2"/>
      <c r="T70" s="2"/>
      <c r="U70" s="2"/>
      <c r="V70" s="2"/>
      <c r="W70" s="2"/>
      <c r="X70" s="2"/>
      <c r="Y70" s="2"/>
      <c r="Z70" s="5">
        <v>151</v>
      </c>
      <c r="AA70" s="5">
        <v>19.5</v>
      </c>
      <c r="AH70" s="2">
        <v>234.78</v>
      </c>
      <c r="AI70" s="5">
        <v>110.7</v>
      </c>
      <c r="AJ70" s="5">
        <v>124.9</v>
      </c>
      <c r="AK70" s="5">
        <v>62.64</v>
      </c>
      <c r="AL70" s="5">
        <v>7.42</v>
      </c>
      <c r="AM70" s="5">
        <v>17.18</v>
      </c>
      <c r="AN70" s="5">
        <v>56.99</v>
      </c>
      <c r="AO70" s="9">
        <f t="shared" si="5"/>
        <v>234.78</v>
      </c>
      <c r="AP70" s="9">
        <f t="shared" si="6"/>
        <v>47.150523894709941</v>
      </c>
      <c r="AQ70" s="9">
        <f t="shared" si="7"/>
        <v>76.654783720857267</v>
      </c>
      <c r="AR70" s="9">
        <f t="shared" si="8"/>
        <v>-0.37537391637790074</v>
      </c>
      <c r="AS70" t="b">
        <f t="shared" si="9"/>
        <v>0</v>
      </c>
    </row>
    <row r="71" spans="2:45" x14ac:dyDescent="0.3">
      <c r="B71" s="6">
        <v>70</v>
      </c>
      <c r="C71" s="3" t="s">
        <v>360</v>
      </c>
      <c r="D71" s="3" t="s">
        <v>297</v>
      </c>
      <c r="E71" s="3" t="s">
        <v>286</v>
      </c>
      <c r="F71" s="3" t="s">
        <v>287</v>
      </c>
      <c r="G71" s="7">
        <v>637</v>
      </c>
      <c r="H71" s="7">
        <v>34.1</v>
      </c>
      <c r="I71" s="7">
        <v>65.900000000000006</v>
      </c>
      <c r="J71" s="7">
        <v>39.15</v>
      </c>
      <c r="K71" s="7">
        <v>43.52</v>
      </c>
      <c r="L71" s="7">
        <v>95.9</v>
      </c>
      <c r="M71" s="7">
        <v>16.8</v>
      </c>
      <c r="N71" s="7">
        <v>73.099999999999994</v>
      </c>
      <c r="O71" s="7">
        <v>168</v>
      </c>
      <c r="P71" s="7">
        <v>20.8</v>
      </c>
      <c r="Q71" s="7">
        <v>45.5</v>
      </c>
      <c r="R71" s="3"/>
      <c r="S71" s="3"/>
      <c r="T71" s="3"/>
      <c r="U71" s="3"/>
      <c r="V71" s="3"/>
      <c r="W71" s="3"/>
      <c r="X71" s="3"/>
      <c r="Y71" s="3"/>
      <c r="Z71" s="7">
        <v>219</v>
      </c>
      <c r="AA71" s="7">
        <v>21</v>
      </c>
      <c r="AH71" s="3">
        <v>217.21700000000001</v>
      </c>
      <c r="AI71" s="7">
        <v>106.3</v>
      </c>
      <c r="AJ71" s="7">
        <v>111.1</v>
      </c>
      <c r="AK71" s="7">
        <v>64.17</v>
      </c>
      <c r="AL71" s="7">
        <v>8.0399999999999991</v>
      </c>
      <c r="AM71" s="7">
        <v>15.12</v>
      </c>
      <c r="AN71" s="7">
        <v>56.39</v>
      </c>
      <c r="AO71" s="9">
        <f t="shared" si="5"/>
        <v>217.21700000000001</v>
      </c>
      <c r="AP71" s="9">
        <f t="shared" si="6"/>
        <v>48.937237877330034</v>
      </c>
      <c r="AQ71" s="9">
        <f t="shared" si="7"/>
        <v>80.212070359853598</v>
      </c>
      <c r="AR71" s="9">
        <f t="shared" si="8"/>
        <v>3.460176668505232E-2</v>
      </c>
      <c r="AS71" t="b">
        <f t="shared" si="9"/>
        <v>0</v>
      </c>
    </row>
    <row r="72" spans="2:45" x14ac:dyDescent="0.3">
      <c r="B72" s="4">
        <v>71</v>
      </c>
      <c r="C72" s="2" t="s">
        <v>361</v>
      </c>
      <c r="D72" s="2" t="s">
        <v>297</v>
      </c>
      <c r="E72" s="2" t="s">
        <v>286</v>
      </c>
      <c r="F72" s="2" t="s">
        <v>287</v>
      </c>
      <c r="G72" s="5">
        <v>620</v>
      </c>
      <c r="H72" s="5">
        <v>34.200000000000003</v>
      </c>
      <c r="I72" s="5">
        <v>65.8</v>
      </c>
      <c r="J72" s="5">
        <v>37.92</v>
      </c>
      <c r="K72" s="5">
        <v>45.16</v>
      </c>
      <c r="L72" s="5">
        <v>101.4</v>
      </c>
      <c r="M72" s="5">
        <v>18.399999999999999</v>
      </c>
      <c r="N72" s="5">
        <v>74.7</v>
      </c>
      <c r="O72" s="5">
        <v>174</v>
      </c>
      <c r="P72" s="5">
        <v>19.2</v>
      </c>
      <c r="Q72" s="5">
        <v>50.2</v>
      </c>
      <c r="R72" s="2"/>
      <c r="S72" s="2"/>
      <c r="T72" s="2"/>
      <c r="U72" s="2"/>
      <c r="V72" s="2"/>
      <c r="W72" s="2"/>
      <c r="X72" s="2"/>
      <c r="Y72" s="2"/>
      <c r="Z72" s="5">
        <v>169</v>
      </c>
      <c r="AA72" s="5">
        <v>38.799999999999997</v>
      </c>
      <c r="AH72" s="2">
        <v>212.04</v>
      </c>
      <c r="AI72" s="5">
        <v>87.8</v>
      </c>
      <c r="AJ72" s="5">
        <v>124</v>
      </c>
      <c r="AK72" s="5">
        <v>64.040000000000006</v>
      </c>
      <c r="AL72" s="5">
        <v>7.05</v>
      </c>
      <c r="AM72" s="5">
        <v>19.43</v>
      </c>
      <c r="AN72" s="5">
        <v>56.84</v>
      </c>
      <c r="AO72" s="9">
        <f t="shared" si="5"/>
        <v>212.04000000000002</v>
      </c>
      <c r="AP72" s="9">
        <f t="shared" si="6"/>
        <v>41.407281644972649</v>
      </c>
      <c r="AQ72" s="9">
        <f t="shared" si="7"/>
        <v>69.929385984811404</v>
      </c>
      <c r="AR72" s="9">
        <f t="shared" si="8"/>
        <v>0.1060225082919535</v>
      </c>
      <c r="AS72" t="b">
        <f t="shared" si="9"/>
        <v>0</v>
      </c>
    </row>
    <row r="73" spans="2:45" x14ac:dyDescent="0.3">
      <c r="B73" s="6">
        <v>72</v>
      </c>
      <c r="C73" s="3" t="s">
        <v>362</v>
      </c>
      <c r="D73" s="3" t="s">
        <v>297</v>
      </c>
      <c r="E73" s="3" t="s">
        <v>286</v>
      </c>
      <c r="F73" s="3" t="s">
        <v>287</v>
      </c>
      <c r="G73" s="7">
        <v>666.2</v>
      </c>
      <c r="H73" s="7">
        <v>34.9</v>
      </c>
      <c r="I73" s="7">
        <v>65.099999999999994</v>
      </c>
      <c r="J73" s="7">
        <v>38.11</v>
      </c>
      <c r="K73" s="7">
        <v>45.45</v>
      </c>
      <c r="L73" s="7">
        <v>97.3</v>
      </c>
      <c r="M73" s="7">
        <v>16.899999999999999</v>
      </c>
      <c r="N73" s="7">
        <v>75.3</v>
      </c>
      <c r="O73" s="7">
        <v>168</v>
      </c>
      <c r="P73" s="7">
        <v>21</v>
      </c>
      <c r="Q73" s="7">
        <v>54.7</v>
      </c>
      <c r="R73" s="3"/>
      <c r="S73" s="3"/>
      <c r="T73" s="3"/>
      <c r="U73" s="3"/>
      <c r="V73" s="3"/>
      <c r="W73" s="3"/>
      <c r="X73" s="3"/>
      <c r="Y73" s="3"/>
      <c r="Z73" s="7">
        <v>182</v>
      </c>
      <c r="AA73" s="7">
        <v>44.5</v>
      </c>
      <c r="AH73" s="3">
        <v>232.50380000000001</v>
      </c>
      <c r="AI73" s="7">
        <v>111.1</v>
      </c>
      <c r="AJ73" s="7">
        <v>122.1</v>
      </c>
      <c r="AK73" s="7">
        <v>62.63</v>
      </c>
      <c r="AL73" s="7">
        <v>7.96</v>
      </c>
      <c r="AM73" s="7">
        <v>15.84</v>
      </c>
      <c r="AN73" s="7">
        <v>61.15</v>
      </c>
      <c r="AO73" s="9">
        <f t="shared" si="5"/>
        <v>232.50380000000001</v>
      </c>
      <c r="AP73" s="9">
        <f t="shared" si="6"/>
        <v>47.784165248051856</v>
      </c>
      <c r="AQ73" s="9">
        <f t="shared" si="7"/>
        <v>78.528529768708694</v>
      </c>
      <c r="AR73" s="9">
        <f t="shared" si="8"/>
        <v>-0.35592121913091318</v>
      </c>
      <c r="AS73" t="b">
        <f t="shared" si="9"/>
        <v>0</v>
      </c>
    </row>
    <row r="74" spans="2:45" x14ac:dyDescent="0.3">
      <c r="B74" s="4">
        <v>73</v>
      </c>
      <c r="C74" s="2" t="s">
        <v>363</v>
      </c>
      <c r="D74" s="2" t="s">
        <v>285</v>
      </c>
      <c r="E74" s="2" t="s">
        <v>286</v>
      </c>
      <c r="F74" s="2" t="s">
        <v>287</v>
      </c>
      <c r="G74" s="5">
        <v>642.29999999999995</v>
      </c>
      <c r="H74" s="5">
        <v>33.4</v>
      </c>
      <c r="I74" s="5">
        <v>66.599999999999994</v>
      </c>
      <c r="J74" s="5">
        <v>39.380000000000003</v>
      </c>
      <c r="K74" s="5">
        <v>42.78</v>
      </c>
      <c r="L74" s="5">
        <v>94.2</v>
      </c>
      <c r="M74" s="5">
        <v>18.3</v>
      </c>
      <c r="N74" s="5">
        <v>73</v>
      </c>
      <c r="O74" s="5">
        <v>169</v>
      </c>
      <c r="P74" s="5">
        <v>20</v>
      </c>
      <c r="Q74" s="5">
        <v>46.7</v>
      </c>
      <c r="R74" s="2"/>
      <c r="S74" s="2"/>
      <c r="T74" s="2"/>
      <c r="U74" s="2"/>
      <c r="V74" s="2"/>
      <c r="W74" s="2"/>
      <c r="X74" s="2"/>
      <c r="Y74" s="2"/>
      <c r="Z74" s="5">
        <v>211</v>
      </c>
      <c r="AA74" s="5">
        <v>39.799999999999997</v>
      </c>
      <c r="AH74" s="2">
        <v>214.52819999999997</v>
      </c>
      <c r="AI74" s="5">
        <v>105</v>
      </c>
      <c r="AJ74" s="5">
        <v>109.6</v>
      </c>
      <c r="AK74" s="5">
        <v>64.16</v>
      </c>
      <c r="AL74" s="5">
        <v>7.77</v>
      </c>
      <c r="AM74" s="5">
        <v>15.57</v>
      </c>
      <c r="AN74" s="5">
        <v>60.06</v>
      </c>
      <c r="AO74" s="9">
        <f t="shared" si="5"/>
        <v>214.52819999999997</v>
      </c>
      <c r="AP74" s="9">
        <f t="shared" si="6"/>
        <v>48.944614274486995</v>
      </c>
      <c r="AQ74" s="9">
        <f t="shared" si="7"/>
        <v>79.743180595507496</v>
      </c>
      <c r="AR74" s="9">
        <f t="shared" si="8"/>
        <v>5.7391652863111431E-2</v>
      </c>
      <c r="AS74" t="b">
        <f t="shared" si="9"/>
        <v>0</v>
      </c>
    </row>
    <row r="75" spans="2:45" x14ac:dyDescent="0.3">
      <c r="B75" s="6">
        <v>74</v>
      </c>
      <c r="C75" s="3" t="s">
        <v>364</v>
      </c>
      <c r="D75" s="3" t="s">
        <v>285</v>
      </c>
      <c r="E75" s="3" t="s">
        <v>286</v>
      </c>
      <c r="F75" s="3" t="s">
        <v>287</v>
      </c>
      <c r="G75" s="7">
        <v>559.1</v>
      </c>
      <c r="H75" s="7">
        <v>32.799999999999997</v>
      </c>
      <c r="I75" s="7">
        <v>67.2</v>
      </c>
      <c r="J75" s="7">
        <v>40.92</v>
      </c>
      <c r="K75" s="7">
        <v>42.19</v>
      </c>
      <c r="L75" s="7">
        <v>101.7</v>
      </c>
      <c r="M75" s="7">
        <v>17.899999999999999</v>
      </c>
      <c r="N75" s="7">
        <v>73.900000000000006</v>
      </c>
      <c r="O75" s="7">
        <v>164</v>
      </c>
      <c r="P75" s="7">
        <v>21.1</v>
      </c>
      <c r="Q75" s="7">
        <v>48.1</v>
      </c>
      <c r="R75" s="3"/>
      <c r="S75" s="3"/>
      <c r="T75" s="3"/>
      <c r="U75" s="3"/>
      <c r="V75" s="3"/>
      <c r="W75" s="3"/>
      <c r="X75" s="3"/>
      <c r="Y75" s="3"/>
      <c r="Z75" s="7">
        <v>161</v>
      </c>
      <c r="AA75" s="7">
        <v>16</v>
      </c>
    </row>
    <row r="76" spans="2:45" x14ac:dyDescent="0.3">
      <c r="B76" s="4">
        <v>75</v>
      </c>
      <c r="C76" s="2" t="s">
        <v>365</v>
      </c>
      <c r="D76" s="2" t="s">
        <v>285</v>
      </c>
      <c r="E76" s="2" t="s">
        <v>286</v>
      </c>
      <c r="F76" s="2" t="s">
        <v>287</v>
      </c>
      <c r="G76" s="5">
        <v>677</v>
      </c>
      <c r="H76" s="5">
        <v>32.5</v>
      </c>
      <c r="I76" s="5">
        <v>67.5</v>
      </c>
      <c r="J76" s="5">
        <v>39.19</v>
      </c>
      <c r="K76" s="5">
        <v>44.99</v>
      </c>
      <c r="L76" s="5">
        <v>99.8</v>
      </c>
      <c r="M76" s="5">
        <v>21.1</v>
      </c>
      <c r="N76" s="5">
        <v>71.7</v>
      </c>
      <c r="O76" s="5">
        <v>170</v>
      </c>
      <c r="P76" s="5">
        <v>19.8</v>
      </c>
      <c r="Q76" s="5">
        <v>54.1</v>
      </c>
      <c r="R76" s="2"/>
      <c r="S76" s="2"/>
      <c r="T76" s="2"/>
      <c r="U76" s="2"/>
      <c r="V76" s="2"/>
      <c r="W76" s="2"/>
      <c r="X76" s="2"/>
      <c r="Y76" s="2"/>
      <c r="Z76" s="5">
        <v>215</v>
      </c>
      <c r="AA76" s="5">
        <v>39.1</v>
      </c>
    </row>
    <row r="77" spans="2:45" x14ac:dyDescent="0.3">
      <c r="B77" s="6">
        <v>76</v>
      </c>
      <c r="C77" s="3" t="s">
        <v>366</v>
      </c>
      <c r="D77" s="3" t="s">
        <v>285</v>
      </c>
      <c r="E77" s="3" t="s">
        <v>286</v>
      </c>
      <c r="F77" s="3" t="s">
        <v>287</v>
      </c>
      <c r="G77" s="7">
        <v>589</v>
      </c>
      <c r="H77" s="7">
        <v>35.299999999999997</v>
      </c>
      <c r="I77" s="7">
        <v>64.7</v>
      </c>
      <c r="J77" s="7">
        <v>37.69</v>
      </c>
      <c r="K77" s="7">
        <v>44.86</v>
      </c>
      <c r="L77" s="7">
        <v>102</v>
      </c>
      <c r="M77" s="7">
        <v>19.8</v>
      </c>
      <c r="N77" s="7">
        <v>73.599999999999994</v>
      </c>
      <c r="O77" s="7">
        <v>171</v>
      </c>
      <c r="P77" s="7">
        <v>19.100000000000001</v>
      </c>
      <c r="Q77" s="7">
        <v>45.8</v>
      </c>
      <c r="R77" s="3"/>
      <c r="S77" s="3"/>
      <c r="T77" s="3"/>
      <c r="U77" s="3"/>
      <c r="V77" s="3"/>
      <c r="W77" s="3"/>
      <c r="X77" s="3"/>
      <c r="Y77" s="3"/>
      <c r="Z77" s="7">
        <v>164</v>
      </c>
      <c r="AA77" s="7">
        <v>38.799999999999997</v>
      </c>
    </row>
    <row r="78" spans="2:45" x14ac:dyDescent="0.3">
      <c r="B78" s="4">
        <v>77</v>
      </c>
      <c r="C78" s="2" t="s">
        <v>367</v>
      </c>
      <c r="D78" s="2" t="s">
        <v>292</v>
      </c>
      <c r="E78" s="2" t="s">
        <v>286</v>
      </c>
      <c r="F78" s="2" t="s">
        <v>287</v>
      </c>
      <c r="G78" s="5">
        <v>591.20000000000005</v>
      </c>
      <c r="H78" s="5">
        <v>34</v>
      </c>
      <c r="I78" s="5">
        <v>66</v>
      </c>
      <c r="J78" s="5">
        <v>40.6</v>
      </c>
      <c r="K78" s="5">
        <v>41.69</v>
      </c>
      <c r="L78" s="5">
        <v>102.9</v>
      </c>
      <c r="M78" s="5">
        <v>18.7</v>
      </c>
      <c r="N78" s="5">
        <v>73.599999999999994</v>
      </c>
      <c r="O78" s="5">
        <v>162</v>
      </c>
      <c r="P78" s="5">
        <v>21.6</v>
      </c>
      <c r="Q78" s="5">
        <v>52</v>
      </c>
      <c r="R78" s="2"/>
      <c r="S78" s="2"/>
      <c r="T78" s="2"/>
      <c r="U78" s="2"/>
      <c r="V78" s="2"/>
      <c r="W78" s="2"/>
      <c r="X78" s="2"/>
      <c r="Y78" s="2"/>
      <c r="Z78" s="5">
        <v>164</v>
      </c>
      <c r="AA78" s="5">
        <v>30.4</v>
      </c>
    </row>
    <row r="79" spans="2:45" x14ac:dyDescent="0.3">
      <c r="B79" s="6">
        <v>78</v>
      </c>
      <c r="C79" s="3" t="s">
        <v>368</v>
      </c>
      <c r="D79" s="3" t="s">
        <v>292</v>
      </c>
      <c r="E79" s="3" t="s">
        <v>286</v>
      </c>
      <c r="F79" s="3" t="s">
        <v>287</v>
      </c>
      <c r="G79" s="7">
        <v>593.1</v>
      </c>
      <c r="H79" s="7">
        <v>34.200000000000003</v>
      </c>
      <c r="I79" s="7">
        <v>65.8</v>
      </c>
      <c r="J79" s="7">
        <v>38.28</v>
      </c>
      <c r="K79" s="7">
        <v>44.79</v>
      </c>
      <c r="L79" s="7">
        <v>90.6</v>
      </c>
      <c r="M79" s="7">
        <v>17.5</v>
      </c>
      <c r="N79" s="7">
        <v>73.099999999999994</v>
      </c>
      <c r="O79" s="7">
        <v>140</v>
      </c>
      <c r="P79" s="7">
        <v>18</v>
      </c>
      <c r="Q79" s="7">
        <v>47.2</v>
      </c>
      <c r="R79" s="3"/>
      <c r="S79" s="3"/>
      <c r="T79" s="3"/>
      <c r="U79" s="3"/>
      <c r="V79" s="3"/>
      <c r="W79" s="3"/>
      <c r="X79" s="3"/>
      <c r="Y79" s="3"/>
      <c r="Z79" s="7">
        <v>144</v>
      </c>
      <c r="AA79" s="7">
        <v>18.2</v>
      </c>
    </row>
    <row r="80" spans="2:45" x14ac:dyDescent="0.3">
      <c r="B80" s="4">
        <v>79</v>
      </c>
      <c r="C80" s="2" t="s">
        <v>369</v>
      </c>
      <c r="D80" s="2" t="s">
        <v>292</v>
      </c>
      <c r="E80" s="2" t="s">
        <v>286</v>
      </c>
      <c r="F80" s="2" t="s">
        <v>287</v>
      </c>
      <c r="G80" s="5">
        <v>585.70000000000005</v>
      </c>
      <c r="H80" s="5">
        <v>33.799999999999997</v>
      </c>
      <c r="I80" s="5">
        <v>66.2</v>
      </c>
      <c r="J80" s="5">
        <v>39.19</v>
      </c>
      <c r="K80" s="5">
        <v>44.07</v>
      </c>
      <c r="L80" s="5">
        <v>103.2</v>
      </c>
      <c r="M80" s="5">
        <v>20.100000000000001</v>
      </c>
      <c r="N80" s="5">
        <v>73.599999999999994</v>
      </c>
      <c r="O80" s="5">
        <v>151</v>
      </c>
      <c r="P80" s="5">
        <v>22.9</v>
      </c>
      <c r="Q80" s="5">
        <v>54.6</v>
      </c>
      <c r="R80" s="2"/>
      <c r="S80" s="2"/>
      <c r="T80" s="2"/>
      <c r="U80" s="2"/>
      <c r="V80" s="2"/>
      <c r="W80" s="2"/>
      <c r="X80" s="2"/>
      <c r="Y80" s="2"/>
      <c r="Z80" s="5">
        <v>222</v>
      </c>
      <c r="AA80" s="5">
        <v>15</v>
      </c>
    </row>
    <row r="81" spans="2:27" x14ac:dyDescent="0.3">
      <c r="B81" s="6">
        <v>80</v>
      </c>
      <c r="C81" s="3" t="s">
        <v>370</v>
      </c>
      <c r="D81" s="3" t="s">
        <v>292</v>
      </c>
      <c r="E81" s="3" t="s">
        <v>286</v>
      </c>
      <c r="F81" s="3" t="s">
        <v>287</v>
      </c>
      <c r="G81" s="7">
        <v>636.9</v>
      </c>
      <c r="H81" s="7">
        <v>35.1</v>
      </c>
      <c r="I81" s="7">
        <v>64.900000000000006</v>
      </c>
      <c r="J81" s="7">
        <v>38.950000000000003</v>
      </c>
      <c r="K81" s="7">
        <v>43.94</v>
      </c>
      <c r="L81" s="7">
        <v>85.2</v>
      </c>
      <c r="M81" s="7">
        <v>19.7</v>
      </c>
      <c r="N81" s="7">
        <v>75.5</v>
      </c>
      <c r="O81" s="7">
        <v>161</v>
      </c>
      <c r="P81" s="7">
        <v>23.2</v>
      </c>
      <c r="Q81" s="7">
        <v>52.2</v>
      </c>
      <c r="R81" s="3"/>
      <c r="S81" s="3"/>
      <c r="T81" s="3"/>
      <c r="U81" s="3"/>
      <c r="V81" s="3"/>
      <c r="W81" s="3"/>
      <c r="X81" s="3"/>
      <c r="Y81" s="3"/>
      <c r="Z81" s="7">
        <v>152</v>
      </c>
      <c r="AA81" s="7">
        <v>42.1</v>
      </c>
    </row>
    <row r="82" spans="2:27" x14ac:dyDescent="0.3">
      <c r="B82" s="4">
        <v>81</v>
      </c>
      <c r="C82" s="2" t="s">
        <v>371</v>
      </c>
      <c r="D82" s="2" t="s">
        <v>297</v>
      </c>
      <c r="E82" s="2" t="s">
        <v>286</v>
      </c>
      <c r="F82" s="2" t="s">
        <v>287</v>
      </c>
      <c r="G82" s="5">
        <v>637.5</v>
      </c>
      <c r="H82" s="5">
        <v>33.200000000000003</v>
      </c>
      <c r="I82" s="5">
        <v>66.8</v>
      </c>
      <c r="J82" s="5">
        <v>38.729999999999997</v>
      </c>
      <c r="K82" s="5">
        <v>43.75</v>
      </c>
      <c r="L82" s="5">
        <v>93.9</v>
      </c>
      <c r="M82" s="5">
        <v>20.5</v>
      </c>
      <c r="N82" s="5">
        <v>74.900000000000006</v>
      </c>
      <c r="O82" s="2"/>
      <c r="P82" s="2"/>
      <c r="Q82" s="2"/>
      <c r="R82" s="2"/>
      <c r="S82" s="2"/>
      <c r="T82" s="2"/>
      <c r="U82" s="2"/>
      <c r="V82" s="2"/>
      <c r="W82" s="5">
        <v>172</v>
      </c>
      <c r="X82" s="5">
        <v>32.5</v>
      </c>
      <c r="Y82" s="2"/>
      <c r="Z82" s="2"/>
      <c r="AA82" s="2"/>
    </row>
    <row r="83" spans="2:27" x14ac:dyDescent="0.3">
      <c r="B83" s="6">
        <v>82</v>
      </c>
      <c r="C83" s="3" t="s">
        <v>372</v>
      </c>
      <c r="D83" s="3" t="s">
        <v>297</v>
      </c>
      <c r="E83" s="3" t="s">
        <v>286</v>
      </c>
      <c r="F83" s="3" t="s">
        <v>287</v>
      </c>
      <c r="G83" s="7">
        <v>590.5</v>
      </c>
      <c r="H83" s="7">
        <v>35</v>
      </c>
      <c r="I83" s="7">
        <v>65</v>
      </c>
      <c r="J83" s="7">
        <v>39.92</v>
      </c>
      <c r="K83" s="7">
        <v>43.19</v>
      </c>
      <c r="L83" s="7">
        <v>89.4</v>
      </c>
      <c r="M83" s="7">
        <v>21.4</v>
      </c>
      <c r="N83" s="7">
        <v>72.7</v>
      </c>
      <c r="O83" s="7">
        <v>164</v>
      </c>
      <c r="P83" s="7">
        <v>18.8</v>
      </c>
      <c r="Q83" s="7">
        <v>49.9</v>
      </c>
      <c r="R83" s="3"/>
      <c r="S83" s="3"/>
      <c r="T83" s="3"/>
      <c r="U83" s="3"/>
      <c r="V83" s="3"/>
      <c r="W83" s="3"/>
      <c r="X83" s="3"/>
      <c r="Y83" s="3"/>
      <c r="Z83" s="7">
        <v>143</v>
      </c>
      <c r="AA83" s="7">
        <v>30.2</v>
      </c>
    </row>
    <row r="84" spans="2:27" x14ac:dyDescent="0.3">
      <c r="B84" s="4">
        <v>83</v>
      </c>
      <c r="C84" s="2" t="s">
        <v>373</v>
      </c>
      <c r="D84" s="2" t="s">
        <v>297</v>
      </c>
      <c r="E84" s="2" t="s">
        <v>286</v>
      </c>
      <c r="F84" s="2" t="s">
        <v>287</v>
      </c>
      <c r="G84" s="5">
        <v>677.9</v>
      </c>
      <c r="H84" s="5">
        <v>33.299999999999997</v>
      </c>
      <c r="I84" s="5">
        <v>66.7</v>
      </c>
      <c r="J84" s="5">
        <v>41.34</v>
      </c>
      <c r="K84" s="5">
        <v>41.21</v>
      </c>
      <c r="L84" s="5">
        <v>92.7</v>
      </c>
      <c r="M84" s="5">
        <v>18.2</v>
      </c>
      <c r="N84" s="5">
        <v>73.2</v>
      </c>
      <c r="O84" s="5">
        <v>145</v>
      </c>
      <c r="P84" s="5">
        <v>21.3</v>
      </c>
      <c r="Q84" s="5">
        <v>50.4</v>
      </c>
      <c r="R84" s="2"/>
      <c r="S84" s="2"/>
      <c r="T84" s="2"/>
      <c r="U84" s="2"/>
      <c r="V84" s="2"/>
      <c r="W84" s="2"/>
      <c r="X84" s="2"/>
      <c r="Y84" s="2"/>
      <c r="Z84" s="5">
        <v>216</v>
      </c>
      <c r="AA84" s="5">
        <v>40</v>
      </c>
    </row>
    <row r="85" spans="2:27" x14ac:dyDescent="0.3">
      <c r="B85" s="6">
        <v>84</v>
      </c>
      <c r="C85" s="3" t="s">
        <v>374</v>
      </c>
      <c r="D85" s="3" t="s">
        <v>297</v>
      </c>
      <c r="E85" s="3" t="s">
        <v>286</v>
      </c>
      <c r="F85" s="3" t="s">
        <v>287</v>
      </c>
      <c r="G85" s="7">
        <v>664.4</v>
      </c>
      <c r="H85" s="7">
        <v>34.799999999999997</v>
      </c>
      <c r="I85" s="7">
        <v>65.2</v>
      </c>
      <c r="J85" s="7">
        <v>39.78</v>
      </c>
      <c r="K85" s="7">
        <v>42.75</v>
      </c>
      <c r="L85" s="7">
        <v>89</v>
      </c>
      <c r="M85" s="7">
        <v>18.5</v>
      </c>
      <c r="N85" s="7">
        <v>70.2</v>
      </c>
      <c r="O85" s="7">
        <v>157</v>
      </c>
      <c r="P85" s="7">
        <v>21.3</v>
      </c>
      <c r="Q85" s="7">
        <v>47.3</v>
      </c>
      <c r="R85" s="3"/>
      <c r="S85" s="3"/>
      <c r="T85" s="3"/>
      <c r="U85" s="3"/>
      <c r="V85" s="3"/>
      <c r="W85" s="3"/>
      <c r="X85" s="3"/>
      <c r="Y85" s="3"/>
      <c r="Z85" s="7">
        <v>236</v>
      </c>
      <c r="AA85" s="7">
        <v>42.3</v>
      </c>
    </row>
    <row r="86" spans="2:27" x14ac:dyDescent="0.3">
      <c r="B86" s="4">
        <v>85</v>
      </c>
      <c r="C86" s="2" t="s">
        <v>375</v>
      </c>
      <c r="D86" s="2" t="s">
        <v>285</v>
      </c>
      <c r="E86" s="2" t="s">
        <v>315</v>
      </c>
      <c r="F86" s="2" t="s">
        <v>287</v>
      </c>
      <c r="G86" s="5">
        <v>587.20000000000005</v>
      </c>
      <c r="H86" s="5">
        <v>32.9</v>
      </c>
      <c r="I86" s="5">
        <v>67.099999999999994</v>
      </c>
      <c r="J86" s="5">
        <v>41.43</v>
      </c>
      <c r="K86" s="5">
        <v>40.79</v>
      </c>
      <c r="L86" s="5">
        <v>94.8</v>
      </c>
      <c r="M86" s="5">
        <v>11.9</v>
      </c>
      <c r="N86" s="5">
        <v>88.7</v>
      </c>
      <c r="O86" s="5">
        <v>174</v>
      </c>
      <c r="P86" s="5">
        <v>20.399999999999999</v>
      </c>
      <c r="Q86" s="5">
        <v>53.3</v>
      </c>
      <c r="R86" s="2"/>
      <c r="S86" s="2"/>
      <c r="T86" s="2"/>
      <c r="U86" s="2"/>
      <c r="V86" s="2"/>
      <c r="W86" s="2"/>
      <c r="X86" s="2"/>
      <c r="Y86" s="2"/>
      <c r="Z86" s="5">
        <v>216</v>
      </c>
      <c r="AA86" s="5">
        <v>32.200000000000003</v>
      </c>
    </row>
    <row r="87" spans="2:27" x14ac:dyDescent="0.3">
      <c r="B87" s="6">
        <v>86</v>
      </c>
      <c r="C87" s="3" t="s">
        <v>376</v>
      </c>
      <c r="D87" s="3" t="s">
        <v>285</v>
      </c>
      <c r="E87" s="3" t="s">
        <v>315</v>
      </c>
      <c r="F87" s="3" t="s">
        <v>287</v>
      </c>
      <c r="G87" s="7">
        <v>640</v>
      </c>
      <c r="H87" s="7">
        <v>32.6</v>
      </c>
      <c r="I87" s="7">
        <v>67.400000000000006</v>
      </c>
      <c r="J87" s="7">
        <v>39.56</v>
      </c>
      <c r="K87" s="7">
        <v>42.59</v>
      </c>
      <c r="L87" s="7">
        <v>90.6</v>
      </c>
      <c r="M87" s="7">
        <v>10.1</v>
      </c>
      <c r="N87" s="7">
        <v>89.6</v>
      </c>
      <c r="O87" s="7">
        <v>140</v>
      </c>
      <c r="P87" s="7">
        <v>24</v>
      </c>
      <c r="Q87" s="7">
        <v>51.8</v>
      </c>
      <c r="R87" s="3"/>
      <c r="S87" s="3"/>
      <c r="T87" s="3"/>
      <c r="U87" s="3"/>
      <c r="V87" s="3"/>
      <c r="W87" s="3"/>
      <c r="X87" s="3"/>
      <c r="Y87" s="3"/>
      <c r="Z87" s="7">
        <v>223</v>
      </c>
      <c r="AA87" s="7">
        <v>23.8</v>
      </c>
    </row>
    <row r="88" spans="2:27" x14ac:dyDescent="0.3">
      <c r="B88" s="4">
        <v>87</v>
      </c>
      <c r="C88" s="2" t="s">
        <v>377</v>
      </c>
      <c r="D88" s="2" t="s">
        <v>285</v>
      </c>
      <c r="E88" s="2" t="s">
        <v>315</v>
      </c>
      <c r="F88" s="2" t="s">
        <v>287</v>
      </c>
      <c r="G88" s="5">
        <v>595.29999999999995</v>
      </c>
      <c r="H88" s="5">
        <v>32.5</v>
      </c>
      <c r="I88" s="5">
        <v>67.5</v>
      </c>
      <c r="J88" s="5">
        <v>42.18</v>
      </c>
      <c r="K88" s="5">
        <v>40.880000000000003</v>
      </c>
      <c r="L88" s="5">
        <v>104.1</v>
      </c>
      <c r="M88" s="5">
        <v>11.6</v>
      </c>
      <c r="N88" s="5">
        <v>83</v>
      </c>
      <c r="O88" s="5">
        <v>143</v>
      </c>
      <c r="P88" s="5">
        <v>21</v>
      </c>
      <c r="Q88" s="5">
        <v>52.9</v>
      </c>
      <c r="R88" s="2"/>
      <c r="S88" s="2"/>
      <c r="T88" s="2"/>
      <c r="U88" s="2"/>
      <c r="V88" s="2"/>
      <c r="W88" s="2"/>
      <c r="X88" s="2"/>
      <c r="Y88" s="2"/>
      <c r="Z88" s="5">
        <v>211</v>
      </c>
      <c r="AA88" s="5">
        <v>16.5</v>
      </c>
    </row>
    <row r="89" spans="2:27" x14ac:dyDescent="0.3">
      <c r="B89" s="6">
        <v>88</v>
      </c>
      <c r="C89" s="3" t="s">
        <v>378</v>
      </c>
      <c r="D89" s="3" t="s">
        <v>285</v>
      </c>
      <c r="E89" s="3" t="s">
        <v>315</v>
      </c>
      <c r="F89" s="3" t="s">
        <v>287</v>
      </c>
      <c r="G89" s="7">
        <v>566</v>
      </c>
      <c r="H89" s="7">
        <v>36</v>
      </c>
      <c r="I89" s="7">
        <v>64</v>
      </c>
      <c r="J89" s="7">
        <v>40.46</v>
      </c>
      <c r="K89" s="7">
        <v>41.91</v>
      </c>
      <c r="L89" s="7">
        <v>97.5</v>
      </c>
      <c r="M89" s="7">
        <v>9.4</v>
      </c>
      <c r="N89" s="7">
        <v>86.8</v>
      </c>
      <c r="O89" s="7">
        <v>148</v>
      </c>
      <c r="P89" s="7">
        <v>22.3</v>
      </c>
      <c r="Q89" s="7">
        <v>53.2</v>
      </c>
      <c r="R89" s="3"/>
      <c r="S89" s="3"/>
      <c r="T89" s="3"/>
      <c r="U89" s="3"/>
      <c r="V89" s="3"/>
      <c r="W89" s="3"/>
      <c r="X89" s="3"/>
      <c r="Y89" s="3"/>
      <c r="Z89" s="7">
        <v>220</v>
      </c>
      <c r="AA89" s="7">
        <v>31.6</v>
      </c>
    </row>
    <row r="90" spans="2:27" x14ac:dyDescent="0.3">
      <c r="B90" s="4">
        <v>89</v>
      </c>
      <c r="C90" s="2" t="s">
        <v>379</v>
      </c>
      <c r="D90" s="2" t="s">
        <v>292</v>
      </c>
      <c r="E90" s="2" t="s">
        <v>315</v>
      </c>
      <c r="F90" s="2" t="s">
        <v>287</v>
      </c>
      <c r="G90" s="5">
        <v>659.1</v>
      </c>
      <c r="H90" s="5">
        <v>32</v>
      </c>
      <c r="I90" s="5">
        <v>68</v>
      </c>
      <c r="J90" s="5">
        <v>39.729999999999997</v>
      </c>
      <c r="K90" s="5">
        <v>43.58</v>
      </c>
      <c r="L90" s="5">
        <v>87</v>
      </c>
      <c r="M90" s="5">
        <v>10.8</v>
      </c>
      <c r="N90" s="5">
        <v>82.7</v>
      </c>
      <c r="O90" s="5">
        <v>169</v>
      </c>
      <c r="P90" s="5">
        <v>19.899999999999999</v>
      </c>
      <c r="Q90" s="5">
        <v>52.9</v>
      </c>
      <c r="R90" s="2"/>
      <c r="S90" s="2"/>
      <c r="T90" s="2"/>
      <c r="U90" s="2"/>
      <c r="V90" s="2"/>
      <c r="W90" s="2"/>
      <c r="X90" s="2"/>
      <c r="Y90" s="2"/>
      <c r="Z90" s="5">
        <v>229</v>
      </c>
      <c r="AA90" s="5">
        <v>28</v>
      </c>
    </row>
    <row r="91" spans="2:27" x14ac:dyDescent="0.3">
      <c r="B91" s="6">
        <v>90</v>
      </c>
      <c r="C91" s="3" t="s">
        <v>380</v>
      </c>
      <c r="D91" s="3" t="s">
        <v>292</v>
      </c>
      <c r="E91" s="3" t="s">
        <v>315</v>
      </c>
      <c r="F91" s="3" t="s">
        <v>287</v>
      </c>
      <c r="G91" s="7">
        <v>588.70000000000005</v>
      </c>
      <c r="H91" s="7">
        <v>32.5</v>
      </c>
      <c r="I91" s="7">
        <v>67.5</v>
      </c>
      <c r="J91" s="7">
        <v>41.77</v>
      </c>
      <c r="K91" s="7">
        <v>41.49</v>
      </c>
      <c r="L91" s="7">
        <v>92.2</v>
      </c>
      <c r="M91" s="7">
        <v>13.8</v>
      </c>
      <c r="N91" s="7">
        <v>85</v>
      </c>
      <c r="O91" s="7">
        <v>155</v>
      </c>
      <c r="P91" s="7">
        <v>20.7</v>
      </c>
      <c r="Q91" s="7">
        <v>47.1</v>
      </c>
      <c r="R91" s="3"/>
      <c r="S91" s="3"/>
      <c r="T91" s="3"/>
      <c r="U91" s="3"/>
      <c r="V91" s="3"/>
      <c r="W91" s="3"/>
      <c r="X91" s="3"/>
      <c r="Y91" s="3"/>
      <c r="Z91" s="7">
        <v>177</v>
      </c>
      <c r="AA91" s="7">
        <v>26.1</v>
      </c>
    </row>
    <row r="92" spans="2:27" x14ac:dyDescent="0.3">
      <c r="B92" s="4">
        <v>91</v>
      </c>
      <c r="C92" s="2" t="s">
        <v>381</v>
      </c>
      <c r="D92" s="2" t="s">
        <v>292</v>
      </c>
      <c r="E92" s="2" t="s">
        <v>315</v>
      </c>
      <c r="F92" s="2" t="s">
        <v>287</v>
      </c>
      <c r="G92" s="5">
        <v>633.79999999999995</v>
      </c>
      <c r="H92" s="5">
        <v>33.799999999999997</v>
      </c>
      <c r="I92" s="5">
        <v>66.2</v>
      </c>
      <c r="J92" s="5">
        <v>41.05</v>
      </c>
      <c r="K92" s="5">
        <v>40.35</v>
      </c>
      <c r="L92" s="5">
        <v>90.7</v>
      </c>
      <c r="M92" s="5">
        <v>10.8</v>
      </c>
      <c r="N92" s="5">
        <v>80.599999999999994</v>
      </c>
      <c r="O92" s="5">
        <v>144</v>
      </c>
      <c r="P92" s="5">
        <v>21.1</v>
      </c>
      <c r="Q92" s="5">
        <v>47.7</v>
      </c>
      <c r="R92" s="2"/>
      <c r="S92" s="2"/>
      <c r="T92" s="2"/>
      <c r="U92" s="2"/>
      <c r="V92" s="2"/>
      <c r="W92" s="2"/>
      <c r="X92" s="2"/>
      <c r="Y92" s="2"/>
      <c r="Z92" s="5">
        <v>224</v>
      </c>
      <c r="AA92" s="5">
        <v>15.4</v>
      </c>
    </row>
    <row r="93" spans="2:27" x14ac:dyDescent="0.3">
      <c r="B93" s="6">
        <v>92</v>
      </c>
      <c r="C93" s="3" t="s">
        <v>382</v>
      </c>
      <c r="D93" s="3" t="s">
        <v>292</v>
      </c>
      <c r="E93" s="3" t="s">
        <v>315</v>
      </c>
      <c r="F93" s="3" t="s">
        <v>287</v>
      </c>
      <c r="G93" s="7">
        <v>617.79999999999995</v>
      </c>
      <c r="H93" s="7">
        <v>36.4</v>
      </c>
      <c r="I93" s="7">
        <v>63.6</v>
      </c>
      <c r="J93" s="7">
        <v>38.520000000000003</v>
      </c>
      <c r="K93" s="7">
        <v>44.07</v>
      </c>
      <c r="L93" s="7">
        <v>101.1</v>
      </c>
      <c r="M93" s="7">
        <v>9.6</v>
      </c>
      <c r="N93" s="7">
        <v>82.7</v>
      </c>
      <c r="O93" s="7">
        <v>141</v>
      </c>
      <c r="P93" s="7">
        <v>19.8</v>
      </c>
      <c r="Q93" s="7">
        <v>52.7</v>
      </c>
      <c r="R93" s="3"/>
      <c r="S93" s="3"/>
      <c r="T93" s="3"/>
      <c r="U93" s="3"/>
      <c r="V93" s="3"/>
      <c r="W93" s="3"/>
      <c r="X93" s="3"/>
      <c r="Y93" s="3"/>
      <c r="Z93" s="7">
        <v>192</v>
      </c>
      <c r="AA93" s="7">
        <v>25.4</v>
      </c>
    </row>
    <row r="94" spans="2:27" x14ac:dyDescent="0.3">
      <c r="B94" s="4">
        <v>93</v>
      </c>
      <c r="C94" s="2" t="s">
        <v>383</v>
      </c>
      <c r="D94" s="2" t="s">
        <v>297</v>
      </c>
      <c r="E94" s="2" t="s">
        <v>315</v>
      </c>
      <c r="F94" s="2" t="s">
        <v>287</v>
      </c>
      <c r="G94" s="5">
        <v>647.20000000000005</v>
      </c>
      <c r="H94" s="5">
        <v>34.1</v>
      </c>
      <c r="I94" s="5">
        <v>65.900000000000006</v>
      </c>
      <c r="J94" s="5">
        <v>39.19</v>
      </c>
      <c r="K94" s="5">
        <v>42.74</v>
      </c>
      <c r="L94" s="5">
        <v>100.7</v>
      </c>
      <c r="M94" s="5">
        <v>14</v>
      </c>
      <c r="N94" s="5">
        <v>85.4</v>
      </c>
      <c r="O94" s="5">
        <v>174</v>
      </c>
      <c r="P94" s="5">
        <v>18.5</v>
      </c>
      <c r="Q94" s="5">
        <v>48.7</v>
      </c>
      <c r="R94" s="2"/>
      <c r="S94" s="2"/>
      <c r="T94" s="2"/>
      <c r="U94" s="2"/>
      <c r="V94" s="2"/>
      <c r="W94" s="2"/>
      <c r="X94" s="2"/>
      <c r="Y94" s="2"/>
      <c r="Z94" s="5">
        <v>163</v>
      </c>
      <c r="AA94" s="5">
        <v>20.9</v>
      </c>
    </row>
    <row r="95" spans="2:27" x14ac:dyDescent="0.3">
      <c r="B95" s="6">
        <v>94</v>
      </c>
      <c r="C95" s="3" t="s">
        <v>384</v>
      </c>
      <c r="D95" s="3" t="s">
        <v>297</v>
      </c>
      <c r="E95" s="3" t="s">
        <v>315</v>
      </c>
      <c r="F95" s="3" t="s">
        <v>287</v>
      </c>
      <c r="G95" s="7">
        <v>569.1</v>
      </c>
      <c r="H95" s="7">
        <v>32</v>
      </c>
      <c r="I95" s="7">
        <v>68</v>
      </c>
      <c r="J95" s="7">
        <v>40.97</v>
      </c>
      <c r="K95" s="7">
        <v>42.35</v>
      </c>
      <c r="L95" s="7">
        <v>104.2</v>
      </c>
      <c r="M95" s="7">
        <v>11.6</v>
      </c>
      <c r="N95" s="7">
        <v>82.4</v>
      </c>
      <c r="O95" s="7">
        <v>158</v>
      </c>
      <c r="P95" s="7">
        <v>22.1</v>
      </c>
      <c r="Q95" s="7">
        <v>45.8</v>
      </c>
      <c r="R95" s="3"/>
      <c r="S95" s="3"/>
      <c r="T95" s="3"/>
      <c r="U95" s="3"/>
      <c r="V95" s="3"/>
      <c r="W95" s="3"/>
      <c r="X95" s="3"/>
      <c r="Y95" s="3"/>
      <c r="Z95" s="7">
        <v>167</v>
      </c>
      <c r="AA95" s="7">
        <v>39.200000000000003</v>
      </c>
    </row>
    <row r="96" spans="2:27" x14ac:dyDescent="0.3">
      <c r="B96" s="4">
        <v>95</v>
      </c>
      <c r="C96" s="2" t="s">
        <v>385</v>
      </c>
      <c r="D96" s="2" t="s">
        <v>297</v>
      </c>
      <c r="E96" s="2" t="s">
        <v>315</v>
      </c>
      <c r="F96" s="2" t="s">
        <v>287</v>
      </c>
      <c r="G96" s="5">
        <v>642.5</v>
      </c>
      <c r="H96" s="5">
        <v>36.4</v>
      </c>
      <c r="I96" s="5">
        <v>63.6</v>
      </c>
      <c r="J96" s="5">
        <v>40.54</v>
      </c>
      <c r="K96" s="5">
        <v>42.18</v>
      </c>
      <c r="L96" s="5">
        <v>96.9</v>
      </c>
      <c r="M96" s="5">
        <v>9.4</v>
      </c>
      <c r="N96" s="5">
        <v>86.2</v>
      </c>
      <c r="O96" s="5">
        <v>174</v>
      </c>
      <c r="P96" s="5">
        <v>19.100000000000001</v>
      </c>
      <c r="Q96" s="5">
        <v>52.9</v>
      </c>
      <c r="R96" s="2"/>
      <c r="S96" s="2"/>
      <c r="T96" s="2"/>
      <c r="U96" s="2"/>
      <c r="V96" s="2"/>
      <c r="W96" s="2"/>
      <c r="X96" s="2"/>
      <c r="Y96" s="2"/>
      <c r="Z96" s="5">
        <v>231</v>
      </c>
      <c r="AA96" s="5">
        <v>43.3</v>
      </c>
    </row>
    <row r="97" spans="2:27" x14ac:dyDescent="0.3">
      <c r="B97" s="6">
        <v>96</v>
      </c>
      <c r="C97" s="3" t="s">
        <v>386</v>
      </c>
      <c r="D97" s="3" t="s">
        <v>297</v>
      </c>
      <c r="E97" s="3" t="s">
        <v>315</v>
      </c>
      <c r="F97" s="3" t="s">
        <v>287</v>
      </c>
      <c r="G97" s="7">
        <v>670.4</v>
      </c>
      <c r="H97" s="7">
        <v>33</v>
      </c>
      <c r="I97" s="7">
        <v>67</v>
      </c>
      <c r="J97" s="7">
        <v>40.76</v>
      </c>
      <c r="K97" s="7">
        <v>42.17</v>
      </c>
      <c r="L97" s="7">
        <v>102</v>
      </c>
      <c r="M97" s="7">
        <v>12.6</v>
      </c>
      <c r="N97" s="7">
        <v>81</v>
      </c>
      <c r="O97" s="7">
        <v>155</v>
      </c>
      <c r="P97" s="7">
        <v>18.2</v>
      </c>
      <c r="Q97" s="7">
        <v>49.8</v>
      </c>
      <c r="R97" s="3"/>
      <c r="S97" s="3"/>
      <c r="T97" s="3"/>
      <c r="U97" s="3"/>
      <c r="V97" s="3"/>
      <c r="W97" s="3"/>
      <c r="X97" s="3"/>
      <c r="Y97" s="3"/>
      <c r="Z97" s="7">
        <v>206</v>
      </c>
      <c r="AA97" s="7">
        <v>18.600000000000001</v>
      </c>
    </row>
    <row r="98" spans="2:27" x14ac:dyDescent="0.3">
      <c r="B98" s="4">
        <v>97</v>
      </c>
      <c r="C98" s="2" t="s">
        <v>387</v>
      </c>
      <c r="D98" s="2" t="s">
        <v>285</v>
      </c>
      <c r="E98" s="2" t="s">
        <v>286</v>
      </c>
      <c r="F98" s="2" t="s">
        <v>287</v>
      </c>
      <c r="G98" s="5">
        <v>635.4</v>
      </c>
      <c r="H98" s="5">
        <v>33.1</v>
      </c>
      <c r="I98" s="5">
        <v>66.900000000000006</v>
      </c>
      <c r="J98" s="5">
        <v>38.270000000000003</v>
      </c>
      <c r="K98" s="5">
        <v>44.04</v>
      </c>
      <c r="L98" s="5">
        <v>87</v>
      </c>
      <c r="M98" s="5">
        <v>11.5</v>
      </c>
      <c r="N98" s="5">
        <v>82.2</v>
      </c>
      <c r="O98" s="5">
        <v>141</v>
      </c>
      <c r="P98" s="5">
        <v>18.2</v>
      </c>
      <c r="Q98" s="5">
        <v>46.8</v>
      </c>
      <c r="R98" s="2"/>
      <c r="S98" s="2"/>
      <c r="T98" s="2"/>
      <c r="U98" s="2"/>
      <c r="V98" s="2"/>
      <c r="W98" s="2"/>
      <c r="X98" s="2"/>
      <c r="Y98" s="2"/>
      <c r="Z98" s="5">
        <v>227</v>
      </c>
      <c r="AA98" s="5">
        <v>23.5</v>
      </c>
    </row>
    <row r="99" spans="2:27" x14ac:dyDescent="0.3">
      <c r="B99" s="6">
        <v>98</v>
      </c>
      <c r="C99" s="3" t="s">
        <v>388</v>
      </c>
      <c r="D99" s="3" t="s">
        <v>285</v>
      </c>
      <c r="E99" s="3" t="s">
        <v>286</v>
      </c>
      <c r="F99" s="3" t="s">
        <v>287</v>
      </c>
      <c r="G99" s="7">
        <v>574.20000000000005</v>
      </c>
      <c r="H99" s="7">
        <v>33.5</v>
      </c>
      <c r="I99" s="7">
        <v>66.5</v>
      </c>
      <c r="J99" s="7">
        <v>40.92</v>
      </c>
      <c r="K99" s="7">
        <v>42.24</v>
      </c>
      <c r="L99" s="7">
        <v>86.4</v>
      </c>
      <c r="M99" s="7">
        <v>9.3000000000000007</v>
      </c>
      <c r="N99" s="7">
        <v>89.4</v>
      </c>
      <c r="O99" s="7">
        <v>158</v>
      </c>
      <c r="P99" s="7">
        <v>20.5</v>
      </c>
      <c r="Q99" s="7">
        <v>53.1</v>
      </c>
      <c r="R99" s="3"/>
      <c r="S99" s="3"/>
      <c r="T99" s="3"/>
      <c r="U99" s="3"/>
      <c r="V99" s="3"/>
      <c r="W99" s="3"/>
      <c r="X99" s="3"/>
      <c r="Y99" s="3"/>
      <c r="Z99" s="7">
        <v>224</v>
      </c>
      <c r="AA99" s="7">
        <v>25</v>
      </c>
    </row>
    <row r="100" spans="2:27" x14ac:dyDescent="0.3">
      <c r="B100" s="4">
        <v>99</v>
      </c>
      <c r="C100" s="2" t="s">
        <v>389</v>
      </c>
      <c r="D100" s="2" t="s">
        <v>285</v>
      </c>
      <c r="E100" s="2" t="s">
        <v>286</v>
      </c>
      <c r="F100" s="2" t="s">
        <v>287</v>
      </c>
      <c r="G100" s="5">
        <v>589.5</v>
      </c>
      <c r="H100" s="5">
        <v>33.4</v>
      </c>
      <c r="I100" s="5">
        <v>66.599999999999994</v>
      </c>
      <c r="J100" s="5">
        <v>38.42</v>
      </c>
      <c r="K100" s="5">
        <v>46.13</v>
      </c>
      <c r="L100" s="5">
        <v>99.6</v>
      </c>
      <c r="M100" s="5">
        <v>13.8</v>
      </c>
      <c r="N100" s="5">
        <v>82.2</v>
      </c>
      <c r="O100" s="5">
        <v>163</v>
      </c>
      <c r="P100" s="5">
        <v>22.5</v>
      </c>
      <c r="Q100" s="5">
        <v>53.5</v>
      </c>
      <c r="R100" s="2"/>
      <c r="S100" s="2"/>
      <c r="T100" s="2"/>
      <c r="U100" s="2"/>
      <c r="V100" s="2"/>
      <c r="W100" s="2"/>
      <c r="X100" s="2"/>
      <c r="Y100" s="2"/>
      <c r="Z100" s="5">
        <v>182</v>
      </c>
      <c r="AA100" s="5">
        <v>24.1</v>
      </c>
    </row>
    <row r="101" spans="2:27" x14ac:dyDescent="0.3">
      <c r="B101" s="6">
        <v>100</v>
      </c>
      <c r="C101" s="3" t="s">
        <v>390</v>
      </c>
      <c r="D101" s="3" t="s">
        <v>285</v>
      </c>
      <c r="E101" s="3" t="s">
        <v>286</v>
      </c>
      <c r="F101" s="3" t="s">
        <v>287</v>
      </c>
      <c r="G101" s="7">
        <v>625.9</v>
      </c>
      <c r="H101" s="7">
        <v>36.299999999999997</v>
      </c>
      <c r="I101" s="7">
        <v>63.7</v>
      </c>
      <c r="J101" s="7">
        <v>37.67</v>
      </c>
      <c r="K101" s="7">
        <v>46.48</v>
      </c>
      <c r="L101" s="7">
        <v>97</v>
      </c>
      <c r="M101" s="7">
        <v>10.5</v>
      </c>
      <c r="N101" s="7">
        <v>87.1</v>
      </c>
      <c r="O101" s="7">
        <v>167</v>
      </c>
      <c r="P101" s="7">
        <v>18.600000000000001</v>
      </c>
      <c r="Q101" s="7">
        <v>50.1</v>
      </c>
      <c r="R101" s="3"/>
      <c r="S101" s="3"/>
      <c r="T101" s="3"/>
      <c r="U101" s="3"/>
      <c r="V101" s="3"/>
      <c r="W101" s="3"/>
      <c r="X101" s="3"/>
      <c r="Y101" s="3"/>
      <c r="Z101" s="7">
        <v>191</v>
      </c>
      <c r="AA101" s="7">
        <v>26.1</v>
      </c>
    </row>
    <row r="102" spans="2:27" x14ac:dyDescent="0.3">
      <c r="B102" s="4">
        <v>101</v>
      </c>
      <c r="C102" s="2" t="s">
        <v>391</v>
      </c>
      <c r="D102" s="2" t="s">
        <v>292</v>
      </c>
      <c r="E102" s="2" t="s">
        <v>286</v>
      </c>
      <c r="F102" s="2" t="s">
        <v>287</v>
      </c>
      <c r="G102" s="5">
        <v>644.5</v>
      </c>
      <c r="H102" s="5">
        <v>34.5</v>
      </c>
      <c r="I102" s="5">
        <v>65.5</v>
      </c>
      <c r="J102" s="5">
        <v>41.29</v>
      </c>
      <c r="K102" s="5">
        <v>41.02</v>
      </c>
      <c r="L102" s="5">
        <v>92.6</v>
      </c>
      <c r="M102" s="5">
        <v>9.8000000000000007</v>
      </c>
      <c r="N102" s="5">
        <v>87.9</v>
      </c>
      <c r="O102" s="5">
        <v>166</v>
      </c>
      <c r="P102" s="5">
        <v>20.3</v>
      </c>
      <c r="Q102" s="5">
        <v>45.3</v>
      </c>
      <c r="R102" s="2"/>
      <c r="S102" s="2"/>
      <c r="T102" s="2"/>
      <c r="U102" s="2"/>
      <c r="V102" s="2"/>
      <c r="W102" s="2"/>
      <c r="X102" s="2"/>
      <c r="Y102" s="2"/>
      <c r="Z102" s="5">
        <v>224</v>
      </c>
      <c r="AA102" s="5">
        <v>15.3</v>
      </c>
    </row>
    <row r="103" spans="2:27" x14ac:dyDescent="0.3">
      <c r="B103" s="6">
        <v>102</v>
      </c>
      <c r="C103" s="3" t="s">
        <v>392</v>
      </c>
      <c r="D103" s="3" t="s">
        <v>292</v>
      </c>
      <c r="E103" s="3" t="s">
        <v>286</v>
      </c>
      <c r="F103" s="3" t="s">
        <v>287</v>
      </c>
      <c r="G103" s="7">
        <v>662.5</v>
      </c>
      <c r="H103" s="7">
        <v>32.700000000000003</v>
      </c>
      <c r="I103" s="7">
        <v>67.3</v>
      </c>
      <c r="J103" s="7">
        <v>38.74</v>
      </c>
      <c r="K103" s="7">
        <v>44.98</v>
      </c>
      <c r="L103" s="7">
        <v>102.4</v>
      </c>
      <c r="M103" s="7">
        <v>12.4</v>
      </c>
      <c r="N103" s="7">
        <v>88</v>
      </c>
      <c r="O103" s="7">
        <v>149</v>
      </c>
      <c r="P103" s="7">
        <v>21.7</v>
      </c>
      <c r="Q103" s="7">
        <v>50.7</v>
      </c>
      <c r="R103" s="3"/>
      <c r="S103" s="3"/>
      <c r="T103" s="3"/>
      <c r="U103" s="3"/>
      <c r="V103" s="3"/>
      <c r="W103" s="3"/>
      <c r="X103" s="3"/>
      <c r="Y103" s="3"/>
      <c r="Z103" s="7">
        <v>223</v>
      </c>
      <c r="AA103" s="7">
        <v>42.2</v>
      </c>
    </row>
    <row r="104" spans="2:27" x14ac:dyDescent="0.3">
      <c r="B104" s="4">
        <v>103</v>
      </c>
      <c r="C104" s="2" t="s">
        <v>393</v>
      </c>
      <c r="D104" s="2" t="s">
        <v>292</v>
      </c>
      <c r="E104" s="2" t="s">
        <v>286</v>
      </c>
      <c r="F104" s="2" t="s">
        <v>287</v>
      </c>
      <c r="G104" s="5">
        <v>557.4</v>
      </c>
      <c r="H104" s="5">
        <v>33.700000000000003</v>
      </c>
      <c r="I104" s="5">
        <v>66.3</v>
      </c>
      <c r="J104" s="5">
        <v>41.28</v>
      </c>
      <c r="K104" s="5">
        <v>40.67</v>
      </c>
      <c r="L104" s="5">
        <v>98.4</v>
      </c>
      <c r="M104" s="5">
        <v>12.2</v>
      </c>
      <c r="N104" s="5">
        <v>82</v>
      </c>
      <c r="O104" s="5">
        <v>155</v>
      </c>
      <c r="P104" s="5">
        <v>22.5</v>
      </c>
      <c r="Q104" s="5">
        <v>46</v>
      </c>
      <c r="R104" s="2"/>
      <c r="S104" s="2"/>
      <c r="T104" s="2"/>
      <c r="U104" s="2"/>
      <c r="V104" s="2"/>
      <c r="W104" s="2"/>
      <c r="X104" s="2"/>
      <c r="Y104" s="2"/>
      <c r="Z104" s="5">
        <v>168</v>
      </c>
      <c r="AA104" s="5">
        <v>23.3</v>
      </c>
    </row>
    <row r="105" spans="2:27" x14ac:dyDescent="0.3">
      <c r="B105" s="6">
        <v>104</v>
      </c>
      <c r="C105" s="3" t="s">
        <v>394</v>
      </c>
      <c r="D105" s="3" t="s">
        <v>292</v>
      </c>
      <c r="E105" s="3" t="s">
        <v>286</v>
      </c>
      <c r="F105" s="3" t="s">
        <v>287</v>
      </c>
      <c r="G105" s="7">
        <v>587.4</v>
      </c>
      <c r="H105" s="7">
        <v>35</v>
      </c>
      <c r="I105" s="7">
        <v>65</v>
      </c>
      <c r="J105" s="7">
        <v>41.37</v>
      </c>
      <c r="K105" s="7">
        <v>40.64</v>
      </c>
      <c r="L105" s="7">
        <v>86.5</v>
      </c>
      <c r="M105" s="7">
        <v>9.4</v>
      </c>
      <c r="N105" s="7">
        <v>89.5</v>
      </c>
      <c r="O105" s="7">
        <v>150</v>
      </c>
      <c r="P105" s="7">
        <v>18.600000000000001</v>
      </c>
      <c r="Q105" s="7">
        <v>51</v>
      </c>
      <c r="R105" s="3"/>
      <c r="S105" s="3"/>
      <c r="T105" s="3"/>
      <c r="U105" s="3"/>
      <c r="V105" s="3"/>
      <c r="W105" s="3"/>
      <c r="X105" s="3"/>
      <c r="Y105" s="3"/>
      <c r="Z105" s="7">
        <v>202</v>
      </c>
      <c r="AA105" s="7">
        <v>34.5</v>
      </c>
    </row>
    <row r="106" spans="2:27" x14ac:dyDescent="0.3">
      <c r="B106" s="4">
        <v>105</v>
      </c>
      <c r="C106" s="2" t="s">
        <v>395</v>
      </c>
      <c r="D106" s="2" t="s">
        <v>297</v>
      </c>
      <c r="E106" s="2" t="s">
        <v>286</v>
      </c>
      <c r="F106" s="2" t="s">
        <v>287</v>
      </c>
      <c r="G106" s="5">
        <v>576.29999999999995</v>
      </c>
      <c r="H106" s="5">
        <v>34.6</v>
      </c>
      <c r="I106" s="5">
        <v>65.400000000000006</v>
      </c>
      <c r="J106" s="5">
        <v>40.299999999999997</v>
      </c>
      <c r="K106" s="5">
        <v>41.89</v>
      </c>
      <c r="L106" s="5">
        <v>93.2</v>
      </c>
      <c r="M106" s="5">
        <v>9.1</v>
      </c>
      <c r="N106" s="5">
        <v>85.8</v>
      </c>
      <c r="O106" s="5">
        <v>149</v>
      </c>
      <c r="P106" s="5">
        <v>20.7</v>
      </c>
      <c r="Q106" s="5">
        <v>54.6</v>
      </c>
      <c r="R106" s="2"/>
      <c r="S106" s="2"/>
      <c r="T106" s="2"/>
      <c r="U106" s="2"/>
      <c r="V106" s="2"/>
      <c r="W106" s="2"/>
      <c r="X106" s="2"/>
      <c r="Y106" s="2"/>
      <c r="Z106" s="5">
        <v>180</v>
      </c>
      <c r="AA106" s="5">
        <v>40.200000000000003</v>
      </c>
    </row>
    <row r="107" spans="2:27" x14ac:dyDescent="0.3">
      <c r="B107" s="6">
        <v>106</v>
      </c>
      <c r="C107" s="3" t="s">
        <v>396</v>
      </c>
      <c r="D107" s="3" t="s">
        <v>297</v>
      </c>
      <c r="E107" s="3" t="s">
        <v>286</v>
      </c>
      <c r="F107" s="3" t="s">
        <v>287</v>
      </c>
      <c r="G107" s="7">
        <v>581.5</v>
      </c>
      <c r="H107" s="7">
        <v>35.200000000000003</v>
      </c>
      <c r="I107" s="7">
        <v>64.8</v>
      </c>
      <c r="J107" s="7">
        <v>37.869999999999997</v>
      </c>
      <c r="K107" s="7">
        <v>46.38</v>
      </c>
      <c r="L107" s="7">
        <v>102.5</v>
      </c>
      <c r="M107" s="7">
        <v>12.7</v>
      </c>
      <c r="N107" s="7">
        <v>80.099999999999994</v>
      </c>
      <c r="O107" s="7">
        <v>149</v>
      </c>
      <c r="P107" s="7">
        <v>19.3</v>
      </c>
      <c r="Q107" s="7">
        <v>47.7</v>
      </c>
      <c r="R107" s="3"/>
      <c r="S107" s="3"/>
      <c r="T107" s="3"/>
      <c r="U107" s="3"/>
      <c r="V107" s="3"/>
      <c r="W107" s="3"/>
      <c r="X107" s="3"/>
      <c r="Y107" s="3"/>
      <c r="Z107" s="7">
        <v>165</v>
      </c>
      <c r="AA107" s="7">
        <v>16.899999999999999</v>
      </c>
    </row>
    <row r="108" spans="2:27" x14ac:dyDescent="0.3">
      <c r="B108" s="4">
        <v>107</v>
      </c>
      <c r="C108" s="2" t="s">
        <v>397</v>
      </c>
      <c r="D108" s="2" t="s">
        <v>297</v>
      </c>
      <c r="E108" s="2" t="s">
        <v>286</v>
      </c>
      <c r="F108" s="2" t="s">
        <v>287</v>
      </c>
      <c r="G108" s="5">
        <v>598.20000000000005</v>
      </c>
      <c r="H108" s="5">
        <v>36.1</v>
      </c>
      <c r="I108" s="5">
        <v>63.9</v>
      </c>
      <c r="J108" s="5">
        <v>39.840000000000003</v>
      </c>
      <c r="K108" s="5">
        <v>42.87</v>
      </c>
      <c r="L108" s="5">
        <v>90.4</v>
      </c>
      <c r="M108" s="5">
        <v>10.8</v>
      </c>
      <c r="N108" s="5">
        <v>89</v>
      </c>
      <c r="O108" s="5">
        <v>163</v>
      </c>
      <c r="P108" s="5">
        <v>22.7</v>
      </c>
      <c r="Q108" s="5">
        <v>49.5</v>
      </c>
      <c r="R108" s="2"/>
      <c r="S108" s="2"/>
      <c r="T108" s="2"/>
      <c r="U108" s="2"/>
      <c r="V108" s="2"/>
      <c r="W108" s="2"/>
      <c r="X108" s="2"/>
      <c r="Y108" s="2"/>
      <c r="Z108" s="5">
        <v>203</v>
      </c>
      <c r="AA108" s="5">
        <v>22.5</v>
      </c>
    </row>
    <row r="109" spans="2:27" x14ac:dyDescent="0.3">
      <c r="B109" s="6">
        <v>108</v>
      </c>
      <c r="C109" s="3" t="s">
        <v>398</v>
      </c>
      <c r="D109" s="3" t="s">
        <v>297</v>
      </c>
      <c r="E109" s="3" t="s">
        <v>286</v>
      </c>
      <c r="F109" s="3" t="s">
        <v>287</v>
      </c>
      <c r="G109" s="7">
        <v>603.29999999999995</v>
      </c>
      <c r="H109" s="7">
        <v>34.9</v>
      </c>
      <c r="I109" s="7">
        <v>65.099999999999994</v>
      </c>
      <c r="J109" s="7">
        <v>38.54</v>
      </c>
      <c r="K109" s="7">
        <v>45.57</v>
      </c>
      <c r="L109" s="7">
        <v>88.2</v>
      </c>
      <c r="M109" s="7">
        <v>9.4</v>
      </c>
      <c r="N109" s="7">
        <v>81.900000000000006</v>
      </c>
      <c r="O109" s="7">
        <v>163</v>
      </c>
      <c r="P109" s="7">
        <v>23.3</v>
      </c>
      <c r="Q109" s="7">
        <v>53.1</v>
      </c>
      <c r="R109" s="3"/>
      <c r="S109" s="3"/>
      <c r="T109" s="3"/>
      <c r="U109" s="3"/>
      <c r="V109" s="3"/>
      <c r="W109" s="3"/>
      <c r="X109" s="3"/>
      <c r="Y109" s="3"/>
      <c r="Z109" s="7">
        <v>209</v>
      </c>
      <c r="AA109" s="7">
        <v>18.3</v>
      </c>
    </row>
  </sheetData>
  <autoFilter ref="B1:AA109" xr:uid="{00000000-0009-0000-0000-000002000000}"/>
  <conditionalFormatting sqref="AS1 AR1:AR1048576">
    <cfRule type="cellIs" dxfId="3" priority="1" operator="greaterThan">
      <formula>ABS(AR2)&gt;5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74"/>
  <sheetViews>
    <sheetView rightToLeft="1" topLeftCell="K1" workbookViewId="0">
      <pane ySplit="1" topLeftCell="A47" activePane="bottomLeft" state="frozen"/>
      <selection pane="bottomLeft" activeCell="J1" sqref="J1:J74"/>
    </sheetView>
  </sheetViews>
  <sheetFormatPr defaultRowHeight="14.4" x14ac:dyDescent="0.3"/>
  <cols>
    <col min="1" max="1" width="10" customWidth="1"/>
    <col min="2" max="4" width="14" customWidth="1"/>
    <col min="5" max="13" width="12" customWidth="1"/>
    <col min="14" max="14" width="13" customWidth="1"/>
    <col min="15" max="17" width="12" customWidth="1"/>
    <col min="18" max="19" width="11" customWidth="1"/>
    <col min="20" max="21" width="12" customWidth="1"/>
    <col min="22" max="22" width="13" customWidth="1"/>
    <col min="23" max="23" width="12" customWidth="1"/>
    <col min="24" max="25" width="13" customWidth="1"/>
    <col min="26" max="26" width="22" customWidth="1"/>
  </cols>
  <sheetData>
    <row r="1" spans="1:26" ht="24" customHeight="1" x14ac:dyDescent="0.3">
      <c r="A1" s="1" t="s">
        <v>39</v>
      </c>
      <c r="B1" s="1" t="s">
        <v>173</v>
      </c>
      <c r="C1" s="1" t="s">
        <v>177</v>
      </c>
      <c r="D1" s="1" t="s">
        <v>182</v>
      </c>
      <c r="E1" s="1" t="s">
        <v>186</v>
      </c>
      <c r="F1" s="1" t="s">
        <v>191</v>
      </c>
      <c r="G1" s="1" t="s">
        <v>195</v>
      </c>
      <c r="H1" s="1" t="s">
        <v>200</v>
      </c>
      <c r="I1" s="1" t="s">
        <v>205</v>
      </c>
      <c r="J1" s="1" t="s">
        <v>209</v>
      </c>
      <c r="K1" s="1" t="s">
        <v>214</v>
      </c>
      <c r="L1" s="1" t="s">
        <v>219</v>
      </c>
      <c r="M1" s="1" t="s">
        <v>224</v>
      </c>
      <c r="N1" s="1" t="s">
        <v>230</v>
      </c>
      <c r="O1" s="1" t="s">
        <v>235</v>
      </c>
      <c r="P1" s="1" t="s">
        <v>239</v>
      </c>
      <c r="Q1" s="1" t="s">
        <v>243</v>
      </c>
      <c r="R1" s="1" t="s">
        <v>247</v>
      </c>
      <c r="S1" s="1" t="s">
        <v>251</v>
      </c>
      <c r="T1" s="1" t="s">
        <v>255</v>
      </c>
      <c r="U1" s="1" t="s">
        <v>259</v>
      </c>
      <c r="V1" s="1" t="s">
        <v>263</v>
      </c>
      <c r="W1" s="1" t="s">
        <v>267</v>
      </c>
      <c r="X1" s="1" t="s">
        <v>272</v>
      </c>
      <c r="Y1" s="1" t="s">
        <v>276</v>
      </c>
      <c r="Z1" s="1" t="s">
        <v>279</v>
      </c>
    </row>
    <row r="2" spans="1:26" x14ac:dyDescent="0.3">
      <c r="A2" s="4">
        <v>1</v>
      </c>
      <c r="B2" s="5">
        <v>20.3</v>
      </c>
      <c r="C2" s="5">
        <v>142.69999999999999</v>
      </c>
      <c r="D2" s="5">
        <v>59.6</v>
      </c>
      <c r="E2" s="5">
        <v>44.9</v>
      </c>
      <c r="F2" s="5">
        <v>21.1</v>
      </c>
      <c r="G2" s="5">
        <v>74.7</v>
      </c>
      <c r="H2" s="5">
        <v>5.6</v>
      </c>
      <c r="I2" s="5">
        <v>95.8</v>
      </c>
      <c r="J2" s="5">
        <v>58.4</v>
      </c>
      <c r="K2" s="5">
        <v>10.199999999999999</v>
      </c>
      <c r="L2" s="5">
        <v>91.7</v>
      </c>
      <c r="M2" s="2">
        <f>Process_Data!G2*Process_Data!H2/100</f>
        <v>206.31199999999998</v>
      </c>
      <c r="N2" s="5">
        <v>96.1</v>
      </c>
      <c r="O2" s="5">
        <v>109.4</v>
      </c>
      <c r="P2" s="5">
        <v>66.290000000000006</v>
      </c>
      <c r="Q2" s="5">
        <v>5.52</v>
      </c>
      <c r="R2" s="5">
        <v>12.73</v>
      </c>
      <c r="S2" s="5">
        <v>60.62</v>
      </c>
      <c r="T2" s="2">
        <f t="shared" ref="T2:T33" si="0">N2/M2*100</f>
        <v>46.579937182519679</v>
      </c>
      <c r="U2" s="2">
        <f>N2*P2/(M2*Process_Data!J2)*100</f>
        <v>81.77394162683342</v>
      </c>
      <c r="V2" s="2">
        <f>O2*R2/(M2*Process_Data!J2)*100</f>
        <v>17.876778160902923</v>
      </c>
      <c r="W2" s="2">
        <f t="shared" ref="W2:W33" si="1">U2+V2</f>
        <v>99.650719787736335</v>
      </c>
      <c r="X2" s="2">
        <f t="shared" ref="X2:X33" si="2">(M2-(N2+O2))/M2*100</f>
        <v>0.39357865756717181</v>
      </c>
      <c r="Y2" s="2">
        <f>(M2*Process_Data!J2-(N2*P2+O2*R2))/(M2*Process_Data!J2)*100</f>
        <v>0.34928021226365541</v>
      </c>
      <c r="Z2" s="2" t="s">
        <v>399</v>
      </c>
    </row>
    <row r="3" spans="1:26" x14ac:dyDescent="0.3">
      <c r="A3" s="6">
        <v>2</v>
      </c>
      <c r="B3" s="7">
        <v>21.6</v>
      </c>
      <c r="C3" s="7">
        <v>70.400000000000006</v>
      </c>
      <c r="D3" s="7">
        <v>62.9</v>
      </c>
      <c r="E3" s="7">
        <v>45.6</v>
      </c>
      <c r="F3" s="7">
        <v>25.3</v>
      </c>
      <c r="G3" s="7">
        <v>76.2</v>
      </c>
      <c r="H3" s="7">
        <v>4.5999999999999996</v>
      </c>
      <c r="I3" s="7">
        <v>89.8</v>
      </c>
      <c r="J3" s="7">
        <v>61.4</v>
      </c>
      <c r="K3" s="7">
        <v>10.4</v>
      </c>
      <c r="L3" s="7">
        <v>74.3</v>
      </c>
      <c r="M3" s="3">
        <f>Process_Data!G3*Process_Data!H3/100</f>
        <v>199.60509999999999</v>
      </c>
      <c r="N3" s="7">
        <v>102.7</v>
      </c>
      <c r="O3" s="7">
        <v>97.5</v>
      </c>
      <c r="P3" s="7">
        <v>65.16</v>
      </c>
      <c r="Q3" s="7">
        <v>4.6100000000000003</v>
      </c>
      <c r="R3" s="7">
        <v>10.59</v>
      </c>
      <c r="S3" s="7">
        <v>62.28</v>
      </c>
      <c r="T3" s="3">
        <f t="shared" si="0"/>
        <v>51.451591166758767</v>
      </c>
      <c r="U3" s="3">
        <f>N3*P3/(M3*Process_Data!J3)*100</f>
        <v>86.877058316299582</v>
      </c>
      <c r="V3" s="3">
        <f>O3*R3/(M3*Process_Data!J3)*100</f>
        <v>13.404609406975032</v>
      </c>
      <c r="W3" s="3">
        <f t="shared" si="1"/>
        <v>100.28166772327461</v>
      </c>
      <c r="X3" s="3">
        <f t="shared" si="2"/>
        <v>-0.29803847697278052</v>
      </c>
      <c r="Y3" s="3">
        <f>(M3*Process_Data!J3-(N3*P3+O3*R3))/(M3*Process_Data!J3)*100</f>
        <v>-0.28166772327461997</v>
      </c>
      <c r="Z3" s="3" t="s">
        <v>399</v>
      </c>
    </row>
    <row r="4" spans="1:26" x14ac:dyDescent="0.3">
      <c r="A4" s="4">
        <v>3</v>
      </c>
      <c r="B4" s="5">
        <v>20.3</v>
      </c>
      <c r="C4" s="5">
        <v>120.9</v>
      </c>
      <c r="D4" s="5">
        <v>59.9</v>
      </c>
      <c r="E4" s="5">
        <v>42.6</v>
      </c>
      <c r="F4" s="5">
        <v>27.1</v>
      </c>
      <c r="G4" s="5">
        <v>79.8</v>
      </c>
      <c r="H4" s="5">
        <v>5.3</v>
      </c>
      <c r="I4" s="5">
        <v>90.6</v>
      </c>
      <c r="J4" s="5">
        <v>59.1</v>
      </c>
      <c r="K4" s="5">
        <v>8.9</v>
      </c>
      <c r="L4" s="5">
        <v>55.9</v>
      </c>
      <c r="M4" s="2">
        <f>Process_Data!G4*Process_Data!H4/100</f>
        <v>226.8673</v>
      </c>
      <c r="N4" s="5">
        <v>111.3</v>
      </c>
      <c r="O4" s="5">
        <v>116.4</v>
      </c>
      <c r="P4" s="5">
        <v>64.819999999999993</v>
      </c>
      <c r="Q4" s="5">
        <v>6.08</v>
      </c>
      <c r="R4" s="5">
        <v>12.33</v>
      </c>
      <c r="S4" s="5">
        <v>64.430000000000007</v>
      </c>
      <c r="T4" s="2">
        <f t="shared" si="0"/>
        <v>49.059516289919259</v>
      </c>
      <c r="U4" s="2">
        <f>N4*P4/(M4*Process_Data!J4)*100</f>
        <v>83.729274510599424</v>
      </c>
      <c r="V4" s="2">
        <f>O4*R4/(M4*Process_Data!J4)*100</f>
        <v>16.656708830411901</v>
      </c>
      <c r="W4" s="2">
        <f t="shared" si="1"/>
        <v>100.38598334101133</v>
      </c>
      <c r="X4" s="2">
        <f t="shared" si="2"/>
        <v>-0.36704276023913029</v>
      </c>
      <c r="Y4" s="2">
        <f>(M4*Process_Data!J4-(N4*P4+O4*R4))/(M4*Process_Data!J4)*100</f>
        <v>-0.38598334101133319</v>
      </c>
      <c r="Z4" s="2" t="s">
        <v>399</v>
      </c>
    </row>
    <row r="5" spans="1:26" x14ac:dyDescent="0.3">
      <c r="A5" s="6">
        <v>4</v>
      </c>
      <c r="B5" s="7">
        <v>24.1</v>
      </c>
      <c r="C5" s="7">
        <v>103.4</v>
      </c>
      <c r="D5" s="7">
        <v>59.3</v>
      </c>
      <c r="E5" s="7">
        <v>36.799999999999997</v>
      </c>
      <c r="F5" s="7">
        <v>21.4</v>
      </c>
      <c r="G5" s="7">
        <v>77.7</v>
      </c>
      <c r="H5" s="7">
        <v>5.0999999999999996</v>
      </c>
      <c r="I5" s="7">
        <v>93.9</v>
      </c>
      <c r="J5" s="7">
        <v>57.6</v>
      </c>
      <c r="K5" s="7">
        <v>9.5</v>
      </c>
      <c r="L5" s="7">
        <v>93.4</v>
      </c>
      <c r="M5" s="3">
        <f>Process_Data!G5*Process_Data!H5/100</f>
        <v>206.74799999999999</v>
      </c>
      <c r="N5" s="7">
        <v>106.3</v>
      </c>
      <c r="O5" s="7">
        <v>100</v>
      </c>
      <c r="P5" s="7">
        <v>66.42</v>
      </c>
      <c r="Q5" s="7">
        <v>4.93</v>
      </c>
      <c r="R5" s="7">
        <v>11.24</v>
      </c>
      <c r="S5" s="7">
        <v>62.11</v>
      </c>
      <c r="T5" s="3">
        <f t="shared" si="0"/>
        <v>51.415249482461746</v>
      </c>
      <c r="U5" s="3">
        <f>N5*P5/(M5*Process_Data!J5)*100</f>
        <v>86.106930676376933</v>
      </c>
      <c r="V5" s="3">
        <f>O5*R5/(M5*Process_Data!J5)*100</f>
        <v>13.707942824043648</v>
      </c>
      <c r="W5" s="3">
        <f t="shared" si="1"/>
        <v>99.814873500420589</v>
      </c>
      <c r="X5" s="3">
        <f t="shared" si="2"/>
        <v>0.21668891597499329</v>
      </c>
      <c r="Y5" s="3">
        <f>(M5*Process_Data!J5-(N5*P5+O5*R5))/(M5*Process_Data!J5)*100</f>
        <v>0.18512649957942082</v>
      </c>
      <c r="Z5" s="3" t="s">
        <v>399</v>
      </c>
    </row>
    <row r="6" spans="1:26" x14ac:dyDescent="0.3">
      <c r="A6" s="4">
        <v>5</v>
      </c>
      <c r="B6" s="5">
        <v>21.9</v>
      </c>
      <c r="C6" s="5">
        <v>128.30000000000001</v>
      </c>
      <c r="D6" s="5">
        <v>60.2</v>
      </c>
      <c r="E6" s="5">
        <v>44.5</v>
      </c>
      <c r="F6" s="5">
        <v>24.3</v>
      </c>
      <c r="G6" s="5">
        <v>80.5</v>
      </c>
      <c r="H6" s="5">
        <v>4.7</v>
      </c>
      <c r="I6" s="5">
        <v>91.2</v>
      </c>
      <c r="J6" s="5">
        <v>59</v>
      </c>
      <c r="K6" s="5">
        <v>9.1</v>
      </c>
      <c r="L6" s="5">
        <v>42.2</v>
      </c>
      <c r="M6" s="2">
        <f>Process_Data!G6*Process_Data!H6/100</f>
        <v>215.81560000000002</v>
      </c>
      <c r="N6" s="5">
        <v>107.9</v>
      </c>
      <c r="O6" s="5">
        <v>107.6</v>
      </c>
      <c r="P6" s="5">
        <v>65.680000000000007</v>
      </c>
      <c r="Q6" s="5">
        <v>5.65</v>
      </c>
      <c r="R6" s="5">
        <v>9.56</v>
      </c>
      <c r="S6" s="5">
        <v>63.58</v>
      </c>
      <c r="T6" s="2">
        <f t="shared" si="0"/>
        <v>49.996385803435892</v>
      </c>
      <c r="U6" s="2">
        <f>N6*P6/(M6*Process_Data!J6)*100</f>
        <v>87.07935877936012</v>
      </c>
      <c r="V6" s="2">
        <f>O6*R6/(M6*Process_Data!J6)*100</f>
        <v>12.639526279653623</v>
      </c>
      <c r="W6" s="2">
        <f t="shared" si="1"/>
        <v>99.718885059013743</v>
      </c>
      <c r="X6" s="2">
        <f t="shared" si="2"/>
        <v>0.14623595328605424</v>
      </c>
      <c r="Y6" s="2">
        <f>(M6*Process_Data!J6-(N6*P6+O6*R6))/(M6*Process_Data!J6)*100</f>
        <v>0.28111494098625972</v>
      </c>
      <c r="Z6" s="2" t="s">
        <v>399</v>
      </c>
    </row>
    <row r="7" spans="1:26" x14ac:dyDescent="0.3">
      <c r="A7" s="6">
        <v>6</v>
      </c>
      <c r="B7" s="7">
        <v>24.4</v>
      </c>
      <c r="C7" s="7">
        <v>112.4</v>
      </c>
      <c r="D7" s="7">
        <v>59.5</v>
      </c>
      <c r="E7" s="7">
        <v>36.4</v>
      </c>
      <c r="F7" s="7">
        <v>27</v>
      </c>
      <c r="G7" s="7">
        <v>76.099999999999994</v>
      </c>
      <c r="H7" s="7">
        <v>5.8</v>
      </c>
      <c r="I7" s="7">
        <v>91.4</v>
      </c>
      <c r="J7" s="7">
        <v>57.8</v>
      </c>
      <c r="K7" s="7">
        <v>10.1</v>
      </c>
      <c r="L7" s="7">
        <v>89.3</v>
      </c>
      <c r="M7" s="3">
        <f>Process_Data!G7*Process_Data!H7/100</f>
        <v>201.01770000000005</v>
      </c>
      <c r="N7" s="7">
        <v>100.4</v>
      </c>
      <c r="O7" s="7">
        <v>100.7</v>
      </c>
      <c r="P7" s="7">
        <v>66.27</v>
      </c>
      <c r="Q7" s="7">
        <v>5.83</v>
      </c>
      <c r="R7" s="7">
        <v>11.75</v>
      </c>
      <c r="S7" s="7">
        <v>60.59</v>
      </c>
      <c r="T7" s="3">
        <f t="shared" si="0"/>
        <v>49.945850539529594</v>
      </c>
      <c r="U7" s="3">
        <f>N7*P7/(M7*Process_Data!J7)*100</f>
        <v>84.760858265163279</v>
      </c>
      <c r="V7" s="3">
        <f>O7*R7/(M7*Process_Data!J7)*100</f>
        <v>15.073426908150983</v>
      </c>
      <c r="W7" s="3">
        <f t="shared" si="1"/>
        <v>99.834285173314257</v>
      </c>
      <c r="X7" s="3">
        <f t="shared" si="2"/>
        <v>-4.09416683207375E-2</v>
      </c>
      <c r="Y7" s="3">
        <f>(M7*Process_Data!J7-(N7*P7+O7*R7))/(M7*Process_Data!J7)*100</f>
        <v>0.16571482668573487</v>
      </c>
      <c r="Z7" s="3" t="s">
        <v>399</v>
      </c>
    </row>
    <row r="8" spans="1:26" x14ac:dyDescent="0.3">
      <c r="A8" s="4">
        <v>7</v>
      </c>
      <c r="B8" s="5">
        <v>22.6</v>
      </c>
      <c r="C8" s="5">
        <v>129.69999999999999</v>
      </c>
      <c r="D8" s="5">
        <v>61.9</v>
      </c>
      <c r="E8" s="5">
        <v>47.7</v>
      </c>
      <c r="F8" s="5">
        <v>24.6</v>
      </c>
      <c r="G8" s="5">
        <v>76.3</v>
      </c>
      <c r="H8" s="5">
        <v>4.7</v>
      </c>
      <c r="I8" s="5">
        <v>90.9</v>
      </c>
      <c r="J8" s="5">
        <v>60.7</v>
      </c>
      <c r="K8" s="5">
        <v>9.1999999999999993</v>
      </c>
      <c r="L8" s="5">
        <v>93.5</v>
      </c>
      <c r="M8" s="2">
        <f>Process_Data!G8*Process_Data!H8/100</f>
        <v>201.21599999999998</v>
      </c>
      <c r="N8" s="5">
        <v>98.5</v>
      </c>
      <c r="O8" s="5">
        <v>103</v>
      </c>
      <c r="P8" s="5">
        <v>65.290000000000006</v>
      </c>
      <c r="Q8" s="5">
        <v>6.02</v>
      </c>
      <c r="R8" s="5">
        <v>11.71</v>
      </c>
      <c r="S8" s="5">
        <v>65.56</v>
      </c>
      <c r="T8" s="2">
        <f t="shared" si="0"/>
        <v>48.952369592875321</v>
      </c>
      <c r="U8" s="2">
        <f>N8*P8/(M8*Process_Data!J8)*100</f>
        <v>84.307576120254041</v>
      </c>
      <c r="V8" s="2">
        <f>O8*R8/(M8*Process_Data!J8)*100</f>
        <v>15.811672994429692</v>
      </c>
      <c r="W8" s="2">
        <f t="shared" si="1"/>
        <v>100.11924911468373</v>
      </c>
      <c r="X8" s="2">
        <f t="shared" si="2"/>
        <v>-0.1411418575063714</v>
      </c>
      <c r="Y8" s="2">
        <f>(M8*Process_Data!J8-(N8*P8+O8*R8))/(M8*Process_Data!J8)*100</f>
        <v>-0.11924911468372634</v>
      </c>
      <c r="Z8" s="2" t="s">
        <v>399</v>
      </c>
    </row>
    <row r="9" spans="1:26" x14ac:dyDescent="0.3">
      <c r="A9" s="6">
        <v>8</v>
      </c>
      <c r="B9" s="7">
        <v>27.4</v>
      </c>
      <c r="C9" s="7">
        <v>104.3</v>
      </c>
      <c r="D9" s="7">
        <v>63.8</v>
      </c>
      <c r="E9" s="7">
        <v>49.5</v>
      </c>
      <c r="F9" s="7">
        <v>26.5</v>
      </c>
      <c r="G9" s="7">
        <v>80.7</v>
      </c>
      <c r="H9" s="7">
        <v>5.3</v>
      </c>
      <c r="I9" s="7">
        <v>91.2</v>
      </c>
      <c r="J9" s="7">
        <v>62.9</v>
      </c>
      <c r="K9" s="7">
        <v>9.1</v>
      </c>
      <c r="L9" s="7">
        <v>70.599999999999994</v>
      </c>
      <c r="M9" s="3">
        <f>Process_Data!G9*Process_Data!H9/100</f>
        <v>202.00599999999997</v>
      </c>
      <c r="N9" s="7">
        <v>106.4</v>
      </c>
      <c r="O9" s="7">
        <v>96</v>
      </c>
      <c r="P9" s="7">
        <v>66.37</v>
      </c>
      <c r="Q9" s="7">
        <v>5.68</v>
      </c>
      <c r="R9" s="7">
        <v>11.5</v>
      </c>
      <c r="S9" s="7">
        <v>60.68</v>
      </c>
      <c r="T9" s="3">
        <f t="shared" si="0"/>
        <v>52.671702820708312</v>
      </c>
      <c r="U9" s="3">
        <f>N9*P9/(M9*Process_Data!J9)*100</f>
        <v>86.551644372627152</v>
      </c>
      <c r="V9" s="3">
        <f>O9*R9/(M9*Process_Data!J9)*100</f>
        <v>13.531032935007262</v>
      </c>
      <c r="W9" s="3">
        <f t="shared" si="1"/>
        <v>100.08267730763441</v>
      </c>
      <c r="X9" s="3">
        <f t="shared" si="2"/>
        <v>-0.19504371157294037</v>
      </c>
      <c r="Y9" s="3">
        <f>(M9*Process_Data!J9-(N9*P9+O9*R9))/(M9*Process_Data!J9)*100</f>
        <v>-8.2677307634413444E-2</v>
      </c>
      <c r="Z9" s="3" t="s">
        <v>399</v>
      </c>
    </row>
    <row r="10" spans="1:26" x14ac:dyDescent="0.3">
      <c r="A10" s="4">
        <v>9</v>
      </c>
      <c r="B10" s="5">
        <v>24.1</v>
      </c>
      <c r="C10" s="5">
        <v>110.1</v>
      </c>
      <c r="D10" s="5">
        <v>62.8</v>
      </c>
      <c r="E10" s="5">
        <v>44.7</v>
      </c>
      <c r="F10" s="5">
        <v>25</v>
      </c>
      <c r="G10" s="5">
        <v>76</v>
      </c>
      <c r="H10" s="5">
        <v>6.3</v>
      </c>
      <c r="I10" s="5">
        <v>91.6</v>
      </c>
      <c r="J10" s="5">
        <v>61.3</v>
      </c>
      <c r="K10" s="5">
        <v>9</v>
      </c>
      <c r="L10" s="5">
        <v>71.8</v>
      </c>
      <c r="M10" s="2">
        <f>Process_Data!G10*Process_Data!H10/100</f>
        <v>194.89259999999999</v>
      </c>
      <c r="N10" s="5">
        <v>108.7</v>
      </c>
      <c r="O10" s="5">
        <v>86.1</v>
      </c>
      <c r="P10" s="5">
        <v>64.569999999999993</v>
      </c>
      <c r="Q10" s="5">
        <v>5.29</v>
      </c>
      <c r="R10" s="5">
        <v>11.4</v>
      </c>
      <c r="S10" s="5">
        <v>62.01</v>
      </c>
      <c r="T10" s="2">
        <f t="shared" si="0"/>
        <v>55.774308516588114</v>
      </c>
      <c r="U10" s="2">
        <f>N10*P10/(M10*Process_Data!J10)*100</f>
        <v>87.816315555135191</v>
      </c>
      <c r="V10" s="2">
        <f>O10*R10/(M10*Process_Data!J10)*100</f>
        <v>12.280693263579417</v>
      </c>
      <c r="W10" s="2">
        <f t="shared" si="1"/>
        <v>100.09700881871461</v>
      </c>
      <c r="X10" s="2">
        <f t="shared" si="2"/>
        <v>4.7513348377504351E-2</v>
      </c>
      <c r="Y10" s="2">
        <f>(M10*Process_Data!J10-(N10*P10+O10*R10))/(M10*Process_Data!J10)*100</f>
        <v>-9.7008818714611075E-2</v>
      </c>
      <c r="Z10" s="2" t="s">
        <v>399</v>
      </c>
    </row>
    <row r="11" spans="1:26" x14ac:dyDescent="0.3">
      <c r="A11" s="6">
        <v>10</v>
      </c>
      <c r="B11" s="7">
        <v>25.1</v>
      </c>
      <c r="C11" s="7">
        <v>128.1</v>
      </c>
      <c r="D11" s="7">
        <v>63.9</v>
      </c>
      <c r="E11" s="7">
        <v>42.7</v>
      </c>
      <c r="F11" s="7">
        <v>21.2</v>
      </c>
      <c r="G11" s="7">
        <v>77</v>
      </c>
      <c r="H11" s="7">
        <v>5</v>
      </c>
      <c r="I11" s="7">
        <v>89.5</v>
      </c>
      <c r="J11" s="7">
        <v>62.3</v>
      </c>
      <c r="K11" s="7">
        <v>8.8000000000000007</v>
      </c>
      <c r="L11" s="7">
        <v>92.9</v>
      </c>
      <c r="M11" s="3">
        <f>Process_Data!G11*Process_Data!H11/100</f>
        <v>198.0993</v>
      </c>
      <c r="N11" s="7">
        <v>100.2</v>
      </c>
      <c r="O11" s="7">
        <v>97.5</v>
      </c>
      <c r="P11" s="7">
        <v>66.17</v>
      </c>
      <c r="Q11" s="7">
        <v>5.68</v>
      </c>
      <c r="R11" s="7">
        <v>10.93</v>
      </c>
      <c r="S11" s="7">
        <v>61.21</v>
      </c>
      <c r="T11" s="3">
        <f t="shared" si="0"/>
        <v>50.580693621835117</v>
      </c>
      <c r="U11" s="3">
        <f>N11*P11/(M11*Process_Data!J11)*100</f>
        <v>85.950808858675657</v>
      </c>
      <c r="V11" s="3">
        <f>O11*R11/(M11*Process_Data!J11)*100</f>
        <v>13.814840958926814</v>
      </c>
      <c r="W11" s="3">
        <f t="shared" si="1"/>
        <v>99.765649817602466</v>
      </c>
      <c r="X11" s="3">
        <f t="shared" si="2"/>
        <v>0.201565578475043</v>
      </c>
      <c r="Y11" s="3">
        <f>(M11*Process_Data!J11-(N11*P11+O11*R11))/(M11*Process_Data!J11)*100</f>
        <v>0.23435018239753388</v>
      </c>
      <c r="Z11" s="3" t="s">
        <v>399</v>
      </c>
    </row>
    <row r="12" spans="1:26" x14ac:dyDescent="0.3">
      <c r="A12" s="4">
        <v>11</v>
      </c>
      <c r="B12" s="5">
        <v>20.100000000000001</v>
      </c>
      <c r="C12" s="5">
        <v>79.3</v>
      </c>
      <c r="D12" s="5">
        <v>58.3</v>
      </c>
      <c r="E12" s="5">
        <v>35.6</v>
      </c>
      <c r="F12" s="5">
        <v>26.6</v>
      </c>
      <c r="G12" s="5">
        <v>73.900000000000006</v>
      </c>
      <c r="H12" s="5">
        <v>5.4</v>
      </c>
      <c r="I12" s="5">
        <v>92.4</v>
      </c>
      <c r="J12" s="5">
        <v>56.9</v>
      </c>
      <c r="K12" s="5">
        <v>9.6999999999999993</v>
      </c>
      <c r="L12" s="5">
        <v>49.5</v>
      </c>
      <c r="M12" s="2">
        <f>Process_Data!G12*Process_Data!H12/100</f>
        <v>218.73280000000003</v>
      </c>
      <c r="N12" s="5">
        <v>115.6</v>
      </c>
      <c r="O12" s="5">
        <v>102.7</v>
      </c>
      <c r="P12" s="5">
        <v>65.37</v>
      </c>
      <c r="Q12" s="5">
        <v>5.18</v>
      </c>
      <c r="R12" s="5">
        <v>11.66</v>
      </c>
      <c r="S12" s="5">
        <v>64.45</v>
      </c>
      <c r="T12" s="2">
        <f t="shared" si="0"/>
        <v>52.849869795476479</v>
      </c>
      <c r="U12" s="2">
        <f>N12*P12/(M12*Process_Data!J12)*100</f>
        <v>86.068659405338749</v>
      </c>
      <c r="V12" s="2">
        <f>O12*R12/(M12*Process_Data!J12)*100</f>
        <v>13.638848757382632</v>
      </c>
      <c r="W12" s="2">
        <f t="shared" si="1"/>
        <v>99.707508162721382</v>
      </c>
      <c r="X12" s="2">
        <f t="shared" si="2"/>
        <v>0.19786698656992205</v>
      </c>
      <c r="Y12" s="2">
        <f>(M12*Process_Data!J12-(N12*P12+O12*R12))/(M12*Process_Data!J12)*100</f>
        <v>0.29249183727860523</v>
      </c>
      <c r="Z12" s="2" t="s">
        <v>399</v>
      </c>
    </row>
    <row r="13" spans="1:26" x14ac:dyDescent="0.3">
      <c r="A13" s="6">
        <v>12</v>
      </c>
      <c r="B13" s="7">
        <v>25.1</v>
      </c>
      <c r="C13" s="7">
        <v>106.7</v>
      </c>
      <c r="D13" s="7">
        <v>61.3</v>
      </c>
      <c r="E13" s="7">
        <v>49.1</v>
      </c>
      <c r="F13" s="7">
        <v>21.9</v>
      </c>
      <c r="G13" s="7">
        <v>74.8</v>
      </c>
      <c r="H13" s="7">
        <v>6.3</v>
      </c>
      <c r="I13" s="7">
        <v>89.5</v>
      </c>
      <c r="J13" s="7">
        <v>59.5</v>
      </c>
      <c r="K13" s="7">
        <v>9</v>
      </c>
      <c r="L13" s="7">
        <v>41</v>
      </c>
      <c r="M13" s="3">
        <f>Process_Data!G13*Process_Data!H13/100</f>
        <v>216.57019999999997</v>
      </c>
      <c r="N13" s="7">
        <v>123.1</v>
      </c>
      <c r="O13" s="7">
        <v>93.2</v>
      </c>
      <c r="P13" s="7">
        <v>64.69</v>
      </c>
      <c r="Q13" s="7">
        <v>5.66</v>
      </c>
      <c r="R13" s="7">
        <v>9.75</v>
      </c>
      <c r="S13" s="7">
        <v>62.23</v>
      </c>
      <c r="T13" s="3">
        <f t="shared" si="0"/>
        <v>56.840691840336298</v>
      </c>
      <c r="U13" s="3">
        <f>N13*P13/(M13*Process_Data!J13)*100</f>
        <v>89.836900932112258</v>
      </c>
      <c r="V13" s="3">
        <f>O13*R13/(M13*Process_Data!J13)*100</f>
        <v>10.251326971890865</v>
      </c>
      <c r="W13" s="3">
        <f t="shared" si="1"/>
        <v>100.08822790400312</v>
      </c>
      <c r="X13" s="3">
        <f t="shared" si="2"/>
        <v>0.12476324074132086</v>
      </c>
      <c r="Y13" s="3">
        <f>(M13*Process_Data!J13-(N13*P13+O13*R13))/(M13*Process_Data!J13)*100</f>
        <v>-8.8227904003124608E-2</v>
      </c>
      <c r="Z13" s="3" t="s">
        <v>399</v>
      </c>
    </row>
    <row r="14" spans="1:26" x14ac:dyDescent="0.3">
      <c r="A14" s="4">
        <v>13</v>
      </c>
      <c r="B14" s="5">
        <v>23.3</v>
      </c>
      <c r="C14" s="5">
        <v>99.8</v>
      </c>
      <c r="D14" s="5">
        <v>62.7</v>
      </c>
      <c r="E14" s="5">
        <v>40.1</v>
      </c>
      <c r="F14" s="5">
        <v>27.3</v>
      </c>
      <c r="G14" s="5">
        <v>79.8</v>
      </c>
      <c r="H14" s="5">
        <v>5.4</v>
      </c>
      <c r="I14" s="5">
        <v>94.3</v>
      </c>
      <c r="J14" s="5">
        <v>61</v>
      </c>
      <c r="K14" s="5">
        <v>9</v>
      </c>
      <c r="L14" s="5">
        <v>89.6</v>
      </c>
      <c r="M14" s="2">
        <f>Process_Data!G14*Process_Data!H14/100</f>
        <v>218.41469999999998</v>
      </c>
      <c r="N14" s="5">
        <v>103.9</v>
      </c>
      <c r="O14" s="5">
        <v>113.8</v>
      </c>
      <c r="P14" s="5">
        <v>65.510000000000005</v>
      </c>
      <c r="Q14" s="5">
        <v>5.9</v>
      </c>
      <c r="R14" s="5">
        <v>10.62</v>
      </c>
      <c r="S14" s="5">
        <v>66.27</v>
      </c>
      <c r="T14" s="2">
        <f t="shared" si="0"/>
        <v>47.570058242416842</v>
      </c>
      <c r="U14" s="2">
        <f>N14*P14/(M14*Process_Data!J14)*100</f>
        <v>84.728507761303078</v>
      </c>
      <c r="V14" s="2">
        <f>O14*R14/(M14*Process_Data!J14)*100</f>
        <v>15.044341719492882</v>
      </c>
      <c r="W14" s="2">
        <f t="shared" si="1"/>
        <v>99.772849480795955</v>
      </c>
      <c r="X14" s="2">
        <f t="shared" si="2"/>
        <v>0.32722156521515883</v>
      </c>
      <c r="Y14" s="2">
        <f>(M14*Process_Data!J14-(N14*P14+O14*R14))/(M14*Process_Data!J14)*100</f>
        <v>0.22715051920404292</v>
      </c>
      <c r="Z14" s="2" t="s">
        <v>399</v>
      </c>
    </row>
    <row r="15" spans="1:26" x14ac:dyDescent="0.3">
      <c r="A15" s="6">
        <v>14</v>
      </c>
      <c r="B15" s="7">
        <v>26.3</v>
      </c>
      <c r="C15" s="7">
        <v>77.3</v>
      </c>
      <c r="D15" s="7">
        <v>61</v>
      </c>
      <c r="E15" s="7">
        <v>35.9</v>
      </c>
      <c r="F15" s="7">
        <v>23.5</v>
      </c>
      <c r="G15" s="7">
        <v>76.2</v>
      </c>
      <c r="H15" s="7">
        <v>6.3</v>
      </c>
      <c r="I15" s="7">
        <v>89.8</v>
      </c>
      <c r="J15" s="7">
        <v>59.9</v>
      </c>
      <c r="K15" s="7">
        <v>9.1</v>
      </c>
      <c r="L15" s="7">
        <v>81.900000000000006</v>
      </c>
      <c r="M15" s="3">
        <f>Process_Data!G15*Process_Data!H15/100</f>
        <v>216.3348</v>
      </c>
      <c r="N15" s="7">
        <v>106.1</v>
      </c>
      <c r="O15" s="7">
        <v>110.2</v>
      </c>
      <c r="P15" s="7">
        <v>65.739999999999995</v>
      </c>
      <c r="Q15" s="7">
        <v>4.67</v>
      </c>
      <c r="R15" s="7">
        <v>9.7899999999999991</v>
      </c>
      <c r="S15" s="7">
        <v>64.91</v>
      </c>
      <c r="T15" s="3">
        <f t="shared" si="0"/>
        <v>49.044351625351077</v>
      </c>
      <c r="U15" s="3">
        <f>N15*P15/(M15*Process_Data!J15)*100</f>
        <v>86.369560028143027</v>
      </c>
      <c r="V15" s="3">
        <f>O15*R15/(M15*Process_Data!J15)*100</f>
        <v>13.35918333538002</v>
      </c>
      <c r="W15" s="3">
        <f t="shared" si="1"/>
        <v>99.728743363523051</v>
      </c>
      <c r="X15" s="3">
        <f t="shared" si="2"/>
        <v>1.6086177535925776E-2</v>
      </c>
      <c r="Y15" s="3">
        <f>(M15*Process_Data!J15-(N15*P15+O15*R15))/(M15*Process_Data!J15)*100</f>
        <v>0.27125663647693904</v>
      </c>
      <c r="Z15" s="3" t="s">
        <v>399</v>
      </c>
    </row>
    <row r="16" spans="1:26" x14ac:dyDescent="0.3">
      <c r="A16" s="4">
        <v>15</v>
      </c>
      <c r="B16" s="5">
        <v>24.5</v>
      </c>
      <c r="C16" s="5">
        <v>103.9</v>
      </c>
      <c r="D16" s="5">
        <v>63.4</v>
      </c>
      <c r="E16" s="5">
        <v>36.700000000000003</v>
      </c>
      <c r="F16" s="5">
        <v>22.9</v>
      </c>
      <c r="G16" s="5">
        <v>73.5</v>
      </c>
      <c r="H16" s="5">
        <v>5.4</v>
      </c>
      <c r="I16" s="5">
        <v>89.8</v>
      </c>
      <c r="J16" s="5">
        <v>62.9</v>
      </c>
      <c r="K16" s="5">
        <v>9</v>
      </c>
      <c r="L16" s="5">
        <v>75.7</v>
      </c>
      <c r="M16" s="2">
        <f>Process_Data!G16*Process_Data!H16/100</f>
        <v>207.94319999999996</v>
      </c>
      <c r="N16" s="5">
        <v>91.7</v>
      </c>
      <c r="O16" s="5">
        <v>116.2</v>
      </c>
      <c r="P16" s="5">
        <v>65.989999999999995</v>
      </c>
      <c r="Q16" s="5">
        <v>5.49</v>
      </c>
      <c r="R16" s="5">
        <v>12.87</v>
      </c>
      <c r="S16" s="5">
        <v>62.62</v>
      </c>
      <c r="T16" s="2">
        <f t="shared" si="0"/>
        <v>44.09858076628619</v>
      </c>
      <c r="U16" s="2">
        <f>N16*P16/(M16*Process_Data!J16)*100</f>
        <v>80.056818287956673</v>
      </c>
      <c r="V16" s="2">
        <f>O16*R16/(M16*Process_Data!J16)*100</f>
        <v>19.784976410577638</v>
      </c>
      <c r="W16" s="2">
        <f t="shared" si="1"/>
        <v>99.841794698534315</v>
      </c>
      <c r="X16" s="2">
        <f t="shared" si="2"/>
        <v>2.0774903916048311E-2</v>
      </c>
      <c r="Y16" s="2">
        <f>(M16*Process_Data!J16-(N16*P16+O16*R16))/(M16*Process_Data!J16)*100</f>
        <v>0.15820530146569189</v>
      </c>
      <c r="Z16" s="2" t="s">
        <v>399</v>
      </c>
    </row>
    <row r="17" spans="1:26" x14ac:dyDescent="0.3">
      <c r="A17" s="6">
        <v>16</v>
      </c>
      <c r="B17" s="7">
        <v>25.6</v>
      </c>
      <c r="C17" s="7">
        <v>106.4</v>
      </c>
      <c r="D17" s="7">
        <v>61.8</v>
      </c>
      <c r="E17" s="7">
        <v>43.8</v>
      </c>
      <c r="F17" s="7">
        <v>27</v>
      </c>
      <c r="G17" s="7">
        <v>81.599999999999994</v>
      </c>
      <c r="H17" s="7">
        <v>5.0999999999999996</v>
      </c>
      <c r="I17" s="7">
        <v>95.2</v>
      </c>
      <c r="J17" s="7">
        <v>61.2</v>
      </c>
      <c r="K17" s="7">
        <v>9.6</v>
      </c>
      <c r="L17" s="7">
        <v>74.099999999999994</v>
      </c>
      <c r="M17" s="3">
        <f>Process_Data!G17*Process_Data!H17/100</f>
        <v>210.21329999999998</v>
      </c>
      <c r="N17" s="7">
        <v>97.4</v>
      </c>
      <c r="O17" s="7">
        <v>112.7</v>
      </c>
      <c r="P17" s="7">
        <v>65.05</v>
      </c>
      <c r="Q17" s="7">
        <v>4.82</v>
      </c>
      <c r="R17" s="7">
        <v>11.12</v>
      </c>
      <c r="S17" s="7">
        <v>62.47</v>
      </c>
      <c r="T17" s="3">
        <f t="shared" si="0"/>
        <v>46.333890386574026</v>
      </c>
      <c r="U17" s="3">
        <f>N17*P17/(M17*Process_Data!J17)*100</f>
        <v>83.537127761824848</v>
      </c>
      <c r="V17" s="3">
        <f>O17*R17/(M17*Process_Data!J17)*100</f>
        <v>16.523497704685415</v>
      </c>
      <c r="W17" s="3">
        <f t="shared" si="1"/>
        <v>100.06062546651026</v>
      </c>
      <c r="X17" s="3">
        <f t="shared" si="2"/>
        <v>5.3897636353148294E-2</v>
      </c>
      <c r="Y17" s="3">
        <f>(M17*Process_Data!J17-(N17*P17+O17*R17))/(M17*Process_Data!J17)*100</f>
        <v>-6.062546651026076E-2</v>
      </c>
      <c r="Z17" s="3" t="s">
        <v>399</v>
      </c>
    </row>
    <row r="18" spans="1:26" x14ac:dyDescent="0.3">
      <c r="A18" s="4">
        <v>17</v>
      </c>
      <c r="B18" s="5">
        <v>23.3</v>
      </c>
      <c r="C18" s="5">
        <v>144.6</v>
      </c>
      <c r="D18" s="5">
        <v>63.2</v>
      </c>
      <c r="E18" s="5">
        <v>35.700000000000003</v>
      </c>
      <c r="F18" s="5">
        <v>18.3</v>
      </c>
      <c r="G18" s="5">
        <v>81.900000000000006</v>
      </c>
      <c r="H18" s="5">
        <v>6.1</v>
      </c>
      <c r="I18" s="5">
        <v>90.1</v>
      </c>
      <c r="J18" s="5">
        <v>62.2</v>
      </c>
      <c r="K18" s="5">
        <v>9.9</v>
      </c>
      <c r="L18" s="5">
        <v>60.9</v>
      </c>
      <c r="M18" s="2">
        <f>Process_Data!G18*Process_Data!H18/100</f>
        <v>246.31880000000001</v>
      </c>
      <c r="N18" s="5">
        <v>122.4</v>
      </c>
      <c r="O18" s="5">
        <v>123.9</v>
      </c>
      <c r="P18" s="5">
        <v>66.44</v>
      </c>
      <c r="Q18" s="5">
        <v>5.93</v>
      </c>
      <c r="R18" s="5">
        <v>12.43</v>
      </c>
      <c r="S18" s="5">
        <v>63.28</v>
      </c>
      <c r="T18" s="2">
        <f t="shared" si="0"/>
        <v>49.691700349303424</v>
      </c>
      <c r="U18" s="2">
        <f>N18*P18/(M18*Process_Data!J18)*100</f>
        <v>84.093646744975032</v>
      </c>
      <c r="V18" s="2">
        <f>O18*R18/(M18*Process_Data!J18)*100</f>
        <v>15.925555122472893</v>
      </c>
      <c r="W18" s="2">
        <f t="shared" si="1"/>
        <v>100.01920186744792</v>
      </c>
      <c r="X18" s="2">
        <f t="shared" si="2"/>
        <v>7.6323853477683456E-3</v>
      </c>
      <c r="Y18" s="2">
        <f>(M18*Process_Data!J18-(N18*P18+O18*R18))/(M18*Process_Data!J18)*100</f>
        <v>-1.9201867447925618E-2</v>
      </c>
      <c r="Z18" s="2" t="s">
        <v>399</v>
      </c>
    </row>
    <row r="19" spans="1:26" x14ac:dyDescent="0.3">
      <c r="A19" s="6">
        <v>18</v>
      </c>
      <c r="B19" s="7">
        <v>24.8</v>
      </c>
      <c r="C19" s="7">
        <v>88.3</v>
      </c>
      <c r="D19" s="7">
        <v>62</v>
      </c>
      <c r="E19" s="7">
        <v>44.3</v>
      </c>
      <c r="F19" s="7">
        <v>21.6</v>
      </c>
      <c r="G19" s="7">
        <v>77.7</v>
      </c>
      <c r="H19" s="7">
        <v>5.8</v>
      </c>
      <c r="I19" s="7">
        <v>94.4</v>
      </c>
      <c r="J19" s="7">
        <v>61.4</v>
      </c>
      <c r="K19" s="7">
        <v>9.6999999999999993</v>
      </c>
      <c r="L19" s="7">
        <v>86.9</v>
      </c>
      <c r="M19" s="3">
        <f>Process_Data!G19*Process_Data!H19/100</f>
        <v>200.07069999999996</v>
      </c>
      <c r="N19" s="7">
        <v>100.3</v>
      </c>
      <c r="O19" s="7">
        <v>99</v>
      </c>
      <c r="P19" s="7">
        <v>65.599999999999994</v>
      </c>
      <c r="Q19" s="7">
        <v>5.45</v>
      </c>
      <c r="R19" s="7">
        <v>12.57</v>
      </c>
      <c r="S19" s="7">
        <v>62.82</v>
      </c>
      <c r="T19" s="3">
        <f t="shared" si="0"/>
        <v>50.132278239642289</v>
      </c>
      <c r="U19" s="3">
        <f>N19*P19/(M19*Process_Data!J19)*100</f>
        <v>83.787960573771585</v>
      </c>
      <c r="V19" s="3">
        <f>O19*R19/(M19*Process_Data!J19)*100</f>
        <v>15.847009547093261</v>
      </c>
      <c r="W19" s="3">
        <f t="shared" si="1"/>
        <v>99.63497012086485</v>
      </c>
      <c r="X19" s="3">
        <f t="shared" si="2"/>
        <v>0.38521382691216072</v>
      </c>
      <c r="Y19" s="3">
        <f>(M19*Process_Data!J19-(N19*P19+O19*R19))/(M19*Process_Data!J19)*100</f>
        <v>0.36502987913516244</v>
      </c>
      <c r="Z19" s="3" t="s">
        <v>399</v>
      </c>
    </row>
    <row r="20" spans="1:26" x14ac:dyDescent="0.3">
      <c r="A20" s="4">
        <v>19</v>
      </c>
      <c r="B20" s="5">
        <v>26.3</v>
      </c>
      <c r="C20" s="5">
        <v>101.7</v>
      </c>
      <c r="D20" s="5">
        <v>61.7</v>
      </c>
      <c r="E20" s="5">
        <v>47.9</v>
      </c>
      <c r="F20" s="5">
        <v>27.5</v>
      </c>
      <c r="G20" s="5">
        <v>77.400000000000006</v>
      </c>
      <c r="H20" s="5">
        <v>6.4</v>
      </c>
      <c r="I20" s="5">
        <v>90.8</v>
      </c>
      <c r="J20" s="5">
        <v>61</v>
      </c>
      <c r="K20" s="5">
        <v>9.6</v>
      </c>
      <c r="L20" s="5">
        <v>93.9</v>
      </c>
      <c r="M20" s="2">
        <f>Process_Data!G20*Process_Data!H20/100</f>
        <v>225.5736</v>
      </c>
      <c r="N20" s="5">
        <v>116.6</v>
      </c>
      <c r="O20" s="5">
        <v>108.2</v>
      </c>
      <c r="P20" s="5">
        <v>65.489999999999995</v>
      </c>
      <c r="Q20" s="5">
        <v>5.0599999999999996</v>
      </c>
      <c r="R20" s="5">
        <v>11.72</v>
      </c>
      <c r="S20" s="5">
        <v>61.68</v>
      </c>
      <c r="T20" s="2">
        <f t="shared" si="0"/>
        <v>51.690446045104565</v>
      </c>
      <c r="U20" s="2">
        <f>N20*P20/(M20*Process_Data!J20)*100</f>
        <v>85.485033118532769</v>
      </c>
      <c r="V20" s="2">
        <f>O20*R20/(M20*Process_Data!J20)*100</f>
        <v>14.196177337608781</v>
      </c>
      <c r="W20" s="2">
        <f t="shared" si="1"/>
        <v>99.681210456141542</v>
      </c>
      <c r="X20" s="2">
        <f t="shared" si="2"/>
        <v>0.34294793362343273</v>
      </c>
      <c r="Y20" s="2">
        <f>(M20*Process_Data!J20-(N20*P20+O20*R20))/(M20*Process_Data!J20)*100</f>
        <v>0.31878954385844577</v>
      </c>
      <c r="Z20" s="2" t="s">
        <v>399</v>
      </c>
    </row>
    <row r="21" spans="1:26" x14ac:dyDescent="0.3">
      <c r="A21" s="6">
        <v>20</v>
      </c>
      <c r="B21" s="7">
        <v>22.2</v>
      </c>
      <c r="C21" s="7">
        <v>84.2</v>
      </c>
      <c r="D21" s="7">
        <v>58.5</v>
      </c>
      <c r="E21" s="7">
        <v>36.799999999999997</v>
      </c>
      <c r="F21" s="7">
        <v>22.6</v>
      </c>
      <c r="G21" s="7">
        <v>77.5</v>
      </c>
      <c r="H21" s="7">
        <v>5.2</v>
      </c>
      <c r="I21" s="7">
        <v>93.8</v>
      </c>
      <c r="J21" s="7">
        <v>57.8</v>
      </c>
      <c r="K21" s="7">
        <v>8.9</v>
      </c>
      <c r="L21" s="7">
        <v>84</v>
      </c>
      <c r="M21" s="3">
        <f>Process_Data!G21*Process_Data!H21/100</f>
        <v>185.27820000000003</v>
      </c>
      <c r="N21" s="7">
        <v>84.5</v>
      </c>
      <c r="O21" s="7">
        <v>100.2</v>
      </c>
      <c r="P21" s="7">
        <v>65.760000000000005</v>
      </c>
      <c r="Q21" s="7">
        <v>4.6399999999999997</v>
      </c>
      <c r="R21" s="7">
        <v>12.56</v>
      </c>
      <c r="S21" s="7">
        <v>66.45</v>
      </c>
      <c r="T21" s="3">
        <f t="shared" si="0"/>
        <v>45.60709246959437</v>
      </c>
      <c r="U21" s="3">
        <f>N21*P21/(M21*Process_Data!J21)*100</f>
        <v>81.255009504213646</v>
      </c>
      <c r="V21" s="3">
        <f>O21*R21/(M21*Process_Data!J21)*100</f>
        <v>18.403015541752499</v>
      </c>
      <c r="W21" s="3">
        <f t="shared" si="1"/>
        <v>99.658025045966141</v>
      </c>
      <c r="X21" s="3">
        <f t="shared" si="2"/>
        <v>0.3120712528511384</v>
      </c>
      <c r="Y21" s="3">
        <f>(M21*Process_Data!J21-(N21*P21+O21*R21))/(M21*Process_Data!J21)*100</f>
        <v>0.34197495403385386</v>
      </c>
      <c r="Z21" s="3" t="s">
        <v>399</v>
      </c>
    </row>
    <row r="22" spans="1:26" x14ac:dyDescent="0.3">
      <c r="A22" s="4">
        <v>21</v>
      </c>
      <c r="B22" s="5">
        <v>27.2</v>
      </c>
      <c r="C22" s="5">
        <v>110.9</v>
      </c>
      <c r="D22" s="5">
        <v>61.2</v>
      </c>
      <c r="E22" s="5">
        <v>36.6</v>
      </c>
      <c r="F22" s="5">
        <v>22.5</v>
      </c>
      <c r="G22" s="5">
        <v>75.400000000000006</v>
      </c>
      <c r="H22" s="5">
        <v>5</v>
      </c>
      <c r="I22" s="5">
        <v>91.6</v>
      </c>
      <c r="J22" s="5">
        <v>60</v>
      </c>
      <c r="K22" s="5">
        <v>8.8000000000000007</v>
      </c>
      <c r="L22" s="5">
        <v>57.7</v>
      </c>
      <c r="M22" s="2">
        <f>Process_Data!G22*Process_Data!H22/100</f>
        <v>231.79919999999998</v>
      </c>
      <c r="N22" s="5">
        <v>116.3</v>
      </c>
      <c r="O22" s="5">
        <v>115.5</v>
      </c>
      <c r="P22" s="5">
        <v>64.92</v>
      </c>
      <c r="Q22" s="5">
        <v>5.0599999999999996</v>
      </c>
      <c r="R22" s="5">
        <v>9.92</v>
      </c>
      <c r="S22" s="5">
        <v>66.23</v>
      </c>
      <c r="T22" s="2">
        <f t="shared" si="0"/>
        <v>50.172735712634044</v>
      </c>
      <c r="U22" s="2">
        <f>N22*P22/(M22*Process_Data!J22)*100</f>
        <v>86.78960837900884</v>
      </c>
      <c r="V22" s="2">
        <f>O22*R22/(M22*Process_Data!J22)*100</f>
        <v>13.170527188477383</v>
      </c>
      <c r="W22" s="2">
        <f t="shared" si="1"/>
        <v>99.960135567486219</v>
      </c>
      <c r="X22" s="2">
        <f t="shared" si="2"/>
        <v>-3.4512629898056477E-4</v>
      </c>
      <c r="Y22" s="2">
        <f>(M22*Process_Data!J22-(N22*P22+O22*R22))/(M22*Process_Data!J22)*100</f>
        <v>3.9864432513777602E-2</v>
      </c>
      <c r="Z22" s="2" t="s">
        <v>399</v>
      </c>
    </row>
    <row r="23" spans="1:26" x14ac:dyDescent="0.3">
      <c r="A23" s="6">
        <v>22</v>
      </c>
      <c r="B23" s="7">
        <v>27.9</v>
      </c>
      <c r="C23" s="7">
        <v>118.5</v>
      </c>
      <c r="D23" s="7">
        <v>59.4</v>
      </c>
      <c r="E23" s="7">
        <v>36.5</v>
      </c>
      <c r="F23" s="7">
        <v>19.5</v>
      </c>
      <c r="G23" s="7">
        <v>74.7</v>
      </c>
      <c r="H23" s="7">
        <v>4.8</v>
      </c>
      <c r="I23" s="7">
        <v>91</v>
      </c>
      <c r="J23" s="7">
        <v>58.6</v>
      </c>
      <c r="K23" s="7">
        <v>9.1</v>
      </c>
      <c r="L23" s="7">
        <v>89.3</v>
      </c>
      <c r="M23" s="3">
        <f>Process_Data!G23*Process_Data!H23/100</f>
        <v>223.18920000000003</v>
      </c>
      <c r="N23" s="7">
        <v>107.3</v>
      </c>
      <c r="O23" s="7">
        <v>115.7</v>
      </c>
      <c r="P23" s="7">
        <v>64.66</v>
      </c>
      <c r="Q23" s="7">
        <v>5.39</v>
      </c>
      <c r="R23" s="7">
        <v>10.94</v>
      </c>
      <c r="S23" s="7">
        <v>66.88</v>
      </c>
      <c r="T23" s="3">
        <f t="shared" si="0"/>
        <v>48.075802951038845</v>
      </c>
      <c r="U23" s="3">
        <f>N23*P23/(M23*Process_Data!J23)*100</f>
        <v>84.449372964253499</v>
      </c>
      <c r="V23" s="3">
        <f>O23*R23/(M23*Process_Data!J23)*100</f>
        <v>15.406773148251791</v>
      </c>
      <c r="W23" s="3">
        <f t="shared" si="1"/>
        <v>99.856146112505286</v>
      </c>
      <c r="X23" s="3">
        <f t="shared" si="2"/>
        <v>8.4771126918340128E-2</v>
      </c>
      <c r="Y23" s="3">
        <f>(M23*Process_Data!J23-(N23*P23+O23*R23))/(M23*Process_Data!J23)*100</f>
        <v>0.14385388749470543</v>
      </c>
      <c r="Z23" s="3" t="s">
        <v>399</v>
      </c>
    </row>
    <row r="24" spans="1:26" x14ac:dyDescent="0.3">
      <c r="A24" s="4">
        <v>23</v>
      </c>
      <c r="B24" s="5">
        <v>23.4</v>
      </c>
      <c r="C24" s="5">
        <v>110.6</v>
      </c>
      <c r="D24" s="5">
        <v>59.5</v>
      </c>
      <c r="E24" s="5">
        <v>36.700000000000003</v>
      </c>
      <c r="F24" s="5">
        <v>24.1</v>
      </c>
      <c r="G24" s="5">
        <v>74.400000000000006</v>
      </c>
      <c r="H24" s="5">
        <v>5.7</v>
      </c>
      <c r="I24" s="5">
        <v>92.4</v>
      </c>
      <c r="J24" s="5">
        <v>58.6</v>
      </c>
      <c r="K24" s="5">
        <v>9.8000000000000007</v>
      </c>
      <c r="L24" s="5">
        <v>42.9</v>
      </c>
      <c r="M24" s="2">
        <f>Process_Data!G24*Process_Data!H24/100</f>
        <v>242.68399999999997</v>
      </c>
      <c r="N24" s="5">
        <v>132.4</v>
      </c>
      <c r="O24" s="5">
        <v>110.4</v>
      </c>
      <c r="P24" s="5">
        <v>65.17</v>
      </c>
      <c r="Q24" s="5">
        <v>4.7300000000000004</v>
      </c>
      <c r="R24" s="5">
        <v>9.7200000000000006</v>
      </c>
      <c r="S24" s="5">
        <v>66.930000000000007</v>
      </c>
      <c r="T24" s="2">
        <f t="shared" si="0"/>
        <v>54.556542664534959</v>
      </c>
      <c r="U24" s="2">
        <f>N24*P24/(M24*Process_Data!J24)*100</f>
        <v>88.864031128411469</v>
      </c>
      <c r="V24" s="2">
        <f>O24*R24/(M24*Process_Data!J24)*100</f>
        <v>11.051612333850166</v>
      </c>
      <c r="W24" s="2">
        <f t="shared" si="1"/>
        <v>99.915643462261642</v>
      </c>
      <c r="X24" s="2">
        <f t="shared" si="2"/>
        <v>-4.7798783603386422E-2</v>
      </c>
      <c r="Y24" s="2">
        <f>(M24*Process_Data!J24-(N24*P24+O24*R24))/(M24*Process_Data!J24)*100</f>
        <v>8.4356537738363976E-2</v>
      </c>
      <c r="Z24" s="2" t="s">
        <v>399</v>
      </c>
    </row>
    <row r="25" spans="1:26" x14ac:dyDescent="0.3">
      <c r="A25" s="6">
        <v>24</v>
      </c>
      <c r="B25" s="7">
        <v>21.4</v>
      </c>
      <c r="C25" s="7">
        <v>75.3</v>
      </c>
      <c r="D25" s="7">
        <v>62.4</v>
      </c>
      <c r="E25" s="7">
        <v>43.6</v>
      </c>
      <c r="F25" s="7">
        <v>26.4</v>
      </c>
      <c r="G25" s="7">
        <v>74.8</v>
      </c>
      <c r="H25" s="7">
        <v>6.1</v>
      </c>
      <c r="I25" s="7">
        <v>90.1</v>
      </c>
      <c r="J25" s="7">
        <v>61.8</v>
      </c>
      <c r="K25" s="7">
        <v>9.1</v>
      </c>
      <c r="L25" s="7">
        <v>84.8</v>
      </c>
      <c r="M25" s="3">
        <f>Process_Data!G25*Process_Data!H25/100</f>
        <v>204.66810000000001</v>
      </c>
      <c r="N25" s="7">
        <v>106.4</v>
      </c>
      <c r="O25" s="7">
        <v>98.2</v>
      </c>
      <c r="P25" s="7">
        <v>65.83</v>
      </c>
      <c r="Q25" s="7">
        <v>5.39</v>
      </c>
      <c r="R25" s="7">
        <v>10.76</v>
      </c>
      <c r="S25" s="7">
        <v>66.14</v>
      </c>
      <c r="T25" s="3">
        <f t="shared" si="0"/>
        <v>51.986606608455347</v>
      </c>
      <c r="U25" s="3">
        <f>N25*P25/(M25*Process_Data!J25)*100</f>
        <v>86.749767123817875</v>
      </c>
      <c r="V25" s="3">
        <f>O25*R25/(M25*Process_Data!J25)*100</f>
        <v>13.086592935262439</v>
      </c>
      <c r="W25" s="3">
        <f t="shared" si="1"/>
        <v>99.83636005908032</v>
      </c>
      <c r="X25" s="3">
        <f t="shared" si="2"/>
        <v>3.3273382613112128E-2</v>
      </c>
      <c r="Y25" s="3">
        <f>(M25*Process_Data!J25-(N25*P25+O25*R25))/(M25*Process_Data!J25)*100</f>
        <v>0.16363994091968928</v>
      </c>
      <c r="Z25" s="3" t="s">
        <v>399</v>
      </c>
    </row>
    <row r="26" spans="1:26" x14ac:dyDescent="0.3">
      <c r="A26" s="4">
        <v>25</v>
      </c>
      <c r="B26" s="5">
        <v>27.5</v>
      </c>
      <c r="C26" s="5">
        <v>120.2</v>
      </c>
      <c r="D26" s="5">
        <v>60</v>
      </c>
      <c r="E26" s="5">
        <v>37.1</v>
      </c>
      <c r="F26" s="5">
        <v>25.9</v>
      </c>
      <c r="G26" s="5">
        <v>81</v>
      </c>
      <c r="H26" s="5">
        <v>5.6</v>
      </c>
      <c r="I26" s="5">
        <v>94.5</v>
      </c>
      <c r="J26" s="5">
        <v>58.7</v>
      </c>
      <c r="K26" s="5">
        <v>9.1</v>
      </c>
      <c r="L26" s="5">
        <v>57.1</v>
      </c>
      <c r="M26" s="2">
        <f>Process_Data!G26*Process_Data!H26/100</f>
        <v>204.59270000000004</v>
      </c>
      <c r="N26" s="5">
        <v>113</v>
      </c>
      <c r="O26" s="5">
        <v>92.1</v>
      </c>
      <c r="P26" s="5">
        <v>65</v>
      </c>
      <c r="Q26" s="5">
        <v>5.76</v>
      </c>
      <c r="R26" s="5">
        <v>9.6199999999999992</v>
      </c>
      <c r="S26" s="5">
        <v>63.99</v>
      </c>
      <c r="T26" s="2">
        <f t="shared" si="0"/>
        <v>55.231687152083133</v>
      </c>
      <c r="U26" s="2">
        <f>N26*P26/(M26*Process_Data!J26)*100</f>
        <v>89.416180943596601</v>
      </c>
      <c r="V26" s="2">
        <f>O26*R26/(M26*Process_Data!J26)*100</f>
        <v>10.785965302707755</v>
      </c>
      <c r="W26" s="2">
        <f t="shared" si="1"/>
        <v>100.20214624630435</v>
      </c>
      <c r="X26" s="2">
        <f t="shared" si="2"/>
        <v>-0.24795606099335801</v>
      </c>
      <c r="Y26" s="2">
        <f>(M26*Process_Data!J26-(N26*P26+O26*R26))/(M26*Process_Data!J26)*100</f>
        <v>-0.20214624630435946</v>
      </c>
      <c r="Z26" s="2" t="s">
        <v>399</v>
      </c>
    </row>
    <row r="27" spans="1:26" x14ac:dyDescent="0.3">
      <c r="A27" s="6">
        <v>26</v>
      </c>
      <c r="B27" s="7">
        <v>24.3</v>
      </c>
      <c r="C27" s="7">
        <v>90.1</v>
      </c>
      <c r="D27" s="7">
        <v>60.1</v>
      </c>
      <c r="E27" s="7">
        <v>37.700000000000003</v>
      </c>
      <c r="F27" s="7">
        <v>27.1</v>
      </c>
      <c r="G27" s="7">
        <v>77.2</v>
      </c>
      <c r="H27" s="7">
        <v>5.3</v>
      </c>
      <c r="I27" s="7">
        <v>95.6</v>
      </c>
      <c r="J27" s="7">
        <v>58.8</v>
      </c>
      <c r="K27" s="7">
        <v>9.1</v>
      </c>
      <c r="L27" s="7">
        <v>72.2</v>
      </c>
      <c r="M27" s="3">
        <f>Process_Data!G27*Process_Data!H27/100</f>
        <v>212.23650000000001</v>
      </c>
      <c r="N27" s="7">
        <v>113.1</v>
      </c>
      <c r="O27" s="7">
        <v>99.5</v>
      </c>
      <c r="P27" s="7">
        <v>65.510000000000005</v>
      </c>
      <c r="Q27" s="7">
        <v>5.54</v>
      </c>
      <c r="R27" s="7">
        <v>9.56</v>
      </c>
      <c r="S27" s="7">
        <v>66.099999999999994</v>
      </c>
      <c r="T27" s="3">
        <f t="shared" si="0"/>
        <v>53.289608526337361</v>
      </c>
      <c r="U27" s="3">
        <f>N27*P27/(M27*Process_Data!J27)*100</f>
        <v>88.852182605252253</v>
      </c>
      <c r="V27" s="3">
        <f>O27*R27/(M27*Process_Data!J27)*100</f>
        <v>11.407195091841869</v>
      </c>
      <c r="W27" s="3">
        <f t="shared" si="1"/>
        <v>100.25937769709412</v>
      </c>
      <c r="X27" s="3">
        <f t="shared" si="2"/>
        <v>-0.17127119981717928</v>
      </c>
      <c r="Y27" s="3">
        <f>(M27*Process_Data!J27-(N27*P27+O27*R27))/(M27*Process_Data!J27)*100</f>
        <v>-0.25937769709410785</v>
      </c>
      <c r="Z27" s="3" t="s">
        <v>399</v>
      </c>
    </row>
    <row r="28" spans="1:26" x14ac:dyDescent="0.3">
      <c r="A28" s="4">
        <v>27</v>
      </c>
      <c r="B28" s="5">
        <v>26.7</v>
      </c>
      <c r="C28" s="5">
        <v>80</v>
      </c>
      <c r="D28" s="5">
        <v>63.5</v>
      </c>
      <c r="E28" s="5">
        <v>48</v>
      </c>
      <c r="F28" s="5">
        <v>23.2</v>
      </c>
      <c r="G28" s="5">
        <v>73.5</v>
      </c>
      <c r="H28" s="5">
        <v>5.3</v>
      </c>
      <c r="I28" s="5">
        <v>91.3</v>
      </c>
      <c r="J28" s="5">
        <v>62.3</v>
      </c>
      <c r="K28" s="5">
        <v>10.199999999999999</v>
      </c>
      <c r="L28" s="5">
        <v>40.299999999999997</v>
      </c>
      <c r="M28" s="2">
        <f>Process_Data!G28*Process_Data!H28/100</f>
        <v>231.8972</v>
      </c>
      <c r="N28" s="5">
        <v>127.3</v>
      </c>
      <c r="O28" s="5">
        <v>104</v>
      </c>
      <c r="P28" s="5">
        <v>65.17</v>
      </c>
      <c r="Q28" s="5">
        <v>5.18</v>
      </c>
      <c r="R28" s="5">
        <v>11.38</v>
      </c>
      <c r="S28" s="5">
        <v>66.44</v>
      </c>
      <c r="T28" s="2">
        <f t="shared" si="0"/>
        <v>54.895013825091468</v>
      </c>
      <c r="U28" s="2">
        <f>N28*P28/(M28*Process_Data!J28)*100</f>
        <v>87.298878745271139</v>
      </c>
      <c r="V28" s="2">
        <f>O28*R28/(M28*Process_Data!J28)*100</f>
        <v>12.453979383017151</v>
      </c>
      <c r="W28" s="2">
        <f t="shared" si="1"/>
        <v>99.752858128288295</v>
      </c>
      <c r="X28" s="2">
        <f t="shared" si="2"/>
        <v>0.25752790460600067</v>
      </c>
      <c r="Y28" s="2">
        <f>(M28*Process_Data!J28-(N28*P28+O28*R28))/(M28*Process_Data!J28)*100</f>
        <v>0.24714187171170909</v>
      </c>
      <c r="Z28" s="2" t="s">
        <v>399</v>
      </c>
    </row>
    <row r="29" spans="1:26" x14ac:dyDescent="0.3">
      <c r="A29" s="6">
        <v>28</v>
      </c>
      <c r="B29" s="7">
        <v>25.3</v>
      </c>
      <c r="C29" s="7">
        <v>84.2</v>
      </c>
      <c r="D29" s="7">
        <v>63.8</v>
      </c>
      <c r="E29" s="7">
        <v>37.200000000000003</v>
      </c>
      <c r="F29" s="7">
        <v>22.1</v>
      </c>
      <c r="G29" s="7">
        <v>77.5</v>
      </c>
      <c r="H29" s="7">
        <v>6.5</v>
      </c>
      <c r="I29" s="7">
        <v>93.2</v>
      </c>
      <c r="J29" s="7">
        <v>63.2</v>
      </c>
      <c r="K29" s="7">
        <v>8.9</v>
      </c>
      <c r="L29" s="7">
        <v>81.2</v>
      </c>
      <c r="M29" s="3">
        <f>Process_Data!G29*Process_Data!H29/100</f>
        <v>219.60599999999999</v>
      </c>
      <c r="N29" s="7">
        <v>116.6</v>
      </c>
      <c r="O29" s="7">
        <v>102.7</v>
      </c>
      <c r="P29" s="7">
        <v>64.92</v>
      </c>
      <c r="Q29" s="7">
        <v>6.03</v>
      </c>
      <c r="R29" s="7">
        <v>10.220000000000001</v>
      </c>
      <c r="S29" s="7">
        <v>61.33</v>
      </c>
      <c r="T29" s="3">
        <f t="shared" si="0"/>
        <v>53.095088476635432</v>
      </c>
      <c r="U29" s="3">
        <f>N29*P29/(M29*Process_Data!J29)*100</f>
        <v>87.596776211008176</v>
      </c>
      <c r="V29" s="3">
        <f>O29*R29/(M29*Process_Data!J29)*100</f>
        <v>12.145975509958282</v>
      </c>
      <c r="W29" s="3">
        <f t="shared" si="1"/>
        <v>99.742751720966453</v>
      </c>
      <c r="X29" s="3">
        <f t="shared" si="2"/>
        <v>0.13934045517881258</v>
      </c>
      <c r="Y29" s="3">
        <f>(M29*Process_Data!J29-(N29*P29+O29*R29))/(M29*Process_Data!J29)*100</f>
        <v>0.2572482790335423</v>
      </c>
      <c r="Z29" s="3" t="s">
        <v>399</v>
      </c>
    </row>
    <row r="30" spans="1:26" x14ac:dyDescent="0.3">
      <c r="A30" s="4">
        <v>29</v>
      </c>
      <c r="B30" s="5">
        <v>22.2</v>
      </c>
      <c r="C30" s="5">
        <v>121.5</v>
      </c>
      <c r="D30" s="5">
        <v>60.5</v>
      </c>
      <c r="E30" s="5">
        <v>35.4</v>
      </c>
      <c r="F30" s="5">
        <v>19.600000000000001</v>
      </c>
      <c r="G30" s="5">
        <v>73.2</v>
      </c>
      <c r="H30" s="5">
        <v>5.8</v>
      </c>
      <c r="I30" s="5">
        <v>90.6</v>
      </c>
      <c r="J30" s="5">
        <v>59</v>
      </c>
      <c r="K30" s="5">
        <v>9.1999999999999993</v>
      </c>
      <c r="L30" s="5">
        <v>77</v>
      </c>
      <c r="M30" s="2">
        <f>Process_Data!G30*Process_Data!H30/100</f>
        <v>201.35819999999995</v>
      </c>
      <c r="N30" s="5">
        <v>112.9</v>
      </c>
      <c r="O30" s="5">
        <v>88.4</v>
      </c>
      <c r="P30" s="5">
        <v>64.540000000000006</v>
      </c>
      <c r="Q30" s="5">
        <v>4.68</v>
      </c>
      <c r="R30" s="5">
        <v>12.3</v>
      </c>
      <c r="S30" s="5">
        <v>61.25</v>
      </c>
      <c r="T30" s="2">
        <f t="shared" si="0"/>
        <v>56.069233833039846</v>
      </c>
      <c r="U30" s="2">
        <f>N30*P30/(M30*Process_Data!J30)*100</f>
        <v>87.071904513580151</v>
      </c>
      <c r="V30" s="2">
        <f>O30*R30/(M30*Process_Data!J30)*100</f>
        <v>12.9930921116622</v>
      </c>
      <c r="W30" s="2">
        <f t="shared" si="1"/>
        <v>100.06499662524234</v>
      </c>
      <c r="X30" s="2">
        <f t="shared" si="2"/>
        <v>2.8903714872273657E-2</v>
      </c>
      <c r="Y30" s="2">
        <f>(M30*Process_Data!J30-(N30*P30+O30*R30))/(M30*Process_Data!J30)*100</f>
        <v>-6.4996625242348796E-2</v>
      </c>
      <c r="Z30" s="2" t="s">
        <v>399</v>
      </c>
    </row>
    <row r="31" spans="1:26" x14ac:dyDescent="0.3">
      <c r="A31" s="6">
        <v>30</v>
      </c>
      <c r="B31" s="7">
        <v>20.2</v>
      </c>
      <c r="C31" s="7">
        <v>84.5</v>
      </c>
      <c r="D31" s="7">
        <v>61.5</v>
      </c>
      <c r="E31" s="7">
        <v>41.3</v>
      </c>
      <c r="F31" s="7">
        <v>26.9</v>
      </c>
      <c r="G31" s="7">
        <v>75.3</v>
      </c>
      <c r="H31" s="7">
        <v>5.2</v>
      </c>
      <c r="I31" s="7">
        <v>91.7</v>
      </c>
      <c r="J31" s="7">
        <v>59.9</v>
      </c>
      <c r="K31" s="7">
        <v>9.9</v>
      </c>
      <c r="L31" s="7">
        <v>54.7</v>
      </c>
      <c r="M31" s="3">
        <f>Process_Data!G31*Process_Data!H31/100</f>
        <v>186.31990000000002</v>
      </c>
      <c r="N31" s="7">
        <v>103.8</v>
      </c>
      <c r="O31" s="7">
        <v>82.6</v>
      </c>
      <c r="P31" s="7">
        <v>65.75</v>
      </c>
      <c r="Q31" s="7">
        <v>5.2</v>
      </c>
      <c r="R31" s="7">
        <v>11.43</v>
      </c>
      <c r="S31" s="7">
        <v>63.05</v>
      </c>
      <c r="T31" s="3">
        <f t="shared" si="0"/>
        <v>55.710635310559951</v>
      </c>
      <c r="U31" s="3">
        <f>N31*P31/(M31*Process_Data!J31)*100</f>
        <v>87.756930322695652</v>
      </c>
      <c r="V31" s="3">
        <f>O31*R31/(M31*Process_Data!J31)*100</f>
        <v>12.139885498201831</v>
      </c>
      <c r="W31" s="3">
        <f t="shared" si="1"/>
        <v>99.896815820897487</v>
      </c>
      <c r="X31" s="3">
        <f t="shared" si="2"/>
        <v>-4.299057695928292E-2</v>
      </c>
      <c r="Y31" s="3">
        <f>(M31*Process_Data!J31-(N31*P31+O31*R31))/(M31*Process_Data!J31)*100</f>
        <v>0.10318417910252717</v>
      </c>
      <c r="Z31" s="3" t="s">
        <v>399</v>
      </c>
    </row>
    <row r="32" spans="1:26" x14ac:dyDescent="0.3">
      <c r="A32" s="4">
        <v>31</v>
      </c>
      <c r="B32" s="5">
        <v>26.7</v>
      </c>
      <c r="C32" s="5">
        <v>148.80000000000001</v>
      </c>
      <c r="D32" s="5">
        <v>61.2</v>
      </c>
      <c r="E32" s="5">
        <v>37.6</v>
      </c>
      <c r="F32" s="5">
        <v>20.7</v>
      </c>
      <c r="G32" s="5">
        <v>74.099999999999994</v>
      </c>
      <c r="H32" s="5">
        <v>6.3</v>
      </c>
      <c r="I32" s="5">
        <v>93</v>
      </c>
      <c r="J32" s="5">
        <v>60.6</v>
      </c>
      <c r="K32" s="5">
        <v>9.3000000000000007</v>
      </c>
      <c r="L32" s="5">
        <v>70.5</v>
      </c>
      <c r="M32" s="2">
        <f>Process_Data!G32*Process_Data!H32/100</f>
        <v>211.67179999999999</v>
      </c>
      <c r="N32" s="5">
        <v>120.6</v>
      </c>
      <c r="O32" s="5">
        <v>91.2</v>
      </c>
      <c r="P32" s="5">
        <v>65.8</v>
      </c>
      <c r="Q32" s="5">
        <v>5.91</v>
      </c>
      <c r="R32" s="5">
        <v>10.220000000000001</v>
      </c>
      <c r="S32" s="5">
        <v>60.08</v>
      </c>
      <c r="T32" s="2">
        <f t="shared" si="0"/>
        <v>56.974996196942627</v>
      </c>
      <c r="U32" s="2">
        <f>N32*P32/(M32*Process_Data!J32)*100</f>
        <v>89.345918726378088</v>
      </c>
      <c r="V32" s="2">
        <f>O32*R32/(M32*Process_Data!J32)*100</f>
        <v>10.494149615622858</v>
      </c>
      <c r="W32" s="2">
        <f t="shared" si="1"/>
        <v>99.840068342000947</v>
      </c>
      <c r="X32" s="2">
        <f t="shared" si="2"/>
        <v>-6.0565460302232497E-2</v>
      </c>
      <c r="Y32" s="2">
        <f>(M32*Process_Data!J32-(N32*P32+O32*R32))/(M32*Process_Data!J32)*100</f>
        <v>0.15993165799905765</v>
      </c>
      <c r="Z32" s="2" t="s">
        <v>399</v>
      </c>
    </row>
    <row r="33" spans="1:26" x14ac:dyDescent="0.3">
      <c r="A33" s="6">
        <v>32</v>
      </c>
      <c r="B33" s="7">
        <v>24.8</v>
      </c>
      <c r="C33" s="7">
        <v>89.6</v>
      </c>
      <c r="D33" s="7">
        <v>60.3</v>
      </c>
      <c r="E33" s="7">
        <v>39.299999999999997</v>
      </c>
      <c r="F33" s="7">
        <v>21.6</v>
      </c>
      <c r="G33" s="7">
        <v>78.099999999999994</v>
      </c>
      <c r="H33" s="7">
        <v>5.0999999999999996</v>
      </c>
      <c r="I33" s="7">
        <v>92.3</v>
      </c>
      <c r="J33" s="7">
        <v>58.9</v>
      </c>
      <c r="K33" s="7">
        <v>10</v>
      </c>
      <c r="L33" s="7">
        <v>91.5</v>
      </c>
      <c r="M33" s="3">
        <f>Process_Data!G33*Process_Data!H33/100</f>
        <v>230.26920000000001</v>
      </c>
      <c r="N33" s="7">
        <v>128.6</v>
      </c>
      <c r="O33" s="7">
        <v>101.3</v>
      </c>
      <c r="P33" s="7">
        <v>65.97</v>
      </c>
      <c r="Q33" s="7">
        <v>4.87</v>
      </c>
      <c r="R33" s="7">
        <v>9.61</v>
      </c>
      <c r="S33" s="7">
        <v>61.84</v>
      </c>
      <c r="T33" s="3">
        <f t="shared" si="0"/>
        <v>55.847677414087507</v>
      </c>
      <c r="U33" s="3">
        <f>N33*P33/(M33*Process_Data!J33)*100</f>
        <v>89.707116605974008</v>
      </c>
      <c r="V33" s="3">
        <f>O33*R33/(M33*Process_Data!J33)*100</f>
        <v>10.29371827503706</v>
      </c>
      <c r="W33" s="3">
        <f t="shared" si="1"/>
        <v>100.00083488101107</v>
      </c>
      <c r="X33" s="3">
        <f t="shared" si="2"/>
        <v>0.16033407854807974</v>
      </c>
      <c r="Y33" s="3">
        <f>(M33*Process_Data!J33-(N33*P33+O33*R33))/(M33*Process_Data!J33)*100</f>
        <v>-8.3488101107808939E-4</v>
      </c>
      <c r="Z33" s="3" t="s">
        <v>399</v>
      </c>
    </row>
    <row r="34" spans="1:26" x14ac:dyDescent="0.3">
      <c r="A34" s="4">
        <v>33</v>
      </c>
      <c r="B34" s="5">
        <v>25.6</v>
      </c>
      <c r="C34" s="5">
        <v>91.8</v>
      </c>
      <c r="D34" s="5">
        <v>61.5</v>
      </c>
      <c r="E34" s="5">
        <v>40.4</v>
      </c>
      <c r="F34" s="5">
        <v>18.899999999999999</v>
      </c>
      <c r="G34" s="5">
        <v>81.599999999999994</v>
      </c>
      <c r="H34" s="5">
        <v>4.8</v>
      </c>
      <c r="I34" s="5">
        <v>92.1</v>
      </c>
      <c r="J34" s="5">
        <v>59.8</v>
      </c>
      <c r="K34" s="5">
        <v>9.1</v>
      </c>
      <c r="L34" s="5">
        <v>69.8</v>
      </c>
      <c r="M34" s="2">
        <f>Process_Data!G34*Process_Data!H34/100</f>
        <v>213.23150000000001</v>
      </c>
      <c r="N34" s="5">
        <v>110</v>
      </c>
      <c r="O34" s="5">
        <v>103.6</v>
      </c>
      <c r="P34" s="5">
        <v>66.25</v>
      </c>
      <c r="Q34" s="5">
        <v>5.74</v>
      </c>
      <c r="R34" s="5">
        <v>12.32</v>
      </c>
      <c r="S34" s="5">
        <v>64.61</v>
      </c>
      <c r="T34" s="2">
        <f t="shared" ref="T34:T65" si="3">N34/M34*100</f>
        <v>51.587124791599734</v>
      </c>
      <c r="U34" s="2">
        <f>N34*P34/(M34*Process_Data!J34)*100</f>
        <v>85.206856580490708</v>
      </c>
      <c r="V34" s="2">
        <f>O34*R34/(M34*Process_Data!J34)*100</f>
        <v>14.923353936222636</v>
      </c>
      <c r="W34" s="2">
        <f t="shared" ref="W34:W65" si="4">U34+V34</f>
        <v>100.13021051671335</v>
      </c>
      <c r="X34" s="2">
        <f t="shared" ref="X34:X65" si="5">(M34-(N34+O34))/M34*100</f>
        <v>-0.17281686805185123</v>
      </c>
      <c r="Y34" s="2">
        <f>(M34*Process_Data!J34-(N34*P34+O34*R34))/(M34*Process_Data!J34)*100</f>
        <v>-0.13021051671333508</v>
      </c>
      <c r="Z34" s="2" t="s">
        <v>399</v>
      </c>
    </row>
    <row r="35" spans="1:26" x14ac:dyDescent="0.3">
      <c r="A35" s="6">
        <v>34</v>
      </c>
      <c r="B35" s="7">
        <v>22.4</v>
      </c>
      <c r="C35" s="7">
        <v>144</v>
      </c>
      <c r="D35" s="7">
        <v>63.8</v>
      </c>
      <c r="E35" s="7">
        <v>49.2</v>
      </c>
      <c r="F35" s="7">
        <v>22.7</v>
      </c>
      <c r="G35" s="7">
        <v>75.900000000000006</v>
      </c>
      <c r="H35" s="7">
        <v>6.2</v>
      </c>
      <c r="I35" s="7">
        <v>94.8</v>
      </c>
      <c r="J35" s="7">
        <v>62.2</v>
      </c>
      <c r="K35" s="7">
        <v>8.9</v>
      </c>
      <c r="L35" s="7">
        <v>72.8</v>
      </c>
      <c r="M35" s="3">
        <f>Process_Data!G35*Process_Data!H35/100</f>
        <v>199.215</v>
      </c>
      <c r="N35" s="7">
        <v>108.5</v>
      </c>
      <c r="O35" s="7">
        <v>90.7</v>
      </c>
      <c r="P35" s="7">
        <v>64.959999999999994</v>
      </c>
      <c r="Q35" s="7">
        <v>4.7</v>
      </c>
      <c r="R35" s="7">
        <v>9.77</v>
      </c>
      <c r="S35" s="7">
        <v>64.87</v>
      </c>
      <c r="T35" s="3">
        <f t="shared" si="3"/>
        <v>54.463770298421302</v>
      </c>
      <c r="U35" s="3">
        <f>N35*P35/(M35*Process_Data!J35)*100</f>
        <v>88.737560034749123</v>
      </c>
      <c r="V35" s="3">
        <f>O35*R35/(M35*Process_Data!J35)*100</f>
        <v>11.156644104508491</v>
      </c>
      <c r="W35" s="3">
        <f t="shared" si="4"/>
        <v>99.89420413925761</v>
      </c>
      <c r="X35" s="3">
        <f t="shared" si="5"/>
        <v>7.5295534974850172E-3</v>
      </c>
      <c r="Y35" s="3">
        <f>(M35*Process_Data!J35-(N35*P35+O35*R35))/(M35*Process_Data!J35)*100</f>
        <v>0.10579586074238809</v>
      </c>
      <c r="Z35" s="3" t="s">
        <v>399</v>
      </c>
    </row>
    <row r="36" spans="1:26" x14ac:dyDescent="0.3">
      <c r="A36" s="4">
        <v>35</v>
      </c>
      <c r="B36" s="5">
        <v>24.2</v>
      </c>
      <c r="C36" s="5">
        <v>145.1</v>
      </c>
      <c r="D36" s="5">
        <v>62.8</v>
      </c>
      <c r="E36" s="5">
        <v>50</v>
      </c>
      <c r="F36" s="5">
        <v>21.5</v>
      </c>
      <c r="G36" s="5">
        <v>77.3</v>
      </c>
      <c r="H36" s="5">
        <v>5.3</v>
      </c>
      <c r="I36" s="5">
        <v>93.4</v>
      </c>
      <c r="J36" s="5">
        <v>61.3</v>
      </c>
      <c r="K36" s="5">
        <v>10.4</v>
      </c>
      <c r="L36" s="5">
        <v>94.1</v>
      </c>
      <c r="M36" s="2">
        <f>Process_Data!G36*Process_Data!H36/100</f>
        <v>186.53899999999999</v>
      </c>
      <c r="N36" s="5">
        <v>101.4</v>
      </c>
      <c r="O36" s="5">
        <v>84.8</v>
      </c>
      <c r="P36" s="5">
        <v>66.040000000000006</v>
      </c>
      <c r="Q36" s="5">
        <v>5.21</v>
      </c>
      <c r="R36" s="5">
        <v>10.97</v>
      </c>
      <c r="S36" s="5">
        <v>65.16</v>
      </c>
      <c r="T36" s="2">
        <f t="shared" si="3"/>
        <v>54.358605975158014</v>
      </c>
      <c r="U36" s="2">
        <f>N36*P36/(M36*Process_Data!J36)*100</f>
        <v>87.664037572635792</v>
      </c>
      <c r="V36" s="2">
        <f>O36*R36/(M36*Process_Data!J36)*100</f>
        <v>12.178082994373423</v>
      </c>
      <c r="W36" s="2">
        <f t="shared" si="4"/>
        <v>99.842120567009218</v>
      </c>
      <c r="X36" s="2">
        <f t="shared" si="5"/>
        <v>0.1817314341773027</v>
      </c>
      <c r="Y36" s="2">
        <f>(M36*Process_Data!J36-(N36*P36+O36*R36))/(M36*Process_Data!J36)*100</f>
        <v>0.15787943299078061</v>
      </c>
      <c r="Z36" s="2" t="s">
        <v>399</v>
      </c>
    </row>
    <row r="37" spans="1:26" x14ac:dyDescent="0.3">
      <c r="A37" s="6">
        <v>36</v>
      </c>
      <c r="B37" s="7">
        <v>20.7</v>
      </c>
      <c r="C37" s="7">
        <v>103.4</v>
      </c>
      <c r="D37" s="7">
        <v>63.3</v>
      </c>
      <c r="E37" s="7">
        <v>49.2</v>
      </c>
      <c r="F37" s="7">
        <v>22.7</v>
      </c>
      <c r="G37" s="7">
        <v>81.900000000000006</v>
      </c>
      <c r="H37" s="7">
        <v>4.8</v>
      </c>
      <c r="I37" s="7">
        <v>90.6</v>
      </c>
      <c r="J37" s="7">
        <v>62</v>
      </c>
      <c r="K37" s="7">
        <v>10.5</v>
      </c>
      <c r="L37" s="7">
        <v>75.7</v>
      </c>
      <c r="M37" s="3">
        <f>Process_Data!G37*Process_Data!H37/100</f>
        <v>198.50129999999999</v>
      </c>
      <c r="N37" s="7">
        <v>104</v>
      </c>
      <c r="O37" s="7">
        <v>94</v>
      </c>
      <c r="P37" s="7">
        <v>65.72</v>
      </c>
      <c r="Q37" s="7">
        <v>5.37</v>
      </c>
      <c r="R37" s="7">
        <v>10.31</v>
      </c>
      <c r="S37" s="7">
        <v>61.24</v>
      </c>
      <c r="T37" s="3">
        <f t="shared" si="3"/>
        <v>52.392603977908458</v>
      </c>
      <c r="U37" s="3">
        <f>N37*P37/(M37*Process_Data!J37)*100</f>
        <v>87.347588367025466</v>
      </c>
      <c r="V37" s="3">
        <f>O37*R37/(M37*Process_Data!J37)*100</f>
        <v>12.385300369577676</v>
      </c>
      <c r="W37" s="3">
        <f t="shared" si="4"/>
        <v>99.732888736603144</v>
      </c>
      <c r="X37" s="3">
        <f t="shared" si="5"/>
        <v>0.25254242667427684</v>
      </c>
      <c r="Y37" s="3">
        <f>(M37*Process_Data!J37-(N37*P37+O37*R37))/(M37*Process_Data!J37)*100</f>
        <v>0.26711126339685393</v>
      </c>
      <c r="Z37" s="3" t="s">
        <v>399</v>
      </c>
    </row>
    <row r="38" spans="1:26" x14ac:dyDescent="0.3">
      <c r="A38" s="4">
        <v>37</v>
      </c>
      <c r="B38" s="5">
        <v>26.5</v>
      </c>
      <c r="C38" s="5">
        <v>88</v>
      </c>
      <c r="D38" s="5">
        <v>59.3</v>
      </c>
      <c r="E38" s="5">
        <v>43.1</v>
      </c>
      <c r="F38" s="5">
        <v>23.9</v>
      </c>
      <c r="G38" s="5">
        <v>80.900000000000006</v>
      </c>
      <c r="H38" s="5">
        <v>4.7</v>
      </c>
      <c r="I38" s="5">
        <v>90.9</v>
      </c>
      <c r="J38" s="5">
        <v>58.1</v>
      </c>
      <c r="K38" s="5">
        <v>9</v>
      </c>
      <c r="L38" s="5">
        <v>88.9</v>
      </c>
      <c r="M38" s="2">
        <f>Process_Data!G38*Process_Data!H38/100</f>
        <v>218.83680000000001</v>
      </c>
      <c r="N38" s="5">
        <v>102.8</v>
      </c>
      <c r="O38" s="5">
        <v>115.6</v>
      </c>
      <c r="P38" s="5">
        <v>66.41</v>
      </c>
      <c r="Q38" s="5">
        <v>5.97</v>
      </c>
      <c r="R38" s="5">
        <v>12.33</v>
      </c>
      <c r="S38" s="5">
        <v>64.59</v>
      </c>
      <c r="T38" s="2">
        <f t="shared" si="3"/>
        <v>46.975645778040985</v>
      </c>
      <c r="U38" s="2">
        <f>N38*P38/(M38*Process_Data!J38)*100</f>
        <v>82.683610816848713</v>
      </c>
      <c r="V38" s="2">
        <f>O38*R38/(M38*Process_Data!J38)*100</f>
        <v>17.262899806849809</v>
      </c>
      <c r="W38" s="2">
        <f t="shared" si="4"/>
        <v>99.946510623698515</v>
      </c>
      <c r="X38" s="2">
        <f t="shared" si="5"/>
        <v>0.19960079840320893</v>
      </c>
      <c r="Y38" s="2">
        <f>(M38*Process_Data!J38-(N38*P38+O38*R38))/(M38*Process_Data!J38)*100</f>
        <v>5.3489376301498921E-2</v>
      </c>
      <c r="Z38" s="2" t="s">
        <v>399</v>
      </c>
    </row>
    <row r="39" spans="1:26" x14ac:dyDescent="0.3">
      <c r="A39" s="6">
        <v>38</v>
      </c>
      <c r="B39" s="7">
        <v>24.7</v>
      </c>
      <c r="C39" s="7">
        <v>136</v>
      </c>
      <c r="D39" s="7">
        <v>60.1</v>
      </c>
      <c r="E39" s="7">
        <v>45.2</v>
      </c>
      <c r="F39" s="7">
        <v>23.7</v>
      </c>
      <c r="G39" s="7">
        <v>80.2</v>
      </c>
      <c r="H39" s="7">
        <v>6.3</v>
      </c>
      <c r="I39" s="7">
        <v>93.6</v>
      </c>
      <c r="J39" s="7">
        <v>59.2</v>
      </c>
      <c r="K39" s="7">
        <v>10.3</v>
      </c>
      <c r="L39" s="7">
        <v>87.7</v>
      </c>
      <c r="M39" s="3">
        <f>Process_Data!G39*Process_Data!H39/100</f>
        <v>203.24470000000002</v>
      </c>
      <c r="N39" s="7">
        <v>100.2</v>
      </c>
      <c r="O39" s="7">
        <v>103.2</v>
      </c>
      <c r="P39" s="7">
        <v>65.92</v>
      </c>
      <c r="Q39" s="7">
        <v>5.92</v>
      </c>
      <c r="R39" s="7">
        <v>11.94</v>
      </c>
      <c r="S39" s="7">
        <v>64.760000000000005</v>
      </c>
      <c r="T39" s="3">
        <f t="shared" si="3"/>
        <v>49.30017855324148</v>
      </c>
      <c r="U39" s="3">
        <f>N39*P39/(M39*Process_Data!J39)*100</f>
        <v>84.324539964444185</v>
      </c>
      <c r="V39" s="3">
        <f>O39*R39/(M39*Process_Data!J39)*100</f>
        <v>15.730882400930515</v>
      </c>
      <c r="W39" s="3">
        <f t="shared" si="4"/>
        <v>100.0554223653747</v>
      </c>
      <c r="X39" s="3">
        <f t="shared" si="5"/>
        <v>-7.6410356580015451E-2</v>
      </c>
      <c r="Y39" s="3">
        <f>(M39*Process_Data!J39-(N39*P39+O39*R39))/(M39*Process_Data!J39)*100</f>
        <v>-5.5422365374687366E-2</v>
      </c>
      <c r="Z39" s="3" t="s">
        <v>399</v>
      </c>
    </row>
    <row r="40" spans="1:26" x14ac:dyDescent="0.3">
      <c r="A40" s="4">
        <v>39</v>
      </c>
      <c r="B40" s="5">
        <v>20.100000000000001</v>
      </c>
      <c r="C40" s="5">
        <v>93</v>
      </c>
      <c r="D40" s="5">
        <v>61.7</v>
      </c>
      <c r="E40" s="5">
        <v>49.7</v>
      </c>
      <c r="F40" s="5">
        <v>24.3</v>
      </c>
      <c r="G40" s="5">
        <v>77.900000000000006</v>
      </c>
      <c r="H40" s="5">
        <v>5.8</v>
      </c>
      <c r="I40" s="5">
        <v>94.5</v>
      </c>
      <c r="J40" s="5">
        <v>60.9</v>
      </c>
      <c r="K40" s="5">
        <v>9</v>
      </c>
      <c r="L40" s="5">
        <v>81.900000000000006</v>
      </c>
      <c r="M40" s="2">
        <f>Process_Data!G40*Process_Data!H40/100</f>
        <v>205.41600000000003</v>
      </c>
      <c r="N40" s="5">
        <v>113.6</v>
      </c>
      <c r="O40" s="5">
        <v>91.7</v>
      </c>
      <c r="P40" s="5">
        <v>65.58</v>
      </c>
      <c r="Q40" s="5">
        <v>6.14</v>
      </c>
      <c r="R40" s="5">
        <v>10.7</v>
      </c>
      <c r="S40" s="5">
        <v>64.430000000000007</v>
      </c>
      <c r="T40" s="2">
        <f t="shared" si="3"/>
        <v>55.302410717762974</v>
      </c>
      <c r="U40" s="2">
        <f>N40*P40/(M40*Process_Data!J40)*100</f>
        <v>88.478460475015737</v>
      </c>
      <c r="V40" s="2">
        <f>O40*R40/(M40*Process_Data!J40)*100</f>
        <v>11.653085339468285</v>
      </c>
      <c r="W40" s="2">
        <f t="shared" si="4"/>
        <v>100.13154581448403</v>
      </c>
      <c r="X40" s="2">
        <f t="shared" si="5"/>
        <v>5.6470771507581619E-2</v>
      </c>
      <c r="Y40" s="2">
        <f>(M40*Process_Data!J40-(N40*P40+O40*R40))/(M40*Process_Data!J40)*100</f>
        <v>-0.13154581448403468</v>
      </c>
      <c r="Z40" s="2" t="s">
        <v>399</v>
      </c>
    </row>
    <row r="41" spans="1:26" x14ac:dyDescent="0.3">
      <c r="A41" s="6">
        <v>40</v>
      </c>
      <c r="B41" s="7">
        <v>27.8</v>
      </c>
      <c r="C41" s="7">
        <v>130</v>
      </c>
      <c r="D41" s="7">
        <v>58.8</v>
      </c>
      <c r="E41" s="7">
        <v>46.4</v>
      </c>
      <c r="F41" s="7">
        <v>18.2</v>
      </c>
      <c r="G41" s="7">
        <v>77.400000000000006</v>
      </c>
      <c r="H41" s="7">
        <v>5.0999999999999996</v>
      </c>
      <c r="I41" s="7">
        <v>94.4</v>
      </c>
      <c r="J41" s="7">
        <v>58.3</v>
      </c>
      <c r="K41" s="7">
        <v>10</v>
      </c>
      <c r="L41" s="7">
        <v>64.5</v>
      </c>
      <c r="M41" s="3">
        <f>Process_Data!G41*Process_Data!H41/100</f>
        <v>235.80180000000001</v>
      </c>
      <c r="N41" s="7">
        <v>116.5</v>
      </c>
      <c r="O41" s="7">
        <v>119.3</v>
      </c>
      <c r="P41" s="7">
        <v>65.05</v>
      </c>
      <c r="Q41" s="7">
        <v>6.2</v>
      </c>
      <c r="R41" s="7">
        <v>10.99</v>
      </c>
      <c r="S41" s="7">
        <v>63.16</v>
      </c>
      <c r="T41" s="3">
        <f t="shared" si="3"/>
        <v>49.405899361243208</v>
      </c>
      <c r="U41" s="3">
        <f>N41*P41/(M41*Process_Data!J41)*100</f>
        <v>85.090117909686796</v>
      </c>
      <c r="V41" s="3">
        <f>O41*R41/(M41*Process_Data!J41)*100</f>
        <v>14.721227873206248</v>
      </c>
      <c r="W41" s="3">
        <f t="shared" si="4"/>
        <v>99.811345782893042</v>
      </c>
      <c r="X41" s="3">
        <f t="shared" si="5"/>
        <v>7.6335295150542113E-4</v>
      </c>
      <c r="Y41" s="3">
        <f>(M41*Process_Data!J41-(N41*P41+O41*R41))/(M41*Process_Data!J41)*100</f>
        <v>0.18865421710693864</v>
      </c>
      <c r="Z41" s="3" t="s">
        <v>399</v>
      </c>
    </row>
    <row r="42" spans="1:26" x14ac:dyDescent="0.3">
      <c r="A42" s="4">
        <v>41</v>
      </c>
      <c r="B42" s="5">
        <v>23.2</v>
      </c>
      <c r="C42" s="5">
        <v>91.9</v>
      </c>
      <c r="D42" s="5">
        <v>63.9</v>
      </c>
      <c r="E42" s="5">
        <v>41.1</v>
      </c>
      <c r="F42" s="5">
        <v>26.9</v>
      </c>
      <c r="G42" s="5">
        <v>73.3</v>
      </c>
      <c r="H42" s="5">
        <v>4.9000000000000004</v>
      </c>
      <c r="I42" s="5">
        <v>93.6</v>
      </c>
      <c r="J42" s="5">
        <v>63.1</v>
      </c>
      <c r="K42" s="5">
        <v>9.5</v>
      </c>
      <c r="L42" s="5">
        <v>87.5</v>
      </c>
      <c r="M42" s="2">
        <f>Process_Data!G42*Process_Data!H42/100</f>
        <v>211.26600000000002</v>
      </c>
      <c r="N42" s="5">
        <v>106</v>
      </c>
      <c r="O42" s="5">
        <v>105.7</v>
      </c>
      <c r="P42" s="5">
        <v>65.45</v>
      </c>
      <c r="Q42" s="5">
        <v>6.15</v>
      </c>
      <c r="R42" s="5">
        <v>10.15</v>
      </c>
      <c r="S42" s="5">
        <v>66.08</v>
      </c>
      <c r="T42" s="2">
        <f t="shared" si="3"/>
        <v>50.173714653564694</v>
      </c>
      <c r="U42" s="2">
        <f>N42*P42/(M42*Process_Data!J42)*100</f>
        <v>86.805964157436151</v>
      </c>
      <c r="V42" s="2">
        <f>O42*R42/(M42*Process_Data!J42)*100</f>
        <v>13.423787808081375</v>
      </c>
      <c r="W42" s="2">
        <f t="shared" si="4"/>
        <v>100.22975196551752</v>
      </c>
      <c r="X42" s="2">
        <f t="shared" si="5"/>
        <v>-0.2054282279211842</v>
      </c>
      <c r="Y42" s="2">
        <f>(M42*Process_Data!J42-(N42*P42+O42*R42))/(M42*Process_Data!J42)*100</f>
        <v>-0.22975196551752822</v>
      </c>
      <c r="Z42" s="2" t="s">
        <v>399</v>
      </c>
    </row>
    <row r="43" spans="1:26" x14ac:dyDescent="0.3">
      <c r="A43" s="6">
        <v>42</v>
      </c>
      <c r="B43" s="7">
        <v>23.4</v>
      </c>
      <c r="C43" s="7">
        <v>86</v>
      </c>
      <c r="D43" s="7">
        <v>60.9</v>
      </c>
      <c r="E43" s="7">
        <v>36</v>
      </c>
      <c r="F43" s="7">
        <v>23.8</v>
      </c>
      <c r="G43" s="7">
        <v>75.8</v>
      </c>
      <c r="H43" s="7">
        <v>6.1</v>
      </c>
      <c r="I43" s="7">
        <v>92.2</v>
      </c>
      <c r="J43" s="7">
        <v>60.1</v>
      </c>
      <c r="K43" s="7">
        <v>8.8000000000000007</v>
      </c>
      <c r="L43" s="7">
        <v>44</v>
      </c>
      <c r="M43" s="3">
        <f>Process_Data!G43*Process_Data!H43/100</f>
        <v>233.5692</v>
      </c>
      <c r="N43" s="7">
        <v>123.9</v>
      </c>
      <c r="O43" s="7">
        <v>110.4</v>
      </c>
      <c r="P43" s="7">
        <v>65.28</v>
      </c>
      <c r="Q43" s="7">
        <v>5.32</v>
      </c>
      <c r="R43" s="7">
        <v>11.6</v>
      </c>
      <c r="S43" s="7">
        <v>62.04</v>
      </c>
      <c r="T43" s="3">
        <f t="shared" si="3"/>
        <v>53.046377690209155</v>
      </c>
      <c r="U43" s="3">
        <f>N43*P43/(M43*Process_Data!J43)*100</f>
        <v>86.571688390421357</v>
      </c>
      <c r="V43" s="3">
        <f>O43*R43/(M43*Process_Data!J43)*100</f>
        <v>13.707286748424021</v>
      </c>
      <c r="W43" s="3">
        <f t="shared" si="4"/>
        <v>100.27897513884538</v>
      </c>
      <c r="X43" s="3">
        <f t="shared" si="5"/>
        <v>-0.31288371925751185</v>
      </c>
      <c r="Y43" s="3">
        <f>(M43*Process_Data!J43-(N43*P43+O43*R43))/(M43*Process_Data!J43)*100</f>
        <v>-0.27897513884536473</v>
      </c>
      <c r="Z43" s="3" t="s">
        <v>399</v>
      </c>
    </row>
    <row r="44" spans="1:26" x14ac:dyDescent="0.3">
      <c r="A44" s="4">
        <v>43</v>
      </c>
      <c r="B44" s="5">
        <v>22.6</v>
      </c>
      <c r="C44" s="5">
        <v>111.4</v>
      </c>
      <c r="D44" s="5">
        <v>58.5</v>
      </c>
      <c r="E44" s="5">
        <v>40.299999999999997</v>
      </c>
      <c r="F44" s="5">
        <v>18.3</v>
      </c>
      <c r="G44" s="5">
        <v>74.2</v>
      </c>
      <c r="H44" s="5">
        <v>5.3</v>
      </c>
      <c r="I44" s="5">
        <v>93</v>
      </c>
      <c r="J44" s="5">
        <v>57.9</v>
      </c>
      <c r="K44" s="5">
        <v>10</v>
      </c>
      <c r="L44" s="5">
        <v>84</v>
      </c>
      <c r="M44" s="2">
        <f>Process_Data!G44*Process_Data!H44/100</f>
        <v>209.75080000000003</v>
      </c>
      <c r="N44" s="5">
        <v>112.8</v>
      </c>
      <c r="O44" s="5">
        <v>96.7</v>
      </c>
      <c r="P44" s="5">
        <v>64.900000000000006</v>
      </c>
      <c r="Q44" s="5">
        <v>4.78</v>
      </c>
      <c r="R44" s="5">
        <v>9.8699999999999992</v>
      </c>
      <c r="S44" s="5">
        <v>64.459999999999994</v>
      </c>
      <c r="T44" s="2">
        <f t="shared" si="3"/>
        <v>53.778102395795379</v>
      </c>
      <c r="U44" s="2">
        <f>N44*P44/(M44*Process_Data!J44)*100</f>
        <v>88.538783497897526</v>
      </c>
      <c r="V44" s="2">
        <f>O44*R44/(M44*Process_Data!J44)*100</f>
        <v>11.543124528067571</v>
      </c>
      <c r="W44" s="2">
        <f t="shared" si="4"/>
        <v>100.08190802596509</v>
      </c>
      <c r="X44" s="2">
        <f t="shared" si="5"/>
        <v>0.11957046170981303</v>
      </c>
      <c r="Y44" s="2">
        <f>(M44*Process_Data!J44-(N44*P44+O44*R44))/(M44*Process_Data!J44)*100</f>
        <v>-8.1908025965084716E-2</v>
      </c>
      <c r="Z44" s="2" t="s">
        <v>399</v>
      </c>
    </row>
    <row r="45" spans="1:26" x14ac:dyDescent="0.3">
      <c r="A45" s="6">
        <v>44</v>
      </c>
      <c r="B45" s="7">
        <v>26.5</v>
      </c>
      <c r="C45" s="7">
        <v>106.2</v>
      </c>
      <c r="D45" s="7">
        <v>61.9</v>
      </c>
      <c r="E45" s="7">
        <v>42.9</v>
      </c>
      <c r="F45" s="7">
        <v>25.3</v>
      </c>
      <c r="G45" s="7">
        <v>75.2</v>
      </c>
      <c r="H45" s="7">
        <v>4.5999999999999996</v>
      </c>
      <c r="I45" s="7">
        <v>90.1</v>
      </c>
      <c r="J45" s="7">
        <v>61.3</v>
      </c>
      <c r="K45" s="7">
        <v>10.4</v>
      </c>
      <c r="L45" s="7">
        <v>52.1</v>
      </c>
      <c r="M45" s="3">
        <f>Process_Data!G45*Process_Data!H45/100</f>
        <v>216.28740000000002</v>
      </c>
      <c r="N45" s="7">
        <v>113.7</v>
      </c>
      <c r="O45" s="7">
        <v>103</v>
      </c>
      <c r="P45" s="7">
        <v>66.45</v>
      </c>
      <c r="Q45" s="7">
        <v>5.07</v>
      </c>
      <c r="R45" s="7">
        <v>10.14</v>
      </c>
      <c r="S45" s="7">
        <v>65.53</v>
      </c>
      <c r="T45" s="3">
        <f t="shared" si="3"/>
        <v>52.568942989744194</v>
      </c>
      <c r="U45" s="3">
        <f>N45*P45/(M45*Process_Data!J45)*100</f>
        <v>88.056623687131378</v>
      </c>
      <c r="V45" s="3">
        <f>O45*R45/(M45*Process_Data!J45)*100</f>
        <v>12.172555384328057</v>
      </c>
      <c r="W45" s="3">
        <f t="shared" si="4"/>
        <v>100.22917907145944</v>
      </c>
      <c r="X45" s="3">
        <f t="shared" si="5"/>
        <v>-0.19076469549311204</v>
      </c>
      <c r="Y45" s="3">
        <f>(M45*Process_Data!J45-(N45*P45+O45*R45))/(M45*Process_Data!J45)*100</f>
        <v>-0.22917907145942551</v>
      </c>
      <c r="Z45" s="3" t="s">
        <v>399</v>
      </c>
    </row>
    <row r="46" spans="1:26" x14ac:dyDescent="0.3">
      <c r="A46" s="4">
        <v>45</v>
      </c>
      <c r="B46" s="5">
        <v>26.9</v>
      </c>
      <c r="C46" s="5">
        <v>128.19999999999999</v>
      </c>
      <c r="D46" s="5">
        <v>62.5</v>
      </c>
      <c r="E46" s="5">
        <v>41.4</v>
      </c>
      <c r="F46" s="5">
        <v>21.5</v>
      </c>
      <c r="G46" s="5">
        <v>73.400000000000006</v>
      </c>
      <c r="H46" s="5">
        <v>6.5</v>
      </c>
      <c r="I46" s="5">
        <v>95.1</v>
      </c>
      <c r="J46" s="5">
        <v>61.5</v>
      </c>
      <c r="K46" s="5">
        <v>9.8000000000000007</v>
      </c>
      <c r="L46" s="5">
        <v>64.099999999999994</v>
      </c>
      <c r="M46" s="2">
        <f>Process_Data!G46*Process_Data!H46/100</f>
        <v>219.01440000000002</v>
      </c>
      <c r="N46" s="5">
        <v>106.1</v>
      </c>
      <c r="O46" s="5">
        <v>112.9</v>
      </c>
      <c r="P46" s="5">
        <v>65.95</v>
      </c>
      <c r="Q46" s="5">
        <v>5.33</v>
      </c>
      <c r="R46" s="5">
        <v>12.56</v>
      </c>
      <c r="S46" s="5">
        <v>66.3</v>
      </c>
      <c r="T46" s="2">
        <f t="shared" si="3"/>
        <v>48.444303205633958</v>
      </c>
      <c r="U46" s="2">
        <f>N46*P46/(M46*Process_Data!J46)*100</f>
        <v>83.178906441331961</v>
      </c>
      <c r="V46" s="2">
        <f>O46*R46/(M46*Process_Data!J46)*100</f>
        <v>16.856468910852453</v>
      </c>
      <c r="W46" s="2">
        <f t="shared" si="4"/>
        <v>100.03537535218442</v>
      </c>
      <c r="X46" s="2">
        <f t="shared" si="5"/>
        <v>6.5749101429053436E-3</v>
      </c>
      <c r="Y46" s="2">
        <f>(M46*Process_Data!J46-(N46*P46+O46*R46))/(M46*Process_Data!J46)*100</f>
        <v>-3.5375352184398023E-2</v>
      </c>
      <c r="Z46" s="2" t="s">
        <v>399</v>
      </c>
    </row>
    <row r="47" spans="1:26" x14ac:dyDescent="0.3">
      <c r="A47" s="6">
        <v>46</v>
      </c>
      <c r="B47" s="7">
        <v>21.4</v>
      </c>
      <c r="C47" s="7">
        <v>138.4</v>
      </c>
      <c r="D47" s="7">
        <v>61</v>
      </c>
      <c r="E47" s="7">
        <v>38.700000000000003</v>
      </c>
      <c r="F47" s="7">
        <v>26.7</v>
      </c>
      <c r="G47" s="7">
        <v>76.2</v>
      </c>
      <c r="H47" s="7">
        <v>5.5</v>
      </c>
      <c r="I47" s="7">
        <v>93.2</v>
      </c>
      <c r="J47" s="7">
        <v>59.9</v>
      </c>
      <c r="K47" s="7">
        <v>9.1</v>
      </c>
      <c r="L47" s="7">
        <v>61.5</v>
      </c>
      <c r="M47" s="3">
        <f>Process_Data!G47*Process_Data!H47/100</f>
        <v>226.34700000000001</v>
      </c>
      <c r="N47" s="7">
        <v>110.2</v>
      </c>
      <c r="O47" s="7">
        <v>116.1</v>
      </c>
      <c r="P47" s="7">
        <v>66.44</v>
      </c>
      <c r="Q47" s="7">
        <v>4.9400000000000004</v>
      </c>
      <c r="R47" s="7">
        <v>11.8</v>
      </c>
      <c r="S47" s="7">
        <v>62.28</v>
      </c>
      <c r="T47" s="3">
        <f t="shared" si="3"/>
        <v>48.686309074120707</v>
      </c>
      <c r="U47" s="3">
        <f>N47*P47/(M47*Process_Data!J47)*100</f>
        <v>84.369284686608765</v>
      </c>
      <c r="V47" s="3">
        <f>O47*R47/(M47*Process_Data!J47)*100</f>
        <v>15.786555318249052</v>
      </c>
      <c r="W47" s="3">
        <f t="shared" si="4"/>
        <v>100.15584000485782</v>
      </c>
      <c r="X47" s="3">
        <f t="shared" si="5"/>
        <v>2.0764578280249812E-2</v>
      </c>
      <c r="Y47" s="3">
        <f>(M47*Process_Data!J47-(N47*P47+O47*R47))/(M47*Process_Data!J47)*100</f>
        <v>-0.15584000485780056</v>
      </c>
      <c r="Z47" s="3" t="s">
        <v>399</v>
      </c>
    </row>
    <row r="48" spans="1:26" x14ac:dyDescent="0.3">
      <c r="A48" s="4">
        <v>47</v>
      </c>
      <c r="B48" s="5">
        <v>21.3</v>
      </c>
      <c r="C48" s="5">
        <v>83.4</v>
      </c>
      <c r="D48" s="5">
        <v>58.2</v>
      </c>
      <c r="E48" s="5">
        <v>46</v>
      </c>
      <c r="F48" s="5">
        <v>24.6</v>
      </c>
      <c r="G48" s="5">
        <v>80.3</v>
      </c>
      <c r="H48" s="5">
        <v>6.2</v>
      </c>
      <c r="I48" s="5">
        <v>93.1</v>
      </c>
      <c r="J48" s="5">
        <v>57.1</v>
      </c>
      <c r="K48" s="5">
        <v>10.4</v>
      </c>
      <c r="L48" s="5">
        <v>51.3</v>
      </c>
      <c r="M48" s="2">
        <f>Process_Data!G48*Process_Data!H48/100</f>
        <v>229.87400000000002</v>
      </c>
      <c r="N48" s="5">
        <v>120.6</v>
      </c>
      <c r="O48" s="5">
        <v>109.5</v>
      </c>
      <c r="P48" s="5">
        <v>64.72</v>
      </c>
      <c r="Q48" s="5">
        <v>4.96</v>
      </c>
      <c r="R48" s="5">
        <v>9.6999999999999993</v>
      </c>
      <c r="S48" s="5">
        <v>63.72</v>
      </c>
      <c r="T48" s="2">
        <f t="shared" si="3"/>
        <v>52.463523495480125</v>
      </c>
      <c r="U48" s="2">
        <f>N48*P48/(M48*Process_Data!J48)*100</f>
        <v>88.330885552223563</v>
      </c>
      <c r="V48" s="2">
        <f>O48*R48/(M48*Process_Data!J48)*100</f>
        <v>12.020225675456444</v>
      </c>
      <c r="W48" s="2">
        <f t="shared" si="4"/>
        <v>100.35111122768001</v>
      </c>
      <c r="X48" s="2">
        <f t="shared" si="5"/>
        <v>-9.8314728938449156E-2</v>
      </c>
      <c r="Y48" s="2">
        <f>(M48*Process_Data!J48-(N48*P48+O48*R48))/(M48*Process_Data!J48)*100</f>
        <v>-0.35111122768001379</v>
      </c>
      <c r="Z48" s="2" t="s">
        <v>399</v>
      </c>
    </row>
    <row r="49" spans="1:26" x14ac:dyDescent="0.3">
      <c r="A49" s="6">
        <v>48</v>
      </c>
      <c r="B49" s="7">
        <v>26.9</v>
      </c>
      <c r="C49" s="7">
        <v>106.4</v>
      </c>
      <c r="D49" s="7">
        <v>61.1</v>
      </c>
      <c r="E49" s="7">
        <v>42.3</v>
      </c>
      <c r="F49" s="7">
        <v>24.7</v>
      </c>
      <c r="G49" s="7">
        <v>75.8</v>
      </c>
      <c r="H49" s="7">
        <v>4.5999999999999996</v>
      </c>
      <c r="I49" s="7">
        <v>93.9</v>
      </c>
      <c r="J49" s="7">
        <v>60.4</v>
      </c>
      <c r="K49" s="7">
        <v>9.1999999999999993</v>
      </c>
      <c r="L49" s="7">
        <v>77</v>
      </c>
      <c r="M49" s="3">
        <f>Process_Data!G49*Process_Data!H49/100</f>
        <v>192.40599999999998</v>
      </c>
      <c r="N49" s="7">
        <v>104</v>
      </c>
      <c r="O49" s="7">
        <v>88.7</v>
      </c>
      <c r="P49" s="7">
        <v>66.44</v>
      </c>
      <c r="Q49" s="7">
        <v>4.66</v>
      </c>
      <c r="R49" s="7">
        <v>11.85</v>
      </c>
      <c r="S49" s="7">
        <v>63.11</v>
      </c>
      <c r="T49" s="3">
        <f t="shared" si="3"/>
        <v>54.052368429258969</v>
      </c>
      <c r="U49" s="3">
        <f>N49*P49/(M49*Process_Data!J49)*100</f>
        <v>87.081458740057371</v>
      </c>
      <c r="V49" s="3">
        <f>O49*R49/(M49*Process_Data!J49)*100</f>
        <v>13.246608547095789</v>
      </c>
      <c r="W49" s="3">
        <f t="shared" si="4"/>
        <v>100.32806728715316</v>
      </c>
      <c r="X49" s="3">
        <f t="shared" si="5"/>
        <v>-0.15280188767502634</v>
      </c>
      <c r="Y49" s="3">
        <f>(M49*Process_Data!J49-(N49*P49+O49*R49))/(M49*Process_Data!J49)*100</f>
        <v>-0.32806728715316275</v>
      </c>
      <c r="Z49" s="3" t="s">
        <v>399</v>
      </c>
    </row>
    <row r="50" spans="1:26" x14ac:dyDescent="0.3">
      <c r="A50" s="4">
        <v>49</v>
      </c>
      <c r="B50" s="5">
        <v>21.7</v>
      </c>
      <c r="C50" s="5">
        <v>122.7</v>
      </c>
      <c r="D50" s="5">
        <v>60.4</v>
      </c>
      <c r="E50" s="5">
        <v>44.8</v>
      </c>
      <c r="F50" s="5">
        <v>19.100000000000001</v>
      </c>
      <c r="G50" s="5">
        <v>73.400000000000006</v>
      </c>
      <c r="H50" s="5">
        <v>6.5</v>
      </c>
      <c r="I50" s="5">
        <v>95.8</v>
      </c>
      <c r="J50" s="5">
        <v>59</v>
      </c>
      <c r="K50" s="5">
        <v>9.5</v>
      </c>
      <c r="L50" s="5">
        <v>87.9</v>
      </c>
      <c r="M50" s="2">
        <f>Process_Data!G50*Process_Data!H50/100</f>
        <v>229.12</v>
      </c>
      <c r="N50" s="5">
        <v>123.7</v>
      </c>
      <c r="O50" s="5">
        <v>105</v>
      </c>
      <c r="P50" s="5">
        <v>66.06</v>
      </c>
      <c r="Q50" s="5">
        <v>5.46</v>
      </c>
      <c r="R50" s="5">
        <v>12.08</v>
      </c>
      <c r="S50" s="5">
        <v>66.150000000000006</v>
      </c>
      <c r="T50" s="2">
        <f t="shared" si="3"/>
        <v>53.989175977653638</v>
      </c>
      <c r="U50" s="2">
        <f>N50*P50/(M50*Process_Data!J50)*100</f>
        <v>86.398376092146307</v>
      </c>
      <c r="V50" s="2">
        <f>O50*R50/(M50*Process_Data!J50)*100</f>
        <v>13.410764746004938</v>
      </c>
      <c r="W50" s="2">
        <f t="shared" si="4"/>
        <v>99.809140838151251</v>
      </c>
      <c r="X50" s="2">
        <f t="shared" si="5"/>
        <v>0.18331005586592872</v>
      </c>
      <c r="Y50" s="2">
        <f>(M50*Process_Data!J50-(N50*P50+O50*R50))/(M50*Process_Data!J50)*100</f>
        <v>0.19085916184876031</v>
      </c>
      <c r="Z50" s="2" t="s">
        <v>399</v>
      </c>
    </row>
    <row r="51" spans="1:26" x14ac:dyDescent="0.3">
      <c r="A51" s="6">
        <v>50</v>
      </c>
      <c r="B51" s="7">
        <v>25.6</v>
      </c>
      <c r="C51" s="7">
        <v>101.1</v>
      </c>
      <c r="D51" s="7">
        <v>60.7</v>
      </c>
      <c r="E51" s="7">
        <v>38.6</v>
      </c>
      <c r="F51" s="7">
        <v>21.7</v>
      </c>
      <c r="G51" s="7">
        <v>78.400000000000006</v>
      </c>
      <c r="H51" s="7">
        <v>4.5999999999999996</v>
      </c>
      <c r="I51" s="7">
        <v>93.7</v>
      </c>
      <c r="J51" s="7">
        <v>59.9</v>
      </c>
      <c r="K51" s="7">
        <v>9.9</v>
      </c>
      <c r="L51" s="7">
        <v>65.5</v>
      </c>
      <c r="M51" s="3">
        <f>Process_Data!G51*Process_Data!H51/100</f>
        <v>226.70079999999999</v>
      </c>
      <c r="N51" s="7">
        <v>122.5</v>
      </c>
      <c r="O51" s="7">
        <v>103.8</v>
      </c>
      <c r="P51" s="7">
        <v>65.260000000000005</v>
      </c>
      <c r="Q51" s="7">
        <v>5.97</v>
      </c>
      <c r="R51" s="7">
        <v>11.32</v>
      </c>
      <c r="S51" s="7">
        <v>63.35</v>
      </c>
      <c r="T51" s="3">
        <f t="shared" si="3"/>
        <v>54.035980464118353</v>
      </c>
      <c r="U51" s="3">
        <f>N51*P51/(M51*Process_Data!J51)*100</f>
        <v>86.963947844349292</v>
      </c>
      <c r="V51" s="3">
        <f>O51*R51/(M51*Process_Data!J51)*100</f>
        <v>12.78203107698261</v>
      </c>
      <c r="W51" s="3">
        <f t="shared" si="4"/>
        <v>99.745978921331897</v>
      </c>
      <c r="X51" s="3">
        <f t="shared" si="5"/>
        <v>0.17679690587769228</v>
      </c>
      <c r="Y51" s="3">
        <f>(M51*Process_Data!J51-(N51*P51+O51*R51))/(M51*Process_Data!J51)*100</f>
        <v>0.25402107866810003</v>
      </c>
      <c r="Z51" s="3" t="s">
        <v>399</v>
      </c>
    </row>
    <row r="52" spans="1:26" x14ac:dyDescent="0.3">
      <c r="A52" s="4">
        <v>51</v>
      </c>
      <c r="B52" s="5">
        <v>25.2</v>
      </c>
      <c r="C52" s="5">
        <v>141.80000000000001</v>
      </c>
      <c r="D52" s="5">
        <v>59.5</v>
      </c>
      <c r="E52" s="5">
        <v>48.9</v>
      </c>
      <c r="F52" s="5">
        <v>18.600000000000001</v>
      </c>
      <c r="G52" s="5">
        <v>73.900000000000006</v>
      </c>
      <c r="H52" s="5">
        <v>5.2</v>
      </c>
      <c r="I52" s="5">
        <v>92.4</v>
      </c>
      <c r="J52" s="5">
        <v>57.7</v>
      </c>
      <c r="K52" s="5">
        <v>9.3000000000000007</v>
      </c>
      <c r="L52" s="5">
        <v>55.7</v>
      </c>
      <c r="M52" s="2">
        <f>Process_Data!G52*Process_Data!H52/100</f>
        <v>202.59719999999999</v>
      </c>
      <c r="N52" s="5">
        <v>107.3</v>
      </c>
      <c r="O52" s="5">
        <v>95.5</v>
      </c>
      <c r="P52" s="5">
        <v>65.11</v>
      </c>
      <c r="Q52" s="5">
        <v>5.87</v>
      </c>
      <c r="R52" s="5">
        <v>11.39</v>
      </c>
      <c r="S52" s="5">
        <v>62.18</v>
      </c>
      <c r="T52" s="2">
        <f t="shared" si="3"/>
        <v>52.962232449411943</v>
      </c>
      <c r="U52" s="2">
        <f>N52*P52/(M52*Process_Data!J52)*100</f>
        <v>86.5989692310701</v>
      </c>
      <c r="V52" s="2">
        <f>O52*R52/(M52*Process_Data!J52)*100</f>
        <v>13.483182133132555</v>
      </c>
      <c r="W52" s="2">
        <f t="shared" si="4"/>
        <v>100.08215136420266</v>
      </c>
      <c r="X52" s="2">
        <f t="shared" si="5"/>
        <v>-0.1001001001001123</v>
      </c>
      <c r="Y52" s="2">
        <f>(M52*Process_Data!J52-(N52*P52+O52*R52))/(M52*Process_Data!J52)*100</f>
        <v>-8.2151364202647056E-2</v>
      </c>
      <c r="Z52" s="2" t="s">
        <v>399</v>
      </c>
    </row>
    <row r="53" spans="1:26" x14ac:dyDescent="0.3">
      <c r="A53" s="6">
        <v>52</v>
      </c>
      <c r="B53" s="7">
        <v>23.9</v>
      </c>
      <c r="C53" s="7">
        <v>134.5</v>
      </c>
      <c r="D53" s="7">
        <v>61.3</v>
      </c>
      <c r="E53" s="7">
        <v>35.700000000000003</v>
      </c>
      <c r="F53" s="7">
        <v>24.3</v>
      </c>
      <c r="G53" s="7">
        <v>80.400000000000006</v>
      </c>
      <c r="H53" s="7">
        <v>5.7</v>
      </c>
      <c r="I53" s="7">
        <v>95.2</v>
      </c>
      <c r="J53" s="7">
        <v>59.6</v>
      </c>
      <c r="K53" s="7">
        <v>9.1999999999999993</v>
      </c>
      <c r="L53" s="7">
        <v>51.7</v>
      </c>
      <c r="M53" s="3">
        <f>Process_Data!G53*Process_Data!H53/100</f>
        <v>198.45059999999998</v>
      </c>
      <c r="N53" s="7">
        <v>94.9</v>
      </c>
      <c r="O53" s="7">
        <v>103</v>
      </c>
      <c r="P53" s="7">
        <v>65.72</v>
      </c>
      <c r="Q53" s="7">
        <v>5.2</v>
      </c>
      <c r="R53" s="7">
        <v>12.44</v>
      </c>
      <c r="S53" s="7">
        <v>66.3</v>
      </c>
      <c r="T53" s="3">
        <f t="shared" si="3"/>
        <v>47.820465143466443</v>
      </c>
      <c r="U53" s="3">
        <f>N53*P53/(M53*Process_Data!J53)*100</f>
        <v>82.72600603391983</v>
      </c>
      <c r="V53" s="3">
        <f>O53*R53/(M53*Process_Data!J53)*100</f>
        <v>16.995576285153632</v>
      </c>
      <c r="W53" s="3">
        <f t="shared" si="4"/>
        <v>99.721582319073462</v>
      </c>
      <c r="X53" s="3">
        <f t="shared" si="5"/>
        <v>0.27744940050570494</v>
      </c>
      <c r="Y53" s="3">
        <f>(M53*Process_Data!J53-(N53*P53+O53*R53))/(M53*Process_Data!J53)*100</f>
        <v>0.27841768092653679</v>
      </c>
      <c r="Z53" s="3" t="s">
        <v>399</v>
      </c>
    </row>
    <row r="54" spans="1:26" x14ac:dyDescent="0.3">
      <c r="A54" s="4">
        <v>53</v>
      </c>
      <c r="B54" s="5">
        <v>21.7</v>
      </c>
      <c r="C54" s="5">
        <v>77.7</v>
      </c>
      <c r="D54" s="5">
        <v>58.1</v>
      </c>
      <c r="E54" s="5">
        <v>44.6</v>
      </c>
      <c r="F54" s="5">
        <v>24.1</v>
      </c>
      <c r="G54" s="5">
        <v>76.5</v>
      </c>
      <c r="H54" s="5">
        <v>5</v>
      </c>
      <c r="I54" s="5">
        <v>93.2</v>
      </c>
      <c r="J54" s="5">
        <v>56.9</v>
      </c>
      <c r="K54" s="5">
        <v>9.6999999999999993</v>
      </c>
      <c r="L54" s="5">
        <v>94.3</v>
      </c>
      <c r="M54" s="2">
        <f>Process_Data!G54*Process_Data!H54/100</f>
        <v>216.29800000000003</v>
      </c>
      <c r="N54" s="5">
        <v>120.3</v>
      </c>
      <c r="O54" s="5">
        <v>96.6</v>
      </c>
      <c r="P54" s="5">
        <v>64.77</v>
      </c>
      <c r="Q54" s="5">
        <v>5.68</v>
      </c>
      <c r="R54" s="5">
        <v>10.92</v>
      </c>
      <c r="S54" s="5">
        <v>63</v>
      </c>
      <c r="T54" s="2">
        <f t="shared" si="3"/>
        <v>55.617712600208961</v>
      </c>
      <c r="U54" s="2">
        <f>N54*P54/(M54*Process_Data!J54)*100</f>
        <v>88.314764528451448</v>
      </c>
      <c r="V54" s="2">
        <f>O54*R54/(M54*Process_Data!J54)*100</f>
        <v>11.956210586145493</v>
      </c>
      <c r="W54" s="2">
        <f t="shared" si="4"/>
        <v>100.27097511459694</v>
      </c>
      <c r="X54" s="2">
        <f t="shared" si="5"/>
        <v>-0.27831972556378093</v>
      </c>
      <c r="Y54" s="2">
        <f>(M54*Process_Data!J54-(N54*P54+O54*R54))/(M54*Process_Data!J54)*100</f>
        <v>-0.2709751145969464</v>
      </c>
      <c r="Z54" s="2" t="s">
        <v>399</v>
      </c>
    </row>
    <row r="55" spans="1:26" x14ac:dyDescent="0.3">
      <c r="A55" s="6">
        <v>54</v>
      </c>
      <c r="B55" s="7">
        <v>22.8</v>
      </c>
      <c r="C55" s="7">
        <v>75.599999999999994</v>
      </c>
      <c r="D55" s="7">
        <v>61.1</v>
      </c>
      <c r="E55" s="7">
        <v>36</v>
      </c>
      <c r="F55" s="7">
        <v>26</v>
      </c>
      <c r="G55" s="7">
        <v>80.900000000000006</v>
      </c>
      <c r="H55" s="7">
        <v>5.6</v>
      </c>
      <c r="I55" s="7">
        <v>93.6</v>
      </c>
      <c r="J55" s="7">
        <v>60.3</v>
      </c>
      <c r="K55" s="7">
        <v>9.8000000000000007</v>
      </c>
      <c r="L55" s="7">
        <v>57.8</v>
      </c>
      <c r="M55" s="3">
        <f>Process_Data!G55*Process_Data!H55/100</f>
        <v>221.32139999999998</v>
      </c>
      <c r="N55" s="7">
        <v>105.7</v>
      </c>
      <c r="O55" s="7">
        <v>115.7</v>
      </c>
      <c r="P55" s="7">
        <v>65.17</v>
      </c>
      <c r="Q55" s="7">
        <v>5.64</v>
      </c>
      <c r="R55" s="7">
        <v>12.98</v>
      </c>
      <c r="S55" s="7">
        <v>64.63</v>
      </c>
      <c r="T55" s="3">
        <f t="shared" si="3"/>
        <v>47.758599032899667</v>
      </c>
      <c r="U55" s="3">
        <f>N55*P55/(M55*Process_Data!J55)*100</f>
        <v>82.078794804168552</v>
      </c>
      <c r="V55" s="3">
        <f>O55*R55/(M55*Process_Data!J55)*100</f>
        <v>17.894365922786772</v>
      </c>
      <c r="W55" s="3">
        <f t="shared" si="4"/>
        <v>99.973160726955328</v>
      </c>
      <c r="X55" s="3">
        <f t="shared" si="5"/>
        <v>-3.5513962951627308E-2</v>
      </c>
      <c r="Y55" s="3">
        <f>(M55*Process_Data!J55-(N55*P55+O55*R55))/(M55*Process_Data!J55)*100</f>
        <v>2.6839273044664887E-2</v>
      </c>
      <c r="Z55" s="3" t="s">
        <v>399</v>
      </c>
    </row>
    <row r="56" spans="1:26" x14ac:dyDescent="0.3">
      <c r="A56" s="4">
        <v>55</v>
      </c>
      <c r="B56" s="5">
        <v>25.3</v>
      </c>
      <c r="C56" s="5">
        <v>133.6</v>
      </c>
      <c r="D56" s="5">
        <v>63.6</v>
      </c>
      <c r="E56" s="5">
        <v>38.5</v>
      </c>
      <c r="F56" s="5">
        <v>22</v>
      </c>
      <c r="G56" s="5">
        <v>81.3</v>
      </c>
      <c r="H56" s="5">
        <v>6.5</v>
      </c>
      <c r="I56" s="5">
        <v>92.8</v>
      </c>
      <c r="J56" s="5">
        <v>62.9</v>
      </c>
      <c r="K56" s="5">
        <v>10.3</v>
      </c>
      <c r="L56" s="5">
        <v>68.7</v>
      </c>
      <c r="M56" s="2">
        <f>Process_Data!G56*Process_Data!H56/100</f>
        <v>197.19149999999999</v>
      </c>
      <c r="N56" s="5">
        <v>101.7</v>
      </c>
      <c r="O56" s="5">
        <v>95.8</v>
      </c>
      <c r="P56" s="5">
        <v>65.75</v>
      </c>
      <c r="Q56" s="5">
        <v>4.6500000000000004</v>
      </c>
      <c r="R56" s="5">
        <v>12.14</v>
      </c>
      <c r="S56" s="5">
        <v>60.89</v>
      </c>
      <c r="T56" s="2">
        <f t="shared" si="3"/>
        <v>51.574231140794616</v>
      </c>
      <c r="U56" s="2">
        <f>N56*P56/(M56*Process_Data!J56)*100</f>
        <v>85.308319434144551</v>
      </c>
      <c r="V56" s="2">
        <f>O56*R56/(M56*Process_Data!J56)*100</f>
        <v>14.837436462531386</v>
      </c>
      <c r="W56" s="2">
        <f t="shared" si="4"/>
        <v>100.14575589667594</v>
      </c>
      <c r="X56" s="2">
        <f t="shared" si="5"/>
        <v>-0.15644690567291661</v>
      </c>
      <c r="Y56" s="2">
        <f>(M56*Process_Data!J56-(N56*P56+O56*R56))/(M56*Process_Data!J56)*100</f>
        <v>-0.14575589667593486</v>
      </c>
      <c r="Z56" s="2" t="s">
        <v>399</v>
      </c>
    </row>
    <row r="57" spans="1:26" x14ac:dyDescent="0.3">
      <c r="A57" s="6">
        <v>56</v>
      </c>
      <c r="B57" s="7">
        <v>24.1</v>
      </c>
      <c r="C57" s="7">
        <v>143.6</v>
      </c>
      <c r="D57" s="7">
        <v>61</v>
      </c>
      <c r="E57" s="7">
        <v>49.9</v>
      </c>
      <c r="F57" s="7">
        <v>26.5</v>
      </c>
      <c r="G57" s="7">
        <v>74</v>
      </c>
      <c r="H57" s="7">
        <v>6.4</v>
      </c>
      <c r="I57" s="7">
        <v>94.7</v>
      </c>
      <c r="J57" s="7">
        <v>60.2</v>
      </c>
      <c r="K57" s="7">
        <v>9.5</v>
      </c>
      <c r="L57" s="7">
        <v>88.3</v>
      </c>
      <c r="M57" s="3">
        <f>Process_Data!G57*Process_Data!H57/100</f>
        <v>206.75620000000004</v>
      </c>
      <c r="N57" s="7">
        <v>100.9</v>
      </c>
      <c r="O57" s="7">
        <v>105.2</v>
      </c>
      <c r="P57" s="7">
        <v>66.239999999999995</v>
      </c>
      <c r="Q57" s="7">
        <v>5.87</v>
      </c>
      <c r="R57" s="7">
        <v>12.27</v>
      </c>
      <c r="S57" s="7">
        <v>62.13</v>
      </c>
      <c r="T57" s="3">
        <f t="shared" si="3"/>
        <v>48.801438602566691</v>
      </c>
      <c r="U57" s="3">
        <f>N57*P57/(M57*Process_Data!J57)*100</f>
        <v>83.508325833996821</v>
      </c>
      <c r="V57" s="3">
        <f>O57*R57/(M57*Process_Data!J57)*100</f>
        <v>16.127928507536406</v>
      </c>
      <c r="W57" s="3">
        <f t="shared" si="4"/>
        <v>99.636254341533231</v>
      </c>
      <c r="X57" s="3">
        <f t="shared" si="5"/>
        <v>0.31737863241828418</v>
      </c>
      <c r="Y57" s="3">
        <f>(M57*Process_Data!J57-(N57*P57+O57*R57))/(M57*Process_Data!J57)*100</f>
        <v>0.36374565846676887</v>
      </c>
      <c r="Z57" s="3" t="s">
        <v>399</v>
      </c>
    </row>
    <row r="58" spans="1:26" x14ac:dyDescent="0.3">
      <c r="A58" s="4">
        <v>57</v>
      </c>
      <c r="B58" s="5">
        <v>21.4</v>
      </c>
      <c r="C58" s="5">
        <v>110.2</v>
      </c>
      <c r="D58" s="5">
        <v>60.4</v>
      </c>
      <c r="E58" s="5">
        <v>37.200000000000003</v>
      </c>
      <c r="F58" s="5">
        <v>21.7</v>
      </c>
      <c r="G58" s="5">
        <v>74.2</v>
      </c>
      <c r="H58" s="5">
        <v>4.5999999999999996</v>
      </c>
      <c r="I58" s="5">
        <v>95.7</v>
      </c>
      <c r="J58" s="5">
        <v>59.8</v>
      </c>
      <c r="K58" s="5">
        <v>9.8000000000000007</v>
      </c>
      <c r="L58" s="5">
        <v>93.1</v>
      </c>
      <c r="M58" s="2">
        <f>Process_Data!G58*Process_Data!H58/100</f>
        <v>200.98260000000002</v>
      </c>
      <c r="N58" s="5">
        <v>102.3</v>
      </c>
      <c r="O58" s="5">
        <v>98.6</v>
      </c>
      <c r="P58" s="5">
        <v>65.36</v>
      </c>
      <c r="Q58" s="5">
        <v>5.03</v>
      </c>
      <c r="R58" s="5">
        <v>11.27</v>
      </c>
      <c r="S58" s="5">
        <v>63.08</v>
      </c>
      <c r="T58" s="2">
        <f t="shared" si="3"/>
        <v>50.899928650539891</v>
      </c>
      <c r="U58" s="2">
        <f>N58*P58/(M58*Process_Data!J58)*100</f>
        <v>85.566340961915827</v>
      </c>
      <c r="V58" s="2">
        <f>O58*R58/(M58*Process_Data!J58)*100</f>
        <v>14.220540861349013</v>
      </c>
      <c r="W58" s="2">
        <f t="shared" si="4"/>
        <v>99.786881823264835</v>
      </c>
      <c r="X58" s="2">
        <f t="shared" si="5"/>
        <v>4.1098085107885936E-2</v>
      </c>
      <c r="Y58" s="2">
        <f>(M58*Process_Data!J58-(N58*P58+O58*R58))/(M58*Process_Data!J58)*100</f>
        <v>0.21311817673517106</v>
      </c>
      <c r="Z58" s="2" t="s">
        <v>399</v>
      </c>
    </row>
    <row r="59" spans="1:26" x14ac:dyDescent="0.3">
      <c r="A59" s="6">
        <v>58</v>
      </c>
      <c r="B59" s="7">
        <v>21.9</v>
      </c>
      <c r="C59" s="7">
        <v>81.400000000000006</v>
      </c>
      <c r="D59" s="7">
        <v>58.7</v>
      </c>
      <c r="E59" s="7">
        <v>39.5</v>
      </c>
      <c r="F59" s="7">
        <v>19</v>
      </c>
      <c r="G59" s="7">
        <v>77.599999999999994</v>
      </c>
      <c r="H59" s="7">
        <v>4.5999999999999996</v>
      </c>
      <c r="I59" s="7">
        <v>96</v>
      </c>
      <c r="J59" s="7">
        <v>57.3</v>
      </c>
      <c r="K59" s="7">
        <v>10.3</v>
      </c>
      <c r="L59" s="7">
        <v>73.8</v>
      </c>
      <c r="M59" s="3">
        <f>Process_Data!G59*Process_Data!H59/100</f>
        <v>201.17879999999997</v>
      </c>
      <c r="N59" s="7">
        <v>107.2</v>
      </c>
      <c r="O59" s="7">
        <v>93.8</v>
      </c>
      <c r="P59" s="7">
        <v>65.11</v>
      </c>
      <c r="Q59" s="7">
        <v>5.56</v>
      </c>
      <c r="R59" s="7">
        <v>11.34</v>
      </c>
      <c r="S59" s="7">
        <v>62.98</v>
      </c>
      <c r="T59" s="3">
        <f t="shared" si="3"/>
        <v>53.285932712591986</v>
      </c>
      <c r="U59" s="3">
        <f>N59*P59/(M59*Process_Data!J59)*100</f>
        <v>86.519877279722309</v>
      </c>
      <c r="V59" s="3">
        <f>O59*R59/(M59*Process_Data!J59)*100</f>
        <v>13.185278487299104</v>
      </c>
      <c r="W59" s="3">
        <f t="shared" si="4"/>
        <v>99.705155767021409</v>
      </c>
      <c r="X59" s="3">
        <f t="shared" si="5"/>
        <v>8.887616389001575E-2</v>
      </c>
      <c r="Y59" s="3">
        <f>(M59*Process_Data!J59-(N59*P59+O59*R59))/(M59*Process_Data!J59)*100</f>
        <v>0.29484423297858658</v>
      </c>
      <c r="Z59" s="3" t="s">
        <v>399</v>
      </c>
    </row>
    <row r="60" spans="1:26" x14ac:dyDescent="0.3">
      <c r="A60" s="4">
        <v>59</v>
      </c>
      <c r="B60" s="5">
        <v>26.1</v>
      </c>
      <c r="C60" s="5">
        <v>81</v>
      </c>
      <c r="D60" s="5">
        <v>61.2</v>
      </c>
      <c r="E60" s="5">
        <v>38.200000000000003</v>
      </c>
      <c r="F60" s="5">
        <v>18.100000000000001</v>
      </c>
      <c r="G60" s="5">
        <v>80.2</v>
      </c>
      <c r="H60" s="5">
        <v>6.5</v>
      </c>
      <c r="I60" s="5">
        <v>95.7</v>
      </c>
      <c r="J60" s="5">
        <v>60.4</v>
      </c>
      <c r="K60" s="5">
        <v>9.6999999999999993</v>
      </c>
      <c r="L60" s="5">
        <v>46</v>
      </c>
      <c r="M60" s="2">
        <f>Process_Data!G60*Process_Data!H60/100</f>
        <v>200.19649999999999</v>
      </c>
      <c r="N60" s="5">
        <v>99.8</v>
      </c>
      <c r="O60" s="5">
        <v>99.9</v>
      </c>
      <c r="P60" s="5">
        <v>65.599999999999994</v>
      </c>
      <c r="Q60" s="5">
        <v>5.27</v>
      </c>
      <c r="R60" s="5">
        <v>12.46</v>
      </c>
      <c r="S60" s="5">
        <v>60.69</v>
      </c>
      <c r="T60" s="2">
        <f t="shared" si="3"/>
        <v>49.851021371502505</v>
      </c>
      <c r="U60" s="2">
        <f>N60*P60/(M60*Process_Data!J60)*100</f>
        <v>83.916525583027038</v>
      </c>
      <c r="V60" s="2">
        <f>O60*R60/(M60*Process_Data!J60)*100</f>
        <v>15.95499396438842</v>
      </c>
      <c r="W60" s="2">
        <f t="shared" si="4"/>
        <v>99.87151954741546</v>
      </c>
      <c r="X60" s="2">
        <f t="shared" si="5"/>
        <v>0.2480063337770628</v>
      </c>
      <c r="Y60" s="2">
        <f>(M60*Process_Data!J60-(N60*P60+O60*R60))/(M60*Process_Data!J60)*100</f>
        <v>0.12848045258454169</v>
      </c>
      <c r="Z60" s="2" t="s">
        <v>399</v>
      </c>
    </row>
    <row r="61" spans="1:26" x14ac:dyDescent="0.3">
      <c r="A61" s="6">
        <v>60</v>
      </c>
      <c r="B61" s="7">
        <v>23.5</v>
      </c>
      <c r="C61" s="7">
        <v>90.4</v>
      </c>
      <c r="D61" s="7">
        <v>63</v>
      </c>
      <c r="E61" s="7">
        <v>35.6</v>
      </c>
      <c r="F61" s="7">
        <v>27</v>
      </c>
      <c r="G61" s="7">
        <v>78.900000000000006</v>
      </c>
      <c r="H61" s="7">
        <v>5.8</v>
      </c>
      <c r="I61" s="7">
        <v>95.3</v>
      </c>
      <c r="J61" s="7">
        <v>61.9</v>
      </c>
      <c r="K61" s="7">
        <v>9.9</v>
      </c>
      <c r="L61" s="7">
        <v>73.8</v>
      </c>
      <c r="M61" s="3">
        <f>Process_Data!G61*Process_Data!H61/100</f>
        <v>209.04660000000001</v>
      </c>
      <c r="N61" s="7">
        <v>112.5</v>
      </c>
      <c r="O61" s="7">
        <v>96.8</v>
      </c>
      <c r="P61" s="7">
        <v>64.63</v>
      </c>
      <c r="Q61" s="7">
        <v>5.38</v>
      </c>
      <c r="R61" s="7">
        <v>10.029999999999999</v>
      </c>
      <c r="S61" s="7">
        <v>65.16</v>
      </c>
      <c r="T61" s="3">
        <f t="shared" si="3"/>
        <v>53.815752085898552</v>
      </c>
      <c r="U61" s="3">
        <f>N61*P61/(M61*Process_Data!J61)*100</f>
        <v>88.276955769330527</v>
      </c>
      <c r="V61" s="3">
        <f>O61*R61/(M61*Process_Data!J61)*100</f>
        <v>11.787914035692552</v>
      </c>
      <c r="W61" s="3">
        <f t="shared" si="4"/>
        <v>100.06486980502308</v>
      </c>
      <c r="X61" s="3">
        <f t="shared" si="5"/>
        <v>-0.12121699180948133</v>
      </c>
      <c r="Y61" s="3">
        <f>(M61*Process_Data!J61-(N61*P61+O61*R61))/(M61*Process_Data!J61)*100</f>
        <v>-6.4869805023073171E-2</v>
      </c>
      <c r="Z61" s="3" t="s">
        <v>399</v>
      </c>
    </row>
    <row r="62" spans="1:26" x14ac:dyDescent="0.3">
      <c r="A62" s="4">
        <v>61</v>
      </c>
      <c r="B62" s="5">
        <v>29.6</v>
      </c>
      <c r="C62" s="5">
        <v>242.2</v>
      </c>
      <c r="D62" s="5">
        <v>52.7</v>
      </c>
      <c r="E62" s="5">
        <v>46.5</v>
      </c>
      <c r="F62" s="5">
        <v>34.6</v>
      </c>
      <c r="G62" s="5">
        <v>68.2</v>
      </c>
      <c r="H62" s="5">
        <v>5</v>
      </c>
      <c r="I62" s="5">
        <v>80.7</v>
      </c>
      <c r="J62" s="5">
        <v>51.2</v>
      </c>
      <c r="K62" s="5">
        <v>12.4</v>
      </c>
      <c r="L62" s="5">
        <v>107.7</v>
      </c>
      <c r="M62" s="2">
        <f>Process_Data!G62*Process_Data!H62/100</f>
        <v>179.9496</v>
      </c>
      <c r="N62" s="5">
        <v>90</v>
      </c>
      <c r="O62" s="5">
        <v>89.6</v>
      </c>
      <c r="P62" s="5">
        <v>63.81</v>
      </c>
      <c r="Q62" s="5">
        <v>7.75</v>
      </c>
      <c r="R62" s="5">
        <v>16.72</v>
      </c>
      <c r="S62" s="5">
        <v>57.23</v>
      </c>
      <c r="T62" s="2">
        <f t="shared" si="3"/>
        <v>50.014003921097903</v>
      </c>
      <c r="U62" s="2">
        <f>N62*P62/(M62*Process_Data!J62)*100</f>
        <v>79.053594010534013</v>
      </c>
      <c r="V62" s="2">
        <f>O62*R62/(M62*Process_Data!J62)*100</f>
        <v>20.622183536246339</v>
      </c>
      <c r="W62" s="2">
        <f t="shared" si="4"/>
        <v>99.675777546780353</v>
      </c>
      <c r="X62" s="2">
        <f t="shared" si="5"/>
        <v>0.19427661967573667</v>
      </c>
      <c r="Y62" s="2">
        <f>(M62*Process_Data!J62-(N62*P62+O62*R62))/(M62*Process_Data!J62)*100</f>
        <v>0.32422245321964854</v>
      </c>
      <c r="Z62" s="2" t="s">
        <v>400</v>
      </c>
    </row>
    <row r="63" spans="1:26" x14ac:dyDescent="0.3">
      <c r="A63" s="6">
        <v>62</v>
      </c>
      <c r="B63" s="7">
        <v>29.6</v>
      </c>
      <c r="C63" s="7">
        <v>235.4</v>
      </c>
      <c r="D63" s="7">
        <v>53.4</v>
      </c>
      <c r="E63" s="7">
        <v>58.9</v>
      </c>
      <c r="F63" s="7">
        <v>30.2</v>
      </c>
      <c r="G63" s="7">
        <v>71.5</v>
      </c>
      <c r="H63" s="7">
        <v>5.4</v>
      </c>
      <c r="I63" s="7">
        <v>84.9</v>
      </c>
      <c r="J63" s="7">
        <v>52.4</v>
      </c>
      <c r="K63" s="7">
        <v>12.4</v>
      </c>
      <c r="L63" s="7">
        <v>104.4</v>
      </c>
      <c r="M63" s="3">
        <f>Process_Data!G63*Process_Data!H63/100</f>
        <v>227.0943</v>
      </c>
      <c r="N63" s="7">
        <v>107</v>
      </c>
      <c r="O63" s="7">
        <v>120.2</v>
      </c>
      <c r="P63" s="7">
        <v>62.71</v>
      </c>
      <c r="Q63" s="7">
        <v>6.89</v>
      </c>
      <c r="R63" s="7">
        <v>18.989999999999998</v>
      </c>
      <c r="S63" s="7">
        <v>59.87</v>
      </c>
      <c r="T63" s="3">
        <f t="shared" si="3"/>
        <v>47.11699060698573</v>
      </c>
      <c r="U63" s="3">
        <f>N63*P63/(M63*Process_Data!J63)*100</f>
        <v>74.576135309542536</v>
      </c>
      <c r="V63" s="3">
        <f>O63*R63/(M63*Process_Data!J63)*100</f>
        <v>25.36931421530814</v>
      </c>
      <c r="W63" s="3">
        <f t="shared" si="4"/>
        <v>99.945449524850673</v>
      </c>
      <c r="X63" s="3">
        <f t="shared" si="5"/>
        <v>-4.6544541188389396E-2</v>
      </c>
      <c r="Y63" s="3">
        <f>(M63*Process_Data!J63-(N63*P63+O63*R63))/(M63*Process_Data!J63)*100</f>
        <v>5.4550475149333935E-2</v>
      </c>
      <c r="Z63" s="3" t="s">
        <v>400</v>
      </c>
    </row>
    <row r="64" spans="1:26" x14ac:dyDescent="0.3">
      <c r="A64" s="4">
        <v>63</v>
      </c>
      <c r="B64" s="5">
        <v>31.9</v>
      </c>
      <c r="C64" s="5">
        <v>332.5</v>
      </c>
      <c r="D64" s="5">
        <v>52.2</v>
      </c>
      <c r="E64" s="5">
        <v>47.5</v>
      </c>
      <c r="F64" s="5">
        <v>29.3</v>
      </c>
      <c r="G64" s="5">
        <v>69.7</v>
      </c>
      <c r="H64" s="5">
        <v>6.1</v>
      </c>
      <c r="I64" s="5">
        <v>84</v>
      </c>
      <c r="J64" s="5">
        <v>50.7</v>
      </c>
      <c r="K64" s="5">
        <v>12.2</v>
      </c>
      <c r="L64" s="5">
        <v>134</v>
      </c>
      <c r="M64" s="2">
        <f>Process_Data!G64*Process_Data!H64/100</f>
        <v>236.99599999999998</v>
      </c>
      <c r="N64" s="5">
        <v>122.8</v>
      </c>
      <c r="O64" s="5">
        <v>114.5</v>
      </c>
      <c r="P64" s="5">
        <v>63.42</v>
      </c>
      <c r="Q64" s="5">
        <v>7.68</v>
      </c>
      <c r="R64" s="5">
        <v>17.29</v>
      </c>
      <c r="S64" s="5">
        <v>57.79</v>
      </c>
      <c r="T64" s="2">
        <f t="shared" si="3"/>
        <v>51.815220510050807</v>
      </c>
      <c r="U64" s="2">
        <f>N64*P64/(M64*Process_Data!J64)*100</f>
        <v>79.798962718490102</v>
      </c>
      <c r="V64" s="2">
        <f>O64*R64/(M64*Process_Data!J64)*100</f>
        <v>20.284911700884596</v>
      </c>
      <c r="W64" s="2">
        <f t="shared" si="4"/>
        <v>100.08387441937469</v>
      </c>
      <c r="X64" s="2">
        <f t="shared" si="5"/>
        <v>-0.12827220712587153</v>
      </c>
      <c r="Y64" s="2">
        <f>(M64*Process_Data!J64-(N64*P64+O64*R64))/(M64*Process_Data!J64)*100</f>
        <v>-8.3874419374700609E-2</v>
      </c>
      <c r="Z64" s="2" t="s">
        <v>400</v>
      </c>
    </row>
    <row r="65" spans="1:26" x14ac:dyDescent="0.3">
      <c r="A65" s="6">
        <v>64</v>
      </c>
      <c r="B65" s="7">
        <v>26.4</v>
      </c>
      <c r="C65" s="7">
        <v>286.60000000000002</v>
      </c>
      <c r="D65" s="7">
        <v>54.9</v>
      </c>
      <c r="E65" s="7">
        <v>54.2</v>
      </c>
      <c r="F65" s="7">
        <v>29.9</v>
      </c>
      <c r="G65" s="7">
        <v>72.400000000000006</v>
      </c>
      <c r="H65" s="7">
        <v>6.1</v>
      </c>
      <c r="I65" s="7">
        <v>80</v>
      </c>
      <c r="J65" s="7">
        <v>54</v>
      </c>
      <c r="K65" s="7">
        <v>12.1</v>
      </c>
      <c r="L65" s="7">
        <v>92.1</v>
      </c>
      <c r="M65" s="3">
        <f>Process_Data!G65*Process_Data!H65/100</f>
        <v>231.56149999999997</v>
      </c>
      <c r="N65" s="7">
        <v>110.3</v>
      </c>
      <c r="O65" s="7">
        <v>120.5</v>
      </c>
      <c r="P65" s="7">
        <v>63.77</v>
      </c>
      <c r="Q65" s="7">
        <v>6.9</v>
      </c>
      <c r="R65" s="7">
        <v>19.309999999999999</v>
      </c>
      <c r="S65" s="7">
        <v>58.21</v>
      </c>
      <c r="T65" s="3">
        <f t="shared" si="3"/>
        <v>47.633134178177293</v>
      </c>
      <c r="U65" s="3">
        <f>N65*P65/(M65*Process_Data!J65)*100</f>
        <v>74.927601542732276</v>
      </c>
      <c r="V65" s="3">
        <f>O65*R65/(M65*Process_Data!J65)*100</f>
        <v>24.786729207414037</v>
      </c>
      <c r="W65" s="3">
        <f t="shared" si="4"/>
        <v>99.714330750146317</v>
      </c>
      <c r="X65" s="3">
        <f t="shared" si="5"/>
        <v>0.32885432163807693</v>
      </c>
      <c r="Y65" s="3">
        <f>(M65*Process_Data!J65-(N65*P65+O65*R65))/(M65*Process_Data!J65)*100</f>
        <v>0.28566924985370262</v>
      </c>
      <c r="Z65" s="3" t="s">
        <v>400</v>
      </c>
    </row>
    <row r="66" spans="1:26" x14ac:dyDescent="0.3">
      <c r="A66" s="4">
        <v>65</v>
      </c>
      <c r="B66" s="5">
        <v>29.3</v>
      </c>
      <c r="C66" s="5">
        <v>262.7</v>
      </c>
      <c r="D66" s="5">
        <v>55.2</v>
      </c>
      <c r="E66" s="5">
        <v>46.4</v>
      </c>
      <c r="F66" s="5">
        <v>33.9</v>
      </c>
      <c r="G66" s="5">
        <v>68.5</v>
      </c>
      <c r="H66" s="5">
        <v>5.8</v>
      </c>
      <c r="I66" s="5">
        <v>84.6</v>
      </c>
      <c r="J66" s="5">
        <v>54.1</v>
      </c>
      <c r="K66" s="5">
        <v>11.8</v>
      </c>
      <c r="L66" s="5">
        <v>123.6</v>
      </c>
      <c r="M66" s="2">
        <f>Process_Data!G66*Process_Data!H66/100</f>
        <v>211.70230000000001</v>
      </c>
      <c r="N66" s="5">
        <v>108.2</v>
      </c>
      <c r="O66" s="5">
        <v>104</v>
      </c>
      <c r="P66" s="5">
        <v>63.53</v>
      </c>
      <c r="Q66" s="5">
        <v>7.85</v>
      </c>
      <c r="R66" s="5">
        <v>18.62</v>
      </c>
      <c r="S66" s="5">
        <v>57.62</v>
      </c>
      <c r="T66" s="2">
        <f t="shared" ref="T66:T74" si="6">N66/M66*100</f>
        <v>51.109506131959833</v>
      </c>
      <c r="U66" s="2">
        <f>N66*P66/(M66*Process_Data!J66)*100</f>
        <v>78.259506497069353</v>
      </c>
      <c r="V66" s="2">
        <f>O66*R66/(M66*Process_Data!J66)*100</f>
        <v>22.046720928771464</v>
      </c>
      <c r="W66" s="2">
        <f t="shared" ref="W66:W74" si="7">U66+V66</f>
        <v>100.30622742584082</v>
      </c>
      <c r="X66" s="2">
        <f t="shared" ref="X66:X74" si="8">(M66-(N66+O66))/M66*100</f>
        <v>-0.23509428097851581</v>
      </c>
      <c r="Y66" s="2">
        <f>(M66*Process_Data!J66-(N66*P66+O66*R66))/(M66*Process_Data!J66)*100</f>
        <v>-0.30622742584081547</v>
      </c>
      <c r="Z66" s="2" t="s">
        <v>400</v>
      </c>
    </row>
    <row r="67" spans="1:26" x14ac:dyDescent="0.3">
      <c r="A67" s="6">
        <v>66</v>
      </c>
      <c r="B67" s="7">
        <v>26.5</v>
      </c>
      <c r="C67" s="7">
        <v>291.8</v>
      </c>
      <c r="D67" s="7">
        <v>54.9</v>
      </c>
      <c r="E67" s="7">
        <v>60</v>
      </c>
      <c r="F67" s="7">
        <v>37.299999999999997</v>
      </c>
      <c r="G67" s="7">
        <v>73.099999999999994</v>
      </c>
      <c r="H67" s="7">
        <v>5.3</v>
      </c>
      <c r="I67" s="7">
        <v>86.3</v>
      </c>
      <c r="J67" s="7">
        <v>53.6</v>
      </c>
      <c r="K67" s="7">
        <v>11</v>
      </c>
      <c r="L67" s="7">
        <v>114.6</v>
      </c>
      <c r="M67" s="3">
        <f>Process_Data!G67*Process_Data!H67/100</f>
        <v>180.88</v>
      </c>
      <c r="N67" s="7">
        <v>82.7</v>
      </c>
      <c r="O67" s="7">
        <v>97.7</v>
      </c>
      <c r="P67" s="7">
        <v>63.93</v>
      </c>
      <c r="Q67" s="7">
        <v>7.27</v>
      </c>
      <c r="R67" s="7">
        <v>17.57</v>
      </c>
      <c r="S67" s="7">
        <v>59.53</v>
      </c>
      <c r="T67" s="3">
        <f t="shared" si="6"/>
        <v>45.720919946926145</v>
      </c>
      <c r="U67" s="3">
        <f>N67*P67/(M67*Process_Data!J67)*100</f>
        <v>75.255880849819462</v>
      </c>
      <c r="V67" s="3">
        <f>O67*R67/(M67*Process_Data!J67)*100</f>
        <v>24.43411168467604</v>
      </c>
      <c r="W67" s="3">
        <f t="shared" si="7"/>
        <v>99.689992534495502</v>
      </c>
      <c r="X67" s="3">
        <f t="shared" si="8"/>
        <v>0.26536930561697797</v>
      </c>
      <c r="Y67" s="3">
        <f>(M67*Process_Data!J67-(N67*P67+O67*R67))/(M67*Process_Data!J67)*100</f>
        <v>0.31000746550449471</v>
      </c>
      <c r="Z67" s="3" t="s">
        <v>400</v>
      </c>
    </row>
    <row r="68" spans="1:26" x14ac:dyDescent="0.3">
      <c r="A68" s="4">
        <v>67</v>
      </c>
      <c r="B68" s="5">
        <v>26.3</v>
      </c>
      <c r="C68" s="5">
        <v>316.3</v>
      </c>
      <c r="D68" s="5">
        <v>53.8</v>
      </c>
      <c r="E68" s="5">
        <v>52.2</v>
      </c>
      <c r="F68" s="5">
        <v>29.3</v>
      </c>
      <c r="G68" s="5">
        <v>72</v>
      </c>
      <c r="H68" s="5">
        <v>6</v>
      </c>
      <c r="I68" s="5">
        <v>83.5</v>
      </c>
      <c r="J68" s="5">
        <v>53.2</v>
      </c>
      <c r="K68" s="5">
        <v>12</v>
      </c>
      <c r="L68" s="5">
        <v>135.9</v>
      </c>
      <c r="M68" s="2">
        <f>Process_Data!G68*Process_Data!H68/100</f>
        <v>190.51350000000002</v>
      </c>
      <c r="N68" s="5">
        <v>89</v>
      </c>
      <c r="O68" s="5">
        <v>102.1</v>
      </c>
      <c r="P68" s="5">
        <v>62.77</v>
      </c>
      <c r="Q68" s="5">
        <v>7.72</v>
      </c>
      <c r="R68" s="5">
        <v>15.61</v>
      </c>
      <c r="S68" s="5">
        <v>60.51</v>
      </c>
      <c r="T68" s="2">
        <f t="shared" si="6"/>
        <v>46.715849532972726</v>
      </c>
      <c r="U68" s="2">
        <f>N68*P68/(M68*Process_Data!J68)*100</f>
        <v>77.988134978316438</v>
      </c>
      <c r="V68" s="2">
        <f>O68*R68/(M68*Process_Data!J68)*100</f>
        <v>22.249233021907362</v>
      </c>
      <c r="W68" s="2">
        <f t="shared" si="7"/>
        <v>100.2373680002238</v>
      </c>
      <c r="X68" s="2">
        <f t="shared" si="8"/>
        <v>-0.30785219945041814</v>
      </c>
      <c r="Y68" s="2">
        <f>(M68*Process_Data!J68-(N68*P68+O68*R68))/(M68*Process_Data!J68)*100</f>
        <v>-0.23736800022380161</v>
      </c>
      <c r="Z68" s="2" t="s">
        <v>400</v>
      </c>
    </row>
    <row r="69" spans="1:26" x14ac:dyDescent="0.3">
      <c r="A69" s="6">
        <v>68</v>
      </c>
      <c r="B69" s="7">
        <v>28.4</v>
      </c>
      <c r="C69" s="7">
        <v>224</v>
      </c>
      <c r="D69" s="7">
        <v>52.3</v>
      </c>
      <c r="E69" s="7">
        <v>58.6</v>
      </c>
      <c r="F69" s="7">
        <v>29.4</v>
      </c>
      <c r="G69" s="7">
        <v>70.8</v>
      </c>
      <c r="H69" s="7">
        <v>5.3</v>
      </c>
      <c r="I69" s="7">
        <v>87.2</v>
      </c>
      <c r="J69" s="7">
        <v>51.1</v>
      </c>
      <c r="K69" s="7">
        <v>10.8</v>
      </c>
      <c r="L69" s="7">
        <v>129.80000000000001</v>
      </c>
      <c r="M69" s="3">
        <f>Process_Data!G69*Process_Data!H69/100</f>
        <v>180.55699999999996</v>
      </c>
      <c r="N69" s="7">
        <v>77.900000000000006</v>
      </c>
      <c r="O69" s="7">
        <v>102.2</v>
      </c>
      <c r="P69" s="7">
        <v>64.14</v>
      </c>
      <c r="Q69" s="7">
        <v>7.62</v>
      </c>
      <c r="R69" s="7">
        <v>19.22</v>
      </c>
      <c r="S69" s="7">
        <v>56.31</v>
      </c>
      <c r="T69" s="3">
        <f t="shared" si="6"/>
        <v>43.14427023045355</v>
      </c>
      <c r="U69" s="3">
        <f>N69*P69/(M69*Process_Data!J69)*100</f>
        <v>71.635347982948247</v>
      </c>
      <c r="V69" s="3">
        <f>O69*R69/(M69*Process_Data!J69)*100</f>
        <v>28.162113260213733</v>
      </c>
      <c r="W69" s="3">
        <f t="shared" si="7"/>
        <v>99.797461243161976</v>
      </c>
      <c r="X69" s="3">
        <f t="shared" si="8"/>
        <v>0.25310566746231766</v>
      </c>
      <c r="Y69" s="3">
        <f>(M69*Process_Data!J69-(N69*P69+O69*R69))/(M69*Process_Data!J69)*100</f>
        <v>0.20253875683802297</v>
      </c>
      <c r="Z69" s="3" t="s">
        <v>400</v>
      </c>
    </row>
    <row r="70" spans="1:26" x14ac:dyDescent="0.3">
      <c r="A70" s="4">
        <v>69</v>
      </c>
      <c r="B70" s="5">
        <v>26.6</v>
      </c>
      <c r="C70" s="5">
        <v>250.1</v>
      </c>
      <c r="D70" s="5">
        <v>55.4</v>
      </c>
      <c r="E70" s="5">
        <v>53.4</v>
      </c>
      <c r="F70" s="5">
        <v>33.200000000000003</v>
      </c>
      <c r="G70" s="5">
        <v>73.8</v>
      </c>
      <c r="H70" s="5">
        <v>6.2</v>
      </c>
      <c r="I70" s="5">
        <v>80.5</v>
      </c>
      <c r="J70" s="5">
        <v>54.8</v>
      </c>
      <c r="K70" s="5">
        <v>12</v>
      </c>
      <c r="L70" s="5">
        <v>122.6</v>
      </c>
      <c r="M70" s="2">
        <f>Process_Data!G70*Process_Data!H70/100</f>
        <v>234.78</v>
      </c>
      <c r="N70" s="5">
        <v>110.7</v>
      </c>
      <c r="O70" s="5">
        <v>124.9</v>
      </c>
      <c r="P70" s="5">
        <v>62.64</v>
      </c>
      <c r="Q70" s="5">
        <v>7.42</v>
      </c>
      <c r="R70" s="5">
        <v>17.18</v>
      </c>
      <c r="S70" s="5">
        <v>56.99</v>
      </c>
      <c r="T70" s="2">
        <f t="shared" si="6"/>
        <v>47.150523894709941</v>
      </c>
      <c r="U70" s="2">
        <f>N70*P70/(M70*Process_Data!J70)*100</f>
        <v>76.654783720857267</v>
      </c>
      <c r="V70" s="2">
        <f>O70*R70/(M70*Process_Data!J70)*100</f>
        <v>23.720590195520632</v>
      </c>
      <c r="W70" s="2">
        <f t="shared" si="7"/>
        <v>100.3753739163779</v>
      </c>
      <c r="X70" s="2">
        <f t="shared" si="8"/>
        <v>-0.34926313996082359</v>
      </c>
      <c r="Y70" s="2">
        <f>(M70*Process_Data!J70-(N70*P70+O70*R70))/(M70*Process_Data!J70)*100</f>
        <v>-0.37537391637790074</v>
      </c>
      <c r="Z70" s="2" t="s">
        <v>400</v>
      </c>
    </row>
    <row r="71" spans="1:26" x14ac:dyDescent="0.3">
      <c r="A71" s="6">
        <v>70</v>
      </c>
      <c r="B71" s="7">
        <v>26.8</v>
      </c>
      <c r="C71" s="7">
        <v>239.8</v>
      </c>
      <c r="D71" s="7">
        <v>53.3</v>
      </c>
      <c r="E71" s="7">
        <v>56.4</v>
      </c>
      <c r="F71" s="7">
        <v>33.200000000000003</v>
      </c>
      <c r="G71" s="7">
        <v>75</v>
      </c>
      <c r="H71" s="7">
        <v>6.3</v>
      </c>
      <c r="I71" s="7">
        <v>87</v>
      </c>
      <c r="J71" s="7">
        <v>52.6</v>
      </c>
      <c r="K71" s="7">
        <v>11.2</v>
      </c>
      <c r="L71" s="7">
        <v>117.1</v>
      </c>
      <c r="M71" s="3">
        <f>Process_Data!G71*Process_Data!H71/100</f>
        <v>217.21700000000001</v>
      </c>
      <c r="N71" s="7">
        <v>106.3</v>
      </c>
      <c r="O71" s="7">
        <v>111.1</v>
      </c>
      <c r="P71" s="7">
        <v>64.17</v>
      </c>
      <c r="Q71" s="7">
        <v>8.0399999999999991</v>
      </c>
      <c r="R71" s="7">
        <v>15.12</v>
      </c>
      <c r="S71" s="7">
        <v>56.39</v>
      </c>
      <c r="T71" s="3">
        <f t="shared" si="6"/>
        <v>48.937237877330034</v>
      </c>
      <c r="U71" s="3">
        <f>N71*P71/(M71*Process_Data!J71)*100</f>
        <v>80.212070359853598</v>
      </c>
      <c r="V71" s="3">
        <f>O71*R71/(M71*Process_Data!J71)*100</f>
        <v>19.753327873461352</v>
      </c>
      <c r="W71" s="3">
        <f t="shared" si="7"/>
        <v>99.965398233314943</v>
      </c>
      <c r="X71" s="3">
        <f t="shared" si="8"/>
        <v>-8.4247549685321263E-2</v>
      </c>
      <c r="Y71" s="3">
        <f>(M71*Process_Data!J71-(N71*P71+O71*R71))/(M71*Process_Data!J71)*100</f>
        <v>3.460176668505232E-2</v>
      </c>
      <c r="Z71" s="3" t="s">
        <v>400</v>
      </c>
    </row>
    <row r="72" spans="1:26" x14ac:dyDescent="0.3">
      <c r="A72" s="4">
        <v>71</v>
      </c>
      <c r="B72" s="5">
        <v>29</v>
      </c>
      <c r="C72" s="5">
        <v>296.10000000000002</v>
      </c>
      <c r="D72" s="5">
        <v>55.2</v>
      </c>
      <c r="E72" s="5">
        <v>50.9</v>
      </c>
      <c r="F72" s="5">
        <v>37.200000000000003</v>
      </c>
      <c r="G72" s="5">
        <v>73.599999999999994</v>
      </c>
      <c r="H72" s="5">
        <v>4.8</v>
      </c>
      <c r="I72" s="5">
        <v>86.3</v>
      </c>
      <c r="J72" s="5">
        <v>54</v>
      </c>
      <c r="K72" s="5">
        <v>11.3</v>
      </c>
      <c r="L72" s="5">
        <v>141.4</v>
      </c>
      <c r="M72" s="2">
        <f>Process_Data!G72*Process_Data!H72/100</f>
        <v>212.04</v>
      </c>
      <c r="N72" s="5">
        <v>87.8</v>
      </c>
      <c r="O72" s="5">
        <v>124</v>
      </c>
      <c r="P72" s="5">
        <v>64.040000000000006</v>
      </c>
      <c r="Q72" s="5">
        <v>7.05</v>
      </c>
      <c r="R72" s="5">
        <v>19.43</v>
      </c>
      <c r="S72" s="5">
        <v>56.84</v>
      </c>
      <c r="T72" s="2">
        <f t="shared" si="6"/>
        <v>41.407281644972649</v>
      </c>
      <c r="U72" s="2">
        <f>N72*P72/(M72*Process_Data!J72)*100</f>
        <v>69.929385984811404</v>
      </c>
      <c r="V72" s="2">
        <f>O72*R72/(M72*Process_Data!J72)*100</f>
        <v>29.964591506896639</v>
      </c>
      <c r="W72" s="2">
        <f t="shared" si="7"/>
        <v>99.893977491708043</v>
      </c>
      <c r="X72" s="2">
        <f t="shared" si="8"/>
        <v>0.11318619128465417</v>
      </c>
      <c r="Y72" s="2">
        <f>(M72*Process_Data!J72-(N72*P72+O72*R72))/(M72*Process_Data!J72)*100</f>
        <v>0.1060225082919535</v>
      </c>
      <c r="Z72" s="2" t="s">
        <v>400</v>
      </c>
    </row>
    <row r="73" spans="1:26" x14ac:dyDescent="0.3">
      <c r="A73" s="6">
        <v>72</v>
      </c>
      <c r="B73" s="7">
        <v>29.7</v>
      </c>
      <c r="C73" s="7">
        <v>296.2</v>
      </c>
      <c r="D73" s="7">
        <v>52.7</v>
      </c>
      <c r="E73" s="7">
        <v>58.2</v>
      </c>
      <c r="F73" s="7">
        <v>32.299999999999997</v>
      </c>
      <c r="G73" s="7">
        <v>72.5</v>
      </c>
      <c r="H73" s="7">
        <v>4.5</v>
      </c>
      <c r="I73" s="7">
        <v>84.2</v>
      </c>
      <c r="J73" s="7">
        <v>52</v>
      </c>
      <c r="K73" s="7">
        <v>12</v>
      </c>
      <c r="L73" s="7">
        <v>143.4</v>
      </c>
      <c r="M73" s="3">
        <f>Process_Data!G73*Process_Data!H73/100</f>
        <v>232.50380000000001</v>
      </c>
      <c r="N73" s="7">
        <v>111.1</v>
      </c>
      <c r="O73" s="7">
        <v>122.1</v>
      </c>
      <c r="P73" s="7">
        <v>62.63</v>
      </c>
      <c r="Q73" s="7">
        <v>7.96</v>
      </c>
      <c r="R73" s="7">
        <v>15.84</v>
      </c>
      <c r="S73" s="7">
        <v>61.15</v>
      </c>
      <c r="T73" s="3">
        <f t="shared" si="6"/>
        <v>47.784165248051856</v>
      </c>
      <c r="U73" s="3">
        <f>N73*P73/(M73*Process_Data!J73)*100</f>
        <v>78.528529768708694</v>
      </c>
      <c r="V73" s="3">
        <f>O73*R73/(M73*Process_Data!J73)*100</f>
        <v>21.827391450422226</v>
      </c>
      <c r="W73" s="3">
        <f t="shared" si="7"/>
        <v>100.35592121913092</v>
      </c>
      <c r="X73" s="3">
        <f t="shared" si="8"/>
        <v>-0.29943596620785384</v>
      </c>
      <c r="Y73" s="3">
        <f>(M73*Process_Data!J73-(N73*P73+O73*R73))/(M73*Process_Data!J73)*100</f>
        <v>-0.35592121913091318</v>
      </c>
      <c r="Z73" s="3" t="s">
        <v>400</v>
      </c>
    </row>
    <row r="74" spans="1:26" x14ac:dyDescent="0.3">
      <c r="A74" s="4">
        <v>73</v>
      </c>
      <c r="B74" s="5">
        <v>25.7</v>
      </c>
      <c r="C74" s="5">
        <v>248.8</v>
      </c>
      <c r="D74" s="5">
        <v>52.6</v>
      </c>
      <c r="E74" s="5">
        <v>50.2</v>
      </c>
      <c r="F74" s="5">
        <v>32.5</v>
      </c>
      <c r="G74" s="5">
        <v>73</v>
      </c>
      <c r="H74" s="5">
        <v>5.8</v>
      </c>
      <c r="I74" s="5">
        <v>82.8</v>
      </c>
      <c r="J74" s="5">
        <v>51.1</v>
      </c>
      <c r="K74" s="5">
        <v>12.2</v>
      </c>
      <c r="L74" s="5">
        <v>118.3</v>
      </c>
      <c r="M74" s="2">
        <f>Process_Data!G74*Process_Data!H74/100</f>
        <v>214.52819999999997</v>
      </c>
      <c r="N74" s="5">
        <v>105</v>
      </c>
      <c r="O74" s="5">
        <v>109.6</v>
      </c>
      <c r="P74" s="5">
        <v>64.16</v>
      </c>
      <c r="Q74" s="5">
        <v>7.77</v>
      </c>
      <c r="R74" s="5">
        <v>15.57</v>
      </c>
      <c r="S74" s="5">
        <v>60.06</v>
      </c>
      <c r="T74" s="2">
        <f t="shared" si="6"/>
        <v>48.944614274486995</v>
      </c>
      <c r="U74" s="2">
        <f>N74*P74/(M74*Process_Data!J74)*100</f>
        <v>79.743180595507496</v>
      </c>
      <c r="V74" s="2">
        <f>O74*R74/(M74*Process_Data!J74)*100</f>
        <v>20.199427751629393</v>
      </c>
      <c r="W74" s="2">
        <f t="shared" si="7"/>
        <v>99.942608347136883</v>
      </c>
      <c r="X74" s="2">
        <f t="shared" si="8"/>
        <v>-3.34687933800892E-2</v>
      </c>
      <c r="Y74" s="2">
        <f>(M74*Process_Data!J74-(N74*P74+O74*R74))/(M74*Process_Data!J74)*100</f>
        <v>5.7391652863111431E-2</v>
      </c>
      <c r="Z74" s="2" t="s">
        <v>400</v>
      </c>
    </row>
  </sheetData>
  <autoFilter ref="A1:Z7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38" customWidth="1"/>
    <col min="3" max="3" width="52" customWidth="1"/>
    <col min="4" max="4" width="70" customWidth="1"/>
  </cols>
  <sheetData>
    <row r="1" spans="1:4" ht="24" customHeight="1" x14ac:dyDescent="0.3">
      <c r="A1" s="1" t="s">
        <v>401</v>
      </c>
      <c r="B1" s="1" t="s">
        <v>402</v>
      </c>
      <c r="C1" s="1" t="s">
        <v>403</v>
      </c>
      <c r="D1" s="1" t="s">
        <v>404</v>
      </c>
    </row>
    <row r="2" spans="1:4" x14ac:dyDescent="0.3">
      <c r="A2" s="2" t="s">
        <v>405</v>
      </c>
      <c r="B2" s="2" t="s">
        <v>406</v>
      </c>
      <c r="C2" s="2" t="s">
        <v>407</v>
      </c>
      <c r="D2" s="2" t="s">
        <v>408</v>
      </c>
    </row>
    <row r="3" spans="1:4" x14ac:dyDescent="0.3">
      <c r="A3" s="3" t="s">
        <v>409</v>
      </c>
      <c r="B3" s="3" t="s">
        <v>410</v>
      </c>
      <c r="C3" s="3" t="s">
        <v>411</v>
      </c>
      <c r="D3" s="3" t="s">
        <v>412</v>
      </c>
    </row>
    <row r="4" spans="1:4" x14ac:dyDescent="0.3">
      <c r="A4" s="2" t="s">
        <v>413</v>
      </c>
      <c r="B4" s="2" t="s">
        <v>414</v>
      </c>
      <c r="C4" s="2" t="s">
        <v>415</v>
      </c>
      <c r="D4" s="2" t="s">
        <v>416</v>
      </c>
    </row>
    <row r="5" spans="1:4" x14ac:dyDescent="0.3">
      <c r="A5" s="3" t="s">
        <v>417</v>
      </c>
      <c r="B5" s="3" t="s">
        <v>418</v>
      </c>
      <c r="C5" s="3" t="s">
        <v>419</v>
      </c>
      <c r="D5" s="3" t="s">
        <v>420</v>
      </c>
    </row>
    <row r="6" spans="1:4" x14ac:dyDescent="0.3">
      <c r="A6" s="2" t="s">
        <v>421</v>
      </c>
      <c r="B6" s="2" t="s">
        <v>422</v>
      </c>
      <c r="C6" s="2" t="s">
        <v>423</v>
      </c>
      <c r="D6" s="2" t="s">
        <v>424</v>
      </c>
    </row>
    <row r="7" spans="1:4" x14ac:dyDescent="0.3">
      <c r="A7" s="3" t="s">
        <v>425</v>
      </c>
      <c r="B7" s="3" t="s">
        <v>426</v>
      </c>
      <c r="C7" s="3" t="s">
        <v>427</v>
      </c>
      <c r="D7" s="3" t="s">
        <v>428</v>
      </c>
    </row>
  </sheetData>
  <autoFilter ref="A1:D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4"/>
  <sheetViews>
    <sheetView rightToLeft="1" zoomScale="85" zoomScaleNormal="85" workbookViewId="0">
      <pane ySplit="1" topLeftCell="A14" activePane="bottomLeft" state="frozen"/>
      <selection pane="bottomLeft" activeCell="G4" sqref="G4"/>
    </sheetView>
  </sheetViews>
  <sheetFormatPr defaultRowHeight="14.4" x14ac:dyDescent="0.3"/>
  <cols>
    <col min="1" max="1" width="10" customWidth="1"/>
    <col min="2" max="2" width="18" customWidth="1"/>
    <col min="3" max="6" width="15" customWidth="1"/>
    <col min="7" max="7" width="16" customWidth="1"/>
    <col min="8" max="8" width="12" customWidth="1"/>
  </cols>
  <sheetData>
    <row r="1" spans="1:8" ht="24" customHeight="1" x14ac:dyDescent="0.3">
      <c r="A1" s="1" t="s">
        <v>39</v>
      </c>
      <c r="B1" s="1" t="s">
        <v>46</v>
      </c>
      <c r="C1" s="1" t="s">
        <v>214</v>
      </c>
      <c r="D1" s="1" t="s">
        <v>443</v>
      </c>
      <c r="E1" s="1" t="s">
        <v>444</v>
      </c>
      <c r="F1" s="1" t="s">
        <v>445</v>
      </c>
      <c r="G1" s="1" t="s">
        <v>177</v>
      </c>
      <c r="H1" s="1" t="s">
        <v>247</v>
      </c>
    </row>
    <row r="2" spans="1:8" x14ac:dyDescent="0.3">
      <c r="A2" s="4">
        <v>1</v>
      </c>
      <c r="B2" s="2" t="s">
        <v>284</v>
      </c>
      <c r="C2" s="5">
        <v>10.199999999999999</v>
      </c>
      <c r="D2" s="5">
        <v>10.5</v>
      </c>
      <c r="E2" s="5">
        <v>9.5</v>
      </c>
      <c r="F2" s="5">
        <v>8.5</v>
      </c>
      <c r="G2" s="5">
        <v>142.69999999999999</v>
      </c>
      <c r="H2" s="5">
        <v>12.73</v>
      </c>
    </row>
    <row r="3" spans="1:8" x14ac:dyDescent="0.3">
      <c r="A3" s="6">
        <v>3</v>
      </c>
      <c r="B3" s="3" t="s">
        <v>289</v>
      </c>
      <c r="C3" s="7">
        <v>8.9</v>
      </c>
      <c r="D3" s="5">
        <v>10.5</v>
      </c>
      <c r="E3" s="5">
        <v>9.5</v>
      </c>
      <c r="F3" s="5">
        <v>8.5</v>
      </c>
      <c r="G3" s="7">
        <v>120.9</v>
      </c>
      <c r="H3" s="7">
        <v>12.33</v>
      </c>
    </row>
    <row r="4" spans="1:8" x14ac:dyDescent="0.3">
      <c r="A4" s="4">
        <v>5</v>
      </c>
      <c r="B4" s="2" t="s">
        <v>291</v>
      </c>
      <c r="C4" s="5">
        <v>9.1</v>
      </c>
      <c r="D4" s="5">
        <v>10.5</v>
      </c>
      <c r="E4" s="5">
        <v>9.5</v>
      </c>
      <c r="F4" s="5">
        <v>8.5</v>
      </c>
      <c r="G4" s="5">
        <v>128.30000000000001</v>
      </c>
      <c r="H4" s="5">
        <v>9.56</v>
      </c>
    </row>
    <row r="5" spans="1:8" x14ac:dyDescent="0.3">
      <c r="A5" s="6">
        <v>7</v>
      </c>
      <c r="B5" s="3" t="s">
        <v>294</v>
      </c>
      <c r="C5" s="7">
        <v>9.1999999999999993</v>
      </c>
      <c r="D5" s="5">
        <v>10.5</v>
      </c>
      <c r="E5" s="5">
        <v>9.5</v>
      </c>
      <c r="F5" s="5">
        <v>8.5</v>
      </c>
      <c r="G5" s="7">
        <v>129.69999999999999</v>
      </c>
      <c r="H5" s="7">
        <v>11.71</v>
      </c>
    </row>
    <row r="6" spans="1:8" x14ac:dyDescent="0.3">
      <c r="A6" s="4">
        <v>9</v>
      </c>
      <c r="B6" s="2" t="s">
        <v>296</v>
      </c>
      <c r="C6" s="5">
        <v>9</v>
      </c>
      <c r="D6" s="5">
        <v>10.5</v>
      </c>
      <c r="E6" s="5">
        <v>9.5</v>
      </c>
      <c r="F6" s="5">
        <v>8.5</v>
      </c>
      <c r="G6" s="5">
        <v>110.1</v>
      </c>
      <c r="H6" s="5">
        <v>11.4</v>
      </c>
    </row>
    <row r="7" spans="1:8" x14ac:dyDescent="0.3">
      <c r="A7" s="6">
        <v>11</v>
      </c>
      <c r="B7" s="3" t="s">
        <v>299</v>
      </c>
      <c r="C7" s="7">
        <v>9.6999999999999993</v>
      </c>
      <c r="D7" s="5">
        <v>10.5</v>
      </c>
      <c r="E7" s="5">
        <v>9.5</v>
      </c>
      <c r="F7" s="5">
        <v>8.5</v>
      </c>
      <c r="G7" s="7">
        <v>79.3</v>
      </c>
      <c r="H7" s="7">
        <v>11.66</v>
      </c>
    </row>
    <row r="8" spans="1:8" x14ac:dyDescent="0.3">
      <c r="A8" s="4">
        <v>12</v>
      </c>
      <c r="B8" s="2" t="s">
        <v>300</v>
      </c>
      <c r="C8" s="5">
        <v>9</v>
      </c>
      <c r="D8" s="5">
        <v>10.5</v>
      </c>
      <c r="E8" s="5">
        <v>9.5</v>
      </c>
      <c r="F8" s="5">
        <v>8.5</v>
      </c>
      <c r="G8" s="5">
        <v>106.7</v>
      </c>
      <c r="H8" s="5">
        <v>9.75</v>
      </c>
    </row>
    <row r="9" spans="1:8" x14ac:dyDescent="0.3">
      <c r="A9" s="6">
        <v>14</v>
      </c>
      <c r="B9" s="3" t="s">
        <v>303</v>
      </c>
      <c r="C9" s="7">
        <v>9.1</v>
      </c>
      <c r="D9" s="5">
        <v>10.5</v>
      </c>
      <c r="E9" s="5">
        <v>9.5</v>
      </c>
      <c r="F9" s="5">
        <v>8.5</v>
      </c>
      <c r="G9" s="7">
        <v>77.3</v>
      </c>
      <c r="H9" s="7">
        <v>9.7899999999999991</v>
      </c>
    </row>
    <row r="10" spans="1:8" x14ac:dyDescent="0.3">
      <c r="A10" s="4">
        <v>16</v>
      </c>
      <c r="B10" s="2" t="s">
        <v>305</v>
      </c>
      <c r="C10" s="5">
        <v>9.6</v>
      </c>
      <c r="D10" s="5">
        <v>10.5</v>
      </c>
      <c r="E10" s="5">
        <v>9.5</v>
      </c>
      <c r="F10" s="5">
        <v>8.5</v>
      </c>
      <c r="G10" s="5">
        <v>106.4</v>
      </c>
      <c r="H10" s="5">
        <v>11.12</v>
      </c>
    </row>
    <row r="11" spans="1:8" x14ac:dyDescent="0.3">
      <c r="A11" s="6">
        <v>18</v>
      </c>
      <c r="B11" s="3" t="s">
        <v>307</v>
      </c>
      <c r="C11" s="7">
        <v>9.6999999999999993</v>
      </c>
      <c r="D11" s="5">
        <v>10.5</v>
      </c>
      <c r="E11" s="5">
        <v>9.5</v>
      </c>
      <c r="F11" s="5">
        <v>8.5</v>
      </c>
      <c r="G11" s="7">
        <v>88.3</v>
      </c>
      <c r="H11" s="7">
        <v>12.57</v>
      </c>
    </row>
    <row r="12" spans="1:8" x14ac:dyDescent="0.3">
      <c r="A12" s="4">
        <v>20</v>
      </c>
      <c r="B12" s="2" t="s">
        <v>309</v>
      </c>
      <c r="C12" s="5">
        <v>8.9</v>
      </c>
      <c r="D12" s="5">
        <v>10.5</v>
      </c>
      <c r="E12" s="5">
        <v>9.5</v>
      </c>
      <c r="F12" s="5">
        <v>8.5</v>
      </c>
      <c r="G12" s="5">
        <v>84.2</v>
      </c>
      <c r="H12" s="5">
        <v>12.56</v>
      </c>
    </row>
    <row r="13" spans="1:8" x14ac:dyDescent="0.3">
      <c r="A13" s="6">
        <v>22</v>
      </c>
      <c r="B13" s="3" t="s">
        <v>311</v>
      </c>
      <c r="C13" s="7">
        <v>9.1</v>
      </c>
      <c r="D13" s="5">
        <v>10.5</v>
      </c>
      <c r="E13" s="5">
        <v>9.5</v>
      </c>
      <c r="F13" s="5">
        <v>8.5</v>
      </c>
      <c r="G13" s="7">
        <v>118.5</v>
      </c>
      <c r="H13" s="7">
        <v>10.94</v>
      </c>
    </row>
    <row r="14" spans="1:8" x14ac:dyDescent="0.3">
      <c r="A14" s="4">
        <v>24</v>
      </c>
      <c r="B14" s="2" t="s">
        <v>313</v>
      </c>
      <c r="C14" s="5">
        <v>9.1</v>
      </c>
      <c r="D14" s="5">
        <v>10.5</v>
      </c>
      <c r="E14" s="5">
        <v>9.5</v>
      </c>
      <c r="F14" s="5">
        <v>8.5</v>
      </c>
      <c r="G14" s="5">
        <v>75.3</v>
      </c>
      <c r="H14" s="5">
        <v>10.76</v>
      </c>
    </row>
    <row r="15" spans="1:8" x14ac:dyDescent="0.3">
      <c r="A15" s="6">
        <v>26</v>
      </c>
      <c r="B15" s="3" t="s">
        <v>316</v>
      </c>
      <c r="C15" s="7">
        <v>9.1</v>
      </c>
      <c r="D15" s="5">
        <v>10.5</v>
      </c>
      <c r="E15" s="5">
        <v>9.5</v>
      </c>
      <c r="F15" s="5">
        <v>8.5</v>
      </c>
      <c r="G15" s="7">
        <v>90.1</v>
      </c>
      <c r="H15" s="7">
        <v>9.56</v>
      </c>
    </row>
    <row r="16" spans="1:8" x14ac:dyDescent="0.3">
      <c r="A16" s="4">
        <v>28</v>
      </c>
      <c r="B16" s="2" t="s">
        <v>318</v>
      </c>
      <c r="C16" s="5">
        <v>8.9</v>
      </c>
      <c r="D16" s="5">
        <v>10.5</v>
      </c>
      <c r="E16" s="5">
        <v>9.5</v>
      </c>
      <c r="F16" s="5">
        <v>8.5</v>
      </c>
      <c r="G16" s="5">
        <v>84.2</v>
      </c>
      <c r="H16" s="5">
        <v>10.220000000000001</v>
      </c>
    </row>
    <row r="17" spans="1:8" x14ac:dyDescent="0.3">
      <c r="A17" s="6">
        <v>29</v>
      </c>
      <c r="B17" s="3" t="s">
        <v>319</v>
      </c>
      <c r="C17" s="7">
        <v>9.1999999999999993</v>
      </c>
      <c r="D17" s="5">
        <v>10.5</v>
      </c>
      <c r="E17" s="5">
        <v>9.5</v>
      </c>
      <c r="F17" s="5">
        <v>8.5</v>
      </c>
      <c r="G17" s="7">
        <v>121.5</v>
      </c>
      <c r="H17" s="7">
        <v>12.3</v>
      </c>
    </row>
    <row r="18" spans="1:8" x14ac:dyDescent="0.3">
      <c r="A18" s="4">
        <v>31</v>
      </c>
      <c r="B18" s="2" t="s">
        <v>321</v>
      </c>
      <c r="C18" s="5">
        <v>9.3000000000000007</v>
      </c>
      <c r="D18" s="5">
        <v>10.5</v>
      </c>
      <c r="E18" s="5">
        <v>9.5</v>
      </c>
      <c r="F18" s="5">
        <v>8.5</v>
      </c>
      <c r="G18" s="5">
        <v>148.80000000000001</v>
      </c>
      <c r="H18" s="5">
        <v>10.220000000000001</v>
      </c>
    </row>
    <row r="19" spans="1:8" x14ac:dyDescent="0.3">
      <c r="A19" s="6">
        <v>33</v>
      </c>
      <c r="B19" s="3" t="s">
        <v>323</v>
      </c>
      <c r="C19" s="7">
        <v>9.1</v>
      </c>
      <c r="D19" s="5">
        <v>10.5</v>
      </c>
      <c r="E19" s="5">
        <v>9.5</v>
      </c>
      <c r="F19" s="5">
        <v>8.5</v>
      </c>
      <c r="G19" s="7">
        <v>91.8</v>
      </c>
      <c r="H19" s="7">
        <v>12.32</v>
      </c>
    </row>
    <row r="20" spans="1:8" x14ac:dyDescent="0.3">
      <c r="A20" s="4">
        <v>35</v>
      </c>
      <c r="B20" s="2" t="s">
        <v>325</v>
      </c>
      <c r="C20" s="5">
        <v>10.4</v>
      </c>
      <c r="D20" s="5">
        <v>10.5</v>
      </c>
      <c r="E20" s="5">
        <v>9.5</v>
      </c>
      <c r="F20" s="5">
        <v>8.5</v>
      </c>
      <c r="G20" s="5">
        <v>145.1</v>
      </c>
      <c r="H20" s="5">
        <v>10.97</v>
      </c>
    </row>
    <row r="21" spans="1:8" x14ac:dyDescent="0.3">
      <c r="A21" s="6">
        <v>37</v>
      </c>
      <c r="B21" s="3" t="s">
        <v>327</v>
      </c>
      <c r="C21" s="7">
        <v>9</v>
      </c>
      <c r="D21" s="5">
        <v>10.5</v>
      </c>
      <c r="E21" s="5">
        <v>9.5</v>
      </c>
      <c r="F21" s="5">
        <v>8.5</v>
      </c>
      <c r="G21" s="7">
        <v>88</v>
      </c>
      <c r="H21" s="7">
        <v>12.33</v>
      </c>
    </row>
    <row r="22" spans="1:8" x14ac:dyDescent="0.3">
      <c r="A22" s="4">
        <v>39</v>
      </c>
      <c r="B22" s="2" t="s">
        <v>329</v>
      </c>
      <c r="C22" s="5">
        <v>9</v>
      </c>
      <c r="D22" s="5">
        <v>10.5</v>
      </c>
      <c r="E22" s="5">
        <v>9.5</v>
      </c>
      <c r="F22" s="5">
        <v>8.5</v>
      </c>
      <c r="G22" s="5">
        <v>93</v>
      </c>
      <c r="H22" s="5">
        <v>10.7</v>
      </c>
    </row>
    <row r="23" spans="1:8" x14ac:dyDescent="0.3">
      <c r="A23" s="6">
        <v>41</v>
      </c>
      <c r="B23" s="3" t="s">
        <v>331</v>
      </c>
      <c r="C23" s="7">
        <v>9.5</v>
      </c>
      <c r="D23" s="5">
        <v>10.5</v>
      </c>
      <c r="E23" s="5">
        <v>9.5</v>
      </c>
      <c r="F23" s="5">
        <v>8.5</v>
      </c>
      <c r="G23" s="7">
        <v>91.9</v>
      </c>
      <c r="H23" s="7">
        <v>10.15</v>
      </c>
    </row>
    <row r="24" spans="1:8" x14ac:dyDescent="0.3">
      <c r="A24" s="4">
        <v>43</v>
      </c>
      <c r="B24" s="2" t="s">
        <v>333</v>
      </c>
      <c r="C24" s="5">
        <v>10</v>
      </c>
      <c r="D24" s="5">
        <v>10.5</v>
      </c>
      <c r="E24" s="5">
        <v>9.5</v>
      </c>
      <c r="F24" s="5">
        <v>8.5</v>
      </c>
      <c r="G24" s="5">
        <v>111.4</v>
      </c>
      <c r="H24" s="5">
        <v>9.8699999999999992</v>
      </c>
    </row>
    <row r="25" spans="1:8" x14ac:dyDescent="0.3">
      <c r="A25" s="6">
        <v>45</v>
      </c>
      <c r="B25" s="3" t="s">
        <v>335</v>
      </c>
      <c r="C25" s="7">
        <v>9.8000000000000007</v>
      </c>
      <c r="D25" s="5">
        <v>10.5</v>
      </c>
      <c r="E25" s="5">
        <v>9.5</v>
      </c>
      <c r="F25" s="5">
        <v>8.5</v>
      </c>
      <c r="G25" s="7">
        <v>128.19999999999999</v>
      </c>
      <c r="H25" s="7">
        <v>12.56</v>
      </c>
    </row>
    <row r="26" spans="1:8" x14ac:dyDescent="0.3">
      <c r="A26" s="4">
        <v>47</v>
      </c>
      <c r="B26" s="2" t="s">
        <v>337</v>
      </c>
      <c r="C26" s="5">
        <v>10.4</v>
      </c>
      <c r="D26" s="5">
        <v>10.5</v>
      </c>
      <c r="E26" s="5">
        <v>9.5</v>
      </c>
      <c r="F26" s="5">
        <v>8.5</v>
      </c>
      <c r="G26" s="5">
        <v>83.4</v>
      </c>
      <c r="H26" s="5">
        <v>9.6999999999999993</v>
      </c>
    </row>
    <row r="27" spans="1:8" x14ac:dyDescent="0.3">
      <c r="A27" s="6">
        <v>49</v>
      </c>
      <c r="B27" s="3" t="s">
        <v>339</v>
      </c>
      <c r="C27" s="7">
        <v>9.5</v>
      </c>
      <c r="D27" s="5">
        <v>10.5</v>
      </c>
      <c r="E27" s="5">
        <v>9.5</v>
      </c>
      <c r="F27" s="5">
        <v>8.5</v>
      </c>
      <c r="G27" s="7">
        <v>122.7</v>
      </c>
      <c r="H27" s="7">
        <v>12.08</v>
      </c>
    </row>
    <row r="28" spans="1:8" x14ac:dyDescent="0.3">
      <c r="A28" s="4">
        <v>50</v>
      </c>
      <c r="B28" s="2" t="s">
        <v>340</v>
      </c>
      <c r="C28" s="5">
        <v>9.9</v>
      </c>
      <c r="D28" s="5">
        <v>10.5</v>
      </c>
      <c r="E28" s="5">
        <v>9.5</v>
      </c>
      <c r="F28" s="5">
        <v>8.5</v>
      </c>
      <c r="G28" s="5">
        <v>101.1</v>
      </c>
      <c r="H28" s="5">
        <v>11.32</v>
      </c>
    </row>
    <row r="29" spans="1:8" x14ac:dyDescent="0.3">
      <c r="A29" s="6">
        <v>52</v>
      </c>
      <c r="B29" s="3" t="s">
        <v>342</v>
      </c>
      <c r="C29" s="7">
        <v>9.1999999999999993</v>
      </c>
      <c r="D29" s="5">
        <v>10.5</v>
      </c>
      <c r="E29" s="5">
        <v>9.5</v>
      </c>
      <c r="F29" s="5">
        <v>8.5</v>
      </c>
      <c r="G29" s="7">
        <v>134.5</v>
      </c>
      <c r="H29" s="7">
        <v>12.44</v>
      </c>
    </row>
    <row r="30" spans="1:8" x14ac:dyDescent="0.3">
      <c r="A30" s="4">
        <v>54</v>
      </c>
      <c r="B30" s="2" t="s">
        <v>344</v>
      </c>
      <c r="C30" s="5">
        <v>9.8000000000000007</v>
      </c>
      <c r="D30" s="5">
        <v>10.5</v>
      </c>
      <c r="E30" s="5">
        <v>9.5</v>
      </c>
      <c r="F30" s="5">
        <v>8.5</v>
      </c>
      <c r="G30" s="5">
        <v>75.599999999999994</v>
      </c>
      <c r="H30" s="5">
        <v>12.98</v>
      </c>
    </row>
    <row r="31" spans="1:8" x14ac:dyDescent="0.3">
      <c r="A31" s="6">
        <v>56</v>
      </c>
      <c r="B31" s="3" t="s">
        <v>346</v>
      </c>
      <c r="C31" s="7">
        <v>9.5</v>
      </c>
      <c r="D31" s="5">
        <v>10.5</v>
      </c>
      <c r="E31" s="5">
        <v>9.5</v>
      </c>
      <c r="F31" s="5">
        <v>8.5</v>
      </c>
      <c r="G31" s="7">
        <v>143.6</v>
      </c>
      <c r="H31" s="7">
        <v>12.27</v>
      </c>
    </row>
    <row r="32" spans="1:8" x14ac:dyDescent="0.3">
      <c r="A32" s="6">
        <v>57</v>
      </c>
      <c r="B32" s="3" t="s">
        <v>446</v>
      </c>
      <c r="C32">
        <v>10.199999999999999</v>
      </c>
      <c r="D32" s="5">
        <v>10.5</v>
      </c>
      <c r="E32" s="5">
        <v>9.5</v>
      </c>
      <c r="F32" s="5">
        <v>8.5</v>
      </c>
    </row>
    <row r="33" spans="1:6" x14ac:dyDescent="0.3">
      <c r="A33" s="6">
        <v>58</v>
      </c>
      <c r="B33" s="3" t="s">
        <v>447</v>
      </c>
      <c r="C33">
        <v>8.9</v>
      </c>
      <c r="D33" s="5">
        <v>10.5</v>
      </c>
      <c r="E33" s="5">
        <v>9.5</v>
      </c>
      <c r="F33" s="5">
        <v>8.5</v>
      </c>
    </row>
    <row r="34" spans="1:6" x14ac:dyDescent="0.3">
      <c r="A34" s="6">
        <v>59</v>
      </c>
      <c r="B34" s="3" t="s">
        <v>448</v>
      </c>
      <c r="C34">
        <v>9.1</v>
      </c>
      <c r="D34" s="5">
        <v>10.5</v>
      </c>
      <c r="E34" s="5">
        <v>9.5</v>
      </c>
      <c r="F34" s="5">
        <v>8.5</v>
      </c>
    </row>
    <row r="35" spans="1:6" x14ac:dyDescent="0.3">
      <c r="A35" s="6">
        <v>60</v>
      </c>
      <c r="B35" s="3" t="s">
        <v>449</v>
      </c>
      <c r="C35">
        <v>9.1999999999999993</v>
      </c>
      <c r="D35" s="5">
        <v>10.5</v>
      </c>
      <c r="E35" s="5">
        <v>9.5</v>
      </c>
      <c r="F35" s="5">
        <v>8.5</v>
      </c>
    </row>
    <row r="36" spans="1:6" x14ac:dyDescent="0.3">
      <c r="A36" s="6">
        <v>61</v>
      </c>
      <c r="B36" s="3" t="s">
        <v>450</v>
      </c>
      <c r="C36">
        <v>9</v>
      </c>
      <c r="D36" s="5">
        <v>10.5</v>
      </c>
      <c r="E36" s="5">
        <v>9.5</v>
      </c>
      <c r="F36" s="5">
        <v>8.5</v>
      </c>
    </row>
    <row r="37" spans="1:6" x14ac:dyDescent="0.3">
      <c r="A37" s="6">
        <v>62</v>
      </c>
      <c r="B37" s="3" t="s">
        <v>451</v>
      </c>
      <c r="C37">
        <v>9.6999999999999993</v>
      </c>
      <c r="D37" s="5">
        <v>10.5</v>
      </c>
      <c r="E37" s="5">
        <v>9.5</v>
      </c>
      <c r="F37" s="5">
        <v>8.5</v>
      </c>
    </row>
    <row r="38" spans="1:6" x14ac:dyDescent="0.3">
      <c r="A38" s="6">
        <v>63</v>
      </c>
      <c r="B38" s="3" t="s">
        <v>452</v>
      </c>
      <c r="C38">
        <v>9</v>
      </c>
      <c r="D38" s="5">
        <v>10.5</v>
      </c>
      <c r="E38" s="5">
        <v>9.5</v>
      </c>
      <c r="F38" s="5">
        <v>8.5</v>
      </c>
    </row>
    <row r="39" spans="1:6" x14ac:dyDescent="0.3">
      <c r="A39" s="6">
        <v>64</v>
      </c>
      <c r="B39" s="3" t="s">
        <v>453</v>
      </c>
      <c r="C39">
        <v>9.1</v>
      </c>
      <c r="D39" s="5">
        <v>10.5</v>
      </c>
      <c r="E39" s="5">
        <v>9.5</v>
      </c>
      <c r="F39" s="5">
        <v>8.5</v>
      </c>
    </row>
    <row r="40" spans="1:6" x14ac:dyDescent="0.3">
      <c r="A40" s="6">
        <v>65</v>
      </c>
      <c r="B40" s="3" t="s">
        <v>454</v>
      </c>
      <c r="C40">
        <v>9.6</v>
      </c>
      <c r="D40" s="5">
        <v>10.5</v>
      </c>
      <c r="E40" s="5">
        <v>9.5</v>
      </c>
      <c r="F40" s="5">
        <v>8.5</v>
      </c>
    </row>
    <row r="41" spans="1:6" x14ac:dyDescent="0.3">
      <c r="A41" s="6">
        <v>66</v>
      </c>
      <c r="B41" s="3" t="s">
        <v>455</v>
      </c>
      <c r="C41">
        <v>9.6999999999999993</v>
      </c>
      <c r="D41" s="5">
        <v>10.5</v>
      </c>
      <c r="E41" s="5">
        <v>9.5</v>
      </c>
      <c r="F41" s="5">
        <v>8.5</v>
      </c>
    </row>
    <row r="42" spans="1:6" x14ac:dyDescent="0.3">
      <c r="A42" s="6">
        <v>67</v>
      </c>
      <c r="B42" s="3" t="s">
        <v>456</v>
      </c>
      <c r="C42">
        <v>8.9</v>
      </c>
      <c r="D42" s="5">
        <v>10.5</v>
      </c>
      <c r="E42" s="5">
        <v>9.5</v>
      </c>
      <c r="F42" s="5">
        <v>8.5</v>
      </c>
    </row>
    <row r="43" spans="1:6" x14ac:dyDescent="0.3">
      <c r="A43" s="6">
        <v>68</v>
      </c>
      <c r="B43" s="3" t="s">
        <v>457</v>
      </c>
      <c r="C43">
        <v>9.1</v>
      </c>
      <c r="D43" s="5">
        <v>10.5</v>
      </c>
      <c r="E43" s="5">
        <v>9.5</v>
      </c>
      <c r="F43" s="5">
        <v>8.5</v>
      </c>
    </row>
    <row r="44" spans="1:6" x14ac:dyDescent="0.3">
      <c r="A44" s="6">
        <v>69</v>
      </c>
      <c r="B44" s="3" t="s">
        <v>458</v>
      </c>
      <c r="C44">
        <v>9.1</v>
      </c>
      <c r="D44" s="5">
        <v>10.5</v>
      </c>
      <c r="E44" s="5">
        <v>9.5</v>
      </c>
      <c r="F44" s="5">
        <v>8.5</v>
      </c>
    </row>
    <row r="45" spans="1:6" x14ac:dyDescent="0.3">
      <c r="A45" s="6">
        <v>70</v>
      </c>
      <c r="B45" s="3" t="s">
        <v>459</v>
      </c>
      <c r="C45">
        <v>9.1</v>
      </c>
      <c r="D45" s="5">
        <v>10.5</v>
      </c>
      <c r="E45" s="5">
        <v>9.5</v>
      </c>
      <c r="F45" s="5">
        <v>8.5</v>
      </c>
    </row>
    <row r="46" spans="1:6" x14ac:dyDescent="0.3">
      <c r="A46" s="6">
        <v>71</v>
      </c>
      <c r="B46" s="3" t="s">
        <v>460</v>
      </c>
      <c r="C46">
        <v>8.9</v>
      </c>
      <c r="D46" s="5">
        <v>10.5</v>
      </c>
      <c r="E46" s="5">
        <v>9.5</v>
      </c>
      <c r="F46" s="5">
        <v>8.5</v>
      </c>
    </row>
    <row r="47" spans="1:6" x14ac:dyDescent="0.3">
      <c r="A47" s="6">
        <v>72</v>
      </c>
      <c r="B47" s="3" t="s">
        <v>461</v>
      </c>
      <c r="C47">
        <v>9.1999999999999993</v>
      </c>
      <c r="D47" s="5">
        <v>10.5</v>
      </c>
      <c r="E47" s="5">
        <v>9.5</v>
      </c>
      <c r="F47" s="5">
        <v>8.5</v>
      </c>
    </row>
    <row r="48" spans="1:6" x14ac:dyDescent="0.3">
      <c r="A48" s="6">
        <v>73</v>
      </c>
      <c r="B48" s="3" t="s">
        <v>462</v>
      </c>
      <c r="C48">
        <v>9.3000000000000007</v>
      </c>
      <c r="D48" s="5">
        <v>10.5</v>
      </c>
      <c r="E48" s="5">
        <v>9.5</v>
      </c>
      <c r="F48" s="5">
        <v>8.5</v>
      </c>
    </row>
    <row r="49" spans="1:6" x14ac:dyDescent="0.3">
      <c r="A49" s="6">
        <v>74</v>
      </c>
      <c r="B49" s="3" t="s">
        <v>463</v>
      </c>
      <c r="C49">
        <v>9.1</v>
      </c>
      <c r="D49" s="5">
        <v>10.5</v>
      </c>
      <c r="E49" s="5">
        <v>9.5</v>
      </c>
      <c r="F49" s="5">
        <v>8.5</v>
      </c>
    </row>
    <row r="50" spans="1:6" x14ac:dyDescent="0.3">
      <c r="A50" s="6">
        <v>75</v>
      </c>
      <c r="B50" s="3" t="s">
        <v>464</v>
      </c>
      <c r="C50">
        <v>10.4</v>
      </c>
      <c r="D50" s="5">
        <v>10.5</v>
      </c>
      <c r="E50" s="5">
        <v>9.5</v>
      </c>
      <c r="F50" s="5">
        <v>8.5</v>
      </c>
    </row>
    <row r="51" spans="1:6" x14ac:dyDescent="0.3">
      <c r="A51" s="6">
        <v>76</v>
      </c>
      <c r="B51" s="3" t="s">
        <v>465</v>
      </c>
      <c r="C51">
        <v>9</v>
      </c>
      <c r="D51" s="5">
        <v>10.5</v>
      </c>
      <c r="E51" s="5">
        <v>9.5</v>
      </c>
      <c r="F51" s="5">
        <v>8.5</v>
      </c>
    </row>
    <row r="52" spans="1:6" x14ac:dyDescent="0.3">
      <c r="A52" s="6">
        <v>77</v>
      </c>
      <c r="B52" s="3" t="s">
        <v>466</v>
      </c>
      <c r="C52">
        <v>9</v>
      </c>
      <c r="D52" s="5">
        <v>10.5</v>
      </c>
      <c r="E52" s="5">
        <v>9.5</v>
      </c>
      <c r="F52" s="5">
        <v>8.5</v>
      </c>
    </row>
    <row r="53" spans="1:6" x14ac:dyDescent="0.3">
      <c r="A53" s="6">
        <v>78</v>
      </c>
      <c r="B53" s="3" t="s">
        <v>467</v>
      </c>
      <c r="C53">
        <v>9.5</v>
      </c>
      <c r="D53" s="5">
        <v>10.5</v>
      </c>
      <c r="E53" s="5">
        <v>9.5</v>
      </c>
      <c r="F53" s="5">
        <v>8.5</v>
      </c>
    </row>
    <row r="54" spans="1:6" x14ac:dyDescent="0.3">
      <c r="A54" s="6">
        <v>79</v>
      </c>
      <c r="B54" s="3" t="s">
        <v>468</v>
      </c>
      <c r="C54">
        <v>10</v>
      </c>
      <c r="D54" s="5">
        <v>10.5</v>
      </c>
      <c r="E54" s="5">
        <v>9.5</v>
      </c>
      <c r="F54" s="5">
        <v>8.5</v>
      </c>
    </row>
    <row r="55" spans="1:6" x14ac:dyDescent="0.3">
      <c r="A55" s="6">
        <v>80</v>
      </c>
      <c r="B55" s="3" t="s">
        <v>469</v>
      </c>
      <c r="C55">
        <v>9.8000000000000007</v>
      </c>
      <c r="D55" s="5">
        <v>10.5</v>
      </c>
      <c r="E55" s="5">
        <v>9.5</v>
      </c>
      <c r="F55" s="5">
        <v>8.5</v>
      </c>
    </row>
    <row r="56" spans="1:6" x14ac:dyDescent="0.3">
      <c r="A56" s="6">
        <v>81</v>
      </c>
      <c r="B56" s="3" t="s">
        <v>470</v>
      </c>
      <c r="C56">
        <v>10.4</v>
      </c>
      <c r="D56" s="5">
        <v>10.5</v>
      </c>
      <c r="E56" s="5">
        <v>9.5</v>
      </c>
      <c r="F56" s="5">
        <v>8.5</v>
      </c>
    </row>
    <row r="57" spans="1:6" x14ac:dyDescent="0.3">
      <c r="A57" s="6">
        <v>82</v>
      </c>
      <c r="B57" s="3" t="s">
        <v>471</v>
      </c>
      <c r="C57">
        <v>9.5</v>
      </c>
      <c r="D57" s="5">
        <v>10.5</v>
      </c>
      <c r="E57" s="5">
        <v>9.5</v>
      </c>
      <c r="F57" s="5">
        <v>8.5</v>
      </c>
    </row>
    <row r="58" spans="1:6" x14ac:dyDescent="0.3">
      <c r="A58" s="6">
        <v>83</v>
      </c>
      <c r="B58" s="3" t="s">
        <v>472</v>
      </c>
      <c r="C58">
        <v>9.9</v>
      </c>
      <c r="D58" s="5">
        <v>10.5</v>
      </c>
      <c r="E58" s="5">
        <v>9.5</v>
      </c>
      <c r="F58" s="5">
        <v>8.5</v>
      </c>
    </row>
    <row r="59" spans="1:6" x14ac:dyDescent="0.3">
      <c r="A59" s="6">
        <v>84</v>
      </c>
      <c r="B59" s="3" t="s">
        <v>473</v>
      </c>
      <c r="C59">
        <v>9.1999999999999993</v>
      </c>
      <c r="D59" s="5">
        <v>10.5</v>
      </c>
      <c r="E59" s="5">
        <v>9.5</v>
      </c>
      <c r="F59" s="5">
        <v>8.5</v>
      </c>
    </row>
    <row r="60" spans="1:6" x14ac:dyDescent="0.3">
      <c r="A60" s="6">
        <v>85</v>
      </c>
      <c r="B60" s="3" t="s">
        <v>474</v>
      </c>
      <c r="C60">
        <v>9.8000000000000007</v>
      </c>
      <c r="D60" s="5">
        <v>10.5</v>
      </c>
      <c r="E60" s="5">
        <v>9.5</v>
      </c>
      <c r="F60" s="5">
        <v>8.5</v>
      </c>
    </row>
    <row r="61" spans="1:6" x14ac:dyDescent="0.3">
      <c r="A61" s="6">
        <v>86</v>
      </c>
      <c r="B61" s="3" t="s">
        <v>475</v>
      </c>
      <c r="C61">
        <v>9.5</v>
      </c>
      <c r="D61" s="5">
        <v>10.5</v>
      </c>
      <c r="E61" s="5">
        <v>9.5</v>
      </c>
      <c r="F61" s="5">
        <v>8.5</v>
      </c>
    </row>
    <row r="62" spans="1:6" x14ac:dyDescent="0.3">
      <c r="A62" s="6">
        <v>87</v>
      </c>
      <c r="B62" s="3" t="s">
        <v>476</v>
      </c>
      <c r="C62">
        <v>10.199999999999999</v>
      </c>
      <c r="D62" s="5">
        <v>10.5</v>
      </c>
      <c r="E62" s="5">
        <v>9.5</v>
      </c>
      <c r="F62" s="5">
        <v>8.5</v>
      </c>
    </row>
    <row r="63" spans="1:6" x14ac:dyDescent="0.3">
      <c r="A63" s="6">
        <v>88</v>
      </c>
      <c r="B63" s="3" t="s">
        <v>477</v>
      </c>
      <c r="C63">
        <v>8.9</v>
      </c>
      <c r="D63" s="5">
        <v>10.5</v>
      </c>
      <c r="E63" s="5">
        <v>9.5</v>
      </c>
      <c r="F63" s="5">
        <v>8.5</v>
      </c>
    </row>
    <row r="64" spans="1:6" x14ac:dyDescent="0.3">
      <c r="A64" s="6">
        <v>89</v>
      </c>
      <c r="B64" s="3" t="s">
        <v>478</v>
      </c>
      <c r="C64">
        <v>9.1</v>
      </c>
      <c r="D64" s="5">
        <v>10.5</v>
      </c>
      <c r="E64" s="5">
        <v>9.5</v>
      </c>
      <c r="F64" s="5">
        <v>8.5</v>
      </c>
    </row>
    <row r="65" spans="1:6" x14ac:dyDescent="0.3">
      <c r="A65" s="6">
        <v>90</v>
      </c>
      <c r="B65" s="3" t="s">
        <v>479</v>
      </c>
      <c r="C65">
        <v>9.1999999999999993</v>
      </c>
      <c r="D65" s="5">
        <v>10.5</v>
      </c>
      <c r="E65" s="5">
        <v>9.5</v>
      </c>
      <c r="F65" s="5">
        <v>8.5</v>
      </c>
    </row>
    <row r="66" spans="1:6" x14ac:dyDescent="0.3">
      <c r="A66" s="6">
        <v>91</v>
      </c>
      <c r="B66" s="3" t="s">
        <v>480</v>
      </c>
      <c r="C66">
        <v>9</v>
      </c>
      <c r="D66" s="5">
        <v>10.5</v>
      </c>
      <c r="E66" s="5">
        <v>9.5</v>
      </c>
      <c r="F66" s="5">
        <v>8.5</v>
      </c>
    </row>
    <row r="67" spans="1:6" x14ac:dyDescent="0.3">
      <c r="A67" s="6">
        <v>92</v>
      </c>
      <c r="B67" s="3" t="s">
        <v>481</v>
      </c>
      <c r="C67">
        <v>9.6999999999999993</v>
      </c>
      <c r="D67" s="5">
        <v>10.5</v>
      </c>
      <c r="E67" s="5">
        <v>9.5</v>
      </c>
      <c r="F67" s="5">
        <v>8.5</v>
      </c>
    </row>
    <row r="68" spans="1:6" x14ac:dyDescent="0.3">
      <c r="A68" s="6">
        <v>93</v>
      </c>
      <c r="B68" s="3" t="s">
        <v>482</v>
      </c>
      <c r="C68">
        <v>9</v>
      </c>
      <c r="D68" s="5">
        <v>10.5</v>
      </c>
      <c r="E68" s="5">
        <v>9.5</v>
      </c>
      <c r="F68" s="5">
        <v>8.5</v>
      </c>
    </row>
    <row r="69" spans="1:6" x14ac:dyDescent="0.3">
      <c r="A69" s="6">
        <v>94</v>
      </c>
      <c r="B69" s="3" t="s">
        <v>483</v>
      </c>
      <c r="C69">
        <v>9.1</v>
      </c>
      <c r="D69" s="5">
        <v>10.5</v>
      </c>
      <c r="E69" s="5">
        <v>9.5</v>
      </c>
      <c r="F69" s="5">
        <v>8.5</v>
      </c>
    </row>
    <row r="70" spans="1:6" x14ac:dyDescent="0.3">
      <c r="A70" s="6">
        <v>95</v>
      </c>
      <c r="B70" s="3" t="s">
        <v>484</v>
      </c>
      <c r="C70">
        <v>9.6</v>
      </c>
      <c r="D70" s="5">
        <v>10.5</v>
      </c>
      <c r="E70" s="5">
        <v>9.5</v>
      </c>
      <c r="F70" s="5">
        <v>8.5</v>
      </c>
    </row>
    <row r="71" spans="1:6" x14ac:dyDescent="0.3">
      <c r="A71" s="6">
        <v>96</v>
      </c>
      <c r="B71" s="3" t="s">
        <v>485</v>
      </c>
      <c r="C71">
        <v>9.6999999999999993</v>
      </c>
      <c r="D71" s="5">
        <v>10.5</v>
      </c>
      <c r="E71" s="5">
        <v>9.5</v>
      </c>
      <c r="F71" s="5">
        <v>8.5</v>
      </c>
    </row>
    <row r="72" spans="1:6" x14ac:dyDescent="0.3">
      <c r="A72" s="6">
        <v>97</v>
      </c>
      <c r="B72" s="3" t="s">
        <v>486</v>
      </c>
      <c r="C72">
        <v>8.9</v>
      </c>
      <c r="D72" s="5">
        <v>10.5</v>
      </c>
      <c r="E72" s="5">
        <v>9.5</v>
      </c>
      <c r="F72" s="5">
        <v>8.5</v>
      </c>
    </row>
    <row r="73" spans="1:6" x14ac:dyDescent="0.3">
      <c r="A73" s="6">
        <v>98</v>
      </c>
      <c r="B73" s="3" t="s">
        <v>487</v>
      </c>
      <c r="C73">
        <v>9.1</v>
      </c>
      <c r="D73" s="5">
        <v>10.5</v>
      </c>
      <c r="E73" s="5">
        <v>9.5</v>
      </c>
      <c r="F73" s="5">
        <v>8.5</v>
      </c>
    </row>
    <row r="74" spans="1:6" x14ac:dyDescent="0.3">
      <c r="A74" s="6">
        <v>99</v>
      </c>
      <c r="B74" s="3" t="s">
        <v>488</v>
      </c>
      <c r="C74">
        <v>9.1</v>
      </c>
      <c r="D74" s="5">
        <v>10.5</v>
      </c>
      <c r="E74" s="5">
        <v>9.5</v>
      </c>
      <c r="F74" s="5">
        <v>8.5</v>
      </c>
    </row>
  </sheetData>
  <autoFilter ref="A1:H31" xr:uid="{00000000-0009-0000-0000-000005000000}"/>
  <phoneticPr fontId="2" type="noConversion"/>
  <conditionalFormatting sqref="C1:F1048576">
    <cfRule type="cellIs" dxfId="2" priority="2" operator="greaterThan">
      <formula>10.5</formula>
    </cfRule>
  </conditionalFormatting>
  <conditionalFormatting sqref="G1:G1048576">
    <cfRule type="cellIs" dxfId="1" priority="1" operator="greaterThan">
      <formula>50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rightToLeft="1" tabSelected="1" workbookViewId="0">
      <pane ySplit="1" topLeftCell="A2" activePane="bottomLeft" state="frozen"/>
      <selection pane="bottomLeft" sqref="A1:K16"/>
    </sheetView>
  </sheetViews>
  <sheetFormatPr defaultRowHeight="14.4" x14ac:dyDescent="0.3"/>
  <cols>
    <col min="1" max="1" width="12" customWidth="1"/>
    <col min="2" max="2" width="8" customWidth="1"/>
    <col min="3" max="4" width="11" customWidth="1"/>
    <col min="5" max="5" width="12" customWidth="1"/>
    <col min="6" max="6" width="11" customWidth="1"/>
    <col min="7" max="8" width="12" customWidth="1"/>
    <col min="9" max="11" width="11" customWidth="1"/>
  </cols>
  <sheetData>
    <row r="1" spans="1:11" ht="24" customHeight="1" x14ac:dyDescent="0.3">
      <c r="A1" s="1" t="s">
        <v>429</v>
      </c>
      <c r="B1" s="1" t="s">
        <v>52</v>
      </c>
      <c r="C1" s="1" t="s">
        <v>430</v>
      </c>
      <c r="D1" s="1" t="s">
        <v>431</v>
      </c>
      <c r="E1" s="1" t="s">
        <v>432</v>
      </c>
      <c r="F1" s="1" t="s">
        <v>433</v>
      </c>
      <c r="G1" s="1" t="s">
        <v>434</v>
      </c>
      <c r="H1" s="1" t="s">
        <v>435</v>
      </c>
      <c r="I1" s="1" t="s">
        <v>436</v>
      </c>
      <c r="J1" s="1" t="s">
        <v>437</v>
      </c>
      <c r="K1" s="1" t="s">
        <v>438</v>
      </c>
    </row>
    <row r="2" spans="1:11" x14ac:dyDescent="0.3">
      <c r="A2" s="10">
        <v>45352</v>
      </c>
      <c r="B2" t="s">
        <v>489</v>
      </c>
      <c r="C2">
        <v>39.4</v>
      </c>
      <c r="D2">
        <v>67.8</v>
      </c>
      <c r="E2">
        <v>2.1</v>
      </c>
      <c r="F2">
        <v>86.4</v>
      </c>
      <c r="G2">
        <v>8.8000000000000007</v>
      </c>
      <c r="H2">
        <v>18.5</v>
      </c>
      <c r="I2">
        <v>12.4</v>
      </c>
      <c r="J2">
        <v>14.2</v>
      </c>
      <c r="K2">
        <v>1.2</v>
      </c>
    </row>
    <row r="3" spans="1:11" x14ac:dyDescent="0.3">
      <c r="A3" s="10">
        <v>45352</v>
      </c>
      <c r="B3" t="s">
        <v>490</v>
      </c>
      <c r="C3">
        <v>40.1</v>
      </c>
      <c r="D3">
        <v>68.099999999999994</v>
      </c>
      <c r="E3">
        <v>1.9</v>
      </c>
      <c r="F3">
        <v>85.8</v>
      </c>
      <c r="G3">
        <v>8.6</v>
      </c>
      <c r="H3">
        <v>16.2</v>
      </c>
      <c r="I3">
        <v>11.8</v>
      </c>
      <c r="J3">
        <v>13.8</v>
      </c>
      <c r="K3">
        <v>-0.8</v>
      </c>
    </row>
    <row r="4" spans="1:11" x14ac:dyDescent="0.3">
      <c r="A4" s="10">
        <v>45352</v>
      </c>
      <c r="B4" t="s">
        <v>491</v>
      </c>
      <c r="C4">
        <v>38.799999999999997</v>
      </c>
      <c r="D4">
        <v>67.400000000000006</v>
      </c>
      <c r="E4">
        <v>2.2999999999999998</v>
      </c>
      <c r="F4">
        <v>87.1</v>
      </c>
      <c r="G4">
        <v>9.1</v>
      </c>
      <c r="H4">
        <v>24</v>
      </c>
      <c r="I4">
        <v>14.1</v>
      </c>
      <c r="J4">
        <v>15.5</v>
      </c>
      <c r="K4">
        <v>2.4</v>
      </c>
    </row>
    <row r="5" spans="1:11" x14ac:dyDescent="0.3">
      <c r="A5" s="10">
        <v>45353</v>
      </c>
      <c r="B5" t="s">
        <v>489</v>
      </c>
      <c r="C5">
        <v>39.700000000000003</v>
      </c>
      <c r="D5">
        <v>67.900000000000006</v>
      </c>
      <c r="E5">
        <v>2</v>
      </c>
      <c r="F5">
        <v>86.2</v>
      </c>
      <c r="G5">
        <v>8.6999999999999993</v>
      </c>
      <c r="H5">
        <v>17.8</v>
      </c>
      <c r="I5">
        <v>12</v>
      </c>
      <c r="J5">
        <v>14</v>
      </c>
      <c r="K5">
        <v>-1.5</v>
      </c>
    </row>
    <row r="6" spans="1:11" x14ac:dyDescent="0.3">
      <c r="A6" s="10">
        <v>45353</v>
      </c>
      <c r="B6" t="s">
        <v>490</v>
      </c>
      <c r="C6">
        <v>38.200000000000003</v>
      </c>
      <c r="D6">
        <v>67.2</v>
      </c>
      <c r="E6">
        <v>2.4</v>
      </c>
      <c r="F6">
        <v>86.9</v>
      </c>
      <c r="G6">
        <v>9.3000000000000007</v>
      </c>
      <c r="H6">
        <v>28.5</v>
      </c>
      <c r="I6">
        <v>15.3</v>
      </c>
      <c r="J6">
        <v>16.2</v>
      </c>
      <c r="K6">
        <v>3.1</v>
      </c>
    </row>
    <row r="7" spans="1:11" x14ac:dyDescent="0.3">
      <c r="A7" s="10">
        <v>45353</v>
      </c>
      <c r="B7" t="s">
        <v>491</v>
      </c>
      <c r="C7">
        <v>40.5</v>
      </c>
      <c r="D7">
        <v>68.3</v>
      </c>
      <c r="E7">
        <v>1.8</v>
      </c>
      <c r="F7">
        <v>85.4</v>
      </c>
      <c r="G7">
        <v>8.5</v>
      </c>
      <c r="H7">
        <v>15.1</v>
      </c>
      <c r="I7">
        <v>11.2</v>
      </c>
      <c r="J7">
        <v>13.5</v>
      </c>
      <c r="K7">
        <v>0.4</v>
      </c>
    </row>
    <row r="8" spans="1:11" x14ac:dyDescent="0.3">
      <c r="A8" s="10">
        <v>45354</v>
      </c>
      <c r="B8" t="s">
        <v>489</v>
      </c>
      <c r="C8">
        <v>39</v>
      </c>
      <c r="D8">
        <v>67.599999999999994</v>
      </c>
      <c r="E8">
        <v>2.2000000000000002</v>
      </c>
      <c r="F8">
        <v>86.7</v>
      </c>
      <c r="G8">
        <v>8.9</v>
      </c>
      <c r="H8">
        <v>19.399999999999999</v>
      </c>
      <c r="I8">
        <v>12.8</v>
      </c>
      <c r="J8">
        <v>14.5</v>
      </c>
      <c r="K8">
        <v>-2.1</v>
      </c>
    </row>
    <row r="9" spans="1:11" x14ac:dyDescent="0.3">
      <c r="A9" s="10">
        <v>45354</v>
      </c>
      <c r="B9" t="s">
        <v>490</v>
      </c>
      <c r="C9">
        <v>37.9</v>
      </c>
      <c r="D9">
        <v>66.8</v>
      </c>
      <c r="E9">
        <v>2.7</v>
      </c>
      <c r="F9">
        <v>87.5</v>
      </c>
      <c r="G9">
        <v>9.6</v>
      </c>
      <c r="H9">
        <v>35.200000000000003</v>
      </c>
      <c r="I9">
        <v>16.399999999999999</v>
      </c>
      <c r="J9">
        <v>17.8</v>
      </c>
      <c r="K9">
        <v>5.4</v>
      </c>
    </row>
    <row r="10" spans="1:11" x14ac:dyDescent="0.3">
      <c r="A10" s="10">
        <v>45354</v>
      </c>
      <c r="B10" t="s">
        <v>491</v>
      </c>
      <c r="C10">
        <v>39.799999999999997</v>
      </c>
      <c r="D10">
        <v>68</v>
      </c>
      <c r="E10">
        <v>2</v>
      </c>
      <c r="F10">
        <v>86</v>
      </c>
      <c r="G10">
        <v>8.6999999999999993</v>
      </c>
      <c r="H10">
        <v>18</v>
      </c>
      <c r="I10">
        <v>12.2</v>
      </c>
      <c r="J10">
        <v>14.1</v>
      </c>
      <c r="K10">
        <v>1.1000000000000001</v>
      </c>
    </row>
    <row r="11" spans="1:11" x14ac:dyDescent="0.3">
      <c r="A11" s="10">
        <v>45355</v>
      </c>
      <c r="B11" t="s">
        <v>489</v>
      </c>
      <c r="C11">
        <v>40.200000000000003</v>
      </c>
      <c r="D11">
        <v>68.2</v>
      </c>
      <c r="E11">
        <v>1.9</v>
      </c>
      <c r="F11">
        <v>85.6</v>
      </c>
      <c r="G11">
        <v>8.6</v>
      </c>
      <c r="H11">
        <v>16.5</v>
      </c>
      <c r="I11">
        <v>11.5</v>
      </c>
      <c r="J11">
        <v>13.7</v>
      </c>
      <c r="K11">
        <v>-0.6</v>
      </c>
    </row>
    <row r="12" spans="1:11" x14ac:dyDescent="0.3">
      <c r="A12" s="10">
        <v>45355</v>
      </c>
      <c r="B12" t="s">
        <v>490</v>
      </c>
      <c r="C12">
        <v>39.5</v>
      </c>
      <c r="D12">
        <v>67.7</v>
      </c>
      <c r="E12">
        <v>2.1</v>
      </c>
      <c r="F12">
        <v>86.3</v>
      </c>
      <c r="G12">
        <v>8.8000000000000007</v>
      </c>
      <c r="H12">
        <v>20.100000000000001</v>
      </c>
      <c r="I12">
        <v>13</v>
      </c>
      <c r="J12">
        <v>14.6</v>
      </c>
      <c r="K12">
        <v>1.8</v>
      </c>
    </row>
    <row r="13" spans="1:11" x14ac:dyDescent="0.3">
      <c r="A13" s="10">
        <v>45355</v>
      </c>
      <c r="B13" t="s">
        <v>491</v>
      </c>
      <c r="C13">
        <v>38.6</v>
      </c>
      <c r="D13">
        <v>67.3</v>
      </c>
      <c r="E13">
        <v>2.2999999999999998</v>
      </c>
      <c r="F13">
        <v>86.8</v>
      </c>
      <c r="G13">
        <v>9.1999999999999993</v>
      </c>
      <c r="H13">
        <v>26.4</v>
      </c>
      <c r="I13">
        <v>14.7</v>
      </c>
      <c r="J13">
        <v>15.8</v>
      </c>
      <c r="K13">
        <v>-1.9</v>
      </c>
    </row>
    <row r="14" spans="1:11" x14ac:dyDescent="0.3">
      <c r="A14" s="10">
        <v>45356</v>
      </c>
      <c r="B14" t="s">
        <v>489</v>
      </c>
      <c r="C14">
        <v>39.9</v>
      </c>
      <c r="D14">
        <v>68</v>
      </c>
      <c r="E14">
        <v>2</v>
      </c>
      <c r="F14">
        <v>86.1</v>
      </c>
      <c r="G14">
        <v>8.6999999999999993</v>
      </c>
      <c r="H14">
        <v>17</v>
      </c>
      <c r="I14">
        <v>12.1</v>
      </c>
      <c r="J14">
        <v>14</v>
      </c>
      <c r="K14">
        <v>0.9</v>
      </c>
    </row>
    <row r="15" spans="1:11" x14ac:dyDescent="0.3">
      <c r="A15" s="10">
        <v>45356</v>
      </c>
      <c r="B15" t="s">
        <v>490</v>
      </c>
      <c r="C15">
        <v>38.1</v>
      </c>
      <c r="D15">
        <v>67</v>
      </c>
      <c r="E15">
        <v>2.5</v>
      </c>
      <c r="F15">
        <v>87.2</v>
      </c>
      <c r="G15">
        <v>9.4</v>
      </c>
      <c r="H15">
        <v>31</v>
      </c>
      <c r="I15">
        <v>15.8</v>
      </c>
      <c r="J15">
        <v>16.899999999999999</v>
      </c>
      <c r="K15">
        <v>-3.8</v>
      </c>
    </row>
    <row r="16" spans="1:11" x14ac:dyDescent="0.3">
      <c r="A16" s="10">
        <v>45356</v>
      </c>
      <c r="B16" t="s">
        <v>491</v>
      </c>
      <c r="C16">
        <v>40.6</v>
      </c>
      <c r="D16">
        <v>68.400000000000006</v>
      </c>
      <c r="E16">
        <v>1.7</v>
      </c>
      <c r="F16">
        <v>85.2</v>
      </c>
      <c r="G16">
        <v>8.4</v>
      </c>
      <c r="H16">
        <v>14.8</v>
      </c>
      <c r="I16">
        <v>10.9</v>
      </c>
      <c r="J16">
        <v>13.2</v>
      </c>
      <c r="K16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09"/>
  <sheetViews>
    <sheetView rightToLeft="1" zoomScaleNormal="100"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3" width="12" customWidth="1"/>
    <col min="4" max="4" width="11" customWidth="1"/>
    <col min="5" max="5" width="12" customWidth="1"/>
    <col min="6" max="6" width="11" customWidth="1"/>
    <col min="7" max="7" width="12" customWidth="1"/>
    <col min="8" max="9" width="11" customWidth="1"/>
    <col min="10" max="10" width="13" customWidth="1"/>
    <col min="11" max="11" width="12" customWidth="1"/>
    <col min="12" max="12" width="11" customWidth="1"/>
    <col min="13" max="14" width="13" customWidth="1"/>
    <col min="15" max="15" width="11" customWidth="1"/>
    <col min="16" max="19" width="12" customWidth="1"/>
    <col min="20" max="21" width="14" customWidth="1"/>
    <col min="22" max="22" width="15" customWidth="1"/>
  </cols>
  <sheetData>
    <row r="1" spans="1:22" ht="24" customHeight="1" x14ac:dyDescent="0.3">
      <c r="A1" s="1" t="s">
        <v>67</v>
      </c>
      <c r="B1" s="1" t="s">
        <v>74</v>
      </c>
      <c r="C1" s="1" t="s">
        <v>79</v>
      </c>
      <c r="D1" s="1" t="s">
        <v>83</v>
      </c>
      <c r="E1" s="1" t="s">
        <v>88</v>
      </c>
      <c r="F1" s="1" t="s">
        <v>92</v>
      </c>
      <c r="G1" s="1" t="s">
        <v>97</v>
      </c>
      <c r="H1" s="1" t="s">
        <v>102</v>
      </c>
      <c r="I1" s="1" t="s">
        <v>107</v>
      </c>
      <c r="J1" s="1" t="s">
        <v>113</v>
      </c>
      <c r="K1" s="1" t="s">
        <v>118</v>
      </c>
      <c r="L1" s="1" t="s">
        <v>122</v>
      </c>
      <c r="M1" s="1" t="s">
        <v>127</v>
      </c>
      <c r="N1" s="1" t="s">
        <v>131</v>
      </c>
      <c r="O1" s="1" t="s">
        <v>136</v>
      </c>
      <c r="P1" s="1" t="s">
        <v>141</v>
      </c>
      <c r="Q1" s="1" t="s">
        <v>146</v>
      </c>
      <c r="R1" s="1" t="s">
        <v>150</v>
      </c>
      <c r="S1" s="1" t="s">
        <v>156</v>
      </c>
      <c r="T1" s="1" t="s">
        <v>162</v>
      </c>
      <c r="U1" s="1" t="s">
        <v>168</v>
      </c>
      <c r="V1" s="1" t="s">
        <v>214</v>
      </c>
    </row>
    <row r="2" spans="1:22" x14ac:dyDescent="0.3">
      <c r="A2" s="5">
        <v>629</v>
      </c>
      <c r="B2" s="5">
        <v>32.799999999999997</v>
      </c>
      <c r="C2" s="5">
        <v>67.2</v>
      </c>
      <c r="D2" s="5">
        <v>37.76</v>
      </c>
      <c r="E2" s="5">
        <v>44.65</v>
      </c>
      <c r="F2" s="5">
        <v>104.3</v>
      </c>
      <c r="G2" s="5">
        <v>13</v>
      </c>
      <c r="H2" s="5">
        <v>83</v>
      </c>
      <c r="I2" s="5">
        <v>143</v>
      </c>
      <c r="J2" s="5">
        <v>22.1</v>
      </c>
      <c r="K2" s="5">
        <v>49.4</v>
      </c>
      <c r="L2" s="2"/>
      <c r="M2" s="2"/>
      <c r="N2" s="2"/>
      <c r="O2" s="2"/>
      <c r="P2" s="2"/>
      <c r="Q2" s="2"/>
      <c r="R2" s="2"/>
      <c r="S2" s="2"/>
      <c r="T2" s="5">
        <v>152</v>
      </c>
      <c r="U2" s="5">
        <v>29.9</v>
      </c>
      <c r="V2" s="5">
        <v>10.199999999999999</v>
      </c>
    </row>
    <row r="3" spans="1:22" x14ac:dyDescent="0.3">
      <c r="A3" s="7">
        <v>592.29999999999995</v>
      </c>
      <c r="B3" s="7">
        <v>33.700000000000003</v>
      </c>
      <c r="C3" s="7">
        <v>66.3</v>
      </c>
      <c r="D3" s="7">
        <v>38.590000000000003</v>
      </c>
      <c r="E3" s="7">
        <v>43.84</v>
      </c>
      <c r="F3" s="7">
        <v>92.1</v>
      </c>
      <c r="G3" s="7">
        <v>10.4</v>
      </c>
      <c r="H3" s="7">
        <v>85.4</v>
      </c>
      <c r="I3" s="7">
        <v>145</v>
      </c>
      <c r="J3" s="7">
        <v>22.8</v>
      </c>
      <c r="K3" s="7">
        <v>45.7</v>
      </c>
      <c r="L3" s="3"/>
      <c r="M3" s="3"/>
      <c r="N3" s="3"/>
      <c r="O3" s="3"/>
      <c r="P3" s="3"/>
      <c r="Q3" s="3"/>
      <c r="R3" s="3"/>
      <c r="S3" s="3"/>
      <c r="T3" s="7">
        <v>239</v>
      </c>
      <c r="U3" s="7">
        <v>38.200000000000003</v>
      </c>
      <c r="V3" s="7">
        <v>8.9</v>
      </c>
    </row>
    <row r="4" spans="1:22" x14ac:dyDescent="0.3">
      <c r="A4" s="5">
        <v>665.3</v>
      </c>
      <c r="B4" s="5">
        <v>34.1</v>
      </c>
      <c r="C4" s="5">
        <v>65.900000000000006</v>
      </c>
      <c r="D4" s="5">
        <v>37.979999999999997</v>
      </c>
      <c r="E4" s="5">
        <v>44.95</v>
      </c>
      <c r="F4" s="5">
        <v>100.2</v>
      </c>
      <c r="G4" s="5">
        <v>11.8</v>
      </c>
      <c r="H4" s="5">
        <v>87.7</v>
      </c>
      <c r="I4" s="5">
        <v>157</v>
      </c>
      <c r="J4" s="5">
        <v>21.1</v>
      </c>
      <c r="K4" s="5">
        <v>49.3</v>
      </c>
      <c r="L4" s="2"/>
      <c r="M4" s="2"/>
      <c r="N4" s="2"/>
      <c r="O4" s="2"/>
      <c r="P4" s="2"/>
      <c r="Q4" s="2"/>
      <c r="R4" s="2"/>
      <c r="S4" s="2"/>
      <c r="T4" s="5">
        <v>143</v>
      </c>
      <c r="U4" s="5">
        <v>18.2</v>
      </c>
      <c r="V4" s="5">
        <v>9.1</v>
      </c>
    </row>
    <row r="5" spans="1:22" x14ac:dyDescent="0.3">
      <c r="A5" s="7">
        <v>574.29999999999995</v>
      </c>
      <c r="B5" s="7">
        <v>36</v>
      </c>
      <c r="C5" s="7">
        <v>64</v>
      </c>
      <c r="D5" s="7">
        <v>39.659999999999997</v>
      </c>
      <c r="E5" s="7">
        <v>42.44</v>
      </c>
      <c r="F5" s="7">
        <v>102.9</v>
      </c>
      <c r="G5" s="7">
        <v>10.6</v>
      </c>
      <c r="H5" s="7">
        <v>81.099999999999994</v>
      </c>
      <c r="I5" s="7">
        <v>148</v>
      </c>
      <c r="J5" s="7">
        <v>20.6</v>
      </c>
      <c r="K5" s="7">
        <v>53.2</v>
      </c>
      <c r="L5" s="3"/>
      <c r="M5" s="3"/>
      <c r="N5" s="3"/>
      <c r="O5" s="3"/>
      <c r="P5" s="3"/>
      <c r="Q5" s="3"/>
      <c r="R5" s="3"/>
      <c r="S5" s="3"/>
      <c r="T5" s="7">
        <v>226</v>
      </c>
      <c r="U5" s="7">
        <v>15.2</v>
      </c>
      <c r="V5" s="7">
        <v>9.1999999999999993</v>
      </c>
    </row>
    <row r="6" spans="1:22" x14ac:dyDescent="0.3">
      <c r="A6" s="5">
        <v>629.20000000000005</v>
      </c>
      <c r="B6" s="5">
        <v>34.299999999999997</v>
      </c>
      <c r="C6" s="5">
        <v>65.7</v>
      </c>
      <c r="D6" s="5">
        <v>37.71</v>
      </c>
      <c r="E6" s="5">
        <v>46.4</v>
      </c>
      <c r="F6" s="5">
        <v>103.2</v>
      </c>
      <c r="G6" s="5">
        <v>10.199999999999999</v>
      </c>
      <c r="H6" s="5">
        <v>81.400000000000006</v>
      </c>
      <c r="I6" s="5">
        <v>157</v>
      </c>
      <c r="J6" s="5">
        <v>23.9</v>
      </c>
      <c r="K6" s="5">
        <v>47.4</v>
      </c>
      <c r="L6" s="2"/>
      <c r="M6" s="2"/>
      <c r="N6" s="2"/>
      <c r="O6" s="2"/>
      <c r="P6" s="2"/>
      <c r="Q6" s="2"/>
      <c r="R6" s="2"/>
      <c r="S6" s="2"/>
      <c r="T6" s="5">
        <v>207</v>
      </c>
      <c r="U6" s="5">
        <v>37.799999999999997</v>
      </c>
      <c r="V6" s="5">
        <v>9</v>
      </c>
    </row>
    <row r="7" spans="1:22" x14ac:dyDescent="0.3">
      <c r="A7" s="7">
        <v>572.70000000000005</v>
      </c>
      <c r="B7" s="7">
        <v>35.1</v>
      </c>
      <c r="C7" s="7">
        <v>64.900000000000006</v>
      </c>
      <c r="D7" s="7">
        <v>39.049999999999997</v>
      </c>
      <c r="E7" s="7">
        <v>42.94</v>
      </c>
      <c r="F7" s="7">
        <v>87.8</v>
      </c>
      <c r="G7" s="7">
        <v>10.7</v>
      </c>
      <c r="H7" s="7">
        <v>81.099999999999994</v>
      </c>
      <c r="I7" s="7">
        <v>172</v>
      </c>
      <c r="J7" s="7">
        <v>23.3</v>
      </c>
      <c r="K7" s="7">
        <v>47.6</v>
      </c>
      <c r="L7" s="3"/>
      <c r="M7" s="3"/>
      <c r="N7" s="3"/>
      <c r="O7" s="3"/>
      <c r="P7" s="3"/>
      <c r="Q7" s="3"/>
      <c r="R7" s="3"/>
      <c r="S7" s="3"/>
      <c r="T7" s="7">
        <v>206</v>
      </c>
      <c r="U7" s="7">
        <v>39.5</v>
      </c>
      <c r="V7" s="7">
        <v>9.6999999999999993</v>
      </c>
    </row>
    <row r="8" spans="1:22" x14ac:dyDescent="0.3">
      <c r="A8" s="5">
        <v>628.79999999999995</v>
      </c>
      <c r="B8" s="5">
        <v>32</v>
      </c>
      <c r="C8" s="5">
        <v>68</v>
      </c>
      <c r="D8" s="5">
        <v>37.909999999999997</v>
      </c>
      <c r="E8" s="5">
        <v>45.17</v>
      </c>
      <c r="F8" s="5">
        <v>85.1</v>
      </c>
      <c r="G8" s="5">
        <v>9.8000000000000007</v>
      </c>
      <c r="H8" s="5">
        <v>85.5</v>
      </c>
      <c r="I8" s="5">
        <v>164</v>
      </c>
      <c r="J8" s="5">
        <v>21.9</v>
      </c>
      <c r="K8" s="5">
        <v>47.2</v>
      </c>
      <c r="L8" s="2"/>
      <c r="M8" s="2"/>
      <c r="N8" s="2"/>
      <c r="O8" s="2"/>
      <c r="P8" s="2"/>
      <c r="Q8" s="2"/>
      <c r="R8" s="2"/>
      <c r="S8" s="2"/>
      <c r="T8" s="5">
        <v>211</v>
      </c>
      <c r="U8" s="5">
        <v>22.1</v>
      </c>
      <c r="V8" s="5">
        <v>9</v>
      </c>
    </row>
    <row r="9" spans="1:22" x14ac:dyDescent="0.3">
      <c r="A9" s="7">
        <v>614</v>
      </c>
      <c r="B9" s="7">
        <v>32.9</v>
      </c>
      <c r="C9" s="7">
        <v>67.099999999999994</v>
      </c>
      <c r="D9" s="7">
        <v>40.39</v>
      </c>
      <c r="E9" s="7">
        <v>42.77</v>
      </c>
      <c r="F9" s="7">
        <v>85.5</v>
      </c>
      <c r="G9" s="7">
        <v>12.2</v>
      </c>
      <c r="H9" s="7">
        <v>81.8</v>
      </c>
      <c r="I9" s="7">
        <v>173</v>
      </c>
      <c r="J9" s="7">
        <v>23.7</v>
      </c>
      <c r="K9" s="7">
        <v>54.1</v>
      </c>
      <c r="L9" s="3"/>
      <c r="M9" s="3"/>
      <c r="N9" s="3"/>
      <c r="O9" s="3"/>
      <c r="P9" s="3"/>
      <c r="Q9" s="3"/>
      <c r="R9" s="3"/>
      <c r="S9" s="3"/>
      <c r="T9" s="7">
        <v>177</v>
      </c>
      <c r="U9" s="7">
        <v>15.5</v>
      </c>
      <c r="V9" s="7">
        <v>9.1</v>
      </c>
    </row>
    <row r="10" spans="1:22" x14ac:dyDescent="0.3">
      <c r="A10" s="5">
        <v>568.20000000000005</v>
      </c>
      <c r="B10" s="5">
        <v>34.299999999999997</v>
      </c>
      <c r="C10" s="5">
        <v>65.7</v>
      </c>
      <c r="D10" s="5">
        <v>41.01</v>
      </c>
      <c r="E10" s="5">
        <v>40.79</v>
      </c>
      <c r="F10" s="5">
        <v>98.9</v>
      </c>
      <c r="G10" s="5">
        <v>12.5</v>
      </c>
      <c r="H10" s="5">
        <v>83.6</v>
      </c>
      <c r="I10" s="5">
        <v>150</v>
      </c>
      <c r="J10" s="5">
        <v>22.9</v>
      </c>
      <c r="K10" s="5">
        <v>53.1</v>
      </c>
      <c r="L10" s="2"/>
      <c r="M10" s="2"/>
      <c r="N10" s="2"/>
      <c r="O10" s="2"/>
      <c r="P10" s="2"/>
      <c r="Q10" s="2"/>
      <c r="R10" s="2"/>
      <c r="S10" s="2"/>
      <c r="T10" s="5">
        <v>227</v>
      </c>
      <c r="U10" s="5">
        <v>42.4</v>
      </c>
      <c r="V10" s="5">
        <v>9.6</v>
      </c>
    </row>
    <row r="11" spans="1:22" x14ac:dyDescent="0.3">
      <c r="A11" s="7">
        <v>554.9</v>
      </c>
      <c r="B11" s="7">
        <v>35.700000000000003</v>
      </c>
      <c r="C11" s="7">
        <v>64.3</v>
      </c>
      <c r="D11" s="7">
        <v>38.94</v>
      </c>
      <c r="E11" s="7">
        <v>45.11</v>
      </c>
      <c r="F11" s="7">
        <v>95.4</v>
      </c>
      <c r="G11" s="7">
        <v>12.8</v>
      </c>
      <c r="H11" s="7">
        <v>82.2</v>
      </c>
      <c r="I11" s="7">
        <v>162</v>
      </c>
      <c r="J11" s="7">
        <v>18.5</v>
      </c>
      <c r="K11" s="7">
        <v>45.5</v>
      </c>
      <c r="L11" s="3"/>
      <c r="M11" s="3"/>
      <c r="N11" s="3"/>
      <c r="O11" s="3"/>
      <c r="P11" s="3"/>
      <c r="Q11" s="3"/>
      <c r="R11" s="3"/>
      <c r="S11" s="3"/>
      <c r="T11" s="7">
        <v>193</v>
      </c>
      <c r="U11" s="7">
        <v>31.2</v>
      </c>
      <c r="V11" s="7">
        <v>9.6999999999999993</v>
      </c>
    </row>
    <row r="12" spans="1:22" x14ac:dyDescent="0.3">
      <c r="A12" s="5">
        <v>621.4</v>
      </c>
      <c r="B12" s="5">
        <v>35.200000000000003</v>
      </c>
      <c r="C12" s="5">
        <v>64.8</v>
      </c>
      <c r="D12" s="5">
        <v>40.14</v>
      </c>
      <c r="E12" s="5">
        <v>43.11</v>
      </c>
      <c r="F12" s="5">
        <v>104.1</v>
      </c>
      <c r="G12" s="5">
        <v>12.7</v>
      </c>
      <c r="H12" s="5">
        <v>85.5</v>
      </c>
      <c r="I12" s="5">
        <v>161</v>
      </c>
      <c r="J12" s="5">
        <v>20.5</v>
      </c>
      <c r="K12" s="5">
        <v>47.5</v>
      </c>
      <c r="L12" s="2"/>
      <c r="M12" s="2"/>
      <c r="N12" s="2"/>
      <c r="O12" s="2"/>
      <c r="P12" s="2"/>
      <c r="Q12" s="2"/>
      <c r="R12" s="2"/>
      <c r="S12" s="2"/>
      <c r="T12" s="5">
        <v>176</v>
      </c>
      <c r="U12" s="5">
        <v>37.700000000000003</v>
      </c>
      <c r="V12" s="5">
        <v>8.9</v>
      </c>
    </row>
    <row r="13" spans="1:22" x14ac:dyDescent="0.3">
      <c r="A13" s="7">
        <v>631.4</v>
      </c>
      <c r="B13" s="7">
        <v>34.299999999999997</v>
      </c>
      <c r="C13" s="7">
        <v>65.7</v>
      </c>
      <c r="D13" s="7">
        <v>40.93</v>
      </c>
      <c r="E13" s="7">
        <v>41.1</v>
      </c>
      <c r="F13" s="7">
        <v>88.3</v>
      </c>
      <c r="G13" s="7">
        <v>9.4</v>
      </c>
      <c r="H13" s="7">
        <v>86.4</v>
      </c>
      <c r="I13" s="7">
        <v>141</v>
      </c>
      <c r="J13" s="7">
        <v>21.5</v>
      </c>
      <c r="K13" s="7">
        <v>54.4</v>
      </c>
      <c r="L13" s="3"/>
      <c r="M13" s="3"/>
      <c r="N13" s="3"/>
      <c r="O13" s="3"/>
      <c r="P13" s="3"/>
      <c r="Q13" s="3"/>
      <c r="R13" s="3"/>
      <c r="S13" s="3"/>
      <c r="T13" s="7">
        <v>198</v>
      </c>
      <c r="U13" s="7">
        <v>26.6</v>
      </c>
      <c r="V13" s="7">
        <v>9.1</v>
      </c>
    </row>
    <row r="14" spans="1:22" x14ac:dyDescent="0.3">
      <c r="A14" s="5">
        <v>655.9</v>
      </c>
      <c r="B14" s="5">
        <v>33.299999999999997</v>
      </c>
      <c r="C14" s="5">
        <v>66.7</v>
      </c>
      <c r="D14" s="5">
        <v>36.78</v>
      </c>
      <c r="E14" s="5">
        <v>46.78</v>
      </c>
      <c r="F14" s="5">
        <v>102.5</v>
      </c>
      <c r="G14" s="5">
        <v>12.7</v>
      </c>
      <c r="H14" s="5">
        <v>88</v>
      </c>
      <c r="I14" s="5">
        <v>150</v>
      </c>
      <c r="J14" s="5">
        <v>19.100000000000001</v>
      </c>
      <c r="K14" s="5">
        <v>52.5</v>
      </c>
      <c r="L14" s="2"/>
      <c r="M14" s="2"/>
      <c r="N14" s="2"/>
      <c r="O14" s="2"/>
      <c r="P14" s="2"/>
      <c r="Q14" s="2"/>
      <c r="R14" s="2"/>
      <c r="S14" s="2"/>
      <c r="T14" s="5">
        <v>221</v>
      </c>
      <c r="U14" s="5">
        <v>44.7</v>
      </c>
      <c r="V14" s="5">
        <v>9.1</v>
      </c>
    </row>
    <row r="15" spans="1:22" x14ac:dyDescent="0.3">
      <c r="A15" s="7">
        <v>667.7</v>
      </c>
      <c r="B15" s="7">
        <v>32.4</v>
      </c>
      <c r="C15" s="7">
        <v>67.599999999999994</v>
      </c>
      <c r="D15" s="7">
        <v>37.33</v>
      </c>
      <c r="E15" s="7">
        <v>45.23</v>
      </c>
      <c r="F15" s="7">
        <v>96.5</v>
      </c>
      <c r="G15" s="7">
        <v>12.2</v>
      </c>
      <c r="H15" s="7">
        <v>84.5</v>
      </c>
      <c r="I15" s="7">
        <v>150</v>
      </c>
      <c r="J15" s="7">
        <v>20</v>
      </c>
      <c r="K15" s="7">
        <v>51.7</v>
      </c>
      <c r="L15" s="3"/>
      <c r="M15" s="3"/>
      <c r="N15" s="3"/>
      <c r="O15" s="3"/>
      <c r="P15" s="3"/>
      <c r="Q15" s="3"/>
      <c r="R15" s="3"/>
      <c r="S15" s="3"/>
      <c r="T15" s="7">
        <v>215</v>
      </c>
      <c r="U15" s="7">
        <v>38.700000000000003</v>
      </c>
      <c r="V15" s="7">
        <v>9.1</v>
      </c>
    </row>
    <row r="16" spans="1:22" x14ac:dyDescent="0.3">
      <c r="A16" s="5">
        <v>641.79999999999995</v>
      </c>
      <c r="B16" s="5">
        <v>32.4</v>
      </c>
      <c r="C16" s="5">
        <v>67.599999999999994</v>
      </c>
      <c r="D16" s="5">
        <v>36.35</v>
      </c>
      <c r="E16" s="5">
        <v>47.99</v>
      </c>
      <c r="F16" s="5">
        <v>92.4</v>
      </c>
      <c r="G16" s="5">
        <v>13.1</v>
      </c>
      <c r="H16" s="5">
        <v>89.5</v>
      </c>
      <c r="I16" s="5">
        <v>175</v>
      </c>
      <c r="J16" s="5">
        <v>22.5</v>
      </c>
      <c r="K16" s="5">
        <v>48.8</v>
      </c>
      <c r="L16" s="2"/>
      <c r="M16" s="2"/>
      <c r="N16" s="2"/>
      <c r="O16" s="2"/>
      <c r="P16" s="2"/>
      <c r="Q16" s="2"/>
      <c r="R16" s="2"/>
      <c r="S16" s="2"/>
      <c r="T16" s="5">
        <v>148</v>
      </c>
      <c r="U16" s="5">
        <v>38.299999999999997</v>
      </c>
      <c r="V16" s="5">
        <v>8.9</v>
      </c>
    </row>
    <row r="17" spans="1:22" x14ac:dyDescent="0.3">
      <c r="A17" s="7">
        <v>579.1</v>
      </c>
      <c r="B17" s="7">
        <v>36.299999999999997</v>
      </c>
      <c r="C17" s="7">
        <v>63.7</v>
      </c>
      <c r="D17" s="7">
        <v>36.08</v>
      </c>
      <c r="E17" s="7">
        <v>49.19</v>
      </c>
      <c r="F17" s="7">
        <v>102.8</v>
      </c>
      <c r="G17" s="7">
        <v>11.6</v>
      </c>
      <c r="H17" s="7">
        <v>89.9</v>
      </c>
      <c r="I17" s="7">
        <v>143</v>
      </c>
      <c r="J17" s="7">
        <v>21.3</v>
      </c>
      <c r="K17" s="7">
        <v>54.7</v>
      </c>
      <c r="L17" s="3"/>
      <c r="M17" s="3"/>
      <c r="N17" s="3"/>
      <c r="O17" s="3"/>
      <c r="P17" s="3"/>
      <c r="Q17" s="3"/>
      <c r="R17" s="3"/>
      <c r="S17" s="3"/>
      <c r="T17" s="7">
        <v>192</v>
      </c>
      <c r="U17" s="7">
        <v>33.9</v>
      </c>
      <c r="V17" s="7">
        <v>9.1999999999999993</v>
      </c>
    </row>
    <row r="18" spans="1:22" x14ac:dyDescent="0.3">
      <c r="A18" s="5">
        <v>676.7</v>
      </c>
      <c r="B18" s="5">
        <v>36.4</v>
      </c>
      <c r="C18" s="5">
        <v>63.6</v>
      </c>
      <c r="D18" s="5">
        <v>39.26</v>
      </c>
      <c r="E18" s="5">
        <v>44.23</v>
      </c>
      <c r="F18" s="5">
        <v>101.3</v>
      </c>
      <c r="G18" s="5">
        <v>12.4</v>
      </c>
      <c r="H18" s="5">
        <v>81.599999999999994</v>
      </c>
      <c r="I18" s="5">
        <v>172</v>
      </c>
      <c r="J18" s="5">
        <v>22.9</v>
      </c>
      <c r="K18" s="5">
        <v>54.5</v>
      </c>
      <c r="L18" s="2"/>
      <c r="M18" s="2"/>
      <c r="N18" s="2"/>
      <c r="O18" s="2"/>
      <c r="P18" s="2"/>
      <c r="Q18" s="2"/>
      <c r="R18" s="2"/>
      <c r="S18" s="2"/>
      <c r="T18" s="5">
        <v>213</v>
      </c>
      <c r="U18" s="5">
        <v>33.4</v>
      </c>
      <c r="V18" s="5">
        <v>9.3000000000000007</v>
      </c>
    </row>
    <row r="19" spans="1:22" x14ac:dyDescent="0.3">
      <c r="A19" s="7">
        <v>557.29999999999995</v>
      </c>
      <c r="B19" s="7">
        <v>35.9</v>
      </c>
      <c r="C19" s="7">
        <v>64.099999999999994</v>
      </c>
      <c r="D19" s="7">
        <v>39.25</v>
      </c>
      <c r="E19" s="7">
        <v>42.52</v>
      </c>
      <c r="F19" s="7">
        <v>96.1</v>
      </c>
      <c r="G19" s="7">
        <v>12.8</v>
      </c>
      <c r="H19" s="7">
        <v>89.4</v>
      </c>
      <c r="I19" s="7">
        <v>170</v>
      </c>
      <c r="J19" s="7">
        <v>19.5</v>
      </c>
      <c r="K19" s="7">
        <v>49.5</v>
      </c>
      <c r="L19" s="3"/>
      <c r="M19" s="3"/>
      <c r="N19" s="3"/>
      <c r="O19" s="3"/>
      <c r="P19" s="3"/>
      <c r="Q19" s="3"/>
      <c r="R19" s="3"/>
      <c r="S19" s="3"/>
      <c r="T19" s="7">
        <v>153</v>
      </c>
      <c r="U19" s="7">
        <v>43.6</v>
      </c>
      <c r="V19" s="7">
        <v>9.1</v>
      </c>
    </row>
    <row r="20" spans="1:22" x14ac:dyDescent="0.3">
      <c r="A20" s="5">
        <v>648.20000000000005</v>
      </c>
      <c r="B20" s="5">
        <v>34.799999999999997</v>
      </c>
      <c r="C20" s="5">
        <v>65.2</v>
      </c>
      <c r="D20" s="5">
        <v>39.6</v>
      </c>
      <c r="E20" s="5">
        <v>44.19</v>
      </c>
      <c r="F20" s="5">
        <v>85.3</v>
      </c>
      <c r="G20" s="5">
        <v>10.8</v>
      </c>
      <c r="H20" s="5">
        <v>85.9</v>
      </c>
      <c r="I20" s="5">
        <v>154</v>
      </c>
      <c r="J20" s="5">
        <v>20.6</v>
      </c>
      <c r="K20" s="5">
        <v>54</v>
      </c>
      <c r="L20" s="2"/>
      <c r="M20" s="2"/>
      <c r="N20" s="2"/>
      <c r="O20" s="2"/>
      <c r="P20" s="2"/>
      <c r="Q20" s="2"/>
      <c r="R20" s="2"/>
      <c r="S20" s="2"/>
      <c r="T20" s="5">
        <v>175</v>
      </c>
      <c r="U20" s="5">
        <v>30.4</v>
      </c>
      <c r="V20" s="5">
        <v>10.4</v>
      </c>
    </row>
    <row r="21" spans="1:22" x14ac:dyDescent="0.3">
      <c r="A21" s="7">
        <v>566.6</v>
      </c>
      <c r="B21" s="7">
        <v>32.700000000000003</v>
      </c>
      <c r="C21" s="7">
        <v>67.3</v>
      </c>
      <c r="D21" s="7">
        <v>36.909999999999997</v>
      </c>
      <c r="E21" s="7">
        <v>47.71</v>
      </c>
      <c r="F21" s="7">
        <v>91.9</v>
      </c>
      <c r="G21" s="7">
        <v>13.5</v>
      </c>
      <c r="H21" s="7">
        <v>84.7</v>
      </c>
      <c r="I21" s="7">
        <v>163</v>
      </c>
      <c r="J21" s="7">
        <v>19</v>
      </c>
      <c r="K21" s="7">
        <v>46.9</v>
      </c>
      <c r="L21" s="3"/>
      <c r="M21" s="3"/>
      <c r="N21" s="3"/>
      <c r="O21" s="3"/>
      <c r="P21" s="3"/>
      <c r="Q21" s="3"/>
      <c r="R21" s="3"/>
      <c r="S21" s="3"/>
      <c r="T21" s="7">
        <v>144</v>
      </c>
      <c r="U21" s="7">
        <v>20.100000000000001</v>
      </c>
      <c r="V21" s="7">
        <v>9</v>
      </c>
    </row>
    <row r="22" spans="1:22" x14ac:dyDescent="0.3">
      <c r="A22" s="5">
        <v>654.79999999999995</v>
      </c>
      <c r="B22" s="5">
        <v>35.4</v>
      </c>
      <c r="C22" s="5">
        <v>64.599999999999994</v>
      </c>
      <c r="D22" s="5">
        <v>37.53</v>
      </c>
      <c r="E22" s="5">
        <v>46.41</v>
      </c>
      <c r="F22" s="5">
        <v>94.7</v>
      </c>
      <c r="G22" s="5">
        <v>12.1</v>
      </c>
      <c r="H22" s="5">
        <v>83.7</v>
      </c>
      <c r="I22" s="5">
        <v>156</v>
      </c>
      <c r="J22" s="5">
        <v>22.5</v>
      </c>
      <c r="K22" s="5">
        <v>45.4</v>
      </c>
      <c r="L22" s="2"/>
      <c r="M22" s="2"/>
      <c r="N22" s="2"/>
      <c r="O22" s="2"/>
      <c r="P22" s="2"/>
      <c r="Q22" s="2"/>
      <c r="R22" s="2"/>
      <c r="S22" s="2"/>
      <c r="T22" s="5">
        <v>165</v>
      </c>
      <c r="U22" s="5">
        <v>36.4</v>
      </c>
      <c r="V22" s="5">
        <v>9</v>
      </c>
    </row>
    <row r="23" spans="1:22" x14ac:dyDescent="0.3">
      <c r="A23" s="7">
        <v>652.6</v>
      </c>
      <c r="B23" s="7">
        <v>34.200000000000003</v>
      </c>
      <c r="C23" s="7">
        <v>65.8</v>
      </c>
      <c r="D23" s="7">
        <v>36.81</v>
      </c>
      <c r="E23" s="7">
        <v>46.84</v>
      </c>
      <c r="F23" s="7">
        <v>99.9</v>
      </c>
      <c r="G23" s="7">
        <v>11.2</v>
      </c>
      <c r="H23" s="7">
        <v>81.3</v>
      </c>
      <c r="I23" s="7">
        <v>150</v>
      </c>
      <c r="J23" s="7">
        <v>20.2</v>
      </c>
      <c r="K23" s="7">
        <v>51.5</v>
      </c>
      <c r="L23" s="3"/>
      <c r="M23" s="3"/>
      <c r="N23" s="3"/>
      <c r="O23" s="3"/>
      <c r="P23" s="3"/>
      <c r="Q23" s="3"/>
      <c r="R23" s="3"/>
      <c r="S23" s="3"/>
      <c r="T23" s="7">
        <v>197</v>
      </c>
      <c r="U23" s="7">
        <v>25.7</v>
      </c>
      <c r="V23" s="7">
        <v>9.5</v>
      </c>
    </row>
    <row r="24" spans="1:22" x14ac:dyDescent="0.3">
      <c r="A24" s="5">
        <v>676</v>
      </c>
      <c r="B24" s="5">
        <v>35.9</v>
      </c>
      <c r="C24" s="5">
        <v>64.099999999999994</v>
      </c>
      <c r="D24" s="5">
        <v>40.01</v>
      </c>
      <c r="E24" s="5">
        <v>43.56</v>
      </c>
      <c r="F24" s="5">
        <v>98.4</v>
      </c>
      <c r="G24" s="5">
        <v>13.6</v>
      </c>
      <c r="H24" s="5">
        <v>85.6</v>
      </c>
      <c r="I24" s="5">
        <v>160</v>
      </c>
      <c r="J24" s="5">
        <v>19.7</v>
      </c>
      <c r="K24" s="5">
        <v>52.7</v>
      </c>
      <c r="L24" s="2"/>
      <c r="M24" s="2"/>
      <c r="N24" s="2"/>
      <c r="O24" s="2"/>
      <c r="P24" s="2"/>
      <c r="Q24" s="2"/>
      <c r="R24" s="2"/>
      <c r="S24" s="2"/>
      <c r="T24" s="5">
        <v>159</v>
      </c>
      <c r="U24" s="5">
        <v>24.7</v>
      </c>
      <c r="V24" s="5">
        <v>10</v>
      </c>
    </row>
    <row r="25" spans="1:22" x14ac:dyDescent="0.3">
      <c r="A25" s="7">
        <v>583.1</v>
      </c>
      <c r="B25" s="7">
        <v>35.1</v>
      </c>
      <c r="C25" s="7">
        <v>64.900000000000006</v>
      </c>
      <c r="D25" s="7">
        <v>39.450000000000003</v>
      </c>
      <c r="E25" s="7">
        <v>43.57</v>
      </c>
      <c r="F25" s="7">
        <v>93.2</v>
      </c>
      <c r="G25" s="7">
        <v>10.7</v>
      </c>
      <c r="H25" s="7">
        <v>89.3</v>
      </c>
      <c r="I25" s="7">
        <v>169</v>
      </c>
      <c r="J25" s="7">
        <v>23.8</v>
      </c>
      <c r="K25" s="7">
        <v>46.2</v>
      </c>
      <c r="L25" s="3"/>
      <c r="M25" s="3"/>
      <c r="N25" s="3"/>
      <c r="O25" s="3"/>
      <c r="P25" s="3"/>
      <c r="Q25" s="3"/>
      <c r="R25" s="3"/>
      <c r="S25" s="3"/>
      <c r="T25" s="7">
        <v>213</v>
      </c>
      <c r="U25" s="7">
        <v>43.2</v>
      </c>
      <c r="V25" s="7">
        <v>9.8000000000000007</v>
      </c>
    </row>
    <row r="26" spans="1:22" x14ac:dyDescent="0.3">
      <c r="A26" s="5">
        <v>607.1</v>
      </c>
      <c r="B26" s="5">
        <v>33.700000000000003</v>
      </c>
      <c r="C26" s="5">
        <v>66.3</v>
      </c>
      <c r="D26" s="5">
        <v>40.15</v>
      </c>
      <c r="E26" s="5">
        <v>41.93</v>
      </c>
      <c r="F26" s="5">
        <v>95.1</v>
      </c>
      <c r="G26" s="5">
        <v>10.199999999999999</v>
      </c>
      <c r="H26" s="5">
        <v>89</v>
      </c>
      <c r="I26" s="5">
        <v>153</v>
      </c>
      <c r="J26" s="5">
        <v>21.3</v>
      </c>
      <c r="K26" s="5">
        <v>54.1</v>
      </c>
      <c r="L26" s="2"/>
      <c r="M26" s="2"/>
      <c r="N26" s="2"/>
      <c r="O26" s="2"/>
      <c r="P26" s="2"/>
      <c r="Q26" s="2"/>
      <c r="R26" s="2"/>
      <c r="S26" s="2"/>
      <c r="T26" s="5">
        <v>202</v>
      </c>
      <c r="U26" s="5">
        <v>18.5</v>
      </c>
      <c r="V26" s="5">
        <v>10.4</v>
      </c>
    </row>
    <row r="27" spans="1:22" x14ac:dyDescent="0.3">
      <c r="A27" s="7">
        <v>594.5</v>
      </c>
      <c r="B27" s="7">
        <v>35.700000000000003</v>
      </c>
      <c r="C27" s="7">
        <v>64.3</v>
      </c>
      <c r="D27" s="7">
        <v>39.29</v>
      </c>
      <c r="E27" s="7">
        <v>44.64</v>
      </c>
      <c r="F27" s="7">
        <v>92.9</v>
      </c>
      <c r="G27" s="7">
        <v>13</v>
      </c>
      <c r="H27" s="7">
        <v>81.5</v>
      </c>
      <c r="I27" s="7">
        <v>148</v>
      </c>
      <c r="J27" s="7">
        <v>22.3</v>
      </c>
      <c r="K27" s="7">
        <v>52.2</v>
      </c>
      <c r="L27" s="3"/>
      <c r="M27" s="3"/>
      <c r="N27" s="3"/>
      <c r="O27" s="3"/>
      <c r="P27" s="3"/>
      <c r="Q27" s="3"/>
      <c r="R27" s="3"/>
      <c r="S27" s="3"/>
      <c r="T27" s="7">
        <v>204</v>
      </c>
      <c r="U27" s="7">
        <v>35.799999999999997</v>
      </c>
      <c r="V27" s="7">
        <v>9.5</v>
      </c>
    </row>
    <row r="28" spans="1:22" x14ac:dyDescent="0.3">
      <c r="A28" s="5">
        <v>640.6</v>
      </c>
      <c r="B28" s="5">
        <v>36.200000000000003</v>
      </c>
      <c r="C28" s="5">
        <v>63.8</v>
      </c>
      <c r="D28" s="5">
        <v>40.98</v>
      </c>
      <c r="E28" s="5">
        <v>41.23</v>
      </c>
      <c r="F28" s="5">
        <v>97.1</v>
      </c>
      <c r="G28" s="5">
        <v>11.1</v>
      </c>
      <c r="H28" s="5">
        <v>87.4</v>
      </c>
      <c r="I28" s="5">
        <v>173</v>
      </c>
      <c r="J28" s="5">
        <v>23.6</v>
      </c>
      <c r="K28" s="5">
        <v>49.5</v>
      </c>
      <c r="L28" s="2"/>
      <c r="M28" s="2"/>
      <c r="N28" s="2"/>
      <c r="O28" s="2"/>
      <c r="P28" s="2"/>
      <c r="Q28" s="2"/>
      <c r="R28" s="2"/>
      <c r="S28" s="2"/>
      <c r="T28" s="5">
        <v>151</v>
      </c>
      <c r="U28" s="5">
        <v>44.5</v>
      </c>
      <c r="V28" s="5">
        <v>9.9</v>
      </c>
    </row>
    <row r="29" spans="1:22" x14ac:dyDescent="0.3">
      <c r="A29" s="7">
        <v>645.9</v>
      </c>
      <c r="B29" s="7">
        <v>34</v>
      </c>
      <c r="C29" s="7">
        <v>66</v>
      </c>
      <c r="D29" s="7">
        <v>39.35</v>
      </c>
      <c r="E29" s="7">
        <v>44.52</v>
      </c>
      <c r="F29" s="7">
        <v>88.5</v>
      </c>
      <c r="G29" s="7">
        <v>11.5</v>
      </c>
      <c r="H29" s="7">
        <v>84.2</v>
      </c>
      <c r="I29" s="7">
        <v>172</v>
      </c>
      <c r="J29" s="7">
        <v>20.2</v>
      </c>
      <c r="K29" s="7">
        <v>50.8</v>
      </c>
      <c r="L29" s="3"/>
      <c r="M29" s="3"/>
      <c r="N29" s="3"/>
      <c r="O29" s="3"/>
      <c r="P29" s="3"/>
      <c r="Q29" s="3"/>
      <c r="R29" s="3"/>
      <c r="S29" s="3"/>
      <c r="T29" s="7">
        <v>203</v>
      </c>
      <c r="U29" s="7">
        <v>15.4</v>
      </c>
      <c r="V29" s="7">
        <v>9.1999999999999993</v>
      </c>
    </row>
    <row r="30" spans="1:22" x14ac:dyDescent="0.3">
      <c r="A30" s="5">
        <v>623.4</v>
      </c>
      <c r="B30" s="5">
        <v>32.299999999999997</v>
      </c>
      <c r="C30" s="5">
        <v>67.7</v>
      </c>
      <c r="D30" s="5">
        <v>41.56</v>
      </c>
      <c r="E30" s="5">
        <v>40.590000000000003</v>
      </c>
      <c r="F30" s="5">
        <v>93.8</v>
      </c>
      <c r="G30" s="5">
        <v>11</v>
      </c>
      <c r="H30" s="5">
        <v>85.6</v>
      </c>
      <c r="I30" s="5">
        <v>145</v>
      </c>
      <c r="J30" s="5">
        <v>19.100000000000001</v>
      </c>
      <c r="K30" s="5">
        <v>53.6</v>
      </c>
      <c r="L30" s="2"/>
      <c r="M30" s="2"/>
      <c r="N30" s="2"/>
      <c r="O30" s="2"/>
      <c r="P30" s="2"/>
      <c r="Q30" s="2"/>
      <c r="R30" s="2"/>
      <c r="S30" s="2"/>
      <c r="T30" s="5">
        <v>235</v>
      </c>
      <c r="U30" s="5">
        <v>26.2</v>
      </c>
      <c r="V30" s="5">
        <v>9.8000000000000007</v>
      </c>
    </row>
    <row r="31" spans="1:22" x14ac:dyDescent="0.3">
      <c r="A31" s="7">
        <v>562.9</v>
      </c>
      <c r="B31" s="7">
        <v>33.1</v>
      </c>
      <c r="C31" s="7">
        <v>66.900000000000006</v>
      </c>
      <c r="D31" s="7">
        <v>41.74</v>
      </c>
      <c r="E31" s="7">
        <v>39.57</v>
      </c>
      <c r="F31" s="7">
        <v>92.9</v>
      </c>
      <c r="G31" s="7">
        <v>12.3</v>
      </c>
      <c r="H31" s="7">
        <v>82</v>
      </c>
      <c r="I31" s="7">
        <v>150</v>
      </c>
      <c r="J31" s="7">
        <v>23.4</v>
      </c>
      <c r="K31" s="7">
        <v>45.1</v>
      </c>
      <c r="L31" s="3"/>
      <c r="M31" s="3"/>
      <c r="N31" s="3"/>
      <c r="O31" s="3"/>
      <c r="P31" s="3"/>
      <c r="Q31" s="3"/>
      <c r="R31" s="3"/>
      <c r="S31" s="3"/>
      <c r="T31" s="7">
        <v>149</v>
      </c>
      <c r="U31" s="7">
        <v>21.2</v>
      </c>
      <c r="V31" s="7">
        <v>9.5</v>
      </c>
    </row>
    <row r="32" spans="1:22" x14ac:dyDescent="0.3">
      <c r="A32" s="5">
        <v>649.29999999999995</v>
      </c>
      <c r="B32" s="5">
        <v>32.6</v>
      </c>
      <c r="C32" s="5">
        <v>67.400000000000006</v>
      </c>
      <c r="D32" s="5">
        <v>41.96</v>
      </c>
      <c r="E32" s="5">
        <v>39.119999999999997</v>
      </c>
      <c r="F32" s="5">
        <v>101</v>
      </c>
      <c r="G32" s="5">
        <v>11.1</v>
      </c>
      <c r="H32" s="5">
        <v>80.2</v>
      </c>
      <c r="I32" s="5">
        <v>149</v>
      </c>
      <c r="J32" s="5">
        <v>21.2</v>
      </c>
      <c r="K32" s="5">
        <v>51.3</v>
      </c>
      <c r="L32" s="2"/>
      <c r="M32" s="2"/>
      <c r="N32" s="2"/>
      <c r="O32" s="2"/>
      <c r="P32" s="2"/>
      <c r="Q32" s="2"/>
      <c r="R32" s="2"/>
      <c r="S32" s="2"/>
      <c r="T32" s="5">
        <v>166</v>
      </c>
      <c r="U32" s="5">
        <v>19.2</v>
      </c>
    </row>
    <row r="33" spans="1:21" x14ac:dyDescent="0.3">
      <c r="A33" s="7">
        <v>663.6</v>
      </c>
      <c r="B33" s="7">
        <v>34.700000000000003</v>
      </c>
      <c r="C33" s="7">
        <v>65.3</v>
      </c>
      <c r="D33" s="7">
        <v>41.07</v>
      </c>
      <c r="E33" s="7">
        <v>42.12</v>
      </c>
      <c r="F33" s="7">
        <v>103.3</v>
      </c>
      <c r="G33" s="7">
        <v>11.1</v>
      </c>
      <c r="H33" s="7">
        <v>83.8</v>
      </c>
      <c r="I33" s="7">
        <v>158</v>
      </c>
      <c r="J33" s="7">
        <v>18.3</v>
      </c>
      <c r="K33" s="7">
        <v>46.7</v>
      </c>
      <c r="L33" s="3"/>
      <c r="M33" s="3"/>
      <c r="N33" s="3"/>
      <c r="O33" s="3"/>
      <c r="P33" s="3"/>
      <c r="Q33" s="3"/>
      <c r="R33" s="3"/>
      <c r="S33" s="3"/>
      <c r="T33" s="7">
        <v>214</v>
      </c>
      <c r="U33" s="7">
        <v>17.5</v>
      </c>
    </row>
    <row r="34" spans="1:21" x14ac:dyDescent="0.3">
      <c r="A34" s="5">
        <v>614.5</v>
      </c>
      <c r="B34" s="5">
        <v>34.700000000000003</v>
      </c>
      <c r="C34" s="5">
        <v>65.3</v>
      </c>
      <c r="D34" s="5">
        <v>40.11</v>
      </c>
      <c r="E34" s="5">
        <v>43.59</v>
      </c>
      <c r="F34" s="5">
        <v>86.5</v>
      </c>
      <c r="G34" s="5">
        <v>12.6</v>
      </c>
      <c r="H34" s="5">
        <v>85</v>
      </c>
      <c r="I34" s="5">
        <v>164</v>
      </c>
      <c r="J34" s="5">
        <v>20.6</v>
      </c>
      <c r="K34" s="5">
        <v>47.5</v>
      </c>
      <c r="L34" s="2"/>
      <c r="M34" s="2"/>
      <c r="N34" s="2"/>
      <c r="O34" s="2"/>
      <c r="P34" s="2"/>
      <c r="Q34" s="2"/>
      <c r="R34" s="2"/>
      <c r="S34" s="2"/>
      <c r="T34" s="5">
        <v>222</v>
      </c>
      <c r="U34" s="5">
        <v>39</v>
      </c>
    </row>
    <row r="35" spans="1:21" x14ac:dyDescent="0.3">
      <c r="A35" s="7">
        <v>582.5</v>
      </c>
      <c r="B35" s="7">
        <v>34.200000000000003</v>
      </c>
      <c r="C35" s="7">
        <v>65.8</v>
      </c>
      <c r="D35" s="7">
        <v>39.869999999999997</v>
      </c>
      <c r="E35" s="7">
        <v>41.81</v>
      </c>
      <c r="F35" s="7">
        <v>85.8</v>
      </c>
      <c r="G35" s="7">
        <v>12.5</v>
      </c>
      <c r="H35" s="7">
        <v>89.3</v>
      </c>
      <c r="I35" s="7">
        <v>146</v>
      </c>
      <c r="J35" s="7">
        <v>21.4</v>
      </c>
      <c r="K35" s="7">
        <v>54.2</v>
      </c>
      <c r="L35" s="3"/>
      <c r="M35" s="3"/>
      <c r="N35" s="3"/>
      <c r="O35" s="3"/>
      <c r="P35" s="3"/>
      <c r="Q35" s="3"/>
      <c r="R35" s="3"/>
      <c r="S35" s="3"/>
      <c r="T35" s="7">
        <v>143</v>
      </c>
      <c r="U35" s="7">
        <v>35.9</v>
      </c>
    </row>
    <row r="36" spans="1:21" x14ac:dyDescent="0.3">
      <c r="A36" s="5">
        <v>558.5</v>
      </c>
      <c r="B36" s="5">
        <v>33.4</v>
      </c>
      <c r="C36" s="5">
        <v>66.599999999999994</v>
      </c>
      <c r="D36" s="5">
        <v>40.950000000000003</v>
      </c>
      <c r="E36" s="5">
        <v>41.92</v>
      </c>
      <c r="F36" s="5">
        <v>97.5</v>
      </c>
      <c r="G36" s="5">
        <v>13.4</v>
      </c>
      <c r="H36" s="5">
        <v>86.2</v>
      </c>
      <c r="I36" s="5">
        <v>148</v>
      </c>
      <c r="J36" s="5">
        <v>18.100000000000001</v>
      </c>
      <c r="K36" s="5">
        <v>53.7</v>
      </c>
      <c r="L36" s="2"/>
      <c r="M36" s="2"/>
      <c r="N36" s="2"/>
      <c r="O36" s="2"/>
      <c r="P36" s="2"/>
      <c r="Q36" s="2"/>
      <c r="R36" s="2"/>
      <c r="S36" s="2"/>
      <c r="T36" s="5">
        <v>142</v>
      </c>
      <c r="U36" s="5">
        <v>41.2</v>
      </c>
    </row>
    <row r="37" spans="1:21" x14ac:dyDescent="0.3">
      <c r="A37" s="7">
        <v>596.1</v>
      </c>
      <c r="B37" s="7">
        <v>33.299999999999997</v>
      </c>
      <c r="C37" s="7">
        <v>66.7</v>
      </c>
      <c r="D37" s="7">
        <v>39.42</v>
      </c>
      <c r="E37" s="7">
        <v>44.68</v>
      </c>
      <c r="F37" s="7">
        <v>85.4</v>
      </c>
      <c r="G37" s="7">
        <v>13.9</v>
      </c>
      <c r="H37" s="7">
        <v>84.3</v>
      </c>
      <c r="I37" s="7">
        <v>153</v>
      </c>
      <c r="J37" s="7">
        <v>22.1</v>
      </c>
      <c r="K37" s="7">
        <v>47.2</v>
      </c>
      <c r="L37" s="3"/>
      <c r="M37" s="3"/>
      <c r="N37" s="3"/>
      <c r="O37" s="3"/>
      <c r="P37" s="3"/>
      <c r="Q37" s="3"/>
      <c r="R37" s="3"/>
      <c r="S37" s="3"/>
      <c r="T37" s="7">
        <v>235</v>
      </c>
      <c r="U37" s="7">
        <v>38.6</v>
      </c>
    </row>
    <row r="38" spans="1:21" x14ac:dyDescent="0.3">
      <c r="A38" s="5">
        <v>651.29999999999995</v>
      </c>
      <c r="B38" s="5">
        <v>33.6</v>
      </c>
      <c r="C38" s="5">
        <v>66.400000000000006</v>
      </c>
      <c r="D38" s="5">
        <v>37.729999999999997</v>
      </c>
      <c r="E38" s="5">
        <v>44.64</v>
      </c>
      <c r="F38" s="5">
        <v>102.7</v>
      </c>
      <c r="G38" s="5">
        <v>13.6</v>
      </c>
      <c r="H38" s="5">
        <v>89.9</v>
      </c>
      <c r="I38" s="5">
        <v>146</v>
      </c>
      <c r="J38" s="5">
        <v>20.399999999999999</v>
      </c>
      <c r="K38" s="5">
        <v>52.6</v>
      </c>
      <c r="L38" s="2"/>
      <c r="M38" s="2"/>
      <c r="N38" s="2"/>
      <c r="O38" s="2"/>
      <c r="P38" s="2"/>
      <c r="Q38" s="2"/>
      <c r="R38" s="2"/>
      <c r="S38" s="2"/>
      <c r="T38" s="5">
        <v>210</v>
      </c>
      <c r="U38" s="5">
        <v>19.600000000000001</v>
      </c>
    </row>
    <row r="39" spans="1:21" x14ac:dyDescent="0.3">
      <c r="A39" s="7">
        <v>603.1</v>
      </c>
      <c r="B39" s="7">
        <v>33.700000000000003</v>
      </c>
      <c r="C39" s="7">
        <v>66.3</v>
      </c>
      <c r="D39" s="7">
        <v>38.54</v>
      </c>
      <c r="E39" s="7">
        <v>44.16</v>
      </c>
      <c r="F39" s="7">
        <v>94.9</v>
      </c>
      <c r="G39" s="7">
        <v>9.4</v>
      </c>
      <c r="H39" s="7">
        <v>82.2</v>
      </c>
      <c r="I39" s="7">
        <v>164</v>
      </c>
      <c r="J39" s="7">
        <v>18.5</v>
      </c>
      <c r="K39" s="7">
        <v>53.5</v>
      </c>
      <c r="L39" s="3"/>
      <c r="M39" s="3"/>
      <c r="N39" s="3"/>
      <c r="O39" s="3"/>
      <c r="P39" s="3"/>
      <c r="Q39" s="3"/>
      <c r="R39" s="3"/>
      <c r="S39" s="3"/>
      <c r="T39" s="7">
        <v>190</v>
      </c>
      <c r="U39" s="7">
        <v>29.4</v>
      </c>
    </row>
    <row r="40" spans="1:21" x14ac:dyDescent="0.3">
      <c r="A40" s="5">
        <v>570.6</v>
      </c>
      <c r="B40" s="5">
        <v>36</v>
      </c>
      <c r="C40" s="5">
        <v>64</v>
      </c>
      <c r="D40" s="5">
        <v>40.99</v>
      </c>
      <c r="E40" s="5">
        <v>42.59</v>
      </c>
      <c r="F40" s="5">
        <v>101.5</v>
      </c>
      <c r="G40" s="5">
        <v>9.6</v>
      </c>
      <c r="H40" s="5">
        <v>83.4</v>
      </c>
      <c r="I40" s="5">
        <v>166</v>
      </c>
      <c r="J40" s="5">
        <v>19</v>
      </c>
      <c r="K40" s="5">
        <v>53.2</v>
      </c>
      <c r="L40" s="2"/>
      <c r="M40" s="2"/>
      <c r="N40" s="2"/>
      <c r="O40" s="2"/>
      <c r="P40" s="2"/>
      <c r="Q40" s="2"/>
      <c r="R40" s="2"/>
      <c r="S40" s="2"/>
      <c r="T40" s="5">
        <v>223</v>
      </c>
      <c r="U40" s="5">
        <v>30.2</v>
      </c>
    </row>
    <row r="41" spans="1:21" x14ac:dyDescent="0.3">
      <c r="A41" s="7">
        <v>671.8</v>
      </c>
      <c r="B41" s="7">
        <v>35.1</v>
      </c>
      <c r="C41" s="7">
        <v>64.900000000000006</v>
      </c>
      <c r="D41" s="7">
        <v>37.770000000000003</v>
      </c>
      <c r="E41" s="7">
        <v>46.26</v>
      </c>
      <c r="F41" s="7">
        <v>99.2</v>
      </c>
      <c r="G41" s="7">
        <v>9.3000000000000007</v>
      </c>
      <c r="H41" s="7">
        <v>85.8</v>
      </c>
      <c r="I41" s="7">
        <v>152</v>
      </c>
      <c r="J41" s="7">
        <v>21.7</v>
      </c>
      <c r="K41" s="7">
        <v>45.5</v>
      </c>
      <c r="L41" s="3"/>
      <c r="M41" s="3"/>
      <c r="N41" s="3"/>
      <c r="O41" s="3"/>
      <c r="P41" s="3"/>
      <c r="Q41" s="3"/>
      <c r="R41" s="3"/>
      <c r="S41" s="3"/>
      <c r="T41" s="7">
        <v>227</v>
      </c>
      <c r="U41" s="7">
        <v>44.2</v>
      </c>
    </row>
    <row r="42" spans="1:21" x14ac:dyDescent="0.3">
      <c r="A42" s="5">
        <v>640.20000000000005</v>
      </c>
      <c r="B42" s="5">
        <v>33</v>
      </c>
      <c r="C42" s="5">
        <v>67</v>
      </c>
      <c r="D42" s="5">
        <v>37.83</v>
      </c>
      <c r="E42" s="5">
        <v>45.23</v>
      </c>
      <c r="F42" s="5">
        <v>98.1</v>
      </c>
      <c r="G42" s="5">
        <v>10.4</v>
      </c>
      <c r="H42" s="5">
        <v>89.5</v>
      </c>
      <c r="I42" s="5">
        <v>145</v>
      </c>
      <c r="J42" s="5">
        <v>20.6</v>
      </c>
      <c r="K42" s="5">
        <v>54.4</v>
      </c>
      <c r="L42" s="2"/>
      <c r="M42" s="2"/>
      <c r="N42" s="2"/>
      <c r="O42" s="2"/>
      <c r="P42" s="2"/>
      <c r="Q42" s="2"/>
      <c r="R42" s="2"/>
      <c r="S42" s="2"/>
      <c r="T42" s="5">
        <v>182</v>
      </c>
      <c r="U42" s="5">
        <v>34.200000000000003</v>
      </c>
    </row>
    <row r="43" spans="1:21" x14ac:dyDescent="0.3">
      <c r="A43" s="7">
        <v>659.8</v>
      </c>
      <c r="B43" s="7">
        <v>35.4</v>
      </c>
      <c r="C43" s="7">
        <v>64.599999999999994</v>
      </c>
      <c r="D43" s="7">
        <v>40</v>
      </c>
      <c r="E43" s="7">
        <v>43.67</v>
      </c>
      <c r="F43" s="7">
        <v>85.7</v>
      </c>
      <c r="G43" s="7">
        <v>13.6</v>
      </c>
      <c r="H43" s="7">
        <v>86.2</v>
      </c>
      <c r="I43" s="7">
        <v>168</v>
      </c>
      <c r="J43" s="7">
        <v>20.9</v>
      </c>
      <c r="K43" s="7">
        <v>46.2</v>
      </c>
      <c r="L43" s="3"/>
      <c r="M43" s="3"/>
      <c r="N43" s="3"/>
      <c r="O43" s="3"/>
      <c r="P43" s="3"/>
      <c r="Q43" s="3"/>
      <c r="R43" s="3"/>
      <c r="S43" s="3"/>
      <c r="T43" s="7">
        <v>153</v>
      </c>
      <c r="U43" s="7">
        <v>35.6</v>
      </c>
    </row>
    <row r="44" spans="1:21" x14ac:dyDescent="0.3">
      <c r="A44" s="5">
        <v>651.4</v>
      </c>
      <c r="B44" s="5">
        <v>32.200000000000003</v>
      </c>
      <c r="C44" s="5">
        <v>67.8</v>
      </c>
      <c r="D44" s="5">
        <v>39.42</v>
      </c>
      <c r="E44" s="5">
        <v>44.52</v>
      </c>
      <c r="F44" s="5">
        <v>89.8</v>
      </c>
      <c r="G44" s="5">
        <v>13.9</v>
      </c>
      <c r="H44" s="5">
        <v>81.400000000000006</v>
      </c>
      <c r="I44" s="5">
        <v>157</v>
      </c>
      <c r="J44" s="5">
        <v>21.7</v>
      </c>
      <c r="K44" s="5">
        <v>52</v>
      </c>
      <c r="L44" s="2"/>
      <c r="M44" s="2"/>
      <c r="N44" s="2"/>
      <c r="O44" s="2"/>
      <c r="P44" s="2"/>
      <c r="Q44" s="2"/>
      <c r="R44" s="2"/>
      <c r="S44" s="2"/>
      <c r="T44" s="5">
        <v>196</v>
      </c>
      <c r="U44" s="5">
        <v>15.3</v>
      </c>
    </row>
    <row r="45" spans="1:21" x14ac:dyDescent="0.3">
      <c r="A45" s="7">
        <v>671.7</v>
      </c>
      <c r="B45" s="7">
        <v>32.200000000000003</v>
      </c>
      <c r="C45" s="7">
        <v>67.8</v>
      </c>
      <c r="D45" s="7">
        <v>39.67</v>
      </c>
      <c r="E45" s="7">
        <v>42.68</v>
      </c>
      <c r="F45" s="7">
        <v>102.4</v>
      </c>
      <c r="G45" s="7">
        <v>12.6</v>
      </c>
      <c r="H45" s="7">
        <v>88</v>
      </c>
      <c r="I45" s="7">
        <v>152</v>
      </c>
      <c r="J45" s="7">
        <v>22.9</v>
      </c>
      <c r="K45" s="7">
        <v>45.8</v>
      </c>
      <c r="L45" s="3"/>
      <c r="M45" s="3"/>
      <c r="N45" s="3"/>
      <c r="O45" s="3"/>
      <c r="P45" s="3"/>
      <c r="Q45" s="3"/>
      <c r="R45" s="3"/>
      <c r="S45" s="3"/>
      <c r="T45" s="7">
        <v>229</v>
      </c>
      <c r="U45" s="7">
        <v>31.4</v>
      </c>
    </row>
    <row r="46" spans="1:21" x14ac:dyDescent="0.3">
      <c r="A46" s="5">
        <v>622.20000000000005</v>
      </c>
      <c r="B46" s="5">
        <v>35.200000000000003</v>
      </c>
      <c r="C46" s="5">
        <v>64.8</v>
      </c>
      <c r="D46" s="5">
        <v>38.409999999999997</v>
      </c>
      <c r="E46" s="5">
        <v>43.65</v>
      </c>
      <c r="F46" s="5">
        <v>104.5</v>
      </c>
      <c r="G46" s="5">
        <v>12.3</v>
      </c>
      <c r="H46" s="5">
        <v>82</v>
      </c>
      <c r="I46" s="5">
        <v>164</v>
      </c>
      <c r="J46" s="5">
        <v>18.399999999999999</v>
      </c>
      <c r="K46" s="5">
        <v>45.3</v>
      </c>
      <c r="L46" s="2"/>
      <c r="M46" s="2"/>
      <c r="N46" s="2"/>
      <c r="O46" s="2"/>
      <c r="P46" s="2"/>
      <c r="Q46" s="2"/>
      <c r="R46" s="2"/>
      <c r="S46" s="2"/>
      <c r="T46" s="5">
        <v>166</v>
      </c>
      <c r="U46" s="5">
        <v>28.9</v>
      </c>
    </row>
    <row r="47" spans="1:21" x14ac:dyDescent="0.3">
      <c r="A47" s="7">
        <v>627</v>
      </c>
      <c r="B47" s="7">
        <v>36.1</v>
      </c>
      <c r="C47" s="7">
        <v>63.9</v>
      </c>
      <c r="D47" s="7">
        <v>38.340000000000003</v>
      </c>
      <c r="E47" s="7">
        <v>44.68</v>
      </c>
      <c r="F47" s="7">
        <v>97.6</v>
      </c>
      <c r="G47" s="7">
        <v>12.7</v>
      </c>
      <c r="H47" s="7">
        <v>81.3</v>
      </c>
      <c r="I47" s="7">
        <v>165</v>
      </c>
      <c r="J47" s="7">
        <v>23.5</v>
      </c>
      <c r="K47" s="7">
        <v>46.8</v>
      </c>
      <c r="L47" s="3"/>
      <c r="M47" s="3"/>
      <c r="N47" s="3"/>
      <c r="O47" s="3"/>
      <c r="P47" s="3"/>
      <c r="Q47" s="3"/>
      <c r="R47" s="3"/>
      <c r="S47" s="3"/>
      <c r="T47" s="7">
        <v>164</v>
      </c>
      <c r="U47" s="7">
        <v>44.1</v>
      </c>
    </row>
    <row r="48" spans="1:21" x14ac:dyDescent="0.3">
      <c r="A48" s="5">
        <v>676.1</v>
      </c>
      <c r="B48" s="5">
        <v>34</v>
      </c>
      <c r="C48" s="5">
        <v>66</v>
      </c>
      <c r="D48" s="5">
        <v>38.44</v>
      </c>
      <c r="E48" s="5">
        <v>45.92</v>
      </c>
      <c r="F48" s="5">
        <v>88.4</v>
      </c>
      <c r="G48" s="5">
        <v>11.6</v>
      </c>
      <c r="H48" s="5">
        <v>83.4</v>
      </c>
      <c r="I48" s="5">
        <v>169</v>
      </c>
      <c r="J48" s="5">
        <v>20.6</v>
      </c>
      <c r="K48" s="5">
        <v>47.5</v>
      </c>
      <c r="L48" s="2"/>
      <c r="M48" s="2"/>
      <c r="N48" s="2"/>
      <c r="O48" s="2"/>
      <c r="P48" s="2"/>
      <c r="Q48" s="2"/>
      <c r="R48" s="2"/>
      <c r="S48" s="2"/>
      <c r="T48" s="5">
        <v>202</v>
      </c>
      <c r="U48" s="5">
        <v>36.200000000000003</v>
      </c>
    </row>
    <row r="49" spans="1:21" x14ac:dyDescent="0.3">
      <c r="A49" s="7">
        <v>565.9</v>
      </c>
      <c r="B49" s="7">
        <v>34</v>
      </c>
      <c r="C49" s="7">
        <v>66</v>
      </c>
      <c r="D49" s="7">
        <v>41.24</v>
      </c>
      <c r="E49" s="7">
        <v>41.54</v>
      </c>
      <c r="F49" s="7">
        <v>95.1</v>
      </c>
      <c r="G49" s="7">
        <v>9.1999999999999993</v>
      </c>
      <c r="H49" s="7">
        <v>81.5</v>
      </c>
      <c r="I49" s="7">
        <v>175</v>
      </c>
      <c r="J49" s="7">
        <v>23.8</v>
      </c>
      <c r="K49" s="7">
        <v>45</v>
      </c>
      <c r="L49" s="3"/>
      <c r="M49" s="3"/>
      <c r="N49" s="3"/>
      <c r="O49" s="3"/>
      <c r="P49" s="3"/>
      <c r="Q49" s="3"/>
      <c r="R49" s="3"/>
      <c r="S49" s="3"/>
      <c r="T49" s="7">
        <v>235</v>
      </c>
      <c r="U49" s="7">
        <v>34.200000000000003</v>
      </c>
    </row>
    <row r="50" spans="1:21" x14ac:dyDescent="0.3">
      <c r="A50" s="5">
        <v>640</v>
      </c>
      <c r="B50" s="5">
        <v>35.799999999999997</v>
      </c>
      <c r="C50" s="5">
        <v>64.2</v>
      </c>
      <c r="D50" s="5">
        <v>41.28</v>
      </c>
      <c r="E50" s="5">
        <v>40.57</v>
      </c>
      <c r="F50" s="5">
        <v>94.9</v>
      </c>
      <c r="G50" s="5">
        <v>12.1</v>
      </c>
      <c r="H50" s="5">
        <v>88.7</v>
      </c>
      <c r="I50" s="5">
        <v>160</v>
      </c>
      <c r="J50" s="5">
        <v>18.2</v>
      </c>
      <c r="K50" s="5">
        <v>54.3</v>
      </c>
      <c r="L50" s="2"/>
      <c r="M50" s="2"/>
      <c r="N50" s="2"/>
      <c r="O50" s="2"/>
      <c r="P50" s="2"/>
      <c r="Q50" s="2"/>
      <c r="R50" s="2"/>
      <c r="S50" s="2"/>
      <c r="T50" s="5">
        <v>209</v>
      </c>
      <c r="U50" s="5">
        <v>35.299999999999997</v>
      </c>
    </row>
    <row r="51" spans="1:21" x14ac:dyDescent="0.3">
      <c r="A51" s="7">
        <v>636.79999999999995</v>
      </c>
      <c r="B51" s="7">
        <v>35.6</v>
      </c>
      <c r="C51" s="7">
        <v>64.400000000000006</v>
      </c>
      <c r="D51" s="7">
        <v>40.549999999999997</v>
      </c>
      <c r="E51" s="7">
        <v>41.26</v>
      </c>
      <c r="F51" s="7">
        <v>93.7</v>
      </c>
      <c r="G51" s="7">
        <v>13.1</v>
      </c>
      <c r="H51" s="7">
        <v>81.2</v>
      </c>
      <c r="I51" s="7">
        <v>159</v>
      </c>
      <c r="J51" s="7">
        <v>18</v>
      </c>
      <c r="K51" s="7">
        <v>48.2</v>
      </c>
      <c r="L51" s="3"/>
      <c r="M51" s="3"/>
      <c r="N51" s="3"/>
      <c r="O51" s="3"/>
      <c r="P51" s="3"/>
      <c r="Q51" s="3"/>
      <c r="R51" s="3"/>
      <c r="S51" s="3"/>
      <c r="T51" s="7">
        <v>177</v>
      </c>
      <c r="U51" s="7">
        <v>26.9</v>
      </c>
    </row>
    <row r="52" spans="1:21" x14ac:dyDescent="0.3">
      <c r="A52" s="5">
        <v>599.4</v>
      </c>
      <c r="B52" s="5">
        <v>33.799999999999997</v>
      </c>
      <c r="C52" s="5">
        <v>66.2</v>
      </c>
      <c r="D52" s="5">
        <v>39.82</v>
      </c>
      <c r="E52" s="5">
        <v>42.91</v>
      </c>
      <c r="F52" s="5">
        <v>97.2</v>
      </c>
      <c r="G52" s="5">
        <v>12.8</v>
      </c>
      <c r="H52" s="5">
        <v>88.1</v>
      </c>
      <c r="I52" s="5">
        <v>165</v>
      </c>
      <c r="J52" s="5">
        <v>23.7</v>
      </c>
      <c r="K52" s="5">
        <v>45.2</v>
      </c>
      <c r="L52" s="2"/>
      <c r="M52" s="2"/>
      <c r="N52" s="2"/>
      <c r="O52" s="2"/>
      <c r="P52" s="2"/>
      <c r="Q52" s="2"/>
      <c r="R52" s="2"/>
      <c r="S52" s="2"/>
      <c r="T52" s="5">
        <v>160</v>
      </c>
      <c r="U52" s="5">
        <v>15.2</v>
      </c>
    </row>
    <row r="53" spans="1:21" x14ac:dyDescent="0.3">
      <c r="A53" s="7">
        <v>585.4</v>
      </c>
      <c r="B53" s="7">
        <v>33.9</v>
      </c>
      <c r="C53" s="7">
        <v>66.099999999999994</v>
      </c>
      <c r="D53" s="7">
        <v>37.99</v>
      </c>
      <c r="E53" s="7">
        <v>46.26</v>
      </c>
      <c r="F53" s="7">
        <v>98.6</v>
      </c>
      <c r="G53" s="7">
        <v>9.9</v>
      </c>
      <c r="H53" s="7">
        <v>85.3</v>
      </c>
      <c r="I53" s="7">
        <v>165</v>
      </c>
      <c r="J53" s="7">
        <v>18.600000000000001</v>
      </c>
      <c r="K53" s="7">
        <v>50.7</v>
      </c>
      <c r="L53" s="3"/>
      <c r="M53" s="3"/>
      <c r="N53" s="3"/>
      <c r="O53" s="3"/>
      <c r="P53" s="3"/>
      <c r="Q53" s="3"/>
      <c r="R53" s="3"/>
      <c r="S53" s="3"/>
      <c r="T53" s="7">
        <v>166</v>
      </c>
      <c r="U53" s="7">
        <v>43.9</v>
      </c>
    </row>
    <row r="54" spans="1:21" x14ac:dyDescent="0.3">
      <c r="A54" s="5">
        <v>651.5</v>
      </c>
      <c r="B54" s="5">
        <v>33.200000000000003</v>
      </c>
      <c r="C54" s="5">
        <v>66.8</v>
      </c>
      <c r="D54" s="5">
        <v>40.79</v>
      </c>
      <c r="E54" s="5">
        <v>41.87</v>
      </c>
      <c r="F54" s="5">
        <v>98.4</v>
      </c>
      <c r="G54" s="5">
        <v>9.5</v>
      </c>
      <c r="H54" s="5">
        <v>86.2</v>
      </c>
      <c r="I54" s="5">
        <v>156</v>
      </c>
      <c r="J54" s="5">
        <v>21.5</v>
      </c>
      <c r="K54" s="5">
        <v>46.7</v>
      </c>
      <c r="L54" s="2"/>
      <c r="M54" s="2"/>
      <c r="N54" s="2"/>
      <c r="O54" s="2"/>
      <c r="P54" s="2"/>
      <c r="Q54" s="2"/>
      <c r="R54" s="2"/>
      <c r="S54" s="2"/>
      <c r="T54" s="5">
        <v>214</v>
      </c>
      <c r="U54" s="5">
        <v>40.9</v>
      </c>
    </row>
    <row r="55" spans="1:21" x14ac:dyDescent="0.3">
      <c r="A55" s="7">
        <v>678.9</v>
      </c>
      <c r="B55" s="7">
        <v>32.6</v>
      </c>
      <c r="C55" s="7">
        <v>67.400000000000006</v>
      </c>
      <c r="D55" s="7">
        <v>37.92</v>
      </c>
      <c r="E55" s="7">
        <v>45</v>
      </c>
      <c r="F55" s="7">
        <v>96.6</v>
      </c>
      <c r="G55" s="7">
        <v>10.4</v>
      </c>
      <c r="H55" s="7">
        <v>80.8</v>
      </c>
      <c r="I55" s="7">
        <v>143</v>
      </c>
      <c r="J55" s="7">
        <v>23.4</v>
      </c>
      <c r="K55" s="7">
        <v>46.9</v>
      </c>
      <c r="L55" s="3"/>
      <c r="M55" s="3"/>
      <c r="N55" s="3"/>
      <c r="O55" s="3"/>
      <c r="P55" s="3"/>
      <c r="Q55" s="3"/>
      <c r="R55" s="3"/>
      <c r="S55" s="3"/>
      <c r="T55" s="7">
        <v>172</v>
      </c>
      <c r="U55" s="7">
        <v>21.8</v>
      </c>
    </row>
    <row r="56" spans="1:21" x14ac:dyDescent="0.3">
      <c r="A56" s="5">
        <v>610.5</v>
      </c>
      <c r="B56" s="5">
        <v>32.299999999999997</v>
      </c>
      <c r="C56" s="5">
        <v>67.7</v>
      </c>
      <c r="D56" s="5">
        <v>39.75</v>
      </c>
      <c r="E56" s="5">
        <v>41.94</v>
      </c>
      <c r="F56" s="5">
        <v>88.5</v>
      </c>
      <c r="G56" s="5">
        <v>12.5</v>
      </c>
      <c r="H56" s="5">
        <v>82</v>
      </c>
      <c r="I56" s="5">
        <v>159</v>
      </c>
      <c r="J56" s="5">
        <v>18.600000000000001</v>
      </c>
      <c r="K56" s="5">
        <v>49.5</v>
      </c>
      <c r="L56" s="2"/>
      <c r="M56" s="2"/>
      <c r="N56" s="2"/>
      <c r="O56" s="2"/>
      <c r="P56" s="2"/>
      <c r="Q56" s="2"/>
      <c r="R56" s="2"/>
      <c r="S56" s="2"/>
      <c r="T56" s="5">
        <v>216</v>
      </c>
      <c r="U56" s="5">
        <v>25.4</v>
      </c>
    </row>
    <row r="57" spans="1:21" x14ac:dyDescent="0.3">
      <c r="A57" s="7">
        <v>642.1</v>
      </c>
      <c r="B57" s="7">
        <v>32.200000000000003</v>
      </c>
      <c r="C57" s="7">
        <v>67.8</v>
      </c>
      <c r="D57" s="7">
        <v>38.71</v>
      </c>
      <c r="E57" s="7">
        <v>45.08</v>
      </c>
      <c r="F57" s="7">
        <v>92.2</v>
      </c>
      <c r="G57" s="7">
        <v>9.4</v>
      </c>
      <c r="H57" s="7">
        <v>89.4</v>
      </c>
      <c r="I57" s="7">
        <v>159</v>
      </c>
      <c r="J57" s="7">
        <v>19.8</v>
      </c>
      <c r="K57" s="7">
        <v>49</v>
      </c>
      <c r="L57" s="3"/>
      <c r="M57" s="3"/>
      <c r="N57" s="3"/>
      <c r="O57" s="3"/>
      <c r="P57" s="3"/>
      <c r="Q57" s="3"/>
      <c r="R57" s="3"/>
      <c r="S57" s="3"/>
      <c r="T57" s="7">
        <v>185</v>
      </c>
      <c r="U57" s="7">
        <v>33</v>
      </c>
    </row>
    <row r="58" spans="1:21" x14ac:dyDescent="0.3">
      <c r="A58" s="5">
        <v>572.6</v>
      </c>
      <c r="B58" s="5">
        <v>35.1</v>
      </c>
      <c r="C58" s="5">
        <v>64.900000000000006</v>
      </c>
      <c r="D58" s="5">
        <v>38.880000000000003</v>
      </c>
      <c r="E58" s="5">
        <v>43.07</v>
      </c>
      <c r="F58" s="5">
        <v>97.8</v>
      </c>
      <c r="G58" s="5">
        <v>13.1</v>
      </c>
      <c r="H58" s="5">
        <v>81.3</v>
      </c>
      <c r="I58" s="5">
        <v>170</v>
      </c>
      <c r="J58" s="5">
        <v>23.5</v>
      </c>
      <c r="K58" s="5">
        <v>49.9</v>
      </c>
      <c r="L58" s="2"/>
      <c r="M58" s="2"/>
      <c r="N58" s="2"/>
      <c r="O58" s="2"/>
      <c r="P58" s="2"/>
      <c r="Q58" s="2"/>
      <c r="R58" s="2"/>
      <c r="S58" s="2"/>
      <c r="T58" s="5">
        <v>201</v>
      </c>
      <c r="U58" s="5">
        <v>37.9</v>
      </c>
    </row>
    <row r="59" spans="1:21" x14ac:dyDescent="0.3">
      <c r="A59" s="7">
        <v>578.1</v>
      </c>
      <c r="B59" s="7">
        <v>34.799999999999997</v>
      </c>
      <c r="C59" s="7">
        <v>65.2</v>
      </c>
      <c r="D59" s="7">
        <v>40.1</v>
      </c>
      <c r="E59" s="7">
        <v>43.48</v>
      </c>
      <c r="F59" s="7">
        <v>86.2</v>
      </c>
      <c r="G59" s="7">
        <v>12.9</v>
      </c>
      <c r="H59" s="7">
        <v>84.6</v>
      </c>
      <c r="I59" s="7">
        <v>142</v>
      </c>
      <c r="J59" s="7">
        <v>24</v>
      </c>
      <c r="K59" s="7">
        <v>45.6</v>
      </c>
      <c r="L59" s="3"/>
      <c r="M59" s="3"/>
      <c r="N59" s="3"/>
      <c r="O59" s="3"/>
      <c r="P59" s="3"/>
      <c r="Q59" s="3"/>
      <c r="R59" s="3"/>
      <c r="S59" s="3"/>
      <c r="T59" s="7">
        <v>210</v>
      </c>
      <c r="U59" s="7">
        <v>44.5</v>
      </c>
    </row>
    <row r="60" spans="1:21" x14ac:dyDescent="0.3">
      <c r="A60" s="5">
        <v>608.5</v>
      </c>
      <c r="B60" s="5">
        <v>32.9</v>
      </c>
      <c r="C60" s="5">
        <v>67.099999999999994</v>
      </c>
      <c r="D60" s="5">
        <v>38.97</v>
      </c>
      <c r="E60" s="5">
        <v>44.35</v>
      </c>
      <c r="F60" s="5">
        <v>101.6</v>
      </c>
      <c r="G60" s="5">
        <v>12.7</v>
      </c>
      <c r="H60" s="5">
        <v>87.7</v>
      </c>
      <c r="I60" s="5">
        <v>140</v>
      </c>
      <c r="J60" s="5">
        <v>20.5</v>
      </c>
      <c r="K60" s="5">
        <v>49.8</v>
      </c>
      <c r="L60" s="2"/>
      <c r="M60" s="2"/>
      <c r="N60" s="2"/>
      <c r="O60" s="2"/>
      <c r="P60" s="2"/>
      <c r="Q60" s="2"/>
      <c r="R60" s="2"/>
      <c r="S60" s="2"/>
      <c r="T60" s="5">
        <v>142</v>
      </c>
      <c r="U60" s="5">
        <v>22.8</v>
      </c>
    </row>
    <row r="61" spans="1:21" x14ac:dyDescent="0.3">
      <c r="A61" s="7">
        <v>592.20000000000005</v>
      </c>
      <c r="B61" s="7">
        <v>35.299999999999997</v>
      </c>
      <c r="C61" s="7">
        <v>64.7</v>
      </c>
      <c r="D61" s="7">
        <v>39.4</v>
      </c>
      <c r="E61" s="7">
        <v>43.86</v>
      </c>
      <c r="F61" s="7">
        <v>92.9</v>
      </c>
      <c r="G61" s="7">
        <v>11.3</v>
      </c>
      <c r="H61" s="7">
        <v>87.9</v>
      </c>
      <c r="I61" s="7">
        <v>171</v>
      </c>
      <c r="J61" s="7">
        <v>23.7</v>
      </c>
      <c r="K61" s="7">
        <v>52.9</v>
      </c>
      <c r="L61" s="3"/>
      <c r="M61" s="3"/>
      <c r="N61" s="3"/>
      <c r="O61" s="3"/>
      <c r="P61" s="3"/>
      <c r="Q61" s="3"/>
      <c r="R61" s="3"/>
      <c r="S61" s="3"/>
      <c r="T61" s="7">
        <v>172</v>
      </c>
      <c r="U61" s="7">
        <v>35.6</v>
      </c>
    </row>
    <row r="62" spans="1:21" x14ac:dyDescent="0.3">
      <c r="A62" s="5">
        <v>555.4</v>
      </c>
      <c r="B62" s="5">
        <v>32.4</v>
      </c>
      <c r="C62" s="5">
        <v>67.599999999999994</v>
      </c>
      <c r="D62" s="5">
        <v>40.369999999999997</v>
      </c>
      <c r="E62" s="5">
        <v>43.33</v>
      </c>
      <c r="F62" s="5">
        <v>86.4</v>
      </c>
      <c r="G62" s="5">
        <v>16.600000000000001</v>
      </c>
      <c r="H62" s="5">
        <v>75.7</v>
      </c>
      <c r="I62" s="5">
        <v>166</v>
      </c>
      <c r="J62" s="5">
        <v>20.100000000000001</v>
      </c>
      <c r="K62" s="5">
        <v>48</v>
      </c>
      <c r="L62" s="2"/>
      <c r="M62" s="2"/>
      <c r="N62" s="2"/>
      <c r="O62" s="2"/>
      <c r="P62" s="2"/>
      <c r="Q62" s="2"/>
      <c r="R62" s="2"/>
      <c r="S62" s="2"/>
      <c r="T62" s="5">
        <v>175</v>
      </c>
      <c r="U62" s="5">
        <v>38.200000000000003</v>
      </c>
    </row>
    <row r="63" spans="1:21" x14ac:dyDescent="0.3">
      <c r="A63" s="7">
        <v>650.70000000000005</v>
      </c>
      <c r="B63" s="7">
        <v>34.9</v>
      </c>
      <c r="C63" s="7">
        <v>65.099999999999994</v>
      </c>
      <c r="D63" s="7">
        <v>39.619999999999997</v>
      </c>
      <c r="E63" s="7">
        <v>44.41</v>
      </c>
      <c r="F63" s="7">
        <v>104.4</v>
      </c>
      <c r="G63" s="7">
        <v>20.5</v>
      </c>
      <c r="H63" s="7">
        <v>71.8</v>
      </c>
      <c r="I63" s="7">
        <v>174</v>
      </c>
      <c r="J63" s="7">
        <v>21.6</v>
      </c>
      <c r="K63" s="7">
        <v>50.8</v>
      </c>
      <c r="L63" s="3"/>
      <c r="M63" s="3"/>
      <c r="N63" s="3"/>
      <c r="O63" s="3"/>
      <c r="P63" s="3"/>
      <c r="Q63" s="3"/>
      <c r="R63" s="3"/>
      <c r="S63" s="3"/>
      <c r="T63" s="7">
        <v>215</v>
      </c>
      <c r="U63" s="7">
        <v>39.4</v>
      </c>
    </row>
    <row r="64" spans="1:21" x14ac:dyDescent="0.3">
      <c r="A64" s="5">
        <v>662</v>
      </c>
      <c r="B64" s="5">
        <v>35.799999999999997</v>
      </c>
      <c r="C64" s="5">
        <v>64.2</v>
      </c>
      <c r="D64" s="5">
        <v>41.18</v>
      </c>
      <c r="E64" s="5">
        <v>41.78</v>
      </c>
      <c r="F64" s="5">
        <v>100.1</v>
      </c>
      <c r="G64" s="5">
        <v>18.8</v>
      </c>
      <c r="H64" s="5">
        <v>75.099999999999994</v>
      </c>
      <c r="I64" s="5">
        <v>165</v>
      </c>
      <c r="J64" s="5">
        <v>22.7</v>
      </c>
      <c r="K64" s="5">
        <v>51.6</v>
      </c>
      <c r="L64" s="2"/>
      <c r="M64" s="2"/>
      <c r="N64" s="2"/>
      <c r="O64" s="2"/>
      <c r="P64" s="2"/>
      <c r="Q64" s="2"/>
      <c r="R64" s="2"/>
      <c r="S64" s="2"/>
      <c r="T64" s="5">
        <v>158</v>
      </c>
      <c r="U64" s="5">
        <v>31.4</v>
      </c>
    </row>
    <row r="65" spans="1:21" x14ac:dyDescent="0.3">
      <c r="A65" s="7">
        <v>663.5</v>
      </c>
      <c r="B65" s="7">
        <v>34.9</v>
      </c>
      <c r="C65" s="7">
        <v>65.099999999999994</v>
      </c>
      <c r="D65" s="7">
        <v>40.54</v>
      </c>
      <c r="E65" s="7">
        <v>42.86</v>
      </c>
      <c r="F65" s="7">
        <v>94.2</v>
      </c>
      <c r="G65" s="7">
        <v>16.5</v>
      </c>
      <c r="H65" s="7">
        <v>71.5</v>
      </c>
      <c r="I65" s="7">
        <v>165</v>
      </c>
      <c r="J65" s="7">
        <v>24</v>
      </c>
      <c r="K65" s="7">
        <v>46</v>
      </c>
      <c r="L65" s="3"/>
      <c r="M65" s="3"/>
      <c r="N65" s="3"/>
      <c r="O65" s="3"/>
      <c r="P65" s="3"/>
      <c r="Q65" s="3"/>
      <c r="R65" s="3"/>
      <c r="S65" s="3"/>
      <c r="T65" s="7">
        <v>180</v>
      </c>
      <c r="U65" s="7">
        <v>39</v>
      </c>
    </row>
    <row r="66" spans="1:21" x14ac:dyDescent="0.3">
      <c r="A66" s="5">
        <v>589.70000000000005</v>
      </c>
      <c r="B66" s="5">
        <v>35.9</v>
      </c>
      <c r="C66" s="5">
        <v>64.099999999999994</v>
      </c>
      <c r="D66" s="5">
        <v>41.49</v>
      </c>
      <c r="E66" s="5">
        <v>41.07</v>
      </c>
      <c r="F66" s="5">
        <v>94</v>
      </c>
      <c r="G66" s="5">
        <v>20.100000000000001</v>
      </c>
      <c r="H66" s="5">
        <v>75.3</v>
      </c>
      <c r="I66" s="5">
        <v>161</v>
      </c>
      <c r="J66" s="5">
        <v>20.3</v>
      </c>
      <c r="K66" s="5">
        <v>49.1</v>
      </c>
      <c r="L66" s="2"/>
      <c r="M66" s="2"/>
      <c r="N66" s="2"/>
      <c r="O66" s="2"/>
      <c r="P66" s="2"/>
      <c r="Q66" s="2"/>
      <c r="R66" s="2"/>
      <c r="S66" s="2"/>
      <c r="T66" s="5">
        <v>210</v>
      </c>
      <c r="U66" s="5">
        <v>15.1</v>
      </c>
    </row>
    <row r="67" spans="1:21" x14ac:dyDescent="0.3">
      <c r="A67" s="7">
        <v>560</v>
      </c>
      <c r="B67" s="7">
        <v>32.299999999999997</v>
      </c>
      <c r="C67" s="7">
        <v>67.7</v>
      </c>
      <c r="D67" s="7">
        <v>38.840000000000003</v>
      </c>
      <c r="E67" s="7">
        <v>43.61</v>
      </c>
      <c r="F67" s="7">
        <v>99.2</v>
      </c>
      <c r="G67" s="7">
        <v>20.399999999999999</v>
      </c>
      <c r="H67" s="7">
        <v>73.099999999999994</v>
      </c>
      <c r="I67" s="7">
        <v>155</v>
      </c>
      <c r="J67" s="7">
        <v>18.899999999999999</v>
      </c>
      <c r="K67" s="7">
        <v>48.3</v>
      </c>
      <c r="L67" s="3"/>
      <c r="M67" s="3"/>
      <c r="N67" s="3"/>
      <c r="O67" s="3"/>
      <c r="P67" s="3"/>
      <c r="Q67" s="3"/>
      <c r="R67" s="3"/>
      <c r="S67" s="3"/>
      <c r="T67" s="7">
        <v>183</v>
      </c>
      <c r="U67" s="7">
        <v>17.7</v>
      </c>
    </row>
    <row r="68" spans="1:21" x14ac:dyDescent="0.3">
      <c r="A68" s="5">
        <v>593.5</v>
      </c>
      <c r="B68" s="5">
        <v>32.1</v>
      </c>
      <c r="C68" s="5">
        <v>67.900000000000006</v>
      </c>
      <c r="D68" s="5">
        <v>37.6</v>
      </c>
      <c r="E68" s="5">
        <v>45.17</v>
      </c>
      <c r="F68" s="5">
        <v>90.5</v>
      </c>
      <c r="G68" s="5">
        <v>19.100000000000001</v>
      </c>
      <c r="H68" s="5">
        <v>71.8</v>
      </c>
      <c r="I68" s="5">
        <v>173</v>
      </c>
      <c r="J68" s="5">
        <v>19.600000000000001</v>
      </c>
      <c r="K68" s="5">
        <v>49.3</v>
      </c>
      <c r="L68" s="2"/>
      <c r="M68" s="2"/>
      <c r="N68" s="2"/>
      <c r="O68" s="2"/>
      <c r="P68" s="2"/>
      <c r="Q68" s="2"/>
      <c r="R68" s="2"/>
      <c r="S68" s="2"/>
      <c r="T68" s="5">
        <v>227</v>
      </c>
      <c r="U68" s="5">
        <v>40.299999999999997</v>
      </c>
    </row>
    <row r="69" spans="1:21" x14ac:dyDescent="0.3">
      <c r="A69" s="7">
        <v>559</v>
      </c>
      <c r="B69" s="7">
        <v>32.299999999999997</v>
      </c>
      <c r="C69" s="7">
        <v>67.7</v>
      </c>
      <c r="D69" s="7">
        <v>38.630000000000003</v>
      </c>
      <c r="E69" s="7">
        <v>45.2</v>
      </c>
      <c r="F69" s="7">
        <v>89.9</v>
      </c>
      <c r="G69" s="7">
        <v>21</v>
      </c>
      <c r="H69" s="7">
        <v>71.5</v>
      </c>
      <c r="I69" s="7">
        <v>150</v>
      </c>
      <c r="J69" s="7">
        <v>22.6</v>
      </c>
      <c r="K69" s="7">
        <v>49.5</v>
      </c>
      <c r="L69" s="3"/>
      <c r="M69" s="3"/>
      <c r="N69" s="3"/>
      <c r="O69" s="3"/>
      <c r="P69" s="3"/>
      <c r="Q69" s="3"/>
      <c r="R69" s="3"/>
      <c r="S69" s="3"/>
      <c r="T69" s="7">
        <v>218</v>
      </c>
      <c r="U69" s="7">
        <v>17</v>
      </c>
    </row>
    <row r="70" spans="1:21" x14ac:dyDescent="0.3">
      <c r="A70" s="5">
        <v>645</v>
      </c>
      <c r="B70" s="5">
        <v>36.4</v>
      </c>
      <c r="C70" s="5">
        <v>63.6</v>
      </c>
      <c r="D70" s="5">
        <v>38.53</v>
      </c>
      <c r="E70" s="5">
        <v>44.35</v>
      </c>
      <c r="F70" s="5">
        <v>89</v>
      </c>
      <c r="G70" s="5">
        <v>19.3</v>
      </c>
      <c r="H70" s="5">
        <v>72.8</v>
      </c>
      <c r="I70" s="5">
        <v>174</v>
      </c>
      <c r="J70" s="5">
        <v>21.7</v>
      </c>
      <c r="K70" s="5">
        <v>48.5</v>
      </c>
      <c r="L70" s="2"/>
      <c r="M70" s="2"/>
      <c r="N70" s="2"/>
      <c r="O70" s="2"/>
      <c r="P70" s="2"/>
      <c r="Q70" s="2"/>
      <c r="R70" s="2"/>
      <c r="S70" s="2"/>
      <c r="T70" s="5">
        <v>151</v>
      </c>
      <c r="U70" s="5">
        <v>19.5</v>
      </c>
    </row>
    <row r="71" spans="1:21" x14ac:dyDescent="0.3">
      <c r="A71" s="7">
        <v>637</v>
      </c>
      <c r="B71" s="7">
        <v>34.1</v>
      </c>
      <c r="C71" s="7">
        <v>65.900000000000006</v>
      </c>
      <c r="D71" s="7">
        <v>39.15</v>
      </c>
      <c r="E71" s="7">
        <v>43.52</v>
      </c>
      <c r="F71" s="7">
        <v>95.9</v>
      </c>
      <c r="G71" s="7">
        <v>16.8</v>
      </c>
      <c r="H71" s="7">
        <v>73.099999999999994</v>
      </c>
      <c r="I71" s="7">
        <v>168</v>
      </c>
      <c r="J71" s="7">
        <v>20.8</v>
      </c>
      <c r="K71" s="7">
        <v>45.5</v>
      </c>
      <c r="L71" s="3"/>
      <c r="M71" s="3"/>
      <c r="N71" s="3"/>
      <c r="O71" s="3"/>
      <c r="P71" s="3"/>
      <c r="Q71" s="3"/>
      <c r="R71" s="3"/>
      <c r="S71" s="3"/>
      <c r="T71" s="7">
        <v>219</v>
      </c>
      <c r="U71" s="7">
        <v>21</v>
      </c>
    </row>
    <row r="72" spans="1:21" x14ac:dyDescent="0.3">
      <c r="A72" s="5">
        <v>620</v>
      </c>
      <c r="B72" s="5">
        <v>34.200000000000003</v>
      </c>
      <c r="C72" s="5">
        <v>65.8</v>
      </c>
      <c r="D72" s="5">
        <v>37.92</v>
      </c>
      <c r="E72" s="5">
        <v>45.16</v>
      </c>
      <c r="F72" s="5">
        <v>101.4</v>
      </c>
      <c r="G72" s="5">
        <v>18.399999999999999</v>
      </c>
      <c r="H72" s="5">
        <v>74.7</v>
      </c>
      <c r="I72" s="5">
        <v>174</v>
      </c>
      <c r="J72" s="5">
        <v>19.2</v>
      </c>
      <c r="K72" s="5">
        <v>50.2</v>
      </c>
      <c r="L72" s="2"/>
      <c r="M72" s="2"/>
      <c r="N72" s="2"/>
      <c r="O72" s="2"/>
      <c r="P72" s="2"/>
      <c r="Q72" s="2"/>
      <c r="R72" s="2"/>
      <c r="S72" s="2"/>
      <c r="T72" s="5">
        <v>169</v>
      </c>
      <c r="U72" s="5">
        <v>38.799999999999997</v>
      </c>
    </row>
    <row r="73" spans="1:21" x14ac:dyDescent="0.3">
      <c r="A73" s="7">
        <v>666.2</v>
      </c>
      <c r="B73" s="7">
        <v>34.9</v>
      </c>
      <c r="C73" s="7">
        <v>65.099999999999994</v>
      </c>
      <c r="D73" s="7">
        <v>38.11</v>
      </c>
      <c r="E73" s="7">
        <v>45.45</v>
      </c>
      <c r="F73" s="7">
        <v>97.3</v>
      </c>
      <c r="G73" s="7">
        <v>16.899999999999999</v>
      </c>
      <c r="H73" s="7">
        <v>75.3</v>
      </c>
      <c r="I73" s="7">
        <v>168</v>
      </c>
      <c r="J73" s="7">
        <v>21</v>
      </c>
      <c r="K73" s="7">
        <v>54.7</v>
      </c>
      <c r="L73" s="3"/>
      <c r="M73" s="3"/>
      <c r="N73" s="3"/>
      <c r="O73" s="3"/>
      <c r="P73" s="3"/>
      <c r="Q73" s="3"/>
      <c r="R73" s="3"/>
      <c r="S73" s="3"/>
      <c r="T73" s="7">
        <v>182</v>
      </c>
      <c r="U73" s="7">
        <v>44.5</v>
      </c>
    </row>
    <row r="74" spans="1:21" x14ac:dyDescent="0.3">
      <c r="A74" s="5">
        <v>642.29999999999995</v>
      </c>
      <c r="B74" s="5">
        <v>33.4</v>
      </c>
      <c r="C74" s="5">
        <v>66.599999999999994</v>
      </c>
      <c r="D74" s="5">
        <v>39.380000000000003</v>
      </c>
      <c r="E74" s="5">
        <v>42.78</v>
      </c>
      <c r="F74" s="5">
        <v>94.2</v>
      </c>
      <c r="G74" s="5">
        <v>18.3</v>
      </c>
      <c r="H74" s="5">
        <v>73</v>
      </c>
      <c r="I74" s="5">
        <v>169</v>
      </c>
      <c r="J74" s="5">
        <v>20</v>
      </c>
      <c r="K74" s="5">
        <v>46.7</v>
      </c>
      <c r="L74" s="2"/>
      <c r="M74" s="2"/>
      <c r="N74" s="2"/>
      <c r="O74" s="2"/>
      <c r="P74" s="2"/>
      <c r="Q74" s="2"/>
      <c r="R74" s="2"/>
      <c r="S74" s="2"/>
      <c r="T74" s="5">
        <v>211</v>
      </c>
      <c r="U74" s="5">
        <v>39.799999999999997</v>
      </c>
    </row>
    <row r="75" spans="1:21" x14ac:dyDescent="0.3">
      <c r="A75" s="7">
        <v>559.1</v>
      </c>
      <c r="B75" s="7">
        <v>32.799999999999997</v>
      </c>
      <c r="C75" s="7">
        <v>67.2</v>
      </c>
      <c r="D75" s="7">
        <v>40.92</v>
      </c>
      <c r="E75" s="7">
        <v>42.19</v>
      </c>
      <c r="F75" s="7">
        <v>101.7</v>
      </c>
      <c r="G75" s="7">
        <v>17.899999999999999</v>
      </c>
      <c r="H75" s="7">
        <v>73.900000000000006</v>
      </c>
      <c r="I75" s="7">
        <v>164</v>
      </c>
      <c r="J75" s="7">
        <v>21.1</v>
      </c>
      <c r="K75" s="7">
        <v>48.1</v>
      </c>
      <c r="L75" s="3"/>
      <c r="M75" s="3"/>
      <c r="N75" s="3"/>
      <c r="O75" s="3"/>
      <c r="P75" s="3"/>
      <c r="Q75" s="3"/>
      <c r="R75" s="3"/>
      <c r="S75" s="3"/>
      <c r="T75" s="7">
        <v>161</v>
      </c>
      <c r="U75" s="7">
        <v>16</v>
      </c>
    </row>
    <row r="76" spans="1:21" x14ac:dyDescent="0.3">
      <c r="A76" s="5">
        <v>677</v>
      </c>
      <c r="B76" s="5">
        <v>32.5</v>
      </c>
      <c r="C76" s="5">
        <v>67.5</v>
      </c>
      <c r="D76" s="5">
        <v>39.19</v>
      </c>
      <c r="E76" s="5">
        <v>44.99</v>
      </c>
      <c r="F76" s="5">
        <v>99.8</v>
      </c>
      <c r="G76" s="5">
        <v>21.1</v>
      </c>
      <c r="H76" s="5">
        <v>71.7</v>
      </c>
      <c r="I76" s="5">
        <v>170</v>
      </c>
      <c r="J76" s="5">
        <v>19.8</v>
      </c>
      <c r="K76" s="5">
        <v>54.1</v>
      </c>
      <c r="L76" s="2"/>
      <c r="M76" s="2"/>
      <c r="N76" s="2"/>
      <c r="O76" s="2"/>
      <c r="P76" s="2"/>
      <c r="Q76" s="2"/>
      <c r="R76" s="2"/>
      <c r="S76" s="2"/>
      <c r="T76" s="5">
        <v>215</v>
      </c>
      <c r="U76" s="5">
        <v>39.1</v>
      </c>
    </row>
    <row r="77" spans="1:21" x14ac:dyDescent="0.3">
      <c r="A77" s="7">
        <v>589</v>
      </c>
      <c r="B77" s="7">
        <v>35.299999999999997</v>
      </c>
      <c r="C77" s="7">
        <v>64.7</v>
      </c>
      <c r="D77" s="7">
        <v>37.69</v>
      </c>
      <c r="E77" s="7">
        <v>44.86</v>
      </c>
      <c r="F77" s="7">
        <v>102</v>
      </c>
      <c r="G77" s="7">
        <v>19.8</v>
      </c>
      <c r="H77" s="7">
        <v>73.599999999999994</v>
      </c>
      <c r="I77" s="7">
        <v>171</v>
      </c>
      <c r="J77" s="7">
        <v>19.100000000000001</v>
      </c>
      <c r="K77" s="7">
        <v>45.8</v>
      </c>
      <c r="L77" s="3"/>
      <c r="M77" s="3"/>
      <c r="N77" s="3"/>
      <c r="O77" s="3"/>
      <c r="P77" s="3"/>
      <c r="Q77" s="3"/>
      <c r="R77" s="3"/>
      <c r="S77" s="3"/>
      <c r="T77" s="7">
        <v>164</v>
      </c>
      <c r="U77" s="7">
        <v>38.799999999999997</v>
      </c>
    </row>
    <row r="78" spans="1:21" x14ac:dyDescent="0.3">
      <c r="A78" s="5">
        <v>591.20000000000005</v>
      </c>
      <c r="B78" s="5">
        <v>34</v>
      </c>
      <c r="C78" s="5">
        <v>66</v>
      </c>
      <c r="D78" s="5">
        <v>40.6</v>
      </c>
      <c r="E78" s="5">
        <v>41.69</v>
      </c>
      <c r="F78" s="5">
        <v>102.9</v>
      </c>
      <c r="G78" s="5">
        <v>18.7</v>
      </c>
      <c r="H78" s="5">
        <v>73.599999999999994</v>
      </c>
      <c r="I78" s="5">
        <v>162</v>
      </c>
      <c r="J78" s="5">
        <v>21.6</v>
      </c>
      <c r="K78" s="5">
        <v>52</v>
      </c>
      <c r="L78" s="2"/>
      <c r="M78" s="2"/>
      <c r="N78" s="2"/>
      <c r="O78" s="2"/>
      <c r="P78" s="2"/>
      <c r="Q78" s="2"/>
      <c r="R78" s="2"/>
      <c r="S78" s="2"/>
      <c r="T78" s="5">
        <v>164</v>
      </c>
      <c r="U78" s="5">
        <v>30.4</v>
      </c>
    </row>
    <row r="79" spans="1:21" x14ac:dyDescent="0.3">
      <c r="A79" s="7">
        <v>593.1</v>
      </c>
      <c r="B79" s="7">
        <v>34.200000000000003</v>
      </c>
      <c r="C79" s="7">
        <v>65.8</v>
      </c>
      <c r="D79" s="7">
        <v>38.28</v>
      </c>
      <c r="E79" s="7">
        <v>44.79</v>
      </c>
      <c r="F79" s="7">
        <v>90.6</v>
      </c>
      <c r="G79" s="7">
        <v>17.5</v>
      </c>
      <c r="H79" s="7">
        <v>73.099999999999994</v>
      </c>
      <c r="I79" s="7">
        <v>140</v>
      </c>
      <c r="J79" s="7">
        <v>18</v>
      </c>
      <c r="K79" s="7">
        <v>47.2</v>
      </c>
      <c r="L79" s="3"/>
      <c r="M79" s="3"/>
      <c r="N79" s="3"/>
      <c r="O79" s="3"/>
      <c r="P79" s="3"/>
      <c r="Q79" s="3"/>
      <c r="R79" s="3"/>
      <c r="S79" s="3"/>
      <c r="T79" s="7">
        <v>144</v>
      </c>
      <c r="U79" s="7">
        <v>18.2</v>
      </c>
    </row>
    <row r="80" spans="1:21" x14ac:dyDescent="0.3">
      <c r="A80" s="5">
        <v>585.70000000000005</v>
      </c>
      <c r="B80" s="5">
        <v>33.799999999999997</v>
      </c>
      <c r="C80" s="5">
        <v>66.2</v>
      </c>
      <c r="D80" s="5">
        <v>39.19</v>
      </c>
      <c r="E80" s="5">
        <v>44.07</v>
      </c>
      <c r="F80" s="5">
        <v>103.2</v>
      </c>
      <c r="G80" s="5">
        <v>20.100000000000001</v>
      </c>
      <c r="H80" s="5">
        <v>73.599999999999994</v>
      </c>
      <c r="I80" s="5">
        <v>151</v>
      </c>
      <c r="J80" s="5">
        <v>22.9</v>
      </c>
      <c r="K80" s="5">
        <v>54.6</v>
      </c>
      <c r="L80" s="2"/>
      <c r="M80" s="2"/>
      <c r="N80" s="2"/>
      <c r="O80" s="2"/>
      <c r="P80" s="2"/>
      <c r="Q80" s="2"/>
      <c r="R80" s="2"/>
      <c r="S80" s="2"/>
      <c r="T80" s="5">
        <v>222</v>
      </c>
      <c r="U80" s="5">
        <v>15</v>
      </c>
    </row>
    <row r="81" spans="1:21" x14ac:dyDescent="0.3">
      <c r="A81" s="7">
        <v>636.9</v>
      </c>
      <c r="B81" s="7">
        <v>35.1</v>
      </c>
      <c r="C81" s="7">
        <v>64.900000000000006</v>
      </c>
      <c r="D81" s="7">
        <v>38.950000000000003</v>
      </c>
      <c r="E81" s="7">
        <v>43.94</v>
      </c>
      <c r="F81" s="7">
        <v>85.2</v>
      </c>
      <c r="G81" s="7">
        <v>19.7</v>
      </c>
      <c r="H81" s="7">
        <v>75.5</v>
      </c>
      <c r="I81" s="7">
        <v>161</v>
      </c>
      <c r="J81" s="7">
        <v>23.2</v>
      </c>
      <c r="K81" s="7">
        <v>52.2</v>
      </c>
      <c r="L81" s="3"/>
      <c r="M81" s="3"/>
      <c r="N81" s="3"/>
      <c r="O81" s="3"/>
      <c r="P81" s="3"/>
      <c r="Q81" s="3"/>
      <c r="R81" s="3"/>
      <c r="S81" s="3"/>
      <c r="T81" s="7">
        <v>152</v>
      </c>
      <c r="U81" s="7">
        <v>42.1</v>
      </c>
    </row>
    <row r="82" spans="1:21" x14ac:dyDescent="0.3">
      <c r="A82" s="5">
        <v>637.5</v>
      </c>
      <c r="B82" s="5">
        <v>33.200000000000003</v>
      </c>
      <c r="C82" s="5">
        <v>66.8</v>
      </c>
      <c r="D82" s="5">
        <v>38.729999999999997</v>
      </c>
      <c r="E82" s="5">
        <v>43.75</v>
      </c>
      <c r="F82" s="5">
        <v>93.9</v>
      </c>
      <c r="G82" s="5">
        <v>20.5</v>
      </c>
      <c r="H82" s="5">
        <v>74.900000000000006</v>
      </c>
      <c r="I82" s="2"/>
      <c r="J82" s="2"/>
      <c r="K82" s="2"/>
      <c r="L82" s="2"/>
      <c r="M82" s="2"/>
      <c r="N82" s="2"/>
      <c r="O82" s="2"/>
      <c r="P82" s="2"/>
      <c r="Q82" s="5">
        <v>172</v>
      </c>
      <c r="R82" s="5">
        <v>32.5</v>
      </c>
      <c r="S82" s="2"/>
      <c r="T82" s="2"/>
      <c r="U82" s="2"/>
    </row>
    <row r="83" spans="1:21" x14ac:dyDescent="0.3">
      <c r="A83" s="7">
        <v>590.5</v>
      </c>
      <c r="B83" s="7">
        <v>35</v>
      </c>
      <c r="C83" s="7">
        <v>65</v>
      </c>
      <c r="D83" s="7">
        <v>39.92</v>
      </c>
      <c r="E83" s="7">
        <v>43.19</v>
      </c>
      <c r="F83" s="7">
        <v>89.4</v>
      </c>
      <c r="G83" s="7">
        <v>21.4</v>
      </c>
      <c r="H83" s="7">
        <v>72.7</v>
      </c>
      <c r="I83" s="7">
        <v>164</v>
      </c>
      <c r="J83" s="7">
        <v>18.8</v>
      </c>
      <c r="K83" s="7">
        <v>49.9</v>
      </c>
      <c r="L83" s="3"/>
      <c r="M83" s="3"/>
      <c r="N83" s="3"/>
      <c r="O83" s="3"/>
      <c r="P83" s="3"/>
      <c r="Q83" s="3"/>
      <c r="R83" s="3"/>
      <c r="S83" s="3"/>
      <c r="T83" s="7">
        <v>143</v>
      </c>
      <c r="U83" s="7">
        <v>30.2</v>
      </c>
    </row>
    <row r="84" spans="1:21" x14ac:dyDescent="0.3">
      <c r="A84" s="5">
        <v>677.9</v>
      </c>
      <c r="B84" s="5">
        <v>33.299999999999997</v>
      </c>
      <c r="C84" s="5">
        <v>66.7</v>
      </c>
      <c r="D84" s="5">
        <v>41.34</v>
      </c>
      <c r="E84" s="5">
        <v>41.21</v>
      </c>
      <c r="F84" s="5">
        <v>92.7</v>
      </c>
      <c r="G84" s="5">
        <v>18.2</v>
      </c>
      <c r="H84" s="5">
        <v>73.2</v>
      </c>
      <c r="I84" s="5">
        <v>145</v>
      </c>
      <c r="J84" s="5">
        <v>21.3</v>
      </c>
      <c r="K84" s="5">
        <v>50.4</v>
      </c>
      <c r="L84" s="2"/>
      <c r="M84" s="2"/>
      <c r="N84" s="2"/>
      <c r="O84" s="2"/>
      <c r="P84" s="2"/>
      <c r="Q84" s="2"/>
      <c r="R84" s="2"/>
      <c r="S84" s="2"/>
      <c r="T84" s="5">
        <v>216</v>
      </c>
      <c r="U84" s="5">
        <v>40</v>
      </c>
    </row>
    <row r="85" spans="1:21" x14ac:dyDescent="0.3">
      <c r="A85" s="7">
        <v>664.4</v>
      </c>
      <c r="B85" s="7">
        <v>34.799999999999997</v>
      </c>
      <c r="C85" s="7">
        <v>65.2</v>
      </c>
      <c r="D85" s="7">
        <v>39.78</v>
      </c>
      <c r="E85" s="7">
        <v>42.75</v>
      </c>
      <c r="F85" s="7">
        <v>89</v>
      </c>
      <c r="G85" s="7">
        <v>18.5</v>
      </c>
      <c r="H85" s="7">
        <v>70.2</v>
      </c>
      <c r="I85" s="7">
        <v>157</v>
      </c>
      <c r="J85" s="7">
        <v>21.3</v>
      </c>
      <c r="K85" s="7">
        <v>47.3</v>
      </c>
      <c r="L85" s="3"/>
      <c r="M85" s="3"/>
      <c r="N85" s="3"/>
      <c r="O85" s="3"/>
      <c r="P85" s="3"/>
      <c r="Q85" s="3"/>
      <c r="R85" s="3"/>
      <c r="S85" s="3"/>
      <c r="T85" s="7">
        <v>236</v>
      </c>
      <c r="U85" s="7">
        <v>42.3</v>
      </c>
    </row>
    <row r="86" spans="1:21" x14ac:dyDescent="0.3">
      <c r="A86" s="5">
        <v>587.20000000000005</v>
      </c>
      <c r="B86" s="5">
        <v>32.9</v>
      </c>
      <c r="C86" s="5">
        <v>67.099999999999994</v>
      </c>
      <c r="D86" s="5">
        <v>41.43</v>
      </c>
      <c r="E86" s="5">
        <v>40.79</v>
      </c>
      <c r="F86" s="5">
        <v>94.8</v>
      </c>
      <c r="G86" s="5">
        <v>11.9</v>
      </c>
      <c r="H86" s="5">
        <v>88.7</v>
      </c>
      <c r="I86" s="5">
        <v>174</v>
      </c>
      <c r="J86" s="5">
        <v>20.399999999999999</v>
      </c>
      <c r="K86" s="5">
        <v>53.3</v>
      </c>
      <c r="L86" s="2"/>
      <c r="M86" s="2"/>
      <c r="N86" s="2"/>
      <c r="O86" s="2"/>
      <c r="P86" s="2"/>
      <c r="Q86" s="2"/>
      <c r="R86" s="2"/>
      <c r="S86" s="2"/>
      <c r="T86" s="5">
        <v>216</v>
      </c>
      <c r="U86" s="5">
        <v>32.200000000000003</v>
      </c>
    </row>
    <row r="87" spans="1:21" x14ac:dyDescent="0.3">
      <c r="A87" s="7">
        <v>640</v>
      </c>
      <c r="B87" s="7">
        <v>32.6</v>
      </c>
      <c r="C87" s="7">
        <v>67.400000000000006</v>
      </c>
      <c r="D87" s="7">
        <v>39.56</v>
      </c>
      <c r="E87" s="7">
        <v>42.59</v>
      </c>
      <c r="F87" s="7">
        <v>90.6</v>
      </c>
      <c r="G87" s="7">
        <v>10.1</v>
      </c>
      <c r="H87" s="7">
        <v>89.6</v>
      </c>
      <c r="I87" s="7">
        <v>140</v>
      </c>
      <c r="J87" s="7">
        <v>24</v>
      </c>
      <c r="K87" s="7">
        <v>51.8</v>
      </c>
      <c r="L87" s="3"/>
      <c r="M87" s="3"/>
      <c r="N87" s="3"/>
      <c r="O87" s="3"/>
      <c r="P87" s="3"/>
      <c r="Q87" s="3"/>
      <c r="R87" s="3"/>
      <c r="S87" s="3"/>
      <c r="T87" s="7">
        <v>223</v>
      </c>
      <c r="U87" s="7">
        <v>23.8</v>
      </c>
    </row>
    <row r="88" spans="1:21" x14ac:dyDescent="0.3">
      <c r="A88" s="5">
        <v>595.29999999999995</v>
      </c>
      <c r="B88" s="5">
        <v>32.5</v>
      </c>
      <c r="C88" s="5">
        <v>67.5</v>
      </c>
      <c r="D88" s="5">
        <v>42.18</v>
      </c>
      <c r="E88" s="5">
        <v>40.880000000000003</v>
      </c>
      <c r="F88" s="5">
        <v>104.1</v>
      </c>
      <c r="G88" s="5">
        <v>11.6</v>
      </c>
      <c r="H88" s="5">
        <v>83</v>
      </c>
      <c r="I88" s="5">
        <v>143</v>
      </c>
      <c r="J88" s="5">
        <v>21</v>
      </c>
      <c r="K88" s="5">
        <v>52.9</v>
      </c>
      <c r="L88" s="2"/>
      <c r="M88" s="2"/>
      <c r="N88" s="2"/>
      <c r="O88" s="2"/>
      <c r="P88" s="2"/>
      <c r="Q88" s="2"/>
      <c r="R88" s="2"/>
      <c r="S88" s="2"/>
      <c r="T88" s="5">
        <v>211</v>
      </c>
      <c r="U88" s="5">
        <v>16.5</v>
      </c>
    </row>
    <row r="89" spans="1:21" x14ac:dyDescent="0.3">
      <c r="A89" s="7">
        <v>566</v>
      </c>
      <c r="B89" s="7">
        <v>36</v>
      </c>
      <c r="C89" s="7">
        <v>64</v>
      </c>
      <c r="D89" s="7">
        <v>40.46</v>
      </c>
      <c r="E89" s="7">
        <v>41.91</v>
      </c>
      <c r="F89" s="7">
        <v>97.5</v>
      </c>
      <c r="G89" s="7">
        <v>9.4</v>
      </c>
      <c r="H89" s="7">
        <v>86.8</v>
      </c>
      <c r="I89" s="7">
        <v>148</v>
      </c>
      <c r="J89" s="7">
        <v>22.3</v>
      </c>
      <c r="K89" s="7">
        <v>53.2</v>
      </c>
      <c r="L89" s="3"/>
      <c r="M89" s="3"/>
      <c r="N89" s="3"/>
      <c r="O89" s="3"/>
      <c r="P89" s="3"/>
      <c r="Q89" s="3"/>
      <c r="R89" s="3"/>
      <c r="S89" s="3"/>
      <c r="T89" s="7">
        <v>220</v>
      </c>
      <c r="U89" s="7">
        <v>31.6</v>
      </c>
    </row>
    <row r="90" spans="1:21" x14ac:dyDescent="0.3">
      <c r="A90" s="5">
        <v>659.1</v>
      </c>
      <c r="B90" s="5">
        <v>32</v>
      </c>
      <c r="C90" s="5">
        <v>68</v>
      </c>
      <c r="D90" s="5">
        <v>39.729999999999997</v>
      </c>
      <c r="E90" s="5">
        <v>43.58</v>
      </c>
      <c r="F90" s="5">
        <v>87</v>
      </c>
      <c r="G90" s="5">
        <v>10.8</v>
      </c>
      <c r="H90" s="5">
        <v>82.7</v>
      </c>
      <c r="I90" s="5">
        <v>169</v>
      </c>
      <c r="J90" s="5">
        <v>19.899999999999999</v>
      </c>
      <c r="K90" s="5">
        <v>52.9</v>
      </c>
      <c r="L90" s="2"/>
      <c r="M90" s="2"/>
      <c r="N90" s="2"/>
      <c r="O90" s="2"/>
      <c r="P90" s="2"/>
      <c r="Q90" s="2"/>
      <c r="R90" s="2"/>
      <c r="S90" s="2"/>
      <c r="T90" s="5">
        <v>229</v>
      </c>
      <c r="U90" s="5">
        <v>28</v>
      </c>
    </row>
    <row r="91" spans="1:21" x14ac:dyDescent="0.3">
      <c r="A91" s="7">
        <v>588.70000000000005</v>
      </c>
      <c r="B91" s="7">
        <v>32.5</v>
      </c>
      <c r="C91" s="7">
        <v>67.5</v>
      </c>
      <c r="D91" s="7">
        <v>41.77</v>
      </c>
      <c r="E91" s="7">
        <v>41.49</v>
      </c>
      <c r="F91" s="7">
        <v>92.2</v>
      </c>
      <c r="G91" s="7">
        <v>13.8</v>
      </c>
      <c r="H91" s="7">
        <v>85</v>
      </c>
      <c r="I91" s="7">
        <v>155</v>
      </c>
      <c r="J91" s="7">
        <v>20.7</v>
      </c>
      <c r="K91" s="7">
        <v>47.1</v>
      </c>
      <c r="L91" s="3"/>
      <c r="M91" s="3"/>
      <c r="N91" s="3"/>
      <c r="O91" s="3"/>
      <c r="P91" s="3"/>
      <c r="Q91" s="3"/>
      <c r="R91" s="3"/>
      <c r="S91" s="3"/>
      <c r="T91" s="7">
        <v>177</v>
      </c>
      <c r="U91" s="7">
        <v>26.1</v>
      </c>
    </row>
    <row r="92" spans="1:21" x14ac:dyDescent="0.3">
      <c r="A92" s="5">
        <v>633.79999999999995</v>
      </c>
      <c r="B92" s="5">
        <v>33.799999999999997</v>
      </c>
      <c r="C92" s="5">
        <v>66.2</v>
      </c>
      <c r="D92" s="5">
        <v>41.05</v>
      </c>
      <c r="E92" s="5">
        <v>40.35</v>
      </c>
      <c r="F92" s="5">
        <v>90.7</v>
      </c>
      <c r="G92" s="5">
        <v>10.8</v>
      </c>
      <c r="H92" s="5">
        <v>80.599999999999994</v>
      </c>
      <c r="I92" s="5">
        <v>144</v>
      </c>
      <c r="J92" s="5">
        <v>21.1</v>
      </c>
      <c r="K92" s="5">
        <v>47.7</v>
      </c>
      <c r="L92" s="2"/>
      <c r="M92" s="2"/>
      <c r="N92" s="2"/>
      <c r="O92" s="2"/>
      <c r="P92" s="2"/>
      <c r="Q92" s="2"/>
      <c r="R92" s="2"/>
      <c r="S92" s="2"/>
      <c r="T92" s="5">
        <v>224</v>
      </c>
      <c r="U92" s="5">
        <v>15.4</v>
      </c>
    </row>
    <row r="93" spans="1:21" x14ac:dyDescent="0.3">
      <c r="A93" s="7">
        <v>617.79999999999995</v>
      </c>
      <c r="B93" s="7">
        <v>36.4</v>
      </c>
      <c r="C93" s="7">
        <v>63.6</v>
      </c>
      <c r="D93" s="7">
        <v>38.520000000000003</v>
      </c>
      <c r="E93" s="7">
        <v>44.07</v>
      </c>
      <c r="F93" s="7">
        <v>101.1</v>
      </c>
      <c r="G93" s="7">
        <v>9.6</v>
      </c>
      <c r="H93" s="7">
        <v>82.7</v>
      </c>
      <c r="I93" s="7">
        <v>141</v>
      </c>
      <c r="J93" s="7">
        <v>19.8</v>
      </c>
      <c r="K93" s="7">
        <v>52.7</v>
      </c>
      <c r="L93" s="3"/>
      <c r="M93" s="3"/>
      <c r="N93" s="3"/>
      <c r="O93" s="3"/>
      <c r="P93" s="3"/>
      <c r="Q93" s="3"/>
      <c r="R93" s="3"/>
      <c r="S93" s="3"/>
      <c r="T93" s="7">
        <v>192</v>
      </c>
      <c r="U93" s="7">
        <v>25.4</v>
      </c>
    </row>
    <row r="94" spans="1:21" x14ac:dyDescent="0.3">
      <c r="A94" s="5">
        <v>647.20000000000005</v>
      </c>
      <c r="B94" s="5">
        <v>34.1</v>
      </c>
      <c r="C94" s="5">
        <v>65.900000000000006</v>
      </c>
      <c r="D94" s="5">
        <v>39.19</v>
      </c>
      <c r="E94" s="5">
        <v>42.74</v>
      </c>
      <c r="F94" s="5">
        <v>100.7</v>
      </c>
      <c r="G94" s="5">
        <v>14</v>
      </c>
      <c r="H94" s="5">
        <v>85.4</v>
      </c>
      <c r="I94" s="5">
        <v>174</v>
      </c>
      <c r="J94" s="5">
        <v>18.5</v>
      </c>
      <c r="K94" s="5">
        <v>48.7</v>
      </c>
      <c r="L94" s="2"/>
      <c r="M94" s="2"/>
      <c r="N94" s="2"/>
      <c r="O94" s="2"/>
      <c r="P94" s="2"/>
      <c r="Q94" s="2"/>
      <c r="R94" s="2"/>
      <c r="S94" s="2"/>
      <c r="T94" s="5">
        <v>163</v>
      </c>
      <c r="U94" s="5">
        <v>20.9</v>
      </c>
    </row>
    <row r="95" spans="1:21" x14ac:dyDescent="0.3">
      <c r="A95" s="7">
        <v>569.1</v>
      </c>
      <c r="B95" s="7">
        <v>32</v>
      </c>
      <c r="C95" s="7">
        <v>68</v>
      </c>
      <c r="D95" s="7">
        <v>40.97</v>
      </c>
      <c r="E95" s="7">
        <v>42.35</v>
      </c>
      <c r="F95" s="7">
        <v>104.2</v>
      </c>
      <c r="G95" s="7">
        <v>11.6</v>
      </c>
      <c r="H95" s="7">
        <v>82.4</v>
      </c>
      <c r="I95" s="7">
        <v>158</v>
      </c>
      <c r="J95" s="7">
        <v>22.1</v>
      </c>
      <c r="K95" s="7">
        <v>45.8</v>
      </c>
      <c r="L95" s="3"/>
      <c r="M95" s="3"/>
      <c r="N95" s="3"/>
      <c r="O95" s="3"/>
      <c r="P95" s="3"/>
      <c r="Q95" s="3"/>
      <c r="R95" s="3"/>
      <c r="S95" s="3"/>
      <c r="T95" s="7">
        <v>167</v>
      </c>
      <c r="U95" s="7">
        <v>39.200000000000003</v>
      </c>
    </row>
    <row r="96" spans="1:21" x14ac:dyDescent="0.3">
      <c r="A96" s="5">
        <v>642.5</v>
      </c>
      <c r="B96" s="5">
        <v>36.4</v>
      </c>
      <c r="C96" s="5">
        <v>63.6</v>
      </c>
      <c r="D96" s="5">
        <v>40.54</v>
      </c>
      <c r="E96" s="5">
        <v>42.18</v>
      </c>
      <c r="F96" s="5">
        <v>96.9</v>
      </c>
      <c r="G96" s="5">
        <v>9.4</v>
      </c>
      <c r="H96" s="5">
        <v>86.2</v>
      </c>
      <c r="I96" s="5">
        <v>174</v>
      </c>
      <c r="J96" s="5">
        <v>19.100000000000001</v>
      </c>
      <c r="K96" s="5">
        <v>52.9</v>
      </c>
      <c r="L96" s="2"/>
      <c r="M96" s="2"/>
      <c r="N96" s="2"/>
      <c r="O96" s="2"/>
      <c r="P96" s="2"/>
      <c r="Q96" s="2"/>
      <c r="R96" s="2"/>
      <c r="S96" s="2"/>
      <c r="T96" s="5">
        <v>231</v>
      </c>
      <c r="U96" s="5">
        <v>43.3</v>
      </c>
    </row>
    <row r="97" spans="1:21" x14ac:dyDescent="0.3">
      <c r="A97" s="7">
        <v>670.4</v>
      </c>
      <c r="B97" s="7">
        <v>33</v>
      </c>
      <c r="C97" s="7">
        <v>67</v>
      </c>
      <c r="D97" s="7">
        <v>40.76</v>
      </c>
      <c r="E97" s="7">
        <v>42.17</v>
      </c>
      <c r="F97" s="7">
        <v>102</v>
      </c>
      <c r="G97" s="7">
        <v>12.6</v>
      </c>
      <c r="H97" s="7">
        <v>81</v>
      </c>
      <c r="I97" s="7">
        <v>155</v>
      </c>
      <c r="J97" s="7">
        <v>18.2</v>
      </c>
      <c r="K97" s="7">
        <v>49.8</v>
      </c>
      <c r="L97" s="3"/>
      <c r="M97" s="3"/>
      <c r="N97" s="3"/>
      <c r="O97" s="3"/>
      <c r="P97" s="3"/>
      <c r="Q97" s="3"/>
      <c r="R97" s="3"/>
      <c r="S97" s="3"/>
      <c r="T97" s="7">
        <v>206</v>
      </c>
      <c r="U97" s="7">
        <v>18.600000000000001</v>
      </c>
    </row>
    <row r="98" spans="1:21" x14ac:dyDescent="0.3">
      <c r="A98" s="5">
        <v>635.4</v>
      </c>
      <c r="B98" s="5">
        <v>33.1</v>
      </c>
      <c r="C98" s="5">
        <v>66.900000000000006</v>
      </c>
      <c r="D98" s="5">
        <v>38.270000000000003</v>
      </c>
      <c r="E98" s="5">
        <v>44.04</v>
      </c>
      <c r="F98" s="5">
        <v>87</v>
      </c>
      <c r="G98" s="5">
        <v>11.5</v>
      </c>
      <c r="H98" s="5">
        <v>82.2</v>
      </c>
      <c r="I98" s="5">
        <v>141</v>
      </c>
      <c r="J98" s="5">
        <v>18.2</v>
      </c>
      <c r="K98" s="5">
        <v>46.8</v>
      </c>
      <c r="L98" s="2"/>
      <c r="M98" s="2"/>
      <c r="N98" s="2"/>
      <c r="O98" s="2"/>
      <c r="P98" s="2"/>
      <c r="Q98" s="2"/>
      <c r="R98" s="2"/>
      <c r="S98" s="2"/>
      <c r="T98" s="5">
        <v>227</v>
      </c>
      <c r="U98" s="5">
        <v>23.5</v>
      </c>
    </row>
    <row r="99" spans="1:21" x14ac:dyDescent="0.3">
      <c r="A99" s="7">
        <v>574.20000000000005</v>
      </c>
      <c r="B99" s="7">
        <v>33.5</v>
      </c>
      <c r="C99" s="7">
        <v>66.5</v>
      </c>
      <c r="D99" s="7">
        <v>40.92</v>
      </c>
      <c r="E99" s="7">
        <v>42.24</v>
      </c>
      <c r="F99" s="7">
        <v>86.4</v>
      </c>
      <c r="G99" s="7">
        <v>9.3000000000000007</v>
      </c>
      <c r="H99" s="7">
        <v>89.4</v>
      </c>
      <c r="I99" s="7">
        <v>158</v>
      </c>
      <c r="J99" s="7">
        <v>20.5</v>
      </c>
      <c r="K99" s="7">
        <v>53.1</v>
      </c>
      <c r="L99" s="3"/>
      <c r="M99" s="3"/>
      <c r="N99" s="3"/>
      <c r="O99" s="3"/>
      <c r="P99" s="3"/>
      <c r="Q99" s="3"/>
      <c r="R99" s="3"/>
      <c r="S99" s="3"/>
      <c r="T99" s="7">
        <v>224</v>
      </c>
      <c r="U99" s="7">
        <v>25</v>
      </c>
    </row>
    <row r="100" spans="1:21" x14ac:dyDescent="0.3">
      <c r="A100" s="5">
        <v>589.5</v>
      </c>
      <c r="B100" s="5">
        <v>33.4</v>
      </c>
      <c r="C100" s="5">
        <v>66.599999999999994</v>
      </c>
      <c r="D100" s="5">
        <v>38.42</v>
      </c>
      <c r="E100" s="5">
        <v>46.13</v>
      </c>
      <c r="F100" s="5">
        <v>99.6</v>
      </c>
      <c r="G100" s="5">
        <v>13.8</v>
      </c>
      <c r="H100" s="5">
        <v>82.2</v>
      </c>
      <c r="I100" s="5">
        <v>163</v>
      </c>
      <c r="J100" s="5">
        <v>22.5</v>
      </c>
      <c r="K100" s="5">
        <v>53.5</v>
      </c>
      <c r="L100" s="2"/>
      <c r="M100" s="2"/>
      <c r="N100" s="2"/>
      <c r="O100" s="2"/>
      <c r="P100" s="2"/>
      <c r="Q100" s="2"/>
      <c r="R100" s="2"/>
      <c r="S100" s="2"/>
      <c r="T100" s="5">
        <v>182</v>
      </c>
      <c r="U100" s="5">
        <v>24.1</v>
      </c>
    </row>
    <row r="101" spans="1:21" x14ac:dyDescent="0.3">
      <c r="A101" s="7">
        <v>625.9</v>
      </c>
      <c r="B101" s="7">
        <v>36.299999999999997</v>
      </c>
      <c r="C101" s="7">
        <v>63.7</v>
      </c>
      <c r="D101" s="7">
        <v>37.67</v>
      </c>
      <c r="E101" s="7">
        <v>46.48</v>
      </c>
      <c r="F101" s="7">
        <v>97</v>
      </c>
      <c r="G101" s="7">
        <v>10.5</v>
      </c>
      <c r="H101" s="7">
        <v>87.1</v>
      </c>
      <c r="I101" s="7">
        <v>167</v>
      </c>
      <c r="J101" s="7">
        <v>18.600000000000001</v>
      </c>
      <c r="K101" s="7">
        <v>50.1</v>
      </c>
      <c r="L101" s="3"/>
      <c r="M101" s="3"/>
      <c r="N101" s="3"/>
      <c r="O101" s="3"/>
      <c r="P101" s="3"/>
      <c r="Q101" s="3"/>
      <c r="R101" s="3"/>
      <c r="S101" s="3"/>
      <c r="T101" s="7">
        <v>191</v>
      </c>
      <c r="U101" s="7">
        <v>26.1</v>
      </c>
    </row>
    <row r="102" spans="1:21" x14ac:dyDescent="0.3">
      <c r="A102" s="5">
        <v>644.5</v>
      </c>
      <c r="B102" s="5">
        <v>34.5</v>
      </c>
      <c r="C102" s="5">
        <v>65.5</v>
      </c>
      <c r="D102" s="5">
        <v>41.29</v>
      </c>
      <c r="E102" s="5">
        <v>41.02</v>
      </c>
      <c r="F102" s="5">
        <v>92.6</v>
      </c>
      <c r="G102" s="5">
        <v>9.8000000000000007</v>
      </c>
      <c r="H102" s="5">
        <v>87.9</v>
      </c>
      <c r="I102" s="5">
        <v>166</v>
      </c>
      <c r="J102" s="5">
        <v>20.3</v>
      </c>
      <c r="K102" s="5">
        <v>45.3</v>
      </c>
      <c r="L102" s="2"/>
      <c r="M102" s="2"/>
      <c r="N102" s="2"/>
      <c r="O102" s="2"/>
      <c r="P102" s="2"/>
      <c r="Q102" s="2"/>
      <c r="R102" s="2"/>
      <c r="S102" s="2"/>
      <c r="T102" s="5">
        <v>224</v>
      </c>
      <c r="U102" s="5">
        <v>15.3</v>
      </c>
    </row>
    <row r="103" spans="1:21" x14ac:dyDescent="0.3">
      <c r="A103" s="7">
        <v>662.5</v>
      </c>
      <c r="B103" s="7">
        <v>32.700000000000003</v>
      </c>
      <c r="C103" s="7">
        <v>67.3</v>
      </c>
      <c r="D103" s="7">
        <v>38.74</v>
      </c>
      <c r="E103" s="7">
        <v>44.98</v>
      </c>
      <c r="F103" s="7">
        <v>102.4</v>
      </c>
      <c r="G103" s="7">
        <v>12.4</v>
      </c>
      <c r="H103" s="7">
        <v>88</v>
      </c>
      <c r="I103" s="7">
        <v>149</v>
      </c>
      <c r="J103" s="7">
        <v>21.7</v>
      </c>
      <c r="K103" s="7">
        <v>50.7</v>
      </c>
      <c r="L103" s="3"/>
      <c r="M103" s="3"/>
      <c r="N103" s="3"/>
      <c r="O103" s="3"/>
      <c r="P103" s="3"/>
      <c r="Q103" s="3"/>
      <c r="R103" s="3"/>
      <c r="S103" s="3"/>
      <c r="T103" s="7">
        <v>223</v>
      </c>
      <c r="U103" s="7">
        <v>42.2</v>
      </c>
    </row>
    <row r="104" spans="1:21" x14ac:dyDescent="0.3">
      <c r="A104" s="5">
        <v>557.4</v>
      </c>
      <c r="B104" s="5">
        <v>33.700000000000003</v>
      </c>
      <c r="C104" s="5">
        <v>66.3</v>
      </c>
      <c r="D104" s="5">
        <v>41.28</v>
      </c>
      <c r="E104" s="5">
        <v>40.67</v>
      </c>
      <c r="F104" s="5">
        <v>98.4</v>
      </c>
      <c r="G104" s="5">
        <v>12.2</v>
      </c>
      <c r="H104" s="5">
        <v>82</v>
      </c>
      <c r="I104" s="5">
        <v>155</v>
      </c>
      <c r="J104" s="5">
        <v>22.5</v>
      </c>
      <c r="K104" s="5">
        <v>46</v>
      </c>
      <c r="L104" s="2"/>
      <c r="M104" s="2"/>
      <c r="N104" s="2"/>
      <c r="O104" s="2"/>
      <c r="P104" s="2"/>
      <c r="Q104" s="2"/>
      <c r="R104" s="2"/>
      <c r="S104" s="2"/>
      <c r="T104" s="5">
        <v>168</v>
      </c>
      <c r="U104" s="5">
        <v>23.3</v>
      </c>
    </row>
    <row r="105" spans="1:21" x14ac:dyDescent="0.3">
      <c r="A105" s="7">
        <v>587.4</v>
      </c>
      <c r="B105" s="7">
        <v>35</v>
      </c>
      <c r="C105" s="7">
        <v>65</v>
      </c>
      <c r="D105" s="7">
        <v>41.37</v>
      </c>
      <c r="E105" s="7">
        <v>40.64</v>
      </c>
      <c r="F105" s="7">
        <v>86.5</v>
      </c>
      <c r="G105" s="7">
        <v>9.4</v>
      </c>
      <c r="H105" s="7">
        <v>89.5</v>
      </c>
      <c r="I105" s="7">
        <v>150</v>
      </c>
      <c r="J105" s="7">
        <v>18.600000000000001</v>
      </c>
      <c r="K105" s="7">
        <v>51</v>
      </c>
      <c r="L105" s="3"/>
      <c r="M105" s="3"/>
      <c r="N105" s="3"/>
      <c r="O105" s="3"/>
      <c r="P105" s="3"/>
      <c r="Q105" s="3"/>
      <c r="R105" s="3"/>
      <c r="S105" s="3"/>
      <c r="T105" s="7">
        <v>202</v>
      </c>
      <c r="U105" s="7">
        <v>34.5</v>
      </c>
    </row>
    <row r="106" spans="1:21" x14ac:dyDescent="0.3">
      <c r="A106" s="5">
        <v>576.29999999999995</v>
      </c>
      <c r="B106" s="5">
        <v>34.6</v>
      </c>
      <c r="C106" s="5">
        <v>65.400000000000006</v>
      </c>
      <c r="D106" s="5">
        <v>40.299999999999997</v>
      </c>
      <c r="E106" s="5">
        <v>41.89</v>
      </c>
      <c r="F106" s="5">
        <v>93.2</v>
      </c>
      <c r="G106" s="5">
        <v>9.1</v>
      </c>
      <c r="H106" s="5">
        <v>85.8</v>
      </c>
      <c r="I106" s="5">
        <v>149</v>
      </c>
      <c r="J106" s="5">
        <v>20.7</v>
      </c>
      <c r="K106" s="5">
        <v>54.6</v>
      </c>
      <c r="L106" s="2"/>
      <c r="M106" s="2"/>
      <c r="N106" s="2"/>
      <c r="O106" s="2"/>
      <c r="P106" s="2"/>
      <c r="Q106" s="2"/>
      <c r="R106" s="2"/>
      <c r="S106" s="2"/>
      <c r="T106" s="5">
        <v>180</v>
      </c>
      <c r="U106" s="5">
        <v>40.200000000000003</v>
      </c>
    </row>
    <row r="107" spans="1:21" x14ac:dyDescent="0.3">
      <c r="A107" s="7">
        <v>581.5</v>
      </c>
      <c r="B107" s="7">
        <v>35.200000000000003</v>
      </c>
      <c r="C107" s="7">
        <v>64.8</v>
      </c>
      <c r="D107" s="7">
        <v>37.869999999999997</v>
      </c>
      <c r="E107" s="7">
        <v>46.38</v>
      </c>
      <c r="F107" s="7">
        <v>102.5</v>
      </c>
      <c r="G107" s="7">
        <v>12.7</v>
      </c>
      <c r="H107" s="7">
        <v>80.099999999999994</v>
      </c>
      <c r="I107" s="7">
        <v>149</v>
      </c>
      <c r="J107" s="7">
        <v>19.3</v>
      </c>
      <c r="K107" s="7">
        <v>47.7</v>
      </c>
      <c r="L107" s="3"/>
      <c r="M107" s="3"/>
      <c r="N107" s="3"/>
      <c r="O107" s="3"/>
      <c r="P107" s="3"/>
      <c r="Q107" s="3"/>
      <c r="R107" s="3"/>
      <c r="S107" s="3"/>
      <c r="T107" s="7">
        <v>165</v>
      </c>
      <c r="U107" s="7">
        <v>16.899999999999999</v>
      </c>
    </row>
    <row r="108" spans="1:21" x14ac:dyDescent="0.3">
      <c r="A108" s="5">
        <v>598.20000000000005</v>
      </c>
      <c r="B108" s="5">
        <v>36.1</v>
      </c>
      <c r="C108" s="5">
        <v>63.9</v>
      </c>
      <c r="D108" s="5">
        <v>39.840000000000003</v>
      </c>
      <c r="E108" s="5">
        <v>42.87</v>
      </c>
      <c r="F108" s="5">
        <v>90.4</v>
      </c>
      <c r="G108" s="5">
        <v>10.8</v>
      </c>
      <c r="H108" s="5">
        <v>89</v>
      </c>
      <c r="I108" s="5">
        <v>163</v>
      </c>
      <c r="J108" s="5">
        <v>22.7</v>
      </c>
      <c r="K108" s="5">
        <v>49.5</v>
      </c>
      <c r="L108" s="2"/>
      <c r="M108" s="2"/>
      <c r="N108" s="2"/>
      <c r="O108" s="2"/>
      <c r="P108" s="2"/>
      <c r="Q108" s="2"/>
      <c r="R108" s="2"/>
      <c r="S108" s="2"/>
      <c r="T108" s="5">
        <v>203</v>
      </c>
      <c r="U108" s="5">
        <v>22.5</v>
      </c>
    </row>
    <row r="109" spans="1:21" x14ac:dyDescent="0.3">
      <c r="A109" s="7">
        <v>603.29999999999995</v>
      </c>
      <c r="B109" s="7">
        <v>34.9</v>
      </c>
      <c r="C109" s="7">
        <v>65.099999999999994</v>
      </c>
      <c r="D109" s="7">
        <v>38.54</v>
      </c>
      <c r="E109" s="7">
        <v>45.57</v>
      </c>
      <c r="F109" s="7">
        <v>88.2</v>
      </c>
      <c r="G109" s="7">
        <v>9.4</v>
      </c>
      <c r="H109" s="7">
        <v>81.900000000000006</v>
      </c>
      <c r="I109" s="7">
        <v>163</v>
      </c>
      <c r="J109" s="7">
        <v>23.3</v>
      </c>
      <c r="K109" s="7">
        <v>53.1</v>
      </c>
      <c r="L109" s="3"/>
      <c r="M109" s="3"/>
      <c r="N109" s="3"/>
      <c r="O109" s="3"/>
      <c r="P109" s="3"/>
      <c r="Q109" s="3"/>
      <c r="R109" s="3"/>
      <c r="S109" s="3"/>
      <c r="T109" s="7">
        <v>209</v>
      </c>
      <c r="U109" s="7">
        <v>18.3</v>
      </c>
    </row>
  </sheetData>
  <conditionalFormatting sqref="V1:V1048576">
    <cfRule type="cellIs" dxfId="0" priority="1" operator="greaterThan">
      <formula>10.5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Data_Dictionary</vt:lpstr>
      <vt:lpstr>Process_Data</vt:lpstr>
      <vt:lpstr>Dewatering_Balance</vt:lpstr>
      <vt:lpstr>Calculations</vt:lpstr>
      <vt:lpstr>SPC_Sample</vt:lpstr>
      <vt:lpstr>Dashboard_Data</vt:lpstr>
      <vt:lpstr>Minitab_Import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Hadi</cp:lastModifiedBy>
  <dcterms:created xsi:type="dcterms:W3CDTF">2026-10-02T12:37:10Z</dcterms:created>
  <dcterms:modified xsi:type="dcterms:W3CDTF">2026-10-04T10:00:23Z</dcterms:modified>
</cp:coreProperties>
</file>